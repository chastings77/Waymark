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ables/table13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d5101feb814b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37f3cf83144d473d"/>
    <x:sheet xmlns:r="http://schemas.openxmlformats.org/officeDocument/2006/relationships" name="Best Bets" sheetId="2" r:id="R91855efe7e5c4f03"/>
    <x:sheet xmlns:r="http://schemas.openxmlformats.org/officeDocument/2006/relationships" name="Master Hunt List" sheetId="3" r:id="R09ab7dd701fb4ff3"/>
    <x:sheet xmlns:r="http://schemas.openxmlformats.org/officeDocument/2006/relationships" name="Youth Priority" sheetId="4" r:id="R200d8c2e3cef4a9f"/>
    <x:sheet xmlns:r="http://schemas.openxmlformats.org/officeDocument/2006/relationships" name="Application Calendar" sheetId="5" r:id="R81a2039868e7434d"/>
    <x:sheet xmlns:r="http://schemas.openxmlformats.org/officeDocument/2006/relationships" name="Draw Odds" sheetId="6" r:id="R11ba83f8b97d4e77"/>
    <x:sheet xmlns:r="http://schemas.openxmlformats.org/officeDocument/2006/relationships" name="Budget Planner" sheetId="7" r:id="R057fe7621cac4f9d"/>
    <x:sheet xmlns:r="http://schemas.openxmlformats.org/officeDocument/2006/relationships" name="Hastings Hunt History" sheetId="8" r:id="Rbbb3c780a5e546b6"/>
    <x:sheet xmlns:r="http://schemas.openxmlformats.org/officeDocument/2006/relationships" name="Whitetail Deer" sheetId="9" r:id="Rfe635d917aea4659"/>
    <x:sheet xmlns:r="http://schemas.openxmlformats.org/officeDocument/2006/relationships" name="Mule Deer" sheetId="10" r:id="R6a7023e5c3fe4319"/>
    <x:sheet xmlns:r="http://schemas.openxmlformats.org/officeDocument/2006/relationships" name="Feral Hog" sheetId="11" r:id="R1bdd36da04f24309"/>
    <x:sheet xmlns:r="http://schemas.openxmlformats.org/officeDocument/2006/relationships" name="Turkey" sheetId="12" r:id="Rb5dc4a2c0f5d4175"/>
    <x:sheet xmlns:r="http://schemas.openxmlformats.org/officeDocument/2006/relationships" name="Waterfowl Upland" sheetId="13" r:id="Reb71f618b2cc4f1e"/>
    <x:sheet xmlns:r="http://schemas.openxmlformats.org/officeDocument/2006/relationships" name="Pronghorn Exotics" sheetId="14" r:id="R5b843e3a8b6b452e"/>
    <x:sheet xmlns:r="http://schemas.openxmlformats.org/officeDocument/2006/relationships" name="Sources &amp; Assumptions" sheetId="15" r:id="R5cd46508872f432f"/>
    <x:sheet xmlns:r="http://schemas.openxmlformats.org/officeDocument/2006/relationships" name="Lists" sheetId="16" r:id="R1a07db3677da4cb7"/>
    <x:sheet xmlns:r="http://schemas.openxmlformats.org/officeDocument/2006/relationships" name="Application Dashboard" sheetId="17" r:id="Rc68cbce2a8f64be9"/>
    <x:sheet xmlns:r="http://schemas.openxmlformats.org/officeDocument/2006/relationships" name="Start Here" sheetId="18" r:id="R35a5c5508c8a49b7"/>
    <x:sheet xmlns:r="http://schemas.openxmlformats.org/officeDocument/2006/relationships" name="Lifetime Dashboard" sheetId="19" r:id="R5457d0efbd104c0b"/>
    <x:sheet xmlns:r="http://schemas.openxmlformats.org/officeDocument/2006/relationships" name="Annual Strategy" sheetId="20" r:id="R5bd7fe9dffbc44fe"/>
    <x:sheet xmlns:r="http://schemas.openxmlformats.org/officeDocument/2006/relationships" name="State Points" sheetId="21" r:id="R5a2b19c95ff04864"/>
    <x:sheet xmlns:r="http://schemas.openxmlformats.org/officeDocument/2006/relationships" name="State Applications" sheetId="22" r:id="R125640f3b1c14b16"/>
    <x:sheet xmlns:r="http://schemas.openxmlformats.org/officeDocument/2006/relationships" name="Dream Hunts" sheetId="23" r:id="R60fe0df8ecf74a04"/>
    <x:sheet xmlns:r="http://schemas.openxmlformats.org/officeDocument/2006/relationships" name="Dream Hunt Fund" sheetId="24" r:id="Rb20d801f4b5b49e7"/>
    <x:sheet xmlns:r="http://schemas.openxmlformats.org/officeDocument/2006/relationships" name="Hunt Journal" sheetId="25" r:id="Re3faf03de6f94944"/>
    <x:sheet xmlns:r="http://schemas.openxmlformats.org/officeDocument/2006/relationships" name="Camp &amp; Scouting" sheetId="26" r:id="Rb53f1e4405d74fb6"/>
    <x:sheet xmlns:r="http://schemas.openxmlformats.org/officeDocument/2006/relationships" name="Gear Inventory" sheetId="27" r:id="R09a6caa6d4224110"/>
    <x:sheet xmlns:r="http://schemas.openxmlformats.org/officeDocument/2006/relationships" name="Family Legacy" sheetId="28" r:id="Re06b55f9834d4513"/>
    <x:sheet xmlns:r="http://schemas.openxmlformats.org/officeDocument/2006/relationships" name="Hastings Preferences" sheetId="29" r:id="Rc6597a5dc7b844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yyyy-mm-dd"/>
    <x:numFmt numFmtId="201" formatCode="$#,##0"/>
    <x:numFmt numFmtId="202" formatCode="0%"/>
    <x:numFmt numFmtId="203" formatCode="0.0"/>
    <x:numFmt numFmtId="204" formatCode="$#,##0.00"/>
    <x:numFmt numFmtId="205" formatCode="m/d/yyyy"/>
    <x:numFmt numFmtId="206" formatCode="$0"/>
    <x:numFmt numFmtId="207" formatCode="0"/>
    <x:numFmt numFmtId="208" formatCode="$0.00"/>
    <x:numFmt numFmtId="209" formatCode="0.0%"/>
  </x:numFmts>
  <x:fonts count="11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  <x:font>
      <x:i/>
      <x:sz val="11"/>
      <x:name val="Carlito"/>
    </x:font>
    <x:font>
      <x:b/>
      <x:sz val="18"/>
      <x:color rgb="FFFFFFFF"/>
      <x:name val="Carlito"/>
    </x:font>
    <x:font>
      <x:i/>
      <x:sz val="12"/>
      <x:name val="Carlito"/>
    </x:font>
    <x:font>
      <x:b/>
      <x:sz val="12"/>
      <x:color rgb="FFFFFFFF"/>
      <x:name val="Carlito"/>
    </x:font>
    <x:font>
      <x:b/>
      <x:sz val="11"/>
      <x:color rgb="FF1F1F1F"/>
      <x:name val="Carlito"/>
    </x:font>
    <x:font>
      <x:i/>
      <x:sz val="13"/>
      <x:name val="Carlito"/>
    </x:font>
  </x:fonts>
  <x:fills count="23">
    <x:fill>
      <x:patternFill patternType="none"/>
    </x:fill>
    <x:fill>
      <x:patternFill patternType="gray125"/>
    </x:fill>
    <x:fill>
      <x:patternFill patternType="solid">
        <x:fgColor rgb="FF1F4E3D"/>
      </x:patternFill>
    </x:fill>
    <x:fill>
      <x:patternFill patternType="solid">
        <x:fgColor rgb="FF274E13"/>
      </x:patternFill>
    </x:fill>
    <x:fill>
      <x:patternFill patternType="solid">
        <x:fgColor rgb="FFD9EAD3"/>
      </x:patternFill>
    </x:fill>
    <x:fill>
      <x:patternFill patternType="solid">
        <x:fgColor rgb="FF1F4E3D"/>
      </x:patternFill>
    </x:fill>
    <x:fill>
      <x:patternFill patternType="solid">
        <x:fgColor rgb="FFE2F0D9"/>
      </x:patternFill>
    </x:fill>
    <x:fill>
      <x:patternFill patternType="solid">
        <x:fgColor rgb="FFF3F4F6"/>
      </x:patternFill>
    </x:fill>
    <x:fill>
      <x:patternFill patternType="solid">
        <x:fgColor rgb="FFF9FAFB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  <x:fill>
      <x:patternFill patternType="solid">
        <x:fgColor rgb="FF548235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F4CCCC"/>
      </x:patternFill>
    </x:fill>
    <x:fill>
      <x:patternFill patternType="solid">
        <x:fgColor rgb="FFD6B656"/>
      </x:patternFill>
    </x:fill>
    <x:fill>
      <x:patternFill patternType="solid">
        <x:fgColor rgb="FF2F5D3A"/>
      </x:patternFill>
    </x:fill>
    <x:fill>
      <x:patternFill patternType="solid">
        <x:fgColor rgb="FF8B5A2B"/>
      </x:patternFill>
    </x:fill>
    <x:fill>
      <x:patternFill patternType="solid">
        <x:fgColor rgb="FF1F4E3D"/>
      </x:patternFill>
    </x:fill>
    <x:fill>
      <x:patternFill patternType="solid">
        <x:fgColor rgb="FFE2F0D9"/>
      </x:patternFill>
    </x:fill>
    <x:fill>
      <x:patternFill patternType="solid">
        <x:fgColor rgb="FFF3F6F1"/>
      </x:patternFill>
    </x:fill>
    <x:fill>
      <x:patternFill patternType="solid">
        <x:fgColor rgb="FF1F4E3D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59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  <x:xf numFmtId="204" fontId="0" fillId="0" borderId="0" xfId="0" applyNumberFormat="1" applyFont="1" applyFill="1" applyBorder="1" applyAlignment="1">
      <x:alignment vertical="top" wrapText="1"/>
    </x:xf>
    <x:xf numFmtId="204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205" fontId="0" fillId="0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/>
    </x:xf>
    <x:xf numFmtId="206" fontId="0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8" borderId="0" xfId="0" applyNumberFormat="1" applyFont="1" applyFill="1" applyBorder="1"/>
    <x:xf numFmtId="0" fontId="0" fillId="7" borderId="0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horizontal="center"/>
    </x:xf>
    <x:xf numFmtId="0" fontId="6" fillId="9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7" fillId="10" borderId="0" xfId="0" applyNumberFormat="1" applyFont="1" applyFill="1" applyBorder="1" applyAlignment="1">
      <x:alignment wrapText="1"/>
    </x:xf>
    <x:xf numFmtId="0" fontId="7" fillId="10" borderId="0" xfId="0" applyNumberFormat="1" applyFont="1" applyFill="1" applyBorder="1" applyAlignment="1">
      <x:alignment horizontal="center" wrapText="1"/>
    </x:xf>
    <x:xf numFmtId="0" fontId="7" fillId="10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0" xfId="0" applyNumberFormat="1" applyFont="1" applyFill="1" applyBorder="1" applyAlignment="1">
      <x:alignment horizontal="left"/>
    </x:xf>
    <x:xf numFmtId="0" fontId="8" fillId="11" borderId="0" xfId="0" applyNumberFormat="1" applyFont="1" applyFill="1" applyBorder="1" applyAlignment="1">
      <x:alignment horizontal="left" vertical="center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0" xfId="0" applyNumberFormat="1" applyFont="1" applyFill="1" applyBorder="1" applyAlignment="1">
      <x:alignment wrapText="1"/>
    </x:xf>
    <x:xf numFmtId="0" fontId="3" fillId="14" borderId="0" xfId="0" applyNumberFormat="1" applyFont="1" applyFill="1" applyBorder="1" applyAlignment="1">
      <x:alignment horizontal="center" wrapText="1"/>
    </x:xf>
    <x:xf numFmtId="0" fontId="3" fillId="14" borderId="0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9" fillId="15" borderId="0" xfId="0" applyNumberFormat="1" applyFont="1" applyFill="1" applyBorder="1"/>
    <x:xf numFmtId="0" fontId="9" fillId="15" xfId="0" applyNumberFormat="1" applyFont="1" applyFill="1" applyBorder="0"/>
    <x:xf numFmtId="0" fontId="9" fillId="15" xfId="0" applyNumberFormat="1" applyFont="1" applyFill="1" applyBorder="0" applyAlignment="1">
      <x:alignment wrapText="1"/>
    </x:xf>
    <x:xf numFmtId="0" fontId="9" fillId="15" xfId="0" applyNumberFormat="1" applyFont="1" applyFill="1" applyBorder="0" applyAlignment="1">
      <x:alignment horizontal="center" wrapText="1"/>
    </x:xf>
    <x:xf numFmtId="0" fontId="9" fillId="15" xfId="0" applyNumberFormat="1" applyFont="1" applyFill="1" applyBorder="0" applyAlignment="1">
      <x:alignment horizontal="center" vertical="center" wrapText="1"/>
    </x:xf>
    <x:xf numFmtId="201" fontId="0" fillId="0" borderId="0" xfId="0" applyNumberFormat="1" applyFont="1" applyFill="1" applyBorder="1"/>
    <x:xf numFmtId="207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7" fontId="0" fillId="0" borderId="0" xfId="0" applyNumberFormat="1" applyFont="1" applyFill="1" applyBorder="1"/>
    <x:xf numFmtId="200" fontId="0" fillId="0" borderId="0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0" fontId="10" fillId="10" borderId="0" xfId="0" applyNumberFormat="1" applyFont="1" applyFill="1" applyBorder="1"/>
    <x:xf numFmtId="0" fontId="10" fillId="10" borderId="0" xfId="0" applyNumberFormat="1" applyFont="1" applyFill="1" applyBorder="1" applyAlignment="1">
      <x:alignment wrapText="1"/>
    </x:xf>
    <x:xf numFmtId="0" fontId="10" fillId="10" borderId="0" xfId="0" applyNumberFormat="1" applyFont="1" applyFill="1" applyBorder="1" applyAlignment="1">
      <x:alignment horizontal="center" wrapText="1"/>
    </x:xf>
    <x:xf numFmtId="0" fontId="10" fillId="10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 applyAlignment="1">
      <x:alignment vertical="top" wrapText="1"/>
    </x:xf>
    <x:xf numFmtId="0" fontId="3" fillId="13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1" fillId="16" borderId="0" xfId="0" applyNumberFormat="1" applyFont="1" applyFill="1" applyBorder="1" applyAlignment="1">
      <x:alignment horizontal="center" vertical="center" wrapText="1"/>
    </x:xf>
    <x:xf numFmtId="208" fontId="0" fillId="0" borderId="0" xfId="0" applyNumberFormat="1" applyFont="1" applyFill="1" applyBorder="1" applyAlignment="1">
      <x:alignment vertical="top" wrapText="1"/>
    </x:xf>
    <x:xf numFmtId="208" fontId="0" fillId="0" borderId="0" xfId="0" applyNumberFormat="1" applyFont="1" applyFill="1" applyBorder="1" applyAlignment="1">
      <x:alignment wrapText="1"/>
    </x:xf>
    <x:xf numFmtId="209" fontId="0" fillId="0" borderId="0" xfId="0" applyNumberFormat="1" applyFont="1" applyFill="1" applyBorder="1" applyAlignment="1">
      <x:alignment vertical="top" wrapText="1"/>
    </x:xf>
    <x:xf numFmtId="209" fontId="0" fillId="0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1" fillId="16" borderId="0" xfId="0" applyNumberFormat="1" applyFont="1" applyFill="1" applyBorder="1"/>
    <x:xf numFmtId="0" fontId="1" fillId="16" borderId="0" xfId="0" applyNumberFormat="1" applyFont="1" applyFill="1" applyBorder="1" applyAlignment="1">
      <x:alignment wrapText="1"/>
    </x:xf>
    <x:xf numFmtId="0" fontId="1" fillId="17" borderId="0" xfId="0" applyNumberFormat="1" applyFont="1" applyFill="1" applyBorder="1" applyAlignment="1">
      <x:alignment horizontal="center" vertical="center" wrapText="1"/>
    </x:xf>
    <x:xf numFmtId="0" fontId="2" fillId="18" borderId="0" xfId="0" applyNumberFormat="1" applyFont="1" applyFill="1" applyBorder="1" applyAlignment="1">
      <x:alignment horizontal="center"/>
    </x:xf>
    <x:xf numFmtId="0" fontId="0" fillId="18" borderId="0" xfId="0" applyNumberFormat="1" applyFont="1" applyFill="1" applyBorder="1"/>
    <x:xf numFmtId="0" fontId="2" fillId="18" borderId="0" xfId="0" applyNumberFormat="1" applyFont="1" applyFill="1" applyBorder="1"/>
    <x:xf numFmtId="0" fontId="5" fillId="19" borderId="0" xfId="0" applyNumberFormat="1" applyFont="1" applyFill="1" applyBorder="1" applyAlignment="1">
      <x:alignment wrapText="1"/>
    </x:xf>
    <x:xf numFmtId="0" fontId="0" fillId="19" borderId="0" xfId="0" applyNumberFormat="1" applyFont="1" applyFill="1" applyBorder="1"/>
    <x:xf numFmtId="0" fontId="5" fillId="19" borderId="0" xfId="0" applyNumberFormat="1" applyFont="1" applyFill="1" applyBorder="1"/>
    <x:xf numFmtId="0" fontId="1" fillId="20" borderId="0" xfId="0" applyNumberFormat="1" applyFont="1" applyFill="1" applyBorder="1" applyAlignment="1">
      <x:alignment horizontal="center" wrapText="1"/>
    </x:xf>
    <x:xf numFmtId="0" fontId="0" fillId="20" borderId="0" xfId="0" applyNumberFormat="1" applyFont="1" applyFill="1" applyBorder="1" applyAlignment="1">
      <x:alignment wrapText="1"/>
    </x:xf>
    <x:xf numFmtId="0" fontId="3" fillId="20" borderId="0" xfId="0" applyNumberFormat="1" applyFont="1" applyFill="1" applyBorder="1" applyAlignment="1">
      <x:alignment wrapText="1"/>
    </x:xf>
    <x:xf numFmtId="0" fontId="1" fillId="20" xfId="0" applyNumberFormat="1" applyFont="1" applyFill="1" applyBorder="0" applyAlignment="1">
      <x:alignment horizontal="center" wrapText="1"/>
    </x:xf>
    <x:xf numFmtId="0" fontId="3" fillId="20" xfId="0" applyNumberFormat="1" applyFont="1" applyFill="1" applyBorder="0" applyAlignment="1">
      <x:alignment wrapText="1"/>
    </x:xf>
    <x:xf numFmtId="0" fontId="3" fillId="20" xfId="0" applyNumberFormat="1" applyFont="1" applyFill="1" applyBorder="0" applyAlignment="1">
      <x:alignment horizontal="center" wrapText="1"/>
    </x:xf>
    <x:xf numFmtId="206" fontId="0" fillId="20" borderId="0" xfId="0" applyNumberFormat="1" applyFont="1" applyFill="1" applyBorder="1" applyAlignment="1">
      <x:alignment wrapText="1"/>
    </x:xf>
    <x:xf numFmtId="206" fontId="3" fillId="20" borderId="0" xfId="0" applyNumberFormat="1" applyFont="1" applyFill="1" applyBorder="1" applyAlignment="1">
      <x:alignment wrapText="1"/>
    </x:xf>
    <x:xf numFmtId="206" fontId="3" fillId="20" xfId="0" applyNumberFormat="1" applyFont="1" applyFill="1" applyBorder="0" applyAlignment="1">
      <x:alignment wrapText="1"/>
    </x:xf>
    <x:xf numFmtId="206" fontId="3" fillId="20" xfId="0" applyNumberFormat="1" applyFont="1" applyFill="1" applyBorder="0" applyAlignment="1">
      <x:alignment horizontal="center" wrapText="1"/>
    </x:xf>
    <x:xf numFmtId="0" fontId="0" fillId="20" borderId="0" xfId="0" applyNumberFormat="1" applyFont="1" applyFill="1" applyBorder="1"/>
    <x:xf numFmtId="0" fontId="3" fillId="20" borderId="0" xfId="0" applyNumberFormat="1" applyFont="1" applyFill="1" applyBorder="1"/>
    <x:xf numFmtId="0" fontId="3" fillId="20" xfId="0" applyNumberFormat="1" applyFont="1" applyFill="1" applyBorder="0"/>
    <x:xf numFmtId="208" fontId="3" fillId="20" xfId="0" applyNumberFormat="1" applyFont="1" applyFill="1" applyBorder="0" applyAlignment="1">
      <x:alignment horizontal="center" wrapText="1"/>
    </x:xf>
    <x:xf numFmtId="0" fontId="0" fillId="16" borderId="0" xfId="0" applyNumberFormat="1" applyFont="1" applyFill="1" applyBorder="1" applyAlignment="1">
      <x:alignment wrapText="1"/>
    </x:xf>
    <x:xf numFmtId="205" fontId="0" fillId="16" borderId="0" xfId="0" applyNumberFormat="1" applyFont="1" applyFill="1" applyBorder="1" applyAlignment="1">
      <x:alignment wrapText="1"/>
    </x:xf>
    <x:xf numFmtId="206" fontId="0" fillId="16" borderId="0" xfId="0" applyNumberFormat="1" applyFont="1" applyFill="1" applyBorder="1" applyAlignment="1">
      <x:alignment wrapText="1"/>
    </x:xf>
    <x:xf numFmtId="0" fontId="3" fillId="16" borderId="0" xfId="0" applyNumberFormat="1" applyFont="1" applyFill="1" applyBorder="1"/>
    <x:xf numFmtId="205" fontId="1" fillId="16" borderId="0" xfId="0" applyNumberFormat="1" applyFont="1" applyFill="1" applyBorder="1" applyAlignment="1">
      <x:alignment wrapText="1"/>
    </x:xf>
    <x:xf numFmtId="206" fontId="1" fillId="16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21" borderId="0" xfId="0" applyNumberFormat="1" applyFont="1" applyFill="1" applyBorder="1"/>
    <x:xf numFmtId="0" fontId="1" fillId="21" borderId="0" xfId="0" applyNumberFormat="1" applyFont="1" applyFill="1" applyBorder="1"/>
    <x:xf numFmtId="0" fontId="1" fillId="21" borderId="0" xfId="0" applyNumberFormat="1" applyFont="1" applyFill="1" applyBorder="1" applyAlignment="1">
      <x:alignment wrapText="1"/>
    </x:xf>
    <x:xf numFmtId="0" fontId="1" fillId="21" borderId="0" xfId="0" applyNumberFormat="1" applyFont="1" applyFill="1" applyBorder="1" applyAlignment="1">
      <x:alignment horizontal="center" wrapText="1"/>
    </x:xf>
    <x:xf numFmtId="0" fontId="1" fillId="21" borderId="0" xfId="0" applyNumberFormat="1" applyFont="1" applyFill="1" applyBorder="1" applyAlignment="1">
      <x:alignment horizontal="center" vertical="center" wrapText="1"/>
    </x:xf>
    <x:xf numFmtId="0" fontId="0" fillId="22" borderId="0" xfId="0" applyNumberFormat="1" applyFont="1" applyFill="1" applyBorder="1"/>
    <x:xf numFmtId="0" fontId="2" fillId="22" borderId="0" xfId="0" applyNumberFormat="1" applyFont="1" applyFill="1" applyBorder="1"/>
    <x:xf numFmtId="0" fontId="2" fillId="22" borderId="0" xfId="0" applyNumberFormat="1" applyFont="1" applyFill="1" applyBorder="1" applyAlignment="1">
      <x:alignment horizontal="center"/>
    </x:xf>
    <x:xf numFmtId="0" fontId="2" fillId="22" borderId="0" xfId="0" applyNumberFormat="1" applyFont="1" applyFill="1" applyBorder="1" applyAlignment="1">
      <x:alignment horizontal="center" vertical="center"/>
    </x:xf>
    <x:xf numFmtId="0" fontId="2" fillId="22" borderId="0" xfId="0" applyNumberFormat="1" applyFont="1" applyFill="1" applyBorder="1" applyAlignment="1">
      <x:alignment horizontal="center" vertical="center" wrapText="1"/>
    </x:xf>
    <x:xf numFmtId="0" fontId="0" fillId="21" borderId="0" xfId="0" applyNumberFormat="1" applyFont="1" applyFill="1" applyBorder="1" applyAlignment="1">
      <x:alignment vertical="top" wrapText="1"/>
    </x:xf>
    <x:xf numFmtId="0" fontId="1" fillId="21" borderId="0" xfId="0" applyNumberFormat="1" applyFont="1" applyFill="1" applyBorder="1" applyAlignment="1">
      <x:alignment vertical="top" wrapText="1"/>
    </x:xf>
    <x:xf numFmtId="0" fontId="1" fillId="21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20">
    <x:dxf>
      <x:fill>
        <x:patternFill>
          <x:bgColor rgb="FFD9EAD3"/>
        </x:patternFill>
      </x:fill>
    </x:dxf>
    <x:dxf>
      <x:fill>
        <x:patternFill>
          <x:bgColor rgb="FFD9EAD3"/>
        </x:patternFill>
      </x:fill>
    </x:dxf>
    <x:dxf>
      <x:font>
        <x:b/>
      </x:font>
      <x:fill>
        <x:patternFill>
          <x:bgColor rgb="FFFDE68A"/>
        </x:patternFill>
      </x:fill>
    </x:dxf>
    <x:dxf>
      <x:font>
        <x:b/>
      </x:font>
      <x:fill>
        <x:patternFill>
          <x:bgColor rgb="FFFCA5A5"/>
        </x:patternFill>
      </x:fill>
    </x:dxf>
    <x:dxf>
      <x:font>
        <x:b/>
      </x:font>
      <x:fill>
        <x:patternFill>
          <x:bgColor rgb="FFBBF7D0"/>
        </x:patternFill>
      </x:fill>
    </x:dxf>
    <x:dxf>
      <x:fill>
        <x:patternFill>
          <x:bgColor rgb="FFBBF7D0"/>
        </x:patternFill>
      </x:fill>
    </x:dxf>
    <x:dxf>
      <x:font>
        <x:b/>
      </x:font>
      <x:fill>
        <x:patternFill>
          <x:bgColor rgb="FFBBF7D0"/>
        </x:patternFill>
      </x:fill>
    </x:dxf>
    <x:dxf>
      <x:fill>
        <x:patternFill>
          <x:bgColor rgb="FFFCA5A5"/>
        </x:patternFill>
      </x:fill>
    </x:dxf>
    <x:dxf>
      <x:font>
        <x:b/>
      </x:font>
      <x:fill>
        <x:patternFill>
          <x:bgColor rgb="FFBBF7D0"/>
        </x:patternFill>
      </x:fill>
    </x:dxf>
    <x:dxf>
      <x:font>
        <x:b/>
      </x:font>
      <x:fill>
        <x:patternFill>
          <x:bgColor rgb="FFBBF7D0"/>
        </x:patternFill>
      </x:fill>
    </x:dxf>
    <x:dxf>
      <x:fill>
        <x:patternFill>
          <x:bgColor rgb="FFFCA5A5"/>
        </x:patternFill>
      </x:fill>
    </x:dxf>
    <x:dxf>
      <x:font>
        <x:b/>
      </x:font>
      <x:fill>
        <x:patternFill>
          <x:bgColor rgb="FFC6E0B4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C6E0B4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166534"/>
      </x:font>
      <x:fill>
        <x:patternFill patternType="solid"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7587624fe34775" /><Relationship Type="http://schemas.openxmlformats.org/officeDocument/2006/relationships/theme" Target="/xl/theme/theme1.xml" Id="R3f98eba513f340a9" /><Relationship Type="http://schemas.openxmlformats.org/officeDocument/2006/relationships/sharedStrings" Target="/xl/sharedStrings.xml" Id="R28334c5efc144708" /><Relationship Type="http://schemas.openxmlformats.org/officeDocument/2006/relationships/worksheet" Target="/xl/worksheets/sheet1.xml" Id="R37f3cf83144d473d" /><Relationship Type="http://schemas.openxmlformats.org/officeDocument/2006/relationships/worksheet" Target="/xl/worksheets/sheet2.xml" Id="R91855efe7e5c4f03" /><Relationship Type="http://schemas.openxmlformats.org/officeDocument/2006/relationships/worksheet" Target="/xl/worksheets/sheet3.xml" Id="R09ab7dd701fb4ff3" /><Relationship Type="http://schemas.openxmlformats.org/officeDocument/2006/relationships/worksheet" Target="/xl/worksheets/sheet4.xml" Id="R200d8c2e3cef4a9f" /><Relationship Type="http://schemas.openxmlformats.org/officeDocument/2006/relationships/worksheet" Target="/xl/worksheets/sheet5.xml" Id="R81a2039868e7434d" /><Relationship Type="http://schemas.openxmlformats.org/officeDocument/2006/relationships/worksheet" Target="/xl/worksheets/sheet6.xml" Id="R11ba83f8b97d4e77" /><Relationship Type="http://schemas.openxmlformats.org/officeDocument/2006/relationships/worksheet" Target="/xl/worksheets/sheet7.xml" Id="R057fe7621cac4f9d" /><Relationship Type="http://schemas.openxmlformats.org/officeDocument/2006/relationships/worksheet" Target="/xl/worksheets/sheet8.xml" Id="Rbbb3c780a5e546b6" /><Relationship Type="http://schemas.openxmlformats.org/officeDocument/2006/relationships/worksheet" Target="/xl/worksheets/sheet9.xml" Id="Rfe635d917aea4659" /><Relationship Type="http://schemas.openxmlformats.org/officeDocument/2006/relationships/worksheet" Target="/xl/worksheets/sheet10.xml" Id="R6a7023e5c3fe4319" /><Relationship Type="http://schemas.openxmlformats.org/officeDocument/2006/relationships/worksheet" Target="/xl/worksheets/sheet11.xml" Id="R1bdd36da04f24309" /><Relationship Type="http://schemas.openxmlformats.org/officeDocument/2006/relationships/worksheet" Target="/xl/worksheets/sheet12.xml" Id="Rb5dc4a2c0f5d4175" /><Relationship Type="http://schemas.openxmlformats.org/officeDocument/2006/relationships/worksheet" Target="/xl/worksheets/sheet13.xml" Id="Reb71f618b2cc4f1e" /><Relationship Type="http://schemas.openxmlformats.org/officeDocument/2006/relationships/worksheet" Target="/xl/worksheets/sheet14.xml" Id="R5b843e3a8b6b452e" /><Relationship Type="http://schemas.openxmlformats.org/officeDocument/2006/relationships/worksheet" Target="/xl/worksheets/sheet15.xml" Id="R5cd46508872f432f" /><Relationship Type="http://schemas.openxmlformats.org/officeDocument/2006/relationships/worksheet" Target="/xl/worksheets/sheet16.xml" Id="R1a07db3677da4cb7" /><Relationship Type="http://schemas.openxmlformats.org/officeDocument/2006/relationships/worksheet" Target="/xl/worksheets/sheet17.xml" Id="Rc68cbce2a8f64be9" /><Relationship Type="http://schemas.openxmlformats.org/officeDocument/2006/relationships/worksheet" Target="/xl/worksheets/sheet18.xml" Id="R35a5c5508c8a49b7" /><Relationship Type="http://schemas.openxmlformats.org/officeDocument/2006/relationships/worksheet" Target="/xl/worksheets/sheet19.xml" Id="R5457d0efbd104c0b" /><Relationship Type="http://schemas.openxmlformats.org/officeDocument/2006/relationships/worksheet" Target="/xl/worksheets/sheet20.xml" Id="R5bd7fe9dffbc44fe" /><Relationship Type="http://schemas.openxmlformats.org/officeDocument/2006/relationships/worksheet" Target="/xl/worksheets/sheet21.xml" Id="R5a2b19c95ff04864" /><Relationship Type="http://schemas.openxmlformats.org/officeDocument/2006/relationships/worksheet" Target="/xl/worksheets/sheet22.xml" Id="R125640f3b1c14b16" /><Relationship Type="http://schemas.openxmlformats.org/officeDocument/2006/relationships/worksheet" Target="/xl/worksheets/sheet23.xml" Id="R60fe0df8ecf74a04" /><Relationship Type="http://schemas.openxmlformats.org/officeDocument/2006/relationships/worksheet" Target="/xl/worksheets/sheet24.xml" Id="Rb20d801f4b5b49e7" /><Relationship Type="http://schemas.openxmlformats.org/officeDocument/2006/relationships/worksheet" Target="/xl/worksheets/sheet25.xml" Id="Re3faf03de6f94944" /><Relationship Type="http://schemas.openxmlformats.org/officeDocument/2006/relationships/worksheet" Target="/xl/worksheets/sheet26.xml" Id="Rb53f1e4405d74fb6" /><Relationship Type="http://schemas.openxmlformats.org/officeDocument/2006/relationships/worksheet" Target="/xl/worksheets/sheet27.xml" Id="R09a6caa6d4224110" /><Relationship Type="http://schemas.openxmlformats.org/officeDocument/2006/relationships/worksheet" Target="/xl/worksheets/sheet28.xml" Id="Re06b55f9834d4513" /><Relationship Type="http://schemas.openxmlformats.org/officeDocument/2006/relationships/worksheet" Target="/xl/worksheets/sheet29.xml" Id="Rc6597a5dc7b844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89eb5dd292a437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Best Bets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Hunt Area</c:v>
          </c:tx>
          <c:cat>
            <c:strRef>
              <c:f>'Best Bets'!$E$2:$E$10</c:f>
              <c:strCache>
                <c:ptCount val="0"/>
              </c:strCache>
            </c:strRef>
          </c:cat>
          <c:val>
            <c:numRef>
              <c:f>'Best Bets'!$F$2:$F$10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15</xdr:col>
      <xdr:colOff>0</xdr:colOff>
      <xdr:row>1</xdr:row>
      <xdr:rowOff>0</xdr:rowOff>
    </xdr:from>
    <xdr:to>
      <xdr:col>24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89eb5dd292a437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8" name="BestBetsTable" displayName="BestBetsTable" ref="A1:N26" headerRowCount="1">
  <x:tableColumns count="14">
    <x:tableColumn id="1" name="Rank"/>
    <x:tableColumn id="2" name="Apply?"/>
    <x:tableColumn id="3" name="Hastings Score"/>
    <x:tableColumn id="4" name="Priority"/>
    <x:tableColumn id="5" name="Species Group"/>
    <x:tableColumn id="6" name="Hunt Area"/>
    <x:tableColumn id="7" name="Hunt Category"/>
    <x:tableColumn id="8" name="Adult"/>
    <x:tableColumn id="9" name="Youth"/>
    <x:tableColumn id="10" name="Deadline"/>
    <x:tableColumn id="11" name="Approx Miles"/>
    <x:tableColumn id="12" name="Draw Odds"/>
    <x:tableColumn id="13" name="Recommendation"/>
    <x:tableColumn id="14" name="Source URL"/>
  </x:tableColumns>
  <x:tableStyleInfo name="TableStyleMedium2" showRowStripes="1"/>
</x:table>
</file>

<file path=xl/tables/table2.xml><?xml version="1.0" encoding="utf-8"?>
<x:table xmlns:x="http://schemas.openxmlformats.org/spreadsheetml/2006/main" id="1" name="MasterHuntsTable" displayName="MasterHuntsTable" ref="A1:AE54" headerRowCount="1">
  <x:tableColumns count="31">
    <x:tableColumn id="1" name="Applied"/>
    <x:tableColumn id="2" name="Priority"/>
    <x:tableColumn id="3" name="Species Group"/>
    <x:tableColumn id="4" name="Hunt Area"/>
    <x:tableColumn id="5" name="Region"/>
    <x:tableColumn id="6" name="Hunt Category"/>
    <x:tableColumn id="7" name="Adult"/>
    <x:tableColumn id="8" name="Youth"/>
    <x:tableColumn id="9" name="Application Deadline"/>
    <x:tableColumn id="10" name="Hunt Window"/>
    <x:tableColumn id="11" name="Application Fee"/>
    <x:tableColumn id="12" name="Estimated Permit Fee"/>
    <x:tableColumn id="13" name="Permits/Groups"/>
    <x:tableColumn id="14" name="Applicants Last Year"/>
    <x:tableColumn id="15" name="Draw Odds"/>
    <x:tableColumn id="16" name="Approx Miles from Amarillo"/>
    <x:tableColumn id="17" name="Drive Zone"/>
    <x:tableColumn id="18" name="Camping Notes"/>
    <x:tableColumn id="19" name="Backpack Rating"/>
    <x:tableColumn id="20" name="Past Drawn by Hastings"/>
    <x:tableColumn id="21" name="Notes"/>
    <x:tableColumn id="22" name="Source URL"/>
    <x:tableColumn id="23" name="Odds Score"/>
    <x:tableColumn id="24" name="Distance Score"/>
    <x:tableColumn id="25" name="Youth Fit Score"/>
    <x:tableColumn id="26" name="Camping Score"/>
    <x:tableColumn id="27" name="Backpack Score"/>
    <x:tableColumn id="28" name="Past Draw Bonus"/>
    <x:tableColumn id="29" name="Hastings Score"/>
    <x:tableColumn id="30" name="Estimated Total If Drawn"/>
    <x:tableColumn id="31" name="Deadline Month"/>
  </x:tableColumns>
  <x:tableStyleInfo name="TableStyleMedium2" showRowStripes="1"/>
</x:table>
</file>

<file path=xl/tables/table3.xml><?xml version="1.0" encoding="utf-8"?>
<x:table xmlns:x="http://schemas.openxmlformats.org/spreadsheetml/2006/main" id="9" name="YouthPriorityTable" displayName="YouthPriorityTable" ref="A1:L41" headerRowCount="1">
  <x:tableColumns count="12">
    <x:tableColumn id="1" name="Apply?"/>
    <x:tableColumn id="2" name="Priority"/>
    <x:tableColumn id="3" name="Species Group"/>
    <x:tableColumn id="4" name="Hunt Area"/>
    <x:tableColumn id="5" name="Hunt Category"/>
    <x:tableColumn id="6" name="Deadline"/>
    <x:tableColumn id="7" name="Approx Miles"/>
    <x:tableColumn id="8" name="Draw Odds"/>
    <x:tableColumn id="9" name="Permits"/>
    <x:tableColumn id="10" name="Applicants"/>
    <x:tableColumn id="11" name="Notes"/>
    <x:tableColumn id="12" name="Source URL"/>
  </x:tableColumns>
  <x:tableStyleInfo name="TableStyleMedium2" showRowStripes="1"/>
</x:table>
</file>

<file path=xl/tables/table4.xml><?xml version="1.0" encoding="utf-8"?>
<x:table xmlns:x="http://schemas.openxmlformats.org/spreadsheetml/2006/main" id="10" name="ApplicationCalendarTable" displayName="ApplicationCalendarTable" ref="A1:E8" headerRowCount="1">
  <x:tableColumns count="5">
    <x:tableColumn id="1" name="Deadline"/>
    <x:tableColumn id="2" name="Main Categories to Apply"/>
    <x:tableColumn id="3" name="Suggested Action"/>
    <x:tableColumn id="4" name="Estimated App Fees in Master"/>
    <x:tableColumn id="5" name="Notes"/>
  </x:tableColumns>
  <x:tableStyleInfo name="TableStyleMedium2" showRowStripes="1"/>
</x:table>
</file>

<file path=xl/tables/table5.xml><?xml version="1.0" encoding="utf-8"?>
<x:table xmlns:x="http://schemas.openxmlformats.org/spreadsheetml/2006/main" id="11" name="DrawOddsTable" displayName="DrawOddsTable" ref="A1:H5" headerRowCount="1">
  <x:tableColumns count="8">
    <x:tableColumn id="1" name="Hunt Area"/>
    <x:tableColumn id="2" name="Hunt Category"/>
    <x:tableColumn id="3" name="Species"/>
    <x:tableColumn id="4" name="Applicants Last Year"/>
    <x:tableColumn id="5" name="Permits/Groups"/>
    <x:tableColumn id="6" name="Draw Odds"/>
    <x:tableColumn id="7" name="Odds Tier"/>
    <x:tableColumn id="8" name="Source URL"/>
  </x:tableColumns>
  <x:tableStyleInfo name="TableStyleMedium2" showRowStripes="1"/>
</x:table>
</file>

<file path=xl/tables/table6.xml><?xml version="1.0" encoding="utf-8"?>
<x:table xmlns:x="http://schemas.openxmlformats.org/spreadsheetml/2006/main" id="12" name="HuntHistoryTable" displayName="HuntHistoryTable" ref="A1:I4" headerRowCount="1">
  <x:tableColumns count="9">
    <x:tableColumn id="1" name="Year"/>
    <x:tableColumn id="2" name="Hunt Area"/>
    <x:tableColumn id="3" name="Species"/>
    <x:tableColumn id="4" name="Hunt Type"/>
    <x:tableColumn id="5" name="Drawn?"/>
    <x:tableColumn id="6" name="Harvest?"/>
    <x:tableColumn id="7" name="Camped?"/>
    <x:tableColumn id="8" name="Backpack?"/>
    <x:tableColumn id="9" name="Notes"/>
  </x:tableColumns>
  <x:tableStyleInfo name="TableStyleMedium2" showRowStripes="1"/>
</x:table>
</file>

<file path=xl/tables/table7.xml><?xml version="1.0" encoding="utf-8"?>
<x:table xmlns:x="http://schemas.openxmlformats.org/spreadsheetml/2006/main" id="2" name="WhitetailDeerTable" displayName="WhitetailDeerTable" ref="A1:AE27" headerRowCount="1">
  <x:tableColumns count="31">
    <x:tableColumn id="1" name="Applied"/>
    <x:tableColumn id="2" name="Priority"/>
    <x:tableColumn id="3" name="Species Group"/>
    <x:tableColumn id="4" name="Hunt Area"/>
    <x:tableColumn id="5" name="Region"/>
    <x:tableColumn id="6" name="Hunt Category"/>
    <x:tableColumn id="7" name="Adult"/>
    <x:tableColumn id="8" name="Youth"/>
    <x:tableColumn id="9" name="Application Deadline"/>
    <x:tableColumn id="10" name="Hunt Window"/>
    <x:tableColumn id="11" name="Application Fee"/>
    <x:tableColumn id="12" name="Estimated Permit Fee"/>
    <x:tableColumn id="13" name="Permits/Groups"/>
    <x:tableColumn id="14" name="Applicants Last Year"/>
    <x:tableColumn id="15" name="Draw Odds"/>
    <x:tableColumn id="16" name="Approx Miles from Amarillo"/>
    <x:tableColumn id="17" name="Drive Zone"/>
    <x:tableColumn id="18" name="Camping Notes"/>
    <x:tableColumn id="19" name="Backpack Rating"/>
    <x:tableColumn id="20" name="Past Drawn by Hastings"/>
    <x:tableColumn id="21" name="Notes"/>
    <x:tableColumn id="22" name="Source URL"/>
    <x:tableColumn id="23" name="Odds Score"/>
    <x:tableColumn id="24" name="Distance Score"/>
    <x:tableColumn id="25" name="Youth Fit Score"/>
    <x:tableColumn id="26" name="Camping Score"/>
    <x:tableColumn id="27" name="Backpack Score"/>
    <x:tableColumn id="28" name="Past Draw Bonus"/>
    <x:tableColumn id="29" name="Hastings Score"/>
    <x:tableColumn id="30" name="Estimated Total If Drawn"/>
    <x:tableColumn id="31" name="Deadline Month"/>
  </x:tableColumns>
  <x:tableStyleInfo name="TableStyleMedium2" showRowStripes="1"/>
</x:table>
</file>

<file path=xl/tables/table8.xml><?xml version="1.0" encoding="utf-8"?>
<x:table xmlns:x="http://schemas.openxmlformats.org/spreadsheetml/2006/main" id="3" name="MuleDeerTable" displayName="MuleDeerTable" ref="A1:AE5" headerRowCount="1">
  <x:tableColumns count="31">
    <x:tableColumn id="1" name="Applied"/>
    <x:tableColumn id="2" name="Priority"/>
    <x:tableColumn id="3" name="Species Group"/>
    <x:tableColumn id="4" name="Hunt Area"/>
    <x:tableColumn id="5" name="Region"/>
    <x:tableColumn id="6" name="Hunt Category"/>
    <x:tableColumn id="7" name="Adult"/>
    <x:tableColumn id="8" name="Youth"/>
    <x:tableColumn id="9" name="Application Deadline"/>
    <x:tableColumn id="10" name="Hunt Window"/>
    <x:tableColumn id="11" name="Application Fee"/>
    <x:tableColumn id="12" name="Estimated Permit Fee"/>
    <x:tableColumn id="13" name="Permits/Groups"/>
    <x:tableColumn id="14" name="Applicants Last Year"/>
    <x:tableColumn id="15" name="Draw Odds"/>
    <x:tableColumn id="16" name="Approx Miles from Amarillo"/>
    <x:tableColumn id="17" name="Drive Zone"/>
    <x:tableColumn id="18" name="Camping Notes"/>
    <x:tableColumn id="19" name="Backpack Rating"/>
    <x:tableColumn id="20" name="Past Drawn by Hastings"/>
    <x:tableColumn id="21" name="Notes"/>
    <x:tableColumn id="22" name="Source URL"/>
    <x:tableColumn id="23" name="Odds Score"/>
    <x:tableColumn id="24" name="Distance Score"/>
    <x:tableColumn id="25" name="Youth Fit Score"/>
    <x:tableColumn id="26" name="Camping Score"/>
    <x:tableColumn id="27" name="Backpack Score"/>
    <x:tableColumn id="28" name="Past Draw Bonus"/>
    <x:tableColumn id="29" name="Hastings Score"/>
    <x:tableColumn id="30" name="Estimated Total If Drawn"/>
    <x:tableColumn id="31" name="Deadline Month"/>
  </x:tableColumns>
  <x:tableStyleInfo name="TableStyleMedium2" showRowStripes="1"/>
</x:table>
</file>

<file path=xl/tables/table9.xml><?xml version="1.0" encoding="utf-8"?>
<x:table xmlns:x="http://schemas.openxmlformats.org/spreadsheetml/2006/main" id="4" name="FeralHogTable" displayName="FeralHogTable" ref="A1:AE10" headerRowCount="1">
  <x:tableColumns count="31">
    <x:tableColumn id="1" name="Applied"/>
    <x:tableColumn id="2" name="Priority"/>
    <x:tableColumn id="3" name="Species Group"/>
    <x:tableColumn id="4" name="Hunt Area"/>
    <x:tableColumn id="5" name="Region"/>
    <x:tableColumn id="6" name="Hunt Category"/>
    <x:tableColumn id="7" name="Adult"/>
    <x:tableColumn id="8" name="Youth"/>
    <x:tableColumn id="9" name="Application Deadline"/>
    <x:tableColumn id="10" name="Hunt Window"/>
    <x:tableColumn id="11" name="Application Fee"/>
    <x:tableColumn id="12" name="Estimated Permit Fee"/>
    <x:tableColumn id="13" name="Permits/Groups"/>
    <x:tableColumn id="14" name="Applicants Last Year"/>
    <x:tableColumn id="15" name="Draw Odds"/>
    <x:tableColumn id="16" name="Approx Miles from Amarillo"/>
    <x:tableColumn id="17" name="Drive Zone"/>
    <x:tableColumn id="18" name="Camping Notes"/>
    <x:tableColumn id="19" name="Backpack Rating"/>
    <x:tableColumn id="20" name="Past Drawn by Hastings"/>
    <x:tableColumn id="21" name="Notes"/>
    <x:tableColumn id="22" name="Source URL"/>
    <x:tableColumn id="23" name="Odds Score"/>
    <x:tableColumn id="24" name="Distance Score"/>
    <x:tableColumn id="25" name="Youth Fit Score"/>
    <x:tableColumn id="26" name="Camping Score"/>
    <x:tableColumn id="27" name="Backpack Score"/>
    <x:tableColumn id="28" name="Past Draw Bonus"/>
    <x:tableColumn id="29" name="Hastings Score"/>
    <x:tableColumn id="30" name="Estimated Total If Drawn"/>
    <x:tableColumn id="31" name="Deadline Month"/>
  </x:tableColumns>
  <x:tableStyleInfo name="TableStyleMedium2" showRowStripes="1"/>
</x:table>
</file>

<file path=xl/tables/table10.xml><?xml version="1.0" encoding="utf-8"?>
<x:table xmlns:x="http://schemas.openxmlformats.org/spreadsheetml/2006/main" id="5" name="TurkeyTable" displayName="TurkeyTable" ref="A1:AE5" headerRowCount="1">
  <x:tableColumns count="31">
    <x:tableColumn id="1" name="Applied"/>
    <x:tableColumn id="2" name="Priority"/>
    <x:tableColumn id="3" name="Species Group"/>
    <x:tableColumn id="4" name="Hunt Area"/>
    <x:tableColumn id="5" name="Region"/>
    <x:tableColumn id="6" name="Hunt Category"/>
    <x:tableColumn id="7" name="Adult"/>
    <x:tableColumn id="8" name="Youth"/>
    <x:tableColumn id="9" name="Application Deadline"/>
    <x:tableColumn id="10" name="Hunt Window"/>
    <x:tableColumn id="11" name="Application Fee"/>
    <x:tableColumn id="12" name="Estimated Permit Fee"/>
    <x:tableColumn id="13" name="Permits/Groups"/>
    <x:tableColumn id="14" name="Applicants Last Year"/>
    <x:tableColumn id="15" name="Draw Odds"/>
    <x:tableColumn id="16" name="Approx Miles from Amarillo"/>
    <x:tableColumn id="17" name="Drive Zone"/>
    <x:tableColumn id="18" name="Camping Notes"/>
    <x:tableColumn id="19" name="Backpack Rating"/>
    <x:tableColumn id="20" name="Past Drawn by Hastings"/>
    <x:tableColumn id="21" name="Notes"/>
    <x:tableColumn id="22" name="Source URL"/>
    <x:tableColumn id="23" name="Odds Score"/>
    <x:tableColumn id="24" name="Distance Score"/>
    <x:tableColumn id="25" name="Youth Fit Score"/>
    <x:tableColumn id="26" name="Camping Score"/>
    <x:tableColumn id="27" name="Backpack Score"/>
    <x:tableColumn id="28" name="Past Draw Bonus"/>
    <x:tableColumn id="29" name="Hastings Score"/>
    <x:tableColumn id="30" name="Estimated Total If Drawn"/>
    <x:tableColumn id="31" name="Deadline Month"/>
  </x:tableColumns>
  <x:tableStyleInfo name="TableStyleMedium2" showRowStripes="1"/>
</x:table>
</file>

<file path=xl/tables/table11.xml><?xml version="1.0" encoding="utf-8"?>
<x:table xmlns:x="http://schemas.openxmlformats.org/spreadsheetml/2006/main" id="6" name="WaterfowlUplandTable" displayName="WaterfowlUplandTable" ref="A1:AE7" headerRowCount="1">
  <x:tableColumns count="31">
    <x:tableColumn id="1" name="Applied"/>
    <x:tableColumn id="2" name="Priority"/>
    <x:tableColumn id="3" name="Species Group"/>
    <x:tableColumn id="4" name="Hunt Area"/>
    <x:tableColumn id="5" name="Region"/>
    <x:tableColumn id="6" name="Hunt Category"/>
    <x:tableColumn id="7" name="Adult"/>
    <x:tableColumn id="8" name="Youth"/>
    <x:tableColumn id="9" name="Application Deadline"/>
    <x:tableColumn id="10" name="Hunt Window"/>
    <x:tableColumn id="11" name="Application Fee"/>
    <x:tableColumn id="12" name="Estimated Permit Fee"/>
    <x:tableColumn id="13" name="Permits/Groups"/>
    <x:tableColumn id="14" name="Applicants Last Year"/>
    <x:tableColumn id="15" name="Draw Odds"/>
    <x:tableColumn id="16" name="Approx Miles from Amarillo"/>
    <x:tableColumn id="17" name="Drive Zone"/>
    <x:tableColumn id="18" name="Camping Notes"/>
    <x:tableColumn id="19" name="Backpack Rating"/>
    <x:tableColumn id="20" name="Past Drawn by Hastings"/>
    <x:tableColumn id="21" name="Notes"/>
    <x:tableColumn id="22" name="Source URL"/>
    <x:tableColumn id="23" name="Odds Score"/>
    <x:tableColumn id="24" name="Distance Score"/>
    <x:tableColumn id="25" name="Youth Fit Score"/>
    <x:tableColumn id="26" name="Camping Score"/>
    <x:tableColumn id="27" name="Backpack Score"/>
    <x:tableColumn id="28" name="Past Draw Bonus"/>
    <x:tableColumn id="29" name="Hastings Score"/>
    <x:tableColumn id="30" name="Estimated Total If Drawn"/>
    <x:tableColumn id="31" name="Deadline Month"/>
  </x:tableColumns>
  <x:tableStyleInfo name="TableStyleMedium2" showRowStripes="1"/>
</x:table>
</file>

<file path=xl/tables/table12.xml><?xml version="1.0" encoding="utf-8"?>
<x:table xmlns:x="http://schemas.openxmlformats.org/spreadsheetml/2006/main" id="7" name="PronghornExoticsTable" displayName="PronghornExoticsTable" ref="A1:AE5" headerRowCount="1">
  <x:tableColumns count="31">
    <x:tableColumn id="1" name="Applied"/>
    <x:tableColumn id="2" name="Priority"/>
    <x:tableColumn id="3" name="Species Group"/>
    <x:tableColumn id="4" name="Hunt Area"/>
    <x:tableColumn id="5" name="Region"/>
    <x:tableColumn id="6" name="Hunt Category"/>
    <x:tableColumn id="7" name="Adult"/>
    <x:tableColumn id="8" name="Youth"/>
    <x:tableColumn id="9" name="Application Deadline"/>
    <x:tableColumn id="10" name="Hunt Window"/>
    <x:tableColumn id="11" name="Application Fee"/>
    <x:tableColumn id="12" name="Estimated Permit Fee"/>
    <x:tableColumn id="13" name="Permits/Groups"/>
    <x:tableColumn id="14" name="Applicants Last Year"/>
    <x:tableColumn id="15" name="Draw Odds"/>
    <x:tableColumn id="16" name="Approx Miles from Amarillo"/>
    <x:tableColumn id="17" name="Drive Zone"/>
    <x:tableColumn id="18" name="Camping Notes"/>
    <x:tableColumn id="19" name="Backpack Rating"/>
    <x:tableColumn id="20" name="Past Drawn by Hastings"/>
    <x:tableColumn id="21" name="Notes"/>
    <x:tableColumn id="22" name="Source URL"/>
    <x:tableColumn id="23" name="Odds Score"/>
    <x:tableColumn id="24" name="Distance Score"/>
    <x:tableColumn id="25" name="Youth Fit Score"/>
    <x:tableColumn id="26" name="Camping Score"/>
    <x:tableColumn id="27" name="Backpack Score"/>
    <x:tableColumn id="28" name="Past Draw Bonus"/>
    <x:tableColumn id="29" name="Hastings Score"/>
    <x:tableColumn id="30" name="Estimated Total If Drawn"/>
    <x:tableColumn id="31" name="Deadline Month"/>
  </x:tableColumns>
  <x:tableStyleInfo name="TableStyleMedium2" showRowStripes="1"/>
</x:table>
</file>

<file path=xl/tables/table13.xml><?xml version="1.0" encoding="utf-8"?>
<x:table xmlns:x="http://schemas.openxmlformats.org/spreadsheetml/2006/main" id="13" name="ApplicationDashboardTable" displayName="ApplicationDashboardTable" ref="A4:L57" headerRowCount="1">
  <x:tableColumns count="12">
    <x:tableColumn id="1" name="Next?"/>
    <x:tableColumn id="2" name="Deadline"/>
    <x:tableColumn id="3" name="Days Left"/>
    <x:tableColumn id="4" name="Species"/>
    <x:tableColumn id="5" name="Hunt Area"/>
    <x:tableColumn id="6" name="Category"/>
    <x:tableColumn id="7" name="Applicant(s)"/>
    <x:tableColumn id="8" name="Applied"/>
    <x:tableColumn id="9" name="Draw Status"/>
    <x:tableColumn id="10" name="Fee"/>
    <x:tableColumn id="11" name="Miles"/>
    <x:tableColumn id="12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2ba5b217a32c4ba3" /><Relationship Type="http://schemas.openxmlformats.org/officeDocument/2006/relationships/table" Target="/xl/tables/table1.xml" Id="R5fdab436c8ec402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a397a9a5bfc48e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72a186fa93642e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fd6801ac2cc418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e817ff5230642d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3b8ea2dc2124468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d08aae1cac2e493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6d133d949b17479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b36c501746e420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c04a90e28c984eb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0f8ed6df5fa3448e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c0e259918ce24ae2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3.xml" Id="R605cfa46ea77467c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8" hidden="0" customWidth="1"/>
    <x:col min="4" max="4" width="26" hidden="0" customWidth="1"/>
    <x:col min="5" max="5" width="18" hidden="0" customWidth="1"/>
    <x:col min="6" max="6" width="28" hidden="0" customWidth="1"/>
    <x:col min="7" max="7" width="9" hidden="0" customWidth="1"/>
    <x:col min="8" max="8" width="9" hidden="0" customWidth="1"/>
    <x:col min="9" max="9" width="14" hidden="0" customWidth="1"/>
    <x:col min="10" max="10" width="22" hidden="0" customWidth="1"/>
    <x:col min="11" max="11" width="14" hidden="0" customWidth="1"/>
    <x:col min="12" max="12" width="16" hidden="0" customWidth="1"/>
    <x:col min="13" max="13" width="13" hidden="0" customWidth="1"/>
    <x:col min="14" max="14" width="16" hidden="0" customWidth="1"/>
    <x:col min="15" max="15" width="12" hidden="0" customWidth="1"/>
    <x:col min="16" max="16" width="16" hidden="0" customWidth="1"/>
    <x:col min="17" max="17" width="12" hidden="0" customWidth="1"/>
    <x:col min="18" max="18" width="24" hidden="0" customWidth="1"/>
    <x:col min="19" max="19" width="14" hidden="0" customWidth="1"/>
    <x:col min="20" max="20" width="16" hidden="0" customWidth="1"/>
    <x:col min="21" max="21" width="42" hidden="0" customWidth="1"/>
    <x:col min="22" max="22" width="44" hidden="0" customWidth="1"/>
    <x:col min="23" max="23" width="11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4" hidden="0" customWidth="1"/>
    <x:col min="30" max="30" width="16" hidden="0" customWidth="1"/>
    <x:col min="31" max="31" width="14" hidden="0" customWidth="1"/>
  </x:cols>
  <x:sheetData>
    <x:row r="1" ht="28" customHeight="1">
      <x:c r="A1" s="15" t="str">
        <x:v>Hastings Family Texas Draw Planner 2026-2027 — Statewide V4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  <x:c r="AA1" s="9"/>
      <x:c r="AB1" s="9"/>
      <x:c r="AC1" s="9"/>
      <x:c r="AD1" s="9"/>
      <x:c r="AE1" s="9"/>
    </x:row>
    <x:row r="2">
      <x:c r="A2" s="4" t="str">
        <x:v>Statewide deer database added: use Master Hunt List to apply and track every verified TPWD deer opportunity.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</x:row>
    <x:row r="3">
      <x:c r="A3" s="7" t="str">
        <x:v>Metric</x:v>
      </x:c>
      <x:c r="B3" s="7" t="str">
        <x:v>Formula</x:v>
      </x:c>
      <x:c r="C3" s="7" t="str">
        <x:v>Value</x:v>
      </x:c>
      <x:c r="D3" s="7"/>
      <x:c r="E3" s="7" t="str">
        <x:v>Quick Links</x:v>
      </x:c>
      <x:c r="F3" s="7" t="str">
        <x:v>Sheet</x:v>
      </x:c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  <x:c r="AD3" s="4"/>
      <x:c r="AE3" s="4"/>
    </x:row>
    <x:row r="4">
      <x:c r="A4" s="4" t="str">
        <x:v>Total hunt/application rows</x:v>
      </x:c>
      <x:c r="B4" s="4" t="n">
        <x:f>COUNTA('Master Hunt List'!D:D)-1</x:f>
        <x:v>294</x:v>
      </x:c>
      <x:c r="C4" s="4" t="str"/>
      <x:c r="D4" s="4"/>
      <x:c r="E4" s="4" t="str">
        <x:v>Start here</x:v>
      </x:c>
      <x:c r="F4" s="4" t="str">
        <x:v>Best Bets</x:v>
      </x:c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  <x:c r="AA4" s="4"/>
      <x:c r="AB4" s="4"/>
      <x:c r="AC4" s="4"/>
      <x:c r="AD4" s="4"/>
      <x:c r="AE4" s="4"/>
    </x:row>
    <x:row r="5">
      <x:c r="A5" s="4" t="str">
        <x:v>Youth opportunities</x:v>
      </x:c>
      <x:c r="B5" s="4" t="n">
        <x:f>COUNTIF('Master Hunt List'!H:H,"Yes")</x:f>
        <x:v>283</x:v>
      </x:c>
      <x:c r="C5" s="4" t="str"/>
      <x:c r="D5" s="4"/>
      <x:c r="E5" s="4" t="str">
        <x:v>Full tracker</x:v>
      </x:c>
      <x:c r="F5" s="4" t="str">
        <x:v>Master Hunt List</x:v>
      </x:c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  <x:c r="AA5" s="4"/>
      <x:c r="AB5" s="4"/>
      <x:c r="AC5" s="4"/>
      <x:c r="AD5" s="4"/>
      <x:c r="AE5" s="4"/>
    </x:row>
    <x:row r="6">
      <x:c r="A6" s="4" t="str">
        <x:v>Core/DFW hunts &lt;=400 miles</x:v>
      </x:c>
      <x:c r="B6" s="4" t="n">
        <x:f>COUNTIFS('Master Hunt List'!P:P,"&lt;=400")</x:f>
        <x:v>79</x:v>
      </x:c>
      <x:c r="C6" s="4" t="str"/>
      <x:c r="D6" s="4"/>
      <x:c r="E6" s="4" t="str">
        <x:v>Youth only</x:v>
      </x:c>
      <x:c r="F6" s="4" t="str">
        <x:v>Youth Priority</x:v>
      </x:c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  <x:c r="AA6" s="4"/>
      <x:c r="AB6" s="4"/>
      <x:c r="AC6" s="4"/>
      <x:c r="AD6" s="4"/>
      <x:c r="AE6" s="4"/>
    </x:row>
    <x:row r="7">
      <x:c r="A7" s="4" t="str">
        <x:v>Stretch hunts &gt;400 miles</x:v>
      </x:c>
      <x:c r="B7" s="4" t="n">
        <x:f>COUNTIFS('Master Hunt List'!P:P,"&gt;400")</x:f>
        <x:v>215</x:v>
      </x:c>
      <x:c r="C7" s="4" t="str"/>
      <x:c r="D7" s="4"/>
      <x:c r="E7" s="4" t="str">
        <x:v>Calendar</x:v>
      </x:c>
      <x:c r="F7" s="4" t="str">
        <x:v>Application Calendar</x:v>
      </x:c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  <x:c r="AB7" s="4"/>
      <x:c r="AC7" s="4"/>
      <x:c r="AD7" s="4"/>
      <x:c r="AE7" s="4"/>
    </x:row>
    <x:row r="8">
      <x:c r="A8" s="4" t="str">
        <x:v>Applied rows marked Yes</x:v>
      </x:c>
      <x:c r="B8" s="4" t="n">
        <x:f>COUNTIF('Master Hunt List'!A:A,"Yes")</x:f>
        <x:v>0</x:v>
      </x:c>
      <x:c r="C8" s="4" t="str"/>
      <x:c r="D8" s="4"/>
      <x:c r="E8" s="4" t="str">
        <x:v>Budget</x:v>
      </x:c>
      <x:c r="F8" s="4" t="str">
        <x:v>Budget Planner</x:v>
      </x:c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  <x:c r="AA8" s="4"/>
      <x:c r="AB8" s="4"/>
      <x:c r="AC8" s="4"/>
      <x:c r="AD8" s="4"/>
      <x:c r="AE8" s="4"/>
    </x:row>
    <x:row r="9">
      <x:c r="A9" s="4" t="str">
        <x:v>Application fees marked Yes</x:v>
      </x:c>
      <x:c r="B9" s="4" t="n">
        <x:f>SUMIF('Master Hunt List'!A:A,"Yes",'Master Hunt List'!K:K)</x:f>
        <x:v>0</x:v>
      </x:c>
      <x:c r="C9" s="4" t="str"/>
      <x:c r="D9" s="4"/>
      <x:c r="E9" s="4" t="str">
        <x:v>Draw odds</x:v>
      </x:c>
      <x:c r="F9" s="4" t="str">
        <x:v>Draw Odds</x:v>
      </x:c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  <x:c r="AA9" s="4"/>
      <x:c r="AB9" s="4"/>
      <x:c r="AC9" s="4"/>
      <x:c r="AD9" s="4"/>
      <x:c r="AE9" s="4"/>
    </x:row>
    <x:row r="10">
      <x:c r="A10" s="4" t="str">
        <x:v>Top recommendation</x:v>
      </x:c>
      <x:c r="B10" s="4" t="str">
        <x:f>INDEX('Best Bets'!F:F,2)</x:f>
        <x:v>Caprock Canyons SP</x:v>
      </x:c>
      <x:c r="C10" s="4" t="str"/>
      <x:c r="D10" s="4"/>
      <x:c r="E10" s="4" t="str">
        <x:v>History</x:v>
      </x:c>
      <x:c r="F10" s="4" t="str">
        <x:v>Hastings Hunt History</x:v>
      </x:c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  <x:c r="AA10" s="4"/>
      <x:c r="AB10" s="4"/>
      <x:c r="AC10" s="4"/>
      <x:c r="AD10" s="4"/>
      <x:c r="AE10" s="4"/>
    </x:row>
    <x:row r="11">
      <x:c r="A11" s="4" t="str"/>
      <x:c r="B11" s="4"/>
      <x:c r="C11" s="4"/>
      <x:c r="D11" s="4"/>
      <x:c r="E11" s="52" t="str">
        <x:v>Applications</x:v>
      </x:c>
      <x:c r="F11" s="52" t="str">
        <x:v>Application Dashboard</x:v>
      </x:c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  <x:c r="AA11" s="4"/>
      <x:c r="AB11" s="4"/>
      <x:c r="AC11" s="4"/>
      <x:c r="AD11" s="4"/>
      <x:c r="AE11" s="4"/>
    </x:row>
    <x:row r="12">
      <x:c r="A12" s="19" t="str">
        <x:v>How to use</x:v>
      </x:c>
      <x:c r="B12" s="19"/>
      <x:c r="C12" s="19"/>
      <x:c r="D12" s="19"/>
      <x:c r="E12" s="19"/>
      <x:c r="F12" s="19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  <x:c r="AA12" s="4"/>
      <x:c r="AB12" s="4"/>
      <x:c r="AC12" s="4"/>
      <x:c r="AD12" s="4"/>
      <x:c r="AE12" s="4"/>
    </x:row>
    <x:row r="13">
      <x:c r="A13" s="4" t="str">
        <x:v>1. Review Best Bets and Youth Priority.</x:v>
      </x:c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  <x:c r="AA13" s="4"/>
      <x:c r="AB13" s="4"/>
      <x:c r="AC13" s="4"/>
      <x:c r="AD13" s="4"/>
      <x:c r="AE13" s="4"/>
    </x:row>
    <x:row r="14">
      <x:c r="A14" s="4" t="str">
        <x:v>2. In Master Hunt List, change Applied from No to Yes as you submit.</x:v>
      </x:c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  <x:c r="AA14" s="4"/>
      <x:c r="AB14" s="4"/>
      <x:c r="AC14" s="4"/>
      <x:c r="AD14" s="4"/>
      <x:c r="AE14" s="4"/>
    </x:row>
    <x:row r="15">
      <x:c r="A15" s="4" t="str">
        <x:v>3. Watch Budget Planner update from the Applied column.</x:v>
      </x:c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  <x:c r="AA15" s="4"/>
      <x:c r="AB15" s="4"/>
      <x:c r="AC15" s="4"/>
      <x:c r="AD15" s="4"/>
      <x:c r="AE15" s="4"/>
    </x:row>
    <x:row r="16">
      <x:c r="A16" s="4" t="str">
        <x:v>4. After results, add Drawn/Harvest notes in Hunt History.</x:v>
      </x:c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  <x:c r="AA16" s="4"/>
      <x:c r="AB16" s="4"/>
      <x:c r="AC16" s="4"/>
      <x:c r="AD16" s="4"/>
      <x:c r="AE16" s="4"/>
    </x:row>
    <x:row r="17">
      <x:c r="A17" s="4" t="str">
        <x:v>New Application Workflow</x:v>
      </x:c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/>
      <x:c r="AB17" s="4"/>
      <x:c r="AC17" s="4"/>
      <x:c r="AD17" s="4"/>
      <x:c r="AE17" s="4"/>
    </x:row>
    <x:row r="18">
      <x:c r="A18" s="4" t="str">
        <x:v>1. Work from Application Dashboard or Best Bets.</x:v>
      </x:c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  <x:c r="AA18" s="4"/>
      <x:c r="AB18" s="4"/>
      <x:c r="AC18" s="4"/>
      <x:c r="AD18" s="4"/>
      <x:c r="AE18" s="4"/>
    </x:row>
    <x:row r="19">
      <x:c r="A19" s="4" t="str">
        <x:v>2. After submitting on TPWD, update Master Hunt List: Applied, Applicant(s), Date Applied, Confirmation #.</x:v>
      </x:c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</x:row>
    <x:row r="20">
      <x:c r="A20" s="4" t="str">
        <x:v>3. When results post, update Draw Status in Master Hunt List.</x:v>
      </x:c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  <x:c r="AA20" s="4"/>
      <x:c r="AB20" s="4"/>
      <x:c r="AC20" s="4"/>
      <x:c r="AD20" s="4"/>
      <x:c r="AE20" s="4"/>
    </x:row>
    <x:row r="21">
      <x:c r="A21" s="4" t="str">
        <x:v>4. After a hunt, fill Harvest/Outcome and Post-Hunt Notes.</x:v>
      </x:c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  <x:c r="AA21" s="4"/>
      <x:c r="AB21" s="4"/>
      <x:c r="AC21" s="4"/>
      <x:c r="AD21" s="4"/>
      <x:c r="AE21" s="4"/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  <x:c r="AA22" s="4"/>
      <x:c r="AB22" s="4"/>
      <x:c r="AC22" s="4"/>
      <x:c r="AD22" s="4"/>
      <x:c r="AE22" s="4"/>
    </x:row>
    <x:row r="23">
      <x:c r="A23" s="4" t="str">
        <x:v>New sheet added</x:v>
      </x:c>
      <x:c r="B23" s="4" t="str">
        <x:v>Application Dashboard</x:v>
      </x:c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  <x:c r="AA23" s="4"/>
      <x:c r="AB23" s="4"/>
      <x:c r="AC23" s="4"/>
      <x:c r="AD23" s="4"/>
      <x:c r="AE23" s="4"/>
    </x:row>
    <x:row r="24">
      <x:c r="A24" s="4" t="str">
        <x:v>New master fields</x:v>
      </x:c>
      <x:c r="B24" s="4" t="str">
        <x:v>Applicant(s), Date Applied, Confirmation #, Draw Status, Result Date, Harvest/Outcome, Post-Hunt Notes</x:v>
      </x:c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  <x:c r="AA24" s="4"/>
      <x:c r="AB24" s="4"/>
      <x:c r="AC24" s="4"/>
      <x:c r="AD24" s="4"/>
      <x:c r="AE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  <x:c r="AA25" s="4"/>
      <x:c r="AB25" s="4"/>
      <x:c r="AC25" s="4"/>
      <x:c r="AD25" s="4"/>
      <x:c r="AE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  <x:c r="AA26" s="4"/>
      <x:c r="AB26" s="4"/>
      <x:c r="AC26" s="4"/>
      <x:c r="AD26" s="4"/>
      <x:c r="AE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  <x:c r="AA27" s="4"/>
      <x:c r="AB27" s="4"/>
      <x:c r="AC27" s="4"/>
      <x:c r="AD27" s="4"/>
      <x:c r="AE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  <x:c r="AA28" s="4"/>
      <x:c r="AB28" s="4"/>
      <x:c r="AC28" s="4"/>
      <x:c r="AD28" s="4"/>
      <x:c r="AE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  <x:c r="AA29" s="4"/>
      <x:c r="AB29" s="4"/>
      <x:c r="AC29" s="4"/>
      <x:c r="AD29" s="4"/>
      <x:c r="AE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  <x:c r="AA30" s="4"/>
      <x:c r="AB30" s="4"/>
      <x:c r="AC30" s="4"/>
      <x:c r="AD30" s="4"/>
      <x:c r="AE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  <x:c r="AA31" s="4"/>
      <x:c r="AB31" s="4"/>
      <x:c r="AC31" s="4"/>
      <x:c r="AD31" s="4"/>
      <x:c r="AE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  <x:c r="AA32" s="4"/>
      <x:c r="AB32" s="4"/>
      <x:c r="AC32" s="4"/>
      <x:c r="AD32" s="4"/>
      <x:c r="AE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  <x:c r="AA33" s="4"/>
      <x:c r="AB33" s="4"/>
      <x:c r="AC33" s="4"/>
      <x:c r="AD33" s="4"/>
      <x:c r="AE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  <x:c r="AA34" s="4"/>
      <x:c r="AB34" s="4"/>
      <x:c r="AC34" s="4"/>
      <x:c r="AD34" s="4"/>
      <x:c r="AE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  <x:c r="AA35" s="4"/>
      <x:c r="AB35" s="4"/>
      <x:c r="AC35" s="4"/>
      <x:c r="AD35" s="4"/>
      <x:c r="AE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  <x:c r="AA36" s="4"/>
      <x:c r="AB36" s="4"/>
      <x:c r="AC36" s="4"/>
      <x:c r="AD36" s="4"/>
      <x:c r="AE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  <x:c r="AA37" s="4"/>
      <x:c r="AB37" s="4"/>
      <x:c r="AC37" s="4"/>
      <x:c r="AD37" s="4"/>
      <x:c r="AE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  <x:c r="AA39" s="4"/>
      <x:c r="AB39" s="4"/>
      <x:c r="AC39" s="4"/>
      <x:c r="AD39" s="4"/>
      <x:c r="AE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  <x:c r="AA40" s="4"/>
      <x:c r="AB40" s="4"/>
      <x:c r="AC40" s="4"/>
      <x:c r="AD40" s="4"/>
      <x:c r="AE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  <x:c r="AA41" s="4"/>
      <x:c r="AB41" s="4"/>
      <x:c r="AC41" s="4"/>
      <x:c r="AD41" s="4"/>
      <x:c r="AE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  <x:c r="AA42" s="4"/>
      <x:c r="AB42" s="4"/>
      <x:c r="AC42" s="4"/>
      <x:c r="AD42" s="4"/>
      <x:c r="AE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  <x:c r="AA43" s="4"/>
      <x:c r="AB43" s="4"/>
      <x:c r="AC43" s="4"/>
      <x:c r="AD43" s="4"/>
      <x:c r="AE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  <x:c r="AA44" s="4"/>
      <x:c r="AB44" s="4"/>
      <x:c r="AC44" s="4"/>
      <x:c r="AD44" s="4"/>
      <x:c r="AE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  <x:c r="AA45" s="4"/>
      <x:c r="AB45" s="4"/>
      <x:c r="AC45" s="4"/>
      <x:c r="AD45" s="4"/>
      <x:c r="AE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  <x:c r="AA46" s="4"/>
      <x:c r="AB46" s="4"/>
      <x:c r="AC46" s="4"/>
      <x:c r="AD46" s="4"/>
      <x:c r="AE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  <x:c r="AA47" s="4"/>
      <x:c r="AB47" s="4"/>
      <x:c r="AC47" s="4"/>
      <x:c r="AD47" s="4"/>
      <x:c r="AE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  <x:c r="AA48" s="4"/>
      <x:c r="AB48" s="4"/>
      <x:c r="AC48" s="4"/>
      <x:c r="AD48" s="4"/>
      <x:c r="AE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  <x:c r="AA49" s="4"/>
      <x:c r="AB49" s="4"/>
      <x:c r="AC49" s="4"/>
      <x:c r="AD49" s="4"/>
      <x:c r="AE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  <x:c r="AA50" s="4"/>
      <x:c r="AB50" s="4"/>
      <x:c r="AC50" s="4"/>
      <x:c r="AD50" s="4"/>
      <x:c r="AE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  <x:c r="AA51" s="4"/>
      <x:c r="AB51" s="4"/>
      <x:c r="AC51" s="4"/>
      <x:c r="AD51" s="4"/>
      <x:c r="AE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  <x:c r="AA52" s="4"/>
      <x:c r="AB52" s="4"/>
      <x:c r="AC52" s="4"/>
      <x:c r="AD52" s="4"/>
      <x:c r="AE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  <x:c r="AA53" s="4"/>
      <x:c r="AB53" s="4"/>
      <x:c r="AC53" s="4"/>
      <x:c r="AD53" s="4"/>
      <x:c r="AE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  <x:c r="AA54" s="4"/>
      <x:c r="AB54" s="4"/>
      <x:c r="AC54" s="4"/>
      <x:c r="AD54" s="4"/>
      <x:c r="AE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  <x:c r="AA55" s="4"/>
      <x:c r="AB55" s="4"/>
      <x:c r="AC55" s="4"/>
      <x:c r="AD55" s="4"/>
      <x:c r="AE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  <x:c r="AA56" s="4"/>
      <x:c r="AB56" s="4"/>
      <x:c r="AC56" s="4"/>
      <x:c r="AD56" s="4"/>
      <x:c r="AE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  <x:c r="AA58" s="4"/>
      <x:c r="AB58" s="4"/>
      <x:c r="AC58" s="4"/>
      <x:c r="AD58" s="4"/>
      <x:c r="AE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  <x:c r="AA59" s="4"/>
      <x:c r="AB59" s="4"/>
      <x:c r="AC59" s="4"/>
      <x:c r="AD59" s="4"/>
      <x:c r="AE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  <x:c r="AA60" s="4"/>
      <x:c r="AB60" s="4"/>
      <x:c r="AC60" s="4"/>
      <x:c r="AD60" s="4"/>
      <x:c r="AE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  <x:c r="AA61" s="4"/>
      <x:c r="AB61" s="4"/>
      <x:c r="AC61" s="4"/>
      <x:c r="AD61" s="4"/>
      <x:c r="AE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  <x:c r="AA62" s="4"/>
      <x:c r="AB62" s="4"/>
      <x:c r="AC62" s="4"/>
      <x:c r="AD62" s="4"/>
      <x:c r="AE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  <x:c r="AA63" s="4"/>
      <x:c r="AB63" s="4"/>
      <x:c r="AC63" s="4"/>
      <x:c r="AD63" s="4"/>
      <x:c r="AE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  <x:c r="AA64" s="4"/>
      <x:c r="AB64" s="4"/>
      <x:c r="AC64" s="4"/>
      <x:c r="AD64" s="4"/>
      <x:c r="AE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  <x:c r="AA65" s="4"/>
      <x:c r="AB65" s="4"/>
      <x:c r="AC65" s="4"/>
      <x:c r="AD65" s="4"/>
      <x:c r="AE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  <x:c r="AA66" s="4"/>
      <x:c r="AB66" s="4"/>
      <x:c r="AC66" s="4"/>
      <x:c r="AD66" s="4"/>
      <x:c r="AE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  <x:c r="AA67" s="4"/>
      <x:c r="AB67" s="4"/>
      <x:c r="AC67" s="4"/>
      <x:c r="AD67" s="4"/>
      <x:c r="AE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s="4"/>
      <x:c r="AB68" s="4"/>
      <x:c r="AC68" s="4"/>
      <x:c r="AD68" s="4"/>
      <x:c r="AE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  <x:c r="AA69" s="4"/>
      <x:c r="AB69" s="4"/>
      <x:c r="AC69" s="4"/>
      <x:c r="AD69" s="4"/>
      <x:c r="AE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  <x:c r="AA70" s="4"/>
      <x:c r="AB70" s="4"/>
      <x:c r="AC70" s="4"/>
      <x:c r="AD70" s="4"/>
      <x:c r="AE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  <x:c r="AA71" s="4"/>
      <x:c r="AB71" s="4"/>
      <x:c r="AC71" s="4"/>
      <x:c r="AD71" s="4"/>
      <x:c r="AE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  <x:c r="AA72" s="4"/>
      <x:c r="AB72" s="4"/>
      <x:c r="AC72" s="4"/>
      <x:c r="AD72" s="4"/>
      <x:c r="AE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  <x:c r="AA73" s="4"/>
      <x:c r="AB73" s="4"/>
      <x:c r="AC73" s="4"/>
      <x:c r="AD73" s="4"/>
      <x:c r="AE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  <x:c r="AA74" s="4"/>
      <x:c r="AB74" s="4"/>
      <x:c r="AC74" s="4"/>
      <x:c r="AD74" s="4"/>
      <x:c r="AE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  <x:c r="AA75" s="4"/>
      <x:c r="AB75" s="4"/>
      <x:c r="AC75" s="4"/>
      <x:c r="AD75" s="4"/>
      <x:c r="AE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  <x:c r="AA77" s="4"/>
      <x:c r="AB77" s="4"/>
      <x:c r="AC77" s="4"/>
      <x:c r="AD77" s="4"/>
      <x:c r="AE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  <x:c r="AA78" s="4"/>
      <x:c r="AB78" s="4"/>
      <x:c r="AC78" s="4"/>
      <x:c r="AD78" s="4"/>
      <x:c r="AE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  <x:c r="AA79" s="4"/>
      <x:c r="AB79" s="4"/>
      <x:c r="AC79" s="4"/>
      <x:c r="AD79" s="4"/>
      <x:c r="AE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  <x:c r="AA80" s="4"/>
      <x:c r="AB80" s="4"/>
      <x:c r="AC80" s="4"/>
      <x:c r="AD80" s="4"/>
      <x:c r="AE80" s="4"/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  <x:c r="AA81" s="4"/>
      <x:c r="AB81" s="4"/>
      <x:c r="AC81" s="4"/>
      <x:c r="AD81" s="4"/>
      <x:c r="AE81" s="4"/>
    </x:row>
    <x:row r="82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  <x:c r="AA82" s="4"/>
      <x:c r="AB82" s="4"/>
      <x:c r="AC82" s="4"/>
      <x:c r="AD82" s="4"/>
      <x:c r="AE82" s="4"/>
    </x:row>
    <x:row r="83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  <x:c r="AA83" s="4"/>
      <x:c r="AB83" s="4"/>
      <x:c r="AC83" s="4"/>
      <x:c r="AD83" s="4"/>
      <x:c r="AE83" s="4"/>
    </x:row>
    <x:row r="84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  <x:c r="AA84" s="4"/>
      <x:c r="AB84" s="4"/>
      <x:c r="AC84" s="4"/>
      <x:c r="AD84" s="4"/>
      <x:c r="AE84" s="4"/>
    </x:row>
    <x:row r="85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  <x:c r="AA85" s="4"/>
      <x:c r="AB85" s="4"/>
      <x:c r="AC85" s="4"/>
      <x:c r="AD85" s="4"/>
      <x:c r="AE85" s="4"/>
    </x:row>
    <x:row r="86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  <x:c r="AA86" s="4"/>
      <x:c r="AB86" s="4"/>
      <x:c r="AC86" s="4"/>
      <x:c r="AD86" s="4"/>
      <x:c r="AE86" s="4"/>
    </x:row>
    <x:row r="87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  <x:c r="AA87" s="4"/>
      <x:c r="AB87" s="4"/>
      <x:c r="AC87" s="4"/>
      <x:c r="AD87" s="4"/>
      <x:c r="AE87" s="4"/>
    </x:row>
    <x:row r="88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  <x:c r="AA88" s="4"/>
      <x:c r="AB88" s="4"/>
      <x:c r="AC88" s="4"/>
      <x:c r="AD88" s="4"/>
      <x:c r="AE88" s="4"/>
    </x:row>
    <x:row r="89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  <x:c r="AA89" s="4"/>
      <x:c r="AB89" s="4"/>
      <x:c r="AC89" s="4"/>
      <x:c r="AD89" s="4"/>
      <x:c r="AE89" s="4"/>
    </x:row>
    <x:row r="90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  <x:c r="AA90" s="4"/>
      <x:c r="AB90" s="4"/>
      <x:c r="AC90" s="4"/>
      <x:c r="AD90" s="4"/>
      <x:c r="AE90" s="4"/>
    </x:row>
    <x:row r="9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  <x:c r="AA91" s="4"/>
      <x:c r="AB91" s="4"/>
      <x:c r="AC91" s="4"/>
      <x:c r="AD91" s="4"/>
      <x:c r="AE91" s="4"/>
    </x:row>
    <x:row r="92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  <x:c r="AA92" s="4"/>
      <x:c r="AB92" s="4"/>
      <x:c r="AC92" s="4"/>
      <x:c r="AD92" s="4"/>
      <x:c r="AE92" s="4"/>
    </x:row>
    <x:row r="93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  <x:c r="AA93" s="4"/>
      <x:c r="AB93" s="4"/>
      <x:c r="AC93" s="4"/>
      <x:c r="AD93" s="4"/>
      <x:c r="AE93" s="4"/>
    </x:row>
    <x:row r="94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  <x:c r="AA94" s="4"/>
      <x:c r="AB94" s="4"/>
      <x:c r="AC94" s="4"/>
      <x:c r="AD94" s="4"/>
      <x:c r="AE94" s="4"/>
    </x:row>
    <x:row r="95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  <x:c r="AA96" s="4"/>
      <x:c r="AB96" s="4"/>
      <x:c r="AC96" s="4"/>
      <x:c r="AD96" s="4"/>
      <x:c r="AE96" s="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  <x:c r="AA97" s="4"/>
      <x:c r="AB97" s="4"/>
      <x:c r="AC97" s="4"/>
      <x:c r="AD97" s="4"/>
      <x:c r="AE97" s="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  <x:c r="AA98" s="4"/>
      <x:c r="AB98" s="4"/>
      <x:c r="AC98" s="4"/>
      <x:c r="AD98" s="4"/>
      <x:c r="AE98" s="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  <x:c r="AA99" s="4"/>
      <x:c r="AB99" s="4"/>
      <x:c r="AC99" s="4"/>
      <x:c r="AD99" s="4"/>
      <x:c r="AE99" s="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  <x:c r="AA100" s="4"/>
      <x:c r="AB100" s="4"/>
      <x:c r="AC100" s="4"/>
      <x:c r="AD100" s="4"/>
      <x:c r="AE100" s="4"/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  <x:c r="AA101" s="4"/>
      <x:c r="AB101" s="4"/>
      <x:c r="AC101" s="4"/>
      <x:c r="AD101" s="4"/>
      <x:c r="AE101" s="4"/>
    </x:row>
    <x:row r="102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  <x:c r="AA102" s="4"/>
      <x:c r="AB102" s="4"/>
      <x:c r="AC102" s="4"/>
      <x:c r="AD102" s="4"/>
      <x:c r="AE102" s="4"/>
    </x:row>
    <x:row r="103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  <x:c r="AA103" s="4"/>
      <x:c r="AB103" s="4"/>
      <x:c r="AC103" s="4"/>
      <x:c r="AD103" s="4"/>
      <x:c r="AE103" s="4"/>
    </x:row>
    <x:row r="104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  <x:c r="AA104" s="4"/>
      <x:c r="AB104" s="4"/>
      <x:c r="AC104" s="4"/>
      <x:c r="AD104" s="4"/>
      <x:c r="AE104" s="4"/>
    </x:row>
    <x:row r="105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  <x:c r="AA105" s="4"/>
      <x:c r="AB105" s="4"/>
      <x:c r="AC105" s="4"/>
      <x:c r="AD105" s="4"/>
      <x:c r="AE105" s="4"/>
    </x:row>
    <x:row r="106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  <x:c r="AA106" s="4"/>
      <x:c r="AB106" s="4"/>
      <x:c r="AC106" s="4"/>
      <x:c r="AD106" s="4"/>
      <x:c r="AE106" s="4"/>
    </x:row>
    <x:row r="107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  <x:c r="AA107" s="4"/>
      <x:c r="AB107" s="4"/>
      <x:c r="AC107" s="4"/>
      <x:c r="AD107" s="4"/>
      <x:c r="AE107" s="4"/>
    </x:row>
    <x:row r="108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  <x:c r="AA108" s="4"/>
      <x:c r="AB108" s="4"/>
      <x:c r="AC108" s="4"/>
      <x:c r="AD108" s="4"/>
      <x:c r="AE108" s="4"/>
    </x:row>
    <x:row r="109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  <x:c r="AA109" s="4"/>
      <x:c r="AB109" s="4"/>
      <x:c r="AC109" s="4"/>
      <x:c r="AD109" s="4"/>
      <x:c r="AE109" s="4"/>
    </x:row>
    <x:row r="110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  <x:c r="AA110" s="4"/>
      <x:c r="AB110" s="4"/>
      <x:c r="AC110" s="4"/>
      <x:c r="AD110" s="4"/>
      <x:c r="AE110" s="4"/>
    </x:row>
    <x:row r="11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  <x:c r="AA111" s="4"/>
      <x:c r="AB111" s="4"/>
      <x:c r="AC111" s="4"/>
      <x:c r="AD111" s="4"/>
      <x:c r="AE111" s="4"/>
    </x:row>
    <x:row r="112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  <x:c r="AA112" s="4"/>
      <x:c r="AB112" s="4"/>
      <x:c r="AC112" s="4"/>
      <x:c r="AD112" s="4"/>
      <x:c r="AE112" s="4"/>
    </x:row>
    <x:row r="113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  <x:c r="AA113" s="4"/>
      <x:c r="AB113" s="4"/>
      <x:c r="AC113" s="4"/>
      <x:c r="AD113" s="4"/>
      <x:c r="AE113" s="4"/>
    </x:row>
    <x:row r="114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  <x:c r="AA114" s="4"/>
      <x:c r="AB114" s="4"/>
      <x:c r="AC114" s="4"/>
      <x:c r="AD114" s="4"/>
      <x:c r="AE114" s="4"/>
    </x:row>
    <x:row r="115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  <x:c r="AA115" s="4"/>
      <x:c r="AB115" s="4"/>
      <x:c r="AC115" s="4"/>
      <x:c r="AD115" s="4"/>
      <x:c r="AE115" s="4"/>
    </x:row>
    <x:row r="116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  <x:c r="AA116" s="4"/>
      <x:c r="AB116" s="4"/>
      <x:c r="AC116" s="4"/>
      <x:c r="AD116" s="4"/>
      <x:c r="AE116" s="4"/>
    </x:row>
    <x:row r="117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  <x:c r="AA117" s="4"/>
      <x:c r="AB117" s="4"/>
      <x:c r="AC117" s="4"/>
      <x:c r="AD117" s="4"/>
      <x:c r="AE117" s="4"/>
    </x:row>
    <x:row r="118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  <x:c r="AA118" s="4"/>
      <x:c r="AB118" s="4"/>
      <x:c r="AC118" s="4"/>
      <x:c r="AD118" s="4"/>
      <x:c r="AE118" s="4"/>
    </x:row>
    <x:row r="119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  <x:c r="AA119" s="4"/>
      <x:c r="AB119" s="4"/>
      <x:c r="AC119" s="4"/>
      <x:c r="AD119" s="4"/>
      <x:c r="AE119" s="4"/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  <x:c r="AA120" s="4"/>
      <x:c r="AB120" s="4"/>
      <x:c r="AC120" s="4"/>
      <x:c r="AD120" s="4"/>
      <x:c r="AE120" s="4"/>
    </x:row>
    <x:row r="12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  <x:c r="AA121" s="4"/>
      <x:c r="AB121" s="4"/>
      <x:c r="AC121" s="4"/>
      <x:c r="AD121" s="4"/>
      <x:c r="AE121" s="4"/>
    </x:row>
    <x:row r="122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  <x:c r="AA122" s="4"/>
      <x:c r="AB122" s="4"/>
      <x:c r="AC122" s="4"/>
      <x:c r="AD122" s="4"/>
      <x:c r="AE122" s="4"/>
    </x:row>
    <x:row r="123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  <x:c r="AA123" s="4"/>
      <x:c r="AB123" s="4"/>
      <x:c r="AC123" s="4"/>
      <x:c r="AD123" s="4"/>
      <x:c r="AE123" s="4"/>
    </x:row>
    <x:row r="124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  <x:c r="AA124" s="4"/>
      <x:c r="AB124" s="4"/>
      <x:c r="AC124" s="4"/>
      <x:c r="AD124" s="4"/>
      <x:c r="AE124" s="4"/>
    </x:row>
    <x:row r="125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  <x:c r="AA125" s="4"/>
      <x:c r="AB125" s="4"/>
      <x:c r="AC125" s="4"/>
      <x:c r="AD125" s="4"/>
      <x:c r="AE125" s="4"/>
    </x:row>
    <x:row r="126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  <x:c r="AA126" s="4"/>
      <x:c r="AB126" s="4"/>
      <x:c r="AC126" s="4"/>
      <x:c r="AD126" s="4"/>
      <x:c r="AE126" s="4"/>
    </x:row>
    <x:row r="127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  <x:c r="AA127" s="4"/>
      <x:c r="AB127" s="4"/>
      <x:c r="AC127" s="4"/>
      <x:c r="AD127" s="4"/>
      <x:c r="AE127" s="4"/>
    </x:row>
    <x:row r="128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  <x:c r="AA128" s="4"/>
      <x:c r="AB128" s="4"/>
      <x:c r="AC128" s="4"/>
      <x:c r="AD128" s="4"/>
      <x:c r="AE128" s="4"/>
    </x:row>
    <x:row r="129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  <x:c r="AA129" s="4"/>
      <x:c r="AB129" s="4"/>
      <x:c r="AC129" s="4"/>
      <x:c r="AD129" s="4"/>
      <x:c r="AE129" s="4"/>
    </x:row>
    <x:row r="130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  <x:c r="AA130" s="4"/>
      <x:c r="AB130" s="4"/>
      <x:c r="AC130" s="4"/>
      <x:c r="AD130" s="4"/>
      <x:c r="AE130" s="4"/>
    </x:row>
    <x:row r="13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  <x:c r="AA131" s="4"/>
      <x:c r="AB131" s="4"/>
      <x:c r="AC131" s="4"/>
      <x:c r="AD131" s="4"/>
      <x:c r="AE131" s="4"/>
    </x:row>
    <x:row r="132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  <x:c r="AA132" s="4"/>
      <x:c r="AB132" s="4"/>
      <x:c r="AC132" s="4"/>
      <x:c r="AD132" s="4"/>
      <x:c r="AE132" s="4"/>
    </x:row>
    <x:row r="133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  <x:c r="AA133" s="4"/>
      <x:c r="AB133" s="4"/>
      <x:c r="AC133" s="4"/>
      <x:c r="AD133" s="4"/>
      <x:c r="AE133" s="4"/>
    </x:row>
    <x:row r="134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  <x:c r="AA134" s="4"/>
      <x:c r="AB134" s="4"/>
      <x:c r="AC134" s="4"/>
      <x:c r="AD134" s="4"/>
      <x:c r="AE134" s="4"/>
    </x:row>
    <x:row r="135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  <x:c r="AA135" s="4"/>
      <x:c r="AB135" s="4"/>
      <x:c r="AC135" s="4"/>
      <x:c r="AD135" s="4"/>
      <x:c r="AE135" s="4"/>
    </x:row>
    <x:row r="136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  <x:c r="AA136" s="4"/>
      <x:c r="AB136" s="4"/>
      <x:c r="AC136" s="4"/>
      <x:c r="AD136" s="4"/>
      <x:c r="AE136" s="4"/>
    </x:row>
    <x:row r="137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  <x:c r="AA137" s="4"/>
      <x:c r="AB137" s="4"/>
      <x:c r="AC137" s="4"/>
      <x:c r="AD137" s="4"/>
      <x:c r="AE137" s="4"/>
    </x:row>
    <x:row r="138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  <x:c r="AA138" s="4"/>
      <x:c r="AB138" s="4"/>
      <x:c r="AC138" s="4"/>
      <x:c r="AD138" s="4"/>
      <x:c r="AE138" s="4"/>
    </x:row>
    <x:row r="139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  <x:c r="AA139" s="4"/>
      <x:c r="AB139" s="4"/>
      <x:c r="AC139" s="4"/>
      <x:c r="AD139" s="4"/>
      <x:c r="AE139" s="4"/>
    </x:row>
    <x:row r="140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  <x:c r="AA140" s="4"/>
      <x:c r="AB140" s="4"/>
      <x:c r="AC140" s="4"/>
      <x:c r="AD140" s="4"/>
      <x:c r="AE140" s="4"/>
    </x:row>
    <x:row r="14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  <x:c r="AA141" s="4"/>
      <x:c r="AB141" s="4"/>
      <x:c r="AC141" s="4"/>
      <x:c r="AD141" s="4"/>
      <x:c r="AE141" s="4"/>
    </x:row>
    <x:row r="142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  <x:c r="AA142" s="4"/>
      <x:c r="AB142" s="4"/>
      <x:c r="AC142" s="4"/>
      <x:c r="AD142" s="4"/>
      <x:c r="AE142" s="4"/>
    </x:row>
    <x:row r="143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  <x:c r="AA143" s="4"/>
      <x:c r="AB143" s="4"/>
      <x:c r="AC143" s="4"/>
      <x:c r="AD143" s="4"/>
      <x:c r="AE143" s="4"/>
    </x:row>
    <x:row r="144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  <x:c r="AA144" s="4"/>
      <x:c r="AB144" s="4"/>
      <x:c r="AC144" s="4"/>
      <x:c r="AD144" s="4"/>
      <x:c r="AE144" s="4"/>
    </x:row>
    <x:row r="145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  <x:c r="AA145" s="4"/>
      <x:c r="AB145" s="4"/>
      <x:c r="AC145" s="4"/>
      <x:c r="AD145" s="4"/>
      <x:c r="AE145" s="4"/>
    </x:row>
    <x:row r="146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  <x:c r="AA146" s="4"/>
      <x:c r="AB146" s="4"/>
      <x:c r="AC146" s="4"/>
      <x:c r="AD146" s="4"/>
      <x:c r="AE146" s="4"/>
    </x:row>
    <x:row r="147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  <x:c r="AA147" s="4"/>
      <x:c r="AB147" s="4"/>
      <x:c r="AC147" s="4"/>
      <x:c r="AD147" s="4"/>
      <x:c r="AE147" s="4"/>
    </x:row>
    <x:row r="148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  <x:c r="AA148" s="4"/>
      <x:c r="AB148" s="4"/>
      <x:c r="AC148" s="4"/>
      <x:c r="AD148" s="4"/>
      <x:c r="AE148" s="4"/>
    </x:row>
    <x:row r="149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  <x:c r="AA149" s="4"/>
      <x:c r="AB149" s="4"/>
      <x:c r="AC149" s="4"/>
      <x:c r="AD149" s="4"/>
      <x:c r="AE149" s="4"/>
    </x:row>
    <x:row r="150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  <x:c r="AA150" s="4"/>
      <x:c r="AB150" s="4"/>
      <x:c r="AC150" s="4"/>
      <x:c r="AD150" s="4"/>
      <x:c r="AE150" s="4"/>
    </x:row>
    <x:row r="15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  <x:c r="AA151" s="4"/>
      <x:c r="AB151" s="4"/>
      <x:c r="AC151" s="4"/>
      <x:c r="AD151" s="4"/>
      <x:c r="AE151" s="4"/>
    </x:row>
    <x:row r="152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  <x:c r="AA152" s="4"/>
      <x:c r="AB152" s="4"/>
      <x:c r="AC152" s="4"/>
      <x:c r="AD152" s="4"/>
      <x:c r="AE152" s="4"/>
    </x:row>
    <x:row r="153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  <x:c r="AA153" s="4"/>
      <x:c r="AB153" s="4"/>
      <x:c r="AC153" s="4"/>
      <x:c r="AD153" s="4"/>
      <x:c r="AE153" s="4"/>
    </x:row>
    <x:row r="154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  <x:c r="AA154" s="4"/>
      <x:c r="AB154" s="4"/>
      <x:c r="AC154" s="4"/>
      <x:c r="AD154" s="4"/>
      <x:c r="AE154" s="4"/>
    </x:row>
    <x:row r="155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  <x:c r="AA155" s="4"/>
      <x:c r="AB155" s="4"/>
      <x:c r="AC155" s="4"/>
      <x:c r="AD155" s="4"/>
      <x:c r="AE155" s="4"/>
    </x:row>
    <x:row r="156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  <x:c r="AA156" s="4"/>
      <x:c r="AB156" s="4"/>
      <x:c r="AC156" s="4"/>
      <x:c r="AD156" s="4"/>
      <x:c r="AE156" s="4"/>
    </x:row>
    <x:row r="157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  <x:c r="AA157" s="4"/>
      <x:c r="AB157" s="4"/>
      <x:c r="AC157" s="4"/>
      <x:c r="AD157" s="4"/>
      <x:c r="AE157" s="4"/>
    </x:row>
    <x:row r="158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  <x:c r="AA158" s="4"/>
      <x:c r="AB158" s="4"/>
      <x:c r="AC158" s="4"/>
      <x:c r="AD158" s="4"/>
      <x:c r="AE158" s="4"/>
    </x:row>
    <x:row r="159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  <x:c r="AA159" s="4"/>
      <x:c r="AB159" s="4"/>
      <x:c r="AC159" s="4"/>
      <x:c r="AD159" s="4"/>
      <x:c r="AE159" s="4"/>
    </x:row>
    <x:row r="160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  <x:c r="AA160" s="4"/>
      <x:c r="AB160" s="4"/>
      <x:c r="AC160" s="4"/>
      <x:c r="AD160" s="4"/>
      <x:c r="AE160" s="4"/>
    </x:row>
    <x:row r="16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  <x:c r="AA161" s="4"/>
      <x:c r="AB161" s="4"/>
      <x:c r="AC161" s="4"/>
      <x:c r="AD161" s="4"/>
      <x:c r="AE161" s="4"/>
    </x:row>
    <x:row r="162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  <x:c r="AA162" s="4"/>
      <x:c r="AB162" s="4"/>
      <x:c r="AC162" s="4"/>
      <x:c r="AD162" s="4"/>
      <x:c r="AE162" s="4"/>
    </x:row>
    <x:row r="163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  <x:c r="AA163" s="4"/>
      <x:c r="AB163" s="4"/>
      <x:c r="AC163" s="4"/>
      <x:c r="AD163" s="4"/>
      <x:c r="AE163" s="4"/>
    </x:row>
    <x:row r="164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  <x:c r="AA164" s="4"/>
      <x:c r="AB164" s="4"/>
      <x:c r="AC164" s="4"/>
      <x:c r="AD164" s="4"/>
      <x:c r="AE164" s="4"/>
    </x:row>
    <x:row r="165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  <x:c r="AA165" s="4"/>
      <x:c r="AB165" s="4"/>
      <x:c r="AC165" s="4"/>
      <x:c r="AD165" s="4"/>
      <x:c r="AE165" s="4"/>
    </x:row>
    <x:row r="166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  <x:c r="AA166" s="4"/>
      <x:c r="AB166" s="4"/>
      <x:c r="AC166" s="4"/>
      <x:c r="AD166" s="4"/>
      <x:c r="AE166" s="4"/>
    </x:row>
    <x:row r="167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  <x:c r="AA167" s="4"/>
      <x:c r="AB167" s="4"/>
      <x:c r="AC167" s="4"/>
      <x:c r="AD167" s="4"/>
      <x:c r="AE167" s="4"/>
    </x:row>
    <x:row r="168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  <x:c r="AA168" s="4"/>
      <x:c r="AB168" s="4"/>
      <x:c r="AC168" s="4"/>
      <x:c r="AD168" s="4"/>
      <x:c r="AE168" s="4"/>
    </x:row>
    <x:row r="169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  <x:c r="AA169" s="4"/>
      <x:c r="AB169" s="4"/>
      <x:c r="AC169" s="4"/>
      <x:c r="AD169" s="4"/>
      <x:c r="AE169" s="4"/>
    </x:row>
    <x:row r="170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  <x:c r="AA170" s="4"/>
      <x:c r="AB170" s="4"/>
      <x:c r="AC170" s="4"/>
      <x:c r="AD170" s="4"/>
      <x:c r="AE170" s="4"/>
    </x:row>
    <x:row r="17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  <x:c r="AA171" s="4"/>
      <x:c r="AB171" s="4"/>
      <x:c r="AC171" s="4"/>
      <x:c r="AD171" s="4"/>
      <x:c r="AE171" s="4"/>
    </x:row>
    <x:row r="172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  <x:c r="AA172" s="4"/>
      <x:c r="AB172" s="4"/>
      <x:c r="AC172" s="4"/>
      <x:c r="AD172" s="4"/>
      <x:c r="AE172" s="4"/>
    </x:row>
    <x:row r="173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  <x:c r="AA173" s="4"/>
      <x:c r="AB173" s="4"/>
      <x:c r="AC173" s="4"/>
      <x:c r="AD173" s="4"/>
      <x:c r="AE173" s="4"/>
    </x:row>
    <x:row r="174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  <x:c r="AA174" s="4"/>
      <x:c r="AB174" s="4"/>
      <x:c r="AC174" s="4"/>
      <x:c r="AD174" s="4"/>
      <x:c r="AE174" s="4"/>
    </x:row>
    <x:row r="175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  <x:c r="AA175" s="4"/>
      <x:c r="AB175" s="4"/>
      <x:c r="AC175" s="4"/>
      <x:c r="AD175" s="4"/>
      <x:c r="AE175" s="4"/>
    </x:row>
    <x:row r="176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  <x:c r="AA176" s="4"/>
      <x:c r="AB176" s="4"/>
      <x:c r="AC176" s="4"/>
      <x:c r="AD176" s="4"/>
      <x:c r="AE176" s="4"/>
    </x:row>
    <x:row r="177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  <x:c r="AA177" s="4"/>
      <x:c r="AB177" s="4"/>
      <x:c r="AC177" s="4"/>
      <x:c r="AD177" s="4"/>
      <x:c r="AE177" s="4"/>
    </x:row>
    <x:row r="178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  <x:c r="AA178" s="4"/>
      <x:c r="AB178" s="4"/>
      <x:c r="AC178" s="4"/>
      <x:c r="AD178" s="4"/>
      <x:c r="AE178" s="4"/>
    </x:row>
    <x:row r="179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  <x:c r="AA179" s="4"/>
      <x:c r="AB179" s="4"/>
      <x:c r="AC179" s="4"/>
      <x:c r="AD179" s="4"/>
      <x:c r="AE179" s="4"/>
    </x:row>
    <x:row r="180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  <x:c r="AA180" s="4"/>
      <x:c r="AB180" s="4"/>
      <x:c r="AC180" s="4"/>
      <x:c r="AD180" s="4"/>
      <x:c r="AE180" s="4"/>
    </x:row>
    <x:row r="18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  <x:c r="AA181" s="4"/>
      <x:c r="AB181" s="4"/>
      <x:c r="AC181" s="4"/>
      <x:c r="AD181" s="4"/>
      <x:c r="AE181" s="4"/>
    </x:row>
    <x:row r="182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  <x:c r="AA182" s="4"/>
      <x:c r="AB182" s="4"/>
      <x:c r="AC182" s="4"/>
      <x:c r="AD182" s="4"/>
      <x:c r="AE182" s="4"/>
    </x:row>
    <x:row r="183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  <x:c r="AA183" s="4"/>
      <x:c r="AB183" s="4"/>
      <x:c r="AC183" s="4"/>
      <x:c r="AD183" s="4"/>
      <x:c r="AE183" s="4"/>
    </x:row>
    <x:row r="184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  <x:c r="AA184" s="4"/>
      <x:c r="AB184" s="4"/>
      <x:c r="AC184" s="4"/>
      <x:c r="AD184" s="4"/>
      <x:c r="AE184" s="4"/>
    </x:row>
    <x:row r="185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  <x:c r="AA185" s="4"/>
      <x:c r="AB185" s="4"/>
      <x:c r="AC185" s="4"/>
      <x:c r="AD185" s="4"/>
      <x:c r="AE185" s="4"/>
    </x:row>
    <x:row r="186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  <x:c r="AA186" s="4"/>
      <x:c r="AB186" s="4"/>
      <x:c r="AC186" s="4"/>
      <x:c r="AD186" s="4"/>
      <x:c r="AE186" s="4"/>
    </x:row>
    <x:row r="187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  <x:c r="AA187" s="4"/>
      <x:c r="AB187" s="4"/>
      <x:c r="AC187" s="4"/>
      <x:c r="AD187" s="4"/>
      <x:c r="AE187" s="4"/>
    </x:row>
    <x:row r="188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  <x:c r="AA188" s="4"/>
      <x:c r="AB188" s="4"/>
      <x:c r="AC188" s="4"/>
      <x:c r="AD188" s="4"/>
      <x:c r="AE188" s="4"/>
    </x:row>
    <x:row r="189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  <x:c r="AA189" s="4"/>
      <x:c r="AB189" s="4"/>
      <x:c r="AC189" s="4"/>
      <x:c r="AD189" s="4"/>
      <x:c r="AE189" s="4"/>
    </x:row>
    <x:row r="190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  <x:c r="AA190" s="4"/>
      <x:c r="AB190" s="4"/>
      <x:c r="AC190" s="4"/>
      <x:c r="AD190" s="4"/>
      <x:c r="AE190" s="4"/>
    </x:row>
    <x:row r="19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  <x:c r="AA191" s="4"/>
      <x:c r="AB191" s="4"/>
      <x:c r="AC191" s="4"/>
      <x:c r="AD191" s="4"/>
      <x:c r="AE191" s="4"/>
    </x:row>
    <x:row r="192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  <x:c r="AA192" s="4"/>
      <x:c r="AB192" s="4"/>
      <x:c r="AC192" s="4"/>
      <x:c r="AD192" s="4"/>
      <x:c r="AE192" s="4"/>
    </x:row>
    <x:row r="193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  <x:c r="AA193" s="4"/>
      <x:c r="AB193" s="4"/>
      <x:c r="AC193" s="4"/>
      <x:c r="AD193" s="4"/>
      <x:c r="AE193" s="4"/>
    </x:row>
    <x:row r="194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  <x:c r="AA194" s="4"/>
      <x:c r="AB194" s="4"/>
      <x:c r="AC194" s="4"/>
      <x:c r="AD194" s="4"/>
      <x:c r="AE194" s="4"/>
    </x:row>
    <x:row r="195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  <x:c r="AA195" s="4"/>
      <x:c r="AB195" s="4"/>
      <x:c r="AC195" s="4"/>
      <x:c r="AD195" s="4"/>
      <x:c r="AE195" s="4"/>
    </x:row>
    <x:row r="196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  <x:c r="AA196" s="4"/>
      <x:c r="AB196" s="4"/>
      <x:c r="AC196" s="4"/>
      <x:c r="AD196" s="4"/>
      <x:c r="AE196" s="4"/>
    </x:row>
    <x:row r="197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  <x:c r="AA197" s="4"/>
      <x:c r="AB197" s="4"/>
      <x:c r="AC197" s="4"/>
      <x:c r="AD197" s="4"/>
      <x:c r="AE197" s="4"/>
    </x:row>
    <x:row r="198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  <x:c r="AA198" s="4"/>
      <x:c r="AB198" s="4"/>
      <x:c r="AC198" s="4"/>
      <x:c r="AD198" s="4"/>
      <x:c r="AE198" s="4"/>
    </x:row>
    <x:row r="199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  <x:c r="AA199" s="4"/>
      <x:c r="AB199" s="4"/>
      <x:c r="AC199" s="4"/>
      <x:c r="AD199" s="4"/>
      <x:c r="AE199" s="4"/>
    </x:row>
    <x:row r="200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  <x:c r="AA200" s="4"/>
      <x:c r="AB200" s="4"/>
      <x:c r="AC200" s="4"/>
      <x:c r="AD200" s="4"/>
      <x:c r="AE200" s="4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9" hidden="0" customWidth="1"/>
    <x:col min="3" max="3" width="12" hidden="0" customWidth="1"/>
    <x:col min="4" max="4" width="9" hidden="0" customWidth="1"/>
    <x:col min="5" max="5" width="16" hidden="0" customWidth="1"/>
    <x:col min="6" max="6" width="30" hidden="0" customWidth="1"/>
    <x:col min="7" max="7" width="24" hidden="0" customWidth="1"/>
    <x:col min="8" max="8" width="34" hidden="0" customWidth="1"/>
    <x:col min="9" max="9" width="8" hidden="0" customWidth="1"/>
    <x:col min="10" max="10" width="8" hidden="0" customWidth="1"/>
    <x:col min="11" max="11" width="14" hidden="0" customWidth="1"/>
    <x:col min="12" max="12" width="12" hidden="0" customWidth="1"/>
    <x:col min="13" max="13" width="10" hidden="0" customWidth="1"/>
    <x:col min="14" max="14" width="24" hidden="0" customWidth="1"/>
    <x:col min="15" max="15" width="42" hidden="0" customWidth="1"/>
    <x:col min="16" max="16" width="16" hidden="0" customWidth="1"/>
    <x:col min="17" max="17" width="12" hidden="0" customWidth="1"/>
    <x:col min="18" max="18" width="24" hidden="0" customWidth="1"/>
    <x:col min="19" max="19" width="14" hidden="0" customWidth="1"/>
    <x:col min="20" max="20" width="16" hidden="0" customWidth="1"/>
    <x:col min="21" max="21" width="42" hidden="0" customWidth="1"/>
    <x:col min="22" max="22" width="44" hidden="0" customWidth="1"/>
    <x:col min="23" max="23" width="11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4" hidden="0" customWidth="1"/>
    <x:col min="30" max="30" width="16" hidden="0" customWidth="1"/>
    <x:col min="31" max="31" width="14" hidden="0" customWidth="1"/>
  </x:cols>
  <x:sheetData>
    <x:row r="1" ht="28" customHeight="1">
      <x:c r="A1" s="109" t="str">
        <x:v>Rank</x:v>
      </x:c>
      <x:c r="B1" s="109" t="str">
        <x:v>Apply?</x:v>
      </x:c>
      <x:c r="C1" s="109" t="str">
        <x:v>Hastings Score</x:v>
      </x:c>
      <x:c r="D1" s="109" t="str">
        <x:v>Priority</x:v>
      </x:c>
      <x:c r="E1" s="109" t="str">
        <x:v>Species Group</x:v>
      </x:c>
      <x:c r="F1" s="109" t="str">
        <x:v>Hunt Area</x:v>
      </x:c>
      <x:c r="G1" s="109" t="str">
        <x:v>Region</x:v>
      </x:c>
      <x:c r="H1" s="109" t="str">
        <x:v>Hunt Category</x:v>
      </x:c>
      <x:c r="I1" s="109" t="str">
        <x:v>Adult</x:v>
      </x:c>
      <x:c r="J1" s="109" t="str">
        <x:v>Youth</x:v>
      </x:c>
      <x:c r="K1" s="109" t="str">
        <x:v>Deadline</x:v>
      </x:c>
      <x:c r="L1" s="109" t="str">
        <x:v>Approx Miles</x:v>
      </x:c>
      <x:c r="M1" s="109" t="str">
        <x:v>Draw Odds</x:v>
      </x:c>
      <x:c r="N1" s="109" t="str">
        <x:v>Recommendation</x:v>
      </x:c>
      <x:c r="O1" s="109" t="str">
        <x:v>Source URL</x:v>
      </x:c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  <x:c r="AA1" s="9"/>
      <x:c r="AB1" s="9"/>
      <x:c r="AC1" s="9"/>
      <x:c r="AD1" s="9"/>
      <x:c r="AE1" s="9"/>
    </x:row>
    <x:row r="2">
      <x:c r="A2" s="4" t="n">
        <x:v>1</x:v>
      </x:c>
      <x:c r="B2" s="4" t="str">
        <x:v>No</x:v>
      </x:c>
      <x:c r="C2" s="30" t="n">
        <x:v>3.9</x:v>
      </x:c>
      <x:c r="D2" s="4" t="str">
        <x:v>A</x:v>
      </x:c>
      <x:c r="E2" s="4" t="str">
        <x:v>Mule Deer</x:v>
      </x:c>
      <x:c r="F2" s="4" t="str">
        <x:v>Caprock Canyons SP</x:v>
      </x:c>
      <x:c r="G2" s="4" t="str">
        <x:v>Panhandle / Rolling Plains</x:v>
      </x:c>
      <x:c r="H2" s="4" t="str">
        <x:v>Youth Gun Deer - Either Sex</x:v>
      </x:c>
      <x:c r="I2" s="4" t="str">
        <x:v>No</x:v>
      </x:c>
      <x:c r="J2" s="4" t="str">
        <x:v>Yes</x:v>
      </x:c>
      <x:c r="K2" s="24" t="str">
        <x:v>2026-09-01</x:v>
      </x:c>
      <x:c r="L2" s="28" t="n">
        <x:v>130</x:v>
      </x:c>
      <x:c r="M2" s="4"/>
      <x:c r="N2" s="4" t="str">
        <x:v>Youth priority — apply</x:v>
      </x:c>
      <x:c r="O2" s="4" t="str">
        <x:v>https://tpwd.texas.gov/huntwild/hunt/public/public_hunt_drawing/hunt-category-details.phtml?OCat=YDE</x:v>
      </x:c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</x:row>
    <x:row r="3">
      <x:c r="A3" s="4" t="n">
        <x:v>2</x:v>
      </x:c>
      <x:c r="B3" s="4" t="str">
        <x:v>No</x:v>
      </x:c>
      <x:c r="C3" s="30" t="n">
        <x:v>3.9</x:v>
      </x:c>
      <x:c r="D3" s="4" t="str">
        <x:v>A</x:v>
      </x:c>
      <x:c r="E3" s="4" t="str">
        <x:v>Whitetail Deer</x:v>
      </x:c>
      <x:c r="F3" s="4" t="str">
        <x:v>Lake McClellan Recreation Area</x:v>
      </x:c>
      <x:c r="G3" s="4" t="str">
        <x:v>Panhandle / Rolling Plains</x:v>
      </x:c>
      <x:c r="H3" s="4" t="str">
        <x:v>Youth Gun Deer - Antlerless/Spike</x:v>
      </x:c>
      <x:c r="I3" s="4" t="str">
        <x:v>No</x:v>
      </x:c>
      <x:c r="J3" s="4" t="str">
        <x:v>Yes</x:v>
      </x:c>
      <x:c r="K3" s="24" t="str">
        <x:v>2026-09-15</x:v>
      </x:c>
      <x:c r="L3" s="28" t="n">
        <x:v>130</x:v>
      </x:c>
      <x:c r="M3" s="4"/>
      <x:c r="N3" s="4" t="str">
        <x:v>Youth priority — apply</x:v>
      </x:c>
      <x:c r="O3" s="4" t="str">
        <x:v>https://tpwd.texas.gov/huntwild/hunt/public/public_hunt_drawing/hunt-category-details.phtml?OCat=YDA</x:v>
      </x:c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  <x:c r="AD3" s="4"/>
      <x:c r="AE3" s="4"/>
    </x:row>
    <x:row r="4">
      <x:c r="A4" s="4" t="n">
        <x:v>3</x:v>
      </x:c>
      <x:c r="B4" s="4" t="str">
        <x:v>No</x:v>
      </x:c>
      <x:c r="C4" s="30" t="n">
        <x:v>3.7</x:v>
      </x:c>
      <x:c r="D4" s="4" t="str">
        <x:v>A</x:v>
      </x:c>
      <x:c r="E4" s="4" t="str">
        <x:v>Whitetail Deer</x:v>
      </x:c>
      <x:c r="F4" s="4" t="str">
        <x:v>Potter County - Cross Bar Mgt. Area</x:v>
      </x:c>
      <x:c r="G4" s="4" t="str">
        <x:v>Panhandle / Rolling Plains</x:v>
      </x:c>
      <x:c r="H4" s="4" t="str">
        <x:v>Archery Deer</x:v>
      </x:c>
      <x:c r="I4" s="4" t="str">
        <x:v>Yes</x:v>
      </x:c>
      <x:c r="J4" s="4" t="str">
        <x:v>Yes</x:v>
      </x:c>
      <x:c r="K4" s="24" t="str">
        <x:v>2026-08-15</x:v>
      </x:c>
      <x:c r="L4" s="28" t="n">
        <x:v>130</x:v>
      </x:c>
      <x:c r="M4" s="4"/>
      <x:c r="N4" s="4" t="str">
        <x:v>Apply every year</x:v>
      </x:c>
      <x:c r="O4" s="4" t="str">
        <x:v>https://tpwd.texas.gov/huntwild/hunt/public/public_hunt_drawing/hunt-category-details.phtml?OCat=ADE</x:v>
      </x:c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  <x:c r="AA4" s="4"/>
      <x:c r="AB4" s="4"/>
      <x:c r="AC4" s="4"/>
      <x:c r="AD4" s="4"/>
      <x:c r="AE4" s="4"/>
    </x:row>
    <x:row r="5">
      <x:c r="A5" s="4" t="n">
        <x:v>4</x:v>
      </x:c>
      <x:c r="B5" s="4" t="str">
        <x:v>No</x:v>
      </x:c>
      <x:c r="C5" s="30" t="n">
        <x:v>3.2</x:v>
      </x:c>
      <x:c r="D5" s="4" t="str">
        <x:v>A</x:v>
      </x:c>
      <x:c r="E5" s="4" t="str">
        <x:v>Whitetail Deer</x:v>
      </x:c>
      <x:c r="F5" s="4" t="str">
        <x:v>Gene Howe WMA</x:v>
      </x:c>
      <x:c r="G5" s="4" t="str">
        <x:v>Panhandle / Rolling Plains</x:v>
      </x:c>
      <x:c r="H5" s="4" t="str">
        <x:v>Youth Gun Deer - Either Sex</x:v>
      </x:c>
      <x:c r="I5" s="4" t="str">
        <x:v>No</x:v>
      </x:c>
      <x:c r="J5" s="4" t="str">
        <x:v>Yes</x:v>
      </x:c>
      <x:c r="K5" s="24" t="str">
        <x:v>2026-09-01</x:v>
      </x:c>
      <x:c r="L5" s="28" t="n">
        <x:v>130</x:v>
      </x:c>
      <x:c r="M5" s="4"/>
      <x:c r="N5" s="4" t="str">
        <x:v>Youth priority — apply</x:v>
      </x:c>
      <x:c r="O5" s="4" t="str">
        <x:v>https://tpwd.texas.gov/huntwild/hunt/public/public_hunt_drawing/hunt-category-details.phtml?OCat=YDE</x:v>
      </x:c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  <x:c r="AA5" s="4"/>
      <x:c r="AB5" s="4"/>
      <x:c r="AC5" s="4"/>
      <x:c r="AD5" s="4"/>
      <x:c r="AE5" s="4"/>
    </x:row>
    <x:row r="6">
      <x:c r="A6" s="4" t="n">
        <x:v>5</x:v>
      </x:c>
      <x:c r="B6" s="4" t="str">
        <x:v>No</x:v>
      </x:c>
      <x:c r="C6" s="30" t="n">
        <x:v>3.2</x:v>
      </x:c>
      <x:c r="D6" s="4" t="str">
        <x:v>A</x:v>
      </x:c>
      <x:c r="E6" s="4" t="str">
        <x:v>Whitetail Deer</x:v>
      </x:c>
      <x:c r="F6" s="4" t="str">
        <x:v>Lake McClellan Recreation Area</x:v>
      </x:c>
      <x:c r="G6" s="4" t="str">
        <x:v>Panhandle / Rolling Plains</x:v>
      </x:c>
      <x:c r="H6" s="4" t="str">
        <x:v>Youth Gun Deer - Either Sex</x:v>
      </x:c>
      <x:c r="I6" s="4" t="str">
        <x:v>No</x:v>
      </x:c>
      <x:c r="J6" s="4" t="str">
        <x:v>Yes</x:v>
      </x:c>
      <x:c r="K6" s="24" t="str">
        <x:v>2026-09-01</x:v>
      </x:c>
      <x:c r="L6" s="28" t="n">
        <x:v>130</x:v>
      </x:c>
      <x:c r="M6" s="4"/>
      <x:c r="N6" s="4" t="str">
        <x:v>Youth priority — apply</x:v>
      </x:c>
      <x:c r="O6" s="4" t="str">
        <x:v>https://tpwd.texas.gov/huntwild/hunt/public/public_hunt_drawing/hunt-category-details.phtml?OCat=YDE</x:v>
      </x:c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  <x:c r="AA6" s="4"/>
      <x:c r="AB6" s="4"/>
      <x:c r="AC6" s="4"/>
      <x:c r="AD6" s="4"/>
      <x:c r="AE6" s="4"/>
    </x:row>
    <x:row r="7">
      <x:c r="A7" s="4" t="n">
        <x:v>6</x:v>
      </x:c>
      <x:c r="B7" s="4" t="str">
        <x:v>No</x:v>
      </x:c>
      <x:c r="C7" s="30" t="n">
        <x:v>3.2</x:v>
      </x:c>
      <x:c r="D7" s="4" t="str">
        <x:v>A</x:v>
      </x:c>
      <x:c r="E7" s="4" t="str">
        <x:v>Whitetail Deer</x:v>
      </x:c>
      <x:c r="F7" s="4" t="str">
        <x:v>Taylor Lakes, Playa Lakes WMA</x:v>
      </x:c>
      <x:c r="G7" s="4" t="str">
        <x:v>Panhandle / Rolling Plains</x:v>
      </x:c>
      <x:c r="H7" s="4" t="str">
        <x:v>Youth Gun Deer - Either Sex</x:v>
      </x:c>
      <x:c r="I7" s="4" t="str">
        <x:v>No</x:v>
      </x:c>
      <x:c r="J7" s="4" t="str">
        <x:v>Yes</x:v>
      </x:c>
      <x:c r="K7" s="24" t="str">
        <x:v>2026-09-01</x:v>
      </x:c>
      <x:c r="L7" s="28" t="n">
        <x:v>130</x:v>
      </x:c>
      <x:c r="M7" s="4"/>
      <x:c r="N7" s="4" t="str">
        <x:v>Youth priority — apply</x:v>
      </x:c>
      <x:c r="O7" s="4" t="str">
        <x:v>https://tpwd.texas.gov/huntwild/hunt/public/public_hunt_drawing/hunt-category-details.phtml?OCat=YDE</x:v>
      </x:c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  <x:c r="AB7" s="4"/>
      <x:c r="AC7" s="4"/>
      <x:c r="AD7" s="4"/>
      <x:c r="AE7" s="4"/>
    </x:row>
    <x:row r="8">
      <x:c r="A8" s="4" t="n">
        <x:v>7</x:v>
      </x:c>
      <x:c r="B8" s="4" t="str">
        <x:v>No</x:v>
      </x:c>
      <x:c r="C8" s="30" t="n">
        <x:v>3.2</x:v>
      </x:c>
      <x:c r="D8" s="4" t="str">
        <x:v>A</x:v>
      </x:c>
      <x:c r="E8" s="4" t="str">
        <x:v>Whitetail Deer</x:v>
      </x:c>
      <x:c r="F8" s="4" t="str">
        <x:v>Gene Howe WMA</x:v>
      </x:c>
      <x:c r="G8" s="4" t="str">
        <x:v>Panhandle / Rolling Plains</x:v>
      </x:c>
      <x:c r="H8" s="4" t="str">
        <x:v>Youth Gun Deer - Antlerless/Spike</x:v>
      </x:c>
      <x:c r="I8" s="4" t="str">
        <x:v>No</x:v>
      </x:c>
      <x:c r="J8" s="4" t="str">
        <x:v>Yes</x:v>
      </x:c>
      <x:c r="K8" s="24" t="str">
        <x:v>2026-09-15</x:v>
      </x:c>
      <x:c r="L8" s="28" t="n">
        <x:v>130</x:v>
      </x:c>
      <x:c r="M8" s="4"/>
      <x:c r="N8" s="4" t="str">
        <x:v>Youth priority — apply</x:v>
      </x:c>
      <x:c r="O8" s="4" t="str">
        <x:v>https://tpwd.texas.gov/huntwild/hunt/public/public_hunt_drawing/hunt-category-details.phtml?OCat=YDA</x:v>
      </x:c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  <x:c r="AA8" s="4"/>
      <x:c r="AB8" s="4"/>
      <x:c r="AC8" s="4"/>
      <x:c r="AD8" s="4"/>
      <x:c r="AE8" s="4"/>
    </x:row>
    <x:row r="9">
      <x:c r="A9" s="4" t="n">
        <x:v>8</x:v>
      </x:c>
      <x:c r="B9" s="4" t="str">
        <x:v>No</x:v>
      </x:c>
      <x:c r="C9" s="30" t="n">
        <x:v>3.2</x:v>
      </x:c>
      <x:c r="D9" s="4" t="str">
        <x:v>A</x:v>
      </x:c>
      <x:c r="E9" s="4" t="str">
        <x:v>Whitetail Deer</x:v>
      </x:c>
      <x:c r="F9" s="4" t="str">
        <x:v>Palo Duro Canyon SP</x:v>
      </x:c>
      <x:c r="G9" s="4" t="str">
        <x:v>Panhandle / Rolling Plains</x:v>
      </x:c>
      <x:c r="H9" s="4" t="str">
        <x:v>Youth Gun Deer - Antlerless/Spike</x:v>
      </x:c>
      <x:c r="I9" s="4" t="str">
        <x:v>No</x:v>
      </x:c>
      <x:c r="J9" s="4" t="str">
        <x:v>Yes</x:v>
      </x:c>
      <x:c r="K9" s="24" t="str">
        <x:v>2026-09-15</x:v>
      </x:c>
      <x:c r="L9" s="28" t="n">
        <x:v>130</x:v>
      </x:c>
      <x:c r="M9" s="4"/>
      <x:c r="N9" s="4" t="str">
        <x:v>Youth priority — apply</x:v>
      </x:c>
      <x:c r="O9" s="4" t="str">
        <x:v>https://tpwd.texas.gov/huntwild/hunt/public/public_hunt_drawing/hunt-category-details.phtml?OCat=YDA</x:v>
      </x:c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  <x:c r="AA9" s="4"/>
      <x:c r="AB9" s="4"/>
      <x:c r="AC9" s="4"/>
      <x:c r="AD9" s="4"/>
      <x:c r="AE9" s="4"/>
    </x:row>
    <x:row r="10">
      <x:c r="A10" s="4" t="n">
        <x:v>9</x:v>
      </x:c>
      <x:c r="B10" s="4" t="str">
        <x:v>No</x:v>
      </x:c>
      <x:c r="C10" s="30" t="n">
        <x:v>3.2</x:v>
      </x:c>
      <x:c r="D10" s="4" t="str">
        <x:v>A</x:v>
      </x:c>
      <x:c r="E10" s="4" t="str">
        <x:v>Whitetail Deer</x:v>
      </x:c>
      <x:c r="F10" s="4" t="str">
        <x:v>Palo Duro Canyon SP</x:v>
      </x:c>
      <x:c r="G10" s="4" t="str">
        <x:v>Panhandle / Rolling Plains</x:v>
      </x:c>
      <x:c r="H10" s="4" t="str">
        <x:v>Youth Gun Deer - Management</x:v>
      </x:c>
      <x:c r="I10" s="4" t="str">
        <x:v>No</x:v>
      </x:c>
      <x:c r="J10" s="4" t="str">
        <x:v>Yes</x:v>
      </x:c>
      <x:c r="K10" s="24" t="str">
        <x:v>2026-09-15</x:v>
      </x:c>
      <x:c r="L10" s="28" t="n">
        <x:v>130</x:v>
      </x:c>
      <x:c r="M10" s="4"/>
      <x:c r="N10" s="4" t="str">
        <x:v>Youth priority — apply</x:v>
      </x:c>
      <x:c r="O10" s="4" t="str">
        <x:v>https://tpwd.texas.gov/huntwild/hunt/public/public_hunt_drawing/hunt-category-details.phtml?OCat=YDM</x:v>
      </x:c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  <x:c r="AA10" s="4"/>
      <x:c r="AB10" s="4"/>
      <x:c r="AC10" s="4"/>
      <x:c r="AD10" s="4"/>
      <x:c r="AE10" s="4"/>
    </x:row>
    <x:row r="11">
      <x:c r="A11" s="4" t="n">
        <x:v>10</x:v>
      </x:c>
      <x:c r="B11" s="4" t="str">
        <x:v>No</x:v>
      </x:c>
      <x:c r="C11" s="30" t="n">
        <x:v>3.2</x:v>
      </x:c>
      <x:c r="D11" s="4" t="str">
        <x:v>A</x:v>
      </x:c>
      <x:c r="E11" s="4" t="str">
        <x:v>Mule Deer</x:v>
      </x:c>
      <x:c r="F11" s="4" t="str">
        <x:v>Yoakum Dunes WMA</x:v>
      </x:c>
      <x:c r="G11" s="4" t="str">
        <x:v>Panhandle / Rolling Plains</x:v>
      </x:c>
      <x:c r="H11" s="4" t="str">
        <x:v>Youth Gun Deer - Management</x:v>
      </x:c>
      <x:c r="I11" s="4" t="str">
        <x:v>No</x:v>
      </x:c>
      <x:c r="J11" s="4" t="str">
        <x:v>Yes</x:v>
      </x:c>
      <x:c r="K11" s="24" t="str">
        <x:v>2026-09-15</x:v>
      </x:c>
      <x:c r="L11" s="28" t="n">
        <x:v>130</x:v>
      </x:c>
      <x:c r="M11" s="4"/>
      <x:c r="N11" s="4" t="str">
        <x:v>Youth priority — apply</x:v>
      </x:c>
      <x:c r="O11" s="4" t="str">
        <x:v>https://tpwd.texas.gov/huntwild/hunt/public/public_hunt_drawing/hunt-category-details.phtml?OCat=YDM</x:v>
      </x:c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  <x:c r="AA11" s="4"/>
      <x:c r="AB11" s="4"/>
      <x:c r="AC11" s="4"/>
      <x:c r="AD11" s="4"/>
      <x:c r="AE11" s="4"/>
    </x:row>
    <x:row r="12">
      <x:c r="A12" s="4" t="n">
        <x:v>11</x:v>
      </x:c>
      <x:c r="B12" s="4" t="str">
        <x:v>No</x:v>
      </x:c>
      <x:c r="C12" s="30" t="n">
        <x:v>3.2</x:v>
      </x:c>
      <x:c r="D12" s="4" t="str">
        <x:v>A</x:v>
      </x:c>
      <x:c r="E12" s="4" t="str">
        <x:v>Whitetail Deer</x:v>
      </x:c>
      <x:c r="F12" s="4" t="str">
        <x:v>Buffalo Lake NWR</x:v>
      </x:c>
      <x:c r="G12" s="4" t="str">
        <x:v>Panhandle / Rolling Plains</x:v>
      </x:c>
      <x:c r="H12" s="4" t="str">
        <x:v>National Refuge Youth Deer</x:v>
      </x:c>
      <x:c r="I12" s="4" t="str">
        <x:v>No</x:v>
      </x:c>
      <x:c r="J12" s="4" t="str">
        <x:v>Yes</x:v>
      </x:c>
      <x:c r="K12" s="24" t="str">
        <x:v>2026-10-01</x:v>
      </x:c>
      <x:c r="L12" s="28" t="n">
        <x:v>130</x:v>
      </x:c>
      <x:c r="M12" s="4"/>
      <x:c r="N12" s="4" t="str">
        <x:v>Youth priority — apply</x:v>
      </x:c>
      <x:c r="O12" s="4" t="str">
        <x:v>https://tpwd.texas.gov/huntwild/hunt/public/public_hunt_drawing/hunt-category-details.phtml?OCat=NYD</x:v>
      </x:c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  <x:c r="AA12" s="4"/>
      <x:c r="AB12" s="4"/>
      <x:c r="AC12" s="4"/>
      <x:c r="AD12" s="4"/>
      <x:c r="AE12" s="4"/>
    </x:row>
    <x:row r="13">
      <x:c r="A13" s="4" t="n">
        <x:v>12</x:v>
      </x:c>
      <x:c r="B13" s="4" t="str">
        <x:v>No</x:v>
      </x:c>
      <x:c r="C13" s="30" t="n">
        <x:v>2.9</x:v>
      </x:c>
      <x:c r="D13" s="4" t="str">
        <x:v>A</x:v>
      </x:c>
      <x:c r="E13" s="4" t="str">
        <x:v>Whitetail Deer</x:v>
      </x:c>
      <x:c r="F13" s="4" t="str">
        <x:v>Gene Howe WMA</x:v>
      </x:c>
      <x:c r="G13" s="4" t="str">
        <x:v>Panhandle / Rolling Plains</x:v>
      </x:c>
      <x:c r="H13" s="4" t="str">
        <x:v>Archery Deer</x:v>
      </x:c>
      <x:c r="I13" s="4" t="str">
        <x:v>Yes</x:v>
      </x:c>
      <x:c r="J13" s="4" t="str">
        <x:v>Yes</x:v>
      </x:c>
      <x:c r="K13" s="24" t="str">
        <x:v>2026-08-15</x:v>
      </x:c>
      <x:c r="L13" s="28" t="n">
        <x:v>130</x:v>
      </x:c>
      <x:c r="M13" s="4"/>
      <x:c r="N13" s="4" t="str">
        <x:v>Apply every year</x:v>
      </x:c>
      <x:c r="O13" s="4" t="str">
        <x:v>https://tpwd.texas.gov/huntwild/hunt/public/public_hunt_drawing/hunt-category-details.phtml?OCat=ADE</x:v>
      </x:c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  <x:c r="AA13" s="4"/>
      <x:c r="AB13" s="4"/>
      <x:c r="AC13" s="4"/>
      <x:c r="AD13" s="4"/>
      <x:c r="AE13" s="4"/>
    </x:row>
    <x:row r="14">
      <x:c r="A14" s="4" t="n">
        <x:v>13</x:v>
      </x:c>
      <x:c r="B14" s="4" t="str">
        <x:v>No</x:v>
      </x:c>
      <x:c r="C14" s="30" t="n">
        <x:v>2.9</x:v>
      </x:c>
      <x:c r="D14" s="4" t="str">
        <x:v>A</x:v>
      </x:c>
      <x:c r="E14" s="4" t="str">
        <x:v>Whitetail Deer</x:v>
      </x:c>
      <x:c r="F14" s="4" t="str">
        <x:v>Matador WMA</x:v>
      </x:c>
      <x:c r="G14" s="4" t="str">
        <x:v>Panhandle / Rolling Plains</x:v>
      </x:c>
      <x:c r="H14" s="4" t="str">
        <x:v>Archery Deer</x:v>
      </x:c>
      <x:c r="I14" s="4" t="str">
        <x:v>Yes</x:v>
      </x:c>
      <x:c r="J14" s="4" t="str">
        <x:v>Yes</x:v>
      </x:c>
      <x:c r="K14" s="24" t="str">
        <x:v>2026-08-15</x:v>
      </x:c>
      <x:c r="L14" s="28" t="n">
        <x:v>130</x:v>
      </x:c>
      <x:c r="M14" s="4"/>
      <x:c r="N14" s="4" t="str">
        <x:v>Apply every year</x:v>
      </x:c>
      <x:c r="O14" s="4" t="str">
        <x:v>https://tpwd.texas.gov/huntwild/hunt/public/public_hunt_drawing/hunt-category-details.phtml?OCat=ADE</x:v>
      </x:c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  <x:c r="AA14" s="4"/>
      <x:c r="AB14" s="4"/>
      <x:c r="AC14" s="4"/>
      <x:c r="AD14" s="4"/>
      <x:c r="AE14" s="4"/>
    </x:row>
    <x:row r="15">
      <x:c r="A15" s="4" t="n">
        <x:v>14</x:v>
      </x:c>
      <x:c r="B15" s="4" t="str">
        <x:v>No</x:v>
      </x:c>
      <x:c r="C15" s="30" t="n">
        <x:v>2.9</x:v>
      </x:c>
      <x:c r="D15" s="4" t="str">
        <x:v>A</x:v>
      </x:c>
      <x:c r="E15" s="4" t="str">
        <x:v>Mule Deer</x:v>
      </x:c>
      <x:c r="F15" s="4" t="str">
        <x:v>Matador WMA</x:v>
      </x:c>
      <x:c r="G15" s="4" t="str">
        <x:v>Panhandle / Rolling Plains</x:v>
      </x:c>
      <x:c r="H15" s="4" t="str">
        <x:v>Archery Mule Deer</x:v>
      </x:c>
      <x:c r="I15" s="4" t="str">
        <x:v>Yes</x:v>
      </x:c>
      <x:c r="J15" s="4" t="str">
        <x:v>Yes</x:v>
      </x:c>
      <x:c r="K15" s="24" t="str">
        <x:v>2026-08-15</x:v>
      </x:c>
      <x:c r="L15" s="28" t="n">
        <x:v>130</x:v>
      </x:c>
      <x:c r="M15" s="4"/>
      <x:c r="N15" s="4" t="str">
        <x:v>Apply every year</x:v>
      </x:c>
      <x:c r="O15" s="4" t="str">
        <x:v>https://tpwd.texas.gov/huntwild/hunt/public/public_hunt_drawing/hunt-category-details.phtml?OCat=AMD</x:v>
      </x:c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  <x:c r="AA15" s="4"/>
      <x:c r="AB15" s="4"/>
      <x:c r="AC15" s="4"/>
      <x:c r="AD15" s="4"/>
      <x:c r="AE15" s="4"/>
    </x:row>
    <x:row r="16">
      <x:c r="A16" s="4" t="n">
        <x:v>15</x:v>
      </x:c>
      <x:c r="B16" s="4" t="str">
        <x:v>No</x:v>
      </x:c>
      <x:c r="C16" s="30" t="n">
        <x:v>2.9</x:v>
      </x:c>
      <x:c r="D16" s="4" t="str">
        <x:v>A</x:v>
      </x:c>
      <x:c r="E16" s="4" t="str">
        <x:v>Whitetail Deer</x:v>
      </x:c>
      <x:c r="F16" s="4" t="str">
        <x:v>Palo Duro Canyon SP</x:v>
      </x:c>
      <x:c r="G16" s="4" t="str">
        <x:v>Panhandle / Rolling Plains</x:v>
      </x:c>
      <x:c r="H16" s="4" t="str">
        <x:v>Archery Deer</x:v>
      </x:c>
      <x:c r="I16" s="4" t="str">
        <x:v>Yes</x:v>
      </x:c>
      <x:c r="J16" s="4" t="str">
        <x:v>Yes</x:v>
      </x:c>
      <x:c r="K16" s="24" t="str">
        <x:v>2026-08-15</x:v>
      </x:c>
      <x:c r="L16" s="28" t="n">
        <x:v>130</x:v>
      </x:c>
      <x:c r="M16" s="4"/>
      <x:c r="N16" s="4" t="str">
        <x:v>Apply every year</x:v>
      </x:c>
      <x:c r="O16" s="4" t="str">
        <x:v>https://tpwd.texas.gov/huntwild/hunt/public/public_hunt_drawing/hunt-category-details.phtml?OCat=ADE</x:v>
      </x:c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  <x:c r="AA16" s="4"/>
      <x:c r="AB16" s="4"/>
      <x:c r="AC16" s="4"/>
      <x:c r="AD16" s="4"/>
      <x:c r="AE16" s="4"/>
    </x:row>
    <x:row r="17">
      <x:c r="A17" s="4" t="n">
        <x:v>16</x:v>
      </x:c>
      <x:c r="B17" s="4" t="str">
        <x:v>No</x:v>
      </x:c>
      <x:c r="C17" s="30" t="n">
        <x:v>2.9</x:v>
      </x:c>
      <x:c r="D17" s="4" t="str">
        <x:v>A</x:v>
      </x:c>
      <x:c r="E17" s="4" t="str">
        <x:v>Mule Deer</x:v>
      </x:c>
      <x:c r="F17" s="4" t="str">
        <x:v>Potter County - Cross Bar Mgt. Area</x:v>
      </x:c>
      <x:c r="G17" s="4" t="str">
        <x:v>Panhandle / Rolling Plains</x:v>
      </x:c>
      <x:c r="H17" s="4" t="str">
        <x:v>Archery Mule Deer</x:v>
      </x:c>
      <x:c r="I17" s="4" t="str">
        <x:v>Yes</x:v>
      </x:c>
      <x:c r="J17" s="4" t="str">
        <x:v>Yes</x:v>
      </x:c>
      <x:c r="K17" s="24" t="str">
        <x:v>2026-08-15</x:v>
      </x:c>
      <x:c r="L17" s="28" t="n">
        <x:v>130</x:v>
      </x:c>
      <x:c r="M17" s="4"/>
      <x:c r="N17" s="4" t="str">
        <x:v>Apply every year</x:v>
      </x:c>
      <x:c r="O17" s="4" t="str">
        <x:v>https://tpwd.texas.gov/huntwild/hunt/public/public_hunt_drawing/hunt-category-details.phtml?OCat=AMD</x:v>
      </x:c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/>
      <x:c r="AB17" s="4"/>
      <x:c r="AC17" s="4"/>
      <x:c r="AD17" s="4"/>
      <x:c r="AE17" s="4"/>
    </x:row>
    <x:row r="18">
      <x:c r="A18" s="4" t="n">
        <x:v>17</x:v>
      </x:c>
      <x:c r="B18" s="4" t="str">
        <x:v>No</x:v>
      </x:c>
      <x:c r="C18" s="30" t="n">
        <x:v>2.9</x:v>
      </x:c>
      <x:c r="D18" s="4" t="str">
        <x:v>A</x:v>
      </x:c>
      <x:c r="E18" s="4" t="str">
        <x:v>Whitetail Deer</x:v>
      </x:c>
      <x:c r="F18" s="4" t="str">
        <x:v>Abilene SP</x:v>
      </x:c>
      <x:c r="G18" s="4" t="str">
        <x:v>West-Central Texas</x:v>
      </x:c>
      <x:c r="H18" s="4" t="str">
        <x:v>Youth Gun Deer - Either Sex</x:v>
      </x:c>
      <x:c r="I18" s="4" t="str">
        <x:v>No</x:v>
      </x:c>
      <x:c r="J18" s="4" t="str">
        <x:v>Yes</x:v>
      </x:c>
      <x:c r="K18" s="24" t="str">
        <x:v>2026-09-01</x:v>
      </x:c>
      <x:c r="L18" s="28" t="n">
        <x:v>300</x:v>
      </x:c>
      <x:c r="M18" s="4"/>
      <x:c r="N18" s="4" t="str">
        <x:v>Youth priority — apply</x:v>
      </x:c>
      <x:c r="O18" s="4" t="str">
        <x:v>https://tpwd.texas.gov/huntwild/hunt/public/public_hunt_drawing/hunt-category-details.phtml?OCat=YDE</x:v>
      </x:c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  <x:c r="AA18" s="4"/>
      <x:c r="AB18" s="4"/>
      <x:c r="AC18" s="4"/>
      <x:c r="AD18" s="4"/>
      <x:c r="AE18" s="4"/>
    </x:row>
    <x:row r="19">
      <x:c r="A19" s="4" t="n">
        <x:v>18</x:v>
      </x:c>
      <x:c r="B19" s="4" t="str">
        <x:v>No</x:v>
      </x:c>
      <x:c r="C19" s="30" t="n">
        <x:v>2.9</x:v>
      </x:c>
      <x:c r="D19" s="4" t="str">
        <x:v>A</x:v>
      </x:c>
      <x:c r="E19" s="4" t="str">
        <x:v>Whitetail Deer</x:v>
      </x:c>
      <x:c r="F19" s="4" t="str">
        <x:v>Buffalo Lake NWR</x:v>
      </x:c>
      <x:c r="G19" s="4" t="str">
        <x:v>Panhandle / Rolling Plains</x:v>
      </x:c>
      <x:c r="H19" s="4" t="str">
        <x:v>National Refuge Archery Deer</x:v>
      </x:c>
      <x:c r="I19" s="4" t="str">
        <x:v>Yes</x:v>
      </x:c>
      <x:c r="J19" s="4" t="str">
        <x:v>Yes</x:v>
      </x:c>
      <x:c r="K19" s="24" t="str">
        <x:v>2026-09-01</x:v>
      </x:c>
      <x:c r="L19" s="28" t="n">
        <x:v>130</x:v>
      </x:c>
      <x:c r="M19" s="4"/>
      <x:c r="N19" s="4" t="str">
        <x:v>Apply every year</x:v>
      </x:c>
      <x:c r="O19" s="4" t="str">
        <x:v>https://tpwd.texas.gov/huntwild/hunt/public/public_hunt_drawing/hunt-category-details.phtml?OCat=NAD</x:v>
      </x:c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</x:row>
    <x:row r="20">
      <x:c r="A20" s="4" t="n">
        <x:v>19</x:v>
      </x:c>
      <x:c r="B20" s="4" t="str">
        <x:v>No</x:v>
      </x:c>
      <x:c r="C20" s="30" t="n">
        <x:v>2.9</x:v>
      </x:c>
      <x:c r="D20" s="4" t="str">
        <x:v>A</x:v>
      </x:c>
      <x:c r="E20" s="4" t="str">
        <x:v>Whitetail Deer</x:v>
      </x:c>
      <x:c r="F20" s="4" t="str">
        <x:v>Lake Brownwood SP</x:v>
      </x:c>
      <x:c r="G20" s="4" t="str">
        <x:v>West-Central Texas</x:v>
      </x:c>
      <x:c r="H20" s="4" t="str">
        <x:v>Youth Gun Deer - Either Sex</x:v>
      </x:c>
      <x:c r="I20" s="4" t="str">
        <x:v>No</x:v>
      </x:c>
      <x:c r="J20" s="4" t="str">
        <x:v>Yes</x:v>
      </x:c>
      <x:c r="K20" s="24" t="str">
        <x:v>2026-09-01</x:v>
      </x:c>
      <x:c r="L20" s="28" t="n">
        <x:v>300</x:v>
      </x:c>
      <x:c r="M20" s="4"/>
      <x:c r="N20" s="4" t="str">
        <x:v>Youth priority — apply</x:v>
      </x:c>
      <x:c r="O20" s="4" t="str">
        <x:v>https://tpwd.texas.gov/huntwild/hunt/public/public_hunt_drawing/hunt-category-details.phtml?OCat=YDE</x:v>
      </x:c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  <x:c r="AA20" s="4"/>
      <x:c r="AB20" s="4"/>
      <x:c r="AC20" s="4"/>
      <x:c r="AD20" s="4"/>
      <x:c r="AE20" s="4"/>
    </x:row>
    <x:row r="21">
      <x:c r="A21" s="4" t="n">
        <x:v>20</x:v>
      </x:c>
      <x:c r="B21" s="4" t="str">
        <x:v>No</x:v>
      </x:c>
      <x:c r="C21" s="30" t="n">
        <x:v>2.9</x:v>
      </x:c>
      <x:c r="D21" s="4" t="str">
        <x:v>A</x:v>
      </x:c>
      <x:c r="E21" s="4" t="str">
        <x:v>Whitetail Deer</x:v>
      </x:c>
      <x:c r="F21" s="4" t="str">
        <x:v>Lipscomb County Ranch</x:v>
      </x:c>
      <x:c r="G21" s="4" t="str">
        <x:v>Panhandle / Rolling Plains</x:v>
      </x:c>
      <x:c r="H21" s="4" t="str">
        <x:v>Private Lands - Either Sex</x:v>
      </x:c>
      <x:c r="I21" s="4" t="str">
        <x:v>Yes</x:v>
      </x:c>
      <x:c r="J21" s="4" t="str">
        <x:v>Yes</x:v>
      </x:c>
      <x:c r="K21" s="24" t="str">
        <x:v>2026-09-01</x:v>
      </x:c>
      <x:c r="L21" s="28" t="n">
        <x:v>130</x:v>
      </x:c>
      <x:c r="M21" s="4"/>
      <x:c r="N21" s="4" t="str">
        <x:v>Apply every year</x:v>
      </x:c>
      <x:c r="O21" s="4" t="str">
        <x:v>https://tpwd.texas.gov/huntwild/hunt/public/public_hunt_drawing/hunt-category-details.phtml?OCat=PLE</x:v>
      </x:c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  <x:c r="AA21" s="4"/>
      <x:c r="AB21" s="4"/>
      <x:c r="AC21" s="4"/>
      <x:c r="AD21" s="4"/>
      <x:c r="AE21" s="4"/>
    </x:row>
    <x:row r="22">
      <x:c r="A22" s="4" t="n">
        <x:v>21</x:v>
      </x:c>
      <x:c r="B22" s="4" t="str">
        <x:v>No</x:v>
      </x:c>
      <x:c r="C22" s="30" t="n">
        <x:v>2.9</x:v>
      </x:c>
      <x:c r="D22" s="4" t="str">
        <x:v>A</x:v>
      </x:c>
      <x:c r="E22" s="4" t="str">
        <x:v>Whitetail Deer</x:v>
      </x:c>
      <x:c r="F22" s="4" t="str">
        <x:v>Muleshoe NWR</x:v>
      </x:c>
      <x:c r="G22" s="4" t="str">
        <x:v>Panhandle / Rolling Plains</x:v>
      </x:c>
      <x:c r="H22" s="4" t="str">
        <x:v>National Refuge Archery Deer</x:v>
      </x:c>
      <x:c r="I22" s="4" t="str">
        <x:v>Yes</x:v>
      </x:c>
      <x:c r="J22" s="4" t="str">
        <x:v>Yes</x:v>
      </x:c>
      <x:c r="K22" s="24" t="str">
        <x:v>2026-09-01</x:v>
      </x:c>
      <x:c r="L22" s="28" t="n">
        <x:v>130</x:v>
      </x:c>
      <x:c r="M22" s="4"/>
      <x:c r="N22" s="4" t="str">
        <x:v>Apply every year</x:v>
      </x:c>
      <x:c r="O22" s="4" t="str">
        <x:v>https://tpwd.texas.gov/huntwild/hunt/public/public_hunt_drawing/hunt-category-details.phtml?OCat=NAD</x:v>
      </x:c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  <x:c r="AA22" s="4"/>
      <x:c r="AB22" s="4"/>
      <x:c r="AC22" s="4"/>
      <x:c r="AD22" s="4"/>
      <x:c r="AE22" s="4"/>
    </x:row>
    <x:row r="23">
      <x:c r="A23" s="4" t="n">
        <x:v>22</x:v>
      </x:c>
      <x:c r="B23" s="4" t="str">
        <x:v>No</x:v>
      </x:c>
      <x:c r="C23" s="30" t="n">
        <x:v>2.9</x:v>
      </x:c>
      <x:c r="D23" s="4" t="str">
        <x:v>A</x:v>
      </x:c>
      <x:c r="E23" s="4" t="str">
        <x:v>Whitetail Deer</x:v>
      </x:c>
      <x:c r="F23" s="4" t="str">
        <x:v>San Angelo SP</x:v>
      </x:c>
      <x:c r="G23" s="4" t="str">
        <x:v>West-Central Texas</x:v>
      </x:c>
      <x:c r="H23" s="4" t="str">
        <x:v>Youth Gun Deer - Either Sex</x:v>
      </x:c>
      <x:c r="I23" s="4" t="str">
        <x:v>No</x:v>
      </x:c>
      <x:c r="J23" s="4" t="str">
        <x:v>Yes</x:v>
      </x:c>
      <x:c r="K23" s="24" t="str">
        <x:v>2026-09-01</x:v>
      </x:c>
      <x:c r="L23" s="28" t="n">
        <x:v>300</x:v>
      </x:c>
      <x:c r="M23" s="4"/>
      <x:c r="N23" s="4" t="str">
        <x:v>Youth priority — apply</x:v>
      </x:c>
      <x:c r="O23" s="4" t="str">
        <x:v>https://tpwd.texas.gov/huntwild/hunt/public/public_hunt_drawing/hunt-category-details.phtml?OCat=YDE</x:v>
      </x:c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  <x:c r="AA23" s="4"/>
      <x:c r="AB23" s="4"/>
      <x:c r="AC23" s="4"/>
      <x:c r="AD23" s="4"/>
      <x:c r="AE23" s="4"/>
    </x:row>
    <x:row r="24">
      <x:c r="A24" s="4" t="n">
        <x:v>23</x:v>
      </x:c>
      <x:c r="B24" s="4" t="str">
        <x:v>No</x:v>
      </x:c>
      <x:c r="C24" s="30" t="n">
        <x:v>2.9</x:v>
      </x:c>
      <x:c r="D24" s="4" t="str">
        <x:v>A</x:v>
      </x:c>
      <x:c r="E24" s="4" t="str">
        <x:v>Whitetail Deer</x:v>
      </x:c>
      <x:c r="F24" s="4" t="str">
        <x:v>Caprock Canyons SP</x:v>
      </x:c>
      <x:c r="G24" s="4" t="str">
        <x:v>Panhandle / Rolling Plains</x:v>
      </x:c>
      <x:c r="H24" s="4" t="str">
        <x:v>E-Postcard Deer</x:v>
      </x:c>
      <x:c r="I24" s="4" t="str">
        <x:v>Yes</x:v>
      </x:c>
      <x:c r="J24" s="4" t="str">
        <x:v>Yes</x:v>
      </x:c>
      <x:c r="K24" s="24" t="str">
        <x:v>2026-09-15</x:v>
      </x:c>
      <x:c r="L24" s="28" t="n">
        <x:v>130</x:v>
      </x:c>
      <x:c r="M24" s="4"/>
      <x:c r="N24" s="4" t="str">
        <x:v>Apply every year</x:v>
      </x:c>
      <x:c r="O24" s="4" t="str">
        <x:v>https://tpwd.texas.gov/huntwild/hunt/public/public_hunt_drawing/hunt-category-details.phtml?OCat=EDR</x:v>
      </x:c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  <x:c r="AA24" s="4"/>
      <x:c r="AB24" s="4"/>
      <x:c r="AC24" s="4"/>
      <x:c r="AD24" s="4"/>
      <x:c r="AE24" s="4"/>
    </x:row>
    <x:row r="25">
      <x:c r="A25" s="4" t="n">
        <x:v>24</x:v>
      </x:c>
      <x:c r="B25" s="4" t="str">
        <x:v>No</x:v>
      </x:c>
      <x:c r="C25" s="30" t="n">
        <x:v>2.9</x:v>
      </x:c>
      <x:c r="D25" s="4" t="str">
        <x:v>A</x:v>
      </x:c>
      <x:c r="E25" s="4" t="str">
        <x:v>Whitetail Deer</x:v>
      </x:c>
      <x:c r="F25" s="4" t="str">
        <x:v>Gene Howe WMA</x:v>
      </x:c>
      <x:c r="G25" s="4" t="str">
        <x:v>Panhandle / Rolling Plains</x:v>
      </x:c>
      <x:c r="H25" s="4" t="str">
        <x:v>Gun Deer - Antlerless/Spike</x:v>
      </x:c>
      <x:c r="I25" s="4" t="str">
        <x:v>Yes</x:v>
      </x:c>
      <x:c r="J25" s="4" t="str">
        <x:v>Yes</x:v>
      </x:c>
      <x:c r="K25" s="24" t="str">
        <x:v>2026-09-15</x:v>
      </x:c>
      <x:c r="L25" s="28" t="n">
        <x:v>130</x:v>
      </x:c>
      <x:c r="M25" s="4"/>
      <x:c r="N25" s="4" t="str">
        <x:v>Apply every year</x:v>
      </x:c>
      <x:c r="O25" s="4" t="str">
        <x:v>https://tpwd.texas.gov/huntwild/hunt/public/public_hunt_drawing/hunt-category-details.phtml?OCat=GDA</x:v>
      </x:c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  <x:c r="AA25" s="4"/>
      <x:c r="AB25" s="4"/>
      <x:c r="AC25" s="4"/>
      <x:c r="AD25" s="4"/>
      <x:c r="AE25" s="4"/>
    </x:row>
    <x:row r="26">
      <x:c r="A26" s="4" t="n">
        <x:v>25</x:v>
      </x:c>
      <x:c r="B26" s="4" t="str">
        <x:v>No</x:v>
      </x:c>
      <x:c r="C26" s="30" t="n">
        <x:v>2.9</x:v>
      </x:c>
      <x:c r="D26" s="4" t="str">
        <x:v>A</x:v>
      </x:c>
      <x:c r="E26" s="4" t="str">
        <x:v>Whitetail Deer</x:v>
      </x:c>
      <x:c r="F26" s="4" t="str">
        <x:v>Gene Howe WMA</x:v>
      </x:c>
      <x:c r="G26" s="4" t="str">
        <x:v>Panhandle / Rolling Plains</x:v>
      </x:c>
      <x:c r="H26" s="4" t="str">
        <x:v>Gun Deer - Either Sex</x:v>
      </x:c>
      <x:c r="I26" s="4" t="str">
        <x:v>Yes</x:v>
      </x:c>
      <x:c r="J26" s="4" t="str">
        <x:v>Yes</x:v>
      </x:c>
      <x:c r="K26" s="24" t="str">
        <x:v>2026-09-15</x:v>
      </x:c>
      <x:c r="L26" s="28" t="n">
        <x:v>130</x:v>
      </x:c>
      <x:c r="M26" s="4"/>
      <x:c r="N26" s="4" t="str">
        <x:v>Apply every year</x:v>
      </x:c>
      <x:c r="O26" s="4" t="str">
        <x:v>https://tpwd.texas.gov/huntwild/hunt/public/public_hunt_drawing/hunt-category-details.phtml?OCat=GDE</x:v>
      </x:c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  <x:c r="AA26" s="4"/>
      <x:c r="AB26" s="4"/>
      <x:c r="AC26" s="4"/>
      <x:c r="AD26" s="4"/>
      <x:c r="AE26" s="4"/>
    </x:row>
    <x:row r="27">
      <x:c r="A27" s="4" t="n">
        <x:v>26</x:v>
      </x:c>
      <x:c r="B27" s="4" t="str">
        <x:v>No</x:v>
      </x:c>
      <x:c r="C27" s="4" t="n">
        <x:v>2.9</x:v>
      </x:c>
      <x:c r="D27" s="4" t="str">
        <x:v>A</x:v>
      </x:c>
      <x:c r="E27" s="4" t="str">
        <x:v>Whitetail Deer</x:v>
      </x:c>
      <x:c r="F27" s="4" t="str">
        <x:v>Matador WMA</x:v>
      </x:c>
      <x:c r="G27" s="4" t="str">
        <x:v>Panhandle / Rolling Plains</x:v>
      </x:c>
      <x:c r="H27" s="4" t="str">
        <x:v>Gun Deer - Either Sex</x:v>
      </x:c>
      <x:c r="I27" s="4" t="str">
        <x:v>Yes</x:v>
      </x:c>
      <x:c r="J27" s="4" t="str">
        <x:v>Yes</x:v>
      </x:c>
      <x:c r="K27" s="24" t="str">
        <x:v>2026-09-15</x:v>
      </x:c>
      <x:c r="L27" s="4" t="n">
        <x:v>130</x:v>
      </x:c>
      <x:c r="M27" s="4"/>
      <x:c r="N27" s="4" t="str">
        <x:v>Apply every year</x:v>
      </x:c>
      <x:c r="O27" s="4" t="str">
        <x:v>https://tpwd.texas.gov/huntwild/hunt/public/public_hunt_drawing/hunt-category-details.phtml?OCat=GDE</x:v>
      </x:c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  <x:c r="AA27" s="4"/>
      <x:c r="AB27" s="4"/>
      <x:c r="AC27" s="4"/>
      <x:c r="AD27" s="4"/>
      <x:c r="AE27" s="4"/>
    </x:row>
    <x:row r="28">
      <x:c r="A28" s="4" t="n">
        <x:v>27</x:v>
      </x:c>
      <x:c r="B28" s="4" t="str">
        <x:v>No</x:v>
      </x:c>
      <x:c r="C28" s="4" t="n">
        <x:v>2.9</x:v>
      </x:c>
      <x:c r="D28" s="4" t="str">
        <x:v>A</x:v>
      </x:c>
      <x:c r="E28" s="4" t="str">
        <x:v>Whitetail Deer</x:v>
      </x:c>
      <x:c r="F28" s="4" t="str">
        <x:v>Roger Fawcett WMA</x:v>
      </x:c>
      <x:c r="G28" s="4" t="str">
        <x:v>West-Central Texas</x:v>
      </x:c>
      <x:c r="H28" s="4" t="str">
        <x:v>Youth Gun Deer - Antlerless/Spike</x:v>
      </x:c>
      <x:c r="I28" s="4" t="str">
        <x:v>No</x:v>
      </x:c>
      <x:c r="J28" s="4" t="str">
        <x:v>Yes</x:v>
      </x:c>
      <x:c r="K28" s="24" t="str">
        <x:v>2026-09-15</x:v>
      </x:c>
      <x:c r="L28" s="4" t="n">
        <x:v>300</x:v>
      </x:c>
      <x:c r="M28" s="4"/>
      <x:c r="N28" s="4" t="str">
        <x:v>Youth priority — apply</x:v>
      </x:c>
      <x:c r="O28" s="4" t="str">
        <x:v>https://tpwd.texas.gov/huntwild/hunt/public/public_hunt_drawing/hunt-category-details.phtml?OCat=YDA</x:v>
      </x:c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  <x:c r="AA28" s="4"/>
      <x:c r="AB28" s="4"/>
      <x:c r="AC28" s="4"/>
      <x:c r="AD28" s="4"/>
      <x:c r="AE28" s="4"/>
    </x:row>
    <x:row r="29">
      <x:c r="A29" s="4" t="n">
        <x:v>28</x:v>
      </x:c>
      <x:c r="B29" s="4" t="str">
        <x:v>No</x:v>
      </x:c>
      <x:c r="C29" s="4" t="n">
        <x:v>2.9</x:v>
      </x:c>
      <x:c r="D29" s="4" t="str">
        <x:v>A</x:v>
      </x:c>
      <x:c r="E29" s="4" t="str">
        <x:v>Whitetail Deer</x:v>
      </x:c>
      <x:c r="F29" s="4" t="str">
        <x:v>San Angelo SP</x:v>
      </x:c>
      <x:c r="G29" s="4" t="str">
        <x:v>West-Central Texas</x:v>
      </x:c>
      <x:c r="H29" s="4" t="str">
        <x:v>Youth Gun Deer - Antlerless/Spike</x:v>
      </x:c>
      <x:c r="I29" s="4" t="str">
        <x:v>No</x:v>
      </x:c>
      <x:c r="J29" s="4" t="str">
        <x:v>Yes</x:v>
      </x:c>
      <x:c r="K29" s="24" t="str">
        <x:v>2026-09-15</x:v>
      </x:c>
      <x:c r="L29" s="4" t="n">
        <x:v>300</x:v>
      </x:c>
      <x:c r="M29" s="4"/>
      <x:c r="N29" s="4" t="str">
        <x:v>Youth priority — apply</x:v>
      </x:c>
      <x:c r="O29" s="4" t="str">
        <x:v>https://tpwd.texas.gov/huntwild/hunt/public/public_hunt_drawing/hunt-category-details.phtml?OCat=YDA</x:v>
      </x:c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  <x:c r="AA29" s="4"/>
      <x:c r="AB29" s="4"/>
      <x:c r="AC29" s="4"/>
      <x:c r="AD29" s="4"/>
      <x:c r="AE29" s="4"/>
    </x:row>
    <x:row r="30">
      <x:c r="A30" s="4" t="n">
        <x:v>29</x:v>
      </x:c>
      <x:c r="B30" s="4" t="str">
        <x:v>No</x:v>
      </x:c>
      <x:c r="C30" s="4" t="n">
        <x:v>2.9</x:v>
      </x:c>
      <x:c r="D30" s="4" t="str">
        <x:v>A</x:v>
      </x:c>
      <x:c r="E30" s="4" t="str">
        <x:v>Whitetail Deer</x:v>
      </x:c>
      <x:c r="F30" s="4" t="str">
        <x:v>Teacup Mountain WMA</x:v>
      </x:c>
      <x:c r="G30" s="4" t="str">
        <x:v>Panhandle / Rolling Plains</x:v>
      </x:c>
      <x:c r="H30" s="4" t="str">
        <x:v>Gun Deer - Either Sex</x:v>
      </x:c>
      <x:c r="I30" s="4" t="str">
        <x:v>Yes</x:v>
      </x:c>
      <x:c r="J30" s="4" t="str">
        <x:v>Yes</x:v>
      </x:c>
      <x:c r="K30" s="24" t="str">
        <x:v>2026-09-15</x:v>
      </x:c>
      <x:c r="L30" s="4" t="n">
        <x:v>130</x:v>
      </x:c>
      <x:c r="M30" s="4"/>
      <x:c r="N30" s="4" t="str">
        <x:v>Apply every year</x:v>
      </x:c>
      <x:c r="O30" s="4" t="str">
        <x:v>https://tpwd.texas.gov/huntwild/hunt/public/public_hunt_drawing/hunt-category-details.phtml?OCat=GDE</x:v>
      </x:c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  <x:c r="AA30" s="4"/>
      <x:c r="AB30" s="4"/>
      <x:c r="AC30" s="4"/>
      <x:c r="AD30" s="4"/>
      <x:c r="AE30" s="4"/>
    </x:row>
    <x:row r="31">
      <x:c r="A31" s="4" t="n">
        <x:v>30</x:v>
      </x:c>
      <x:c r="B31" s="4" t="str">
        <x:v>No</x:v>
      </x:c>
      <x:c r="C31" s="4" t="n">
        <x:v>2.9</x:v>
      </x:c>
      <x:c r="D31" s="4" t="str">
        <x:v>A</x:v>
      </x:c>
      <x:c r="E31" s="4" t="str">
        <x:v>Mule Deer</x:v>
      </x:c>
      <x:c r="F31" s="4" t="str">
        <x:v>Caprock Canyons SP</x:v>
      </x:c>
      <x:c r="G31" s="4" t="str">
        <x:v>Panhandle / Rolling Plains</x:v>
      </x:c>
      <x:c r="H31" s="4" t="str">
        <x:v>Gun Mule Deer</x:v>
      </x:c>
      <x:c r="I31" s="4" t="str">
        <x:v>Yes</x:v>
      </x:c>
      <x:c r="J31" s="4" t="str">
        <x:v>Yes</x:v>
      </x:c>
      <x:c r="K31" s="24" t="str">
        <x:v>2026-10-01</x:v>
      </x:c>
      <x:c r="L31" s="4" t="n">
        <x:v>130</x:v>
      </x:c>
      <x:c r="M31" s="4"/>
      <x:c r="N31" s="4" t="str">
        <x:v>Apply every year</x:v>
      </x:c>
      <x:c r="O31" s="4" t="str">
        <x:v>https://tpwd.texas.gov/huntwild/hunt/public/public_hunt_drawing/hunt-category-details.phtml?OCat=MDG</x:v>
      </x:c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  <x:c r="AA31" s="4"/>
      <x:c r="AB31" s="4"/>
      <x:c r="AC31" s="4"/>
      <x:c r="AD31" s="4"/>
      <x:c r="AE31" s="4"/>
    </x:row>
    <x:row r="32">
      <x:c r="A32" s="4" t="n">
        <x:v>31</x:v>
      </x:c>
      <x:c r="B32" s="4" t="str">
        <x:v>No</x:v>
      </x:c>
      <x:c r="C32" s="4" t="n">
        <x:v>2.9</x:v>
      </x:c>
      <x:c r="D32" s="4" t="str">
        <x:v>A</x:v>
      </x:c>
      <x:c r="E32" s="4" t="str">
        <x:v>Mule Deer</x:v>
      </x:c>
      <x:c r="F32" s="4" t="str">
        <x:v>Gene Howe WMA</x:v>
      </x:c>
      <x:c r="G32" s="4" t="str">
        <x:v>Panhandle / Rolling Plains</x:v>
      </x:c>
      <x:c r="H32" s="4" t="str">
        <x:v>Gun Mule Deer</x:v>
      </x:c>
      <x:c r="I32" s="4" t="str">
        <x:v>Yes</x:v>
      </x:c>
      <x:c r="J32" s="4" t="str">
        <x:v>Yes</x:v>
      </x:c>
      <x:c r="K32" s="24" t="str">
        <x:v>2026-10-01</x:v>
      </x:c>
      <x:c r="L32" s="4" t="n">
        <x:v>130</x:v>
      </x:c>
      <x:c r="M32" s="4"/>
      <x:c r="N32" s="4" t="str">
        <x:v>Apply every year</x:v>
      </x:c>
      <x:c r="O32" s="4" t="str">
        <x:v>https://tpwd.texas.gov/huntwild/hunt/public/public_hunt_drawing/hunt-category-details.phtml?OCat=MDG</x:v>
      </x:c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  <x:c r="AA32" s="4"/>
      <x:c r="AB32" s="4"/>
      <x:c r="AC32" s="4"/>
      <x:c r="AD32" s="4"/>
      <x:c r="AE32" s="4"/>
    </x:row>
    <x:row r="33">
      <x:c r="A33" s="4" t="n">
        <x:v>32</x:v>
      </x:c>
      <x:c r="B33" s="4" t="str">
        <x:v>No</x:v>
      </x:c>
      <x:c r="C33" s="4" t="n">
        <x:v>2.9</x:v>
      </x:c>
      <x:c r="D33" s="4" t="str">
        <x:v>A</x:v>
      </x:c>
      <x:c r="E33" s="4" t="str">
        <x:v>Mule Deer</x:v>
      </x:c>
      <x:c r="F33" s="4" t="str">
        <x:v>Matador WMA</x:v>
      </x:c>
      <x:c r="G33" s="4" t="str">
        <x:v>Panhandle / Rolling Plains</x:v>
      </x:c>
      <x:c r="H33" s="4" t="str">
        <x:v>Gun Mule Deer</x:v>
      </x:c>
      <x:c r="I33" s="4" t="str">
        <x:v>Yes</x:v>
      </x:c>
      <x:c r="J33" s="4" t="str">
        <x:v>Yes</x:v>
      </x:c>
      <x:c r="K33" s="24" t="str">
        <x:v>2026-10-01</x:v>
      </x:c>
      <x:c r="L33" s="4" t="n">
        <x:v>130</x:v>
      </x:c>
      <x:c r="M33" s="4"/>
      <x:c r="N33" s="4" t="str">
        <x:v>Apply every year</x:v>
      </x:c>
      <x:c r="O33" s="4" t="str">
        <x:v>https://tpwd.texas.gov/huntwild/hunt/public/public_hunt_drawing/hunt-category-details.phtml?OCat=MDG</x:v>
      </x:c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  <x:c r="AA33" s="4"/>
      <x:c r="AB33" s="4"/>
      <x:c r="AC33" s="4"/>
      <x:c r="AD33" s="4"/>
      <x:c r="AE33" s="4"/>
    </x:row>
    <x:row r="34">
      <x:c r="A34" s="4" t="n">
        <x:v>33</x:v>
      </x:c>
      <x:c r="B34" s="4" t="str">
        <x:v>No</x:v>
      </x:c>
      <x:c r="C34" s="4" t="n">
        <x:v>2.9</x:v>
      </x:c>
      <x:c r="D34" s="4" t="str">
        <x:v>A</x:v>
      </x:c>
      <x:c r="E34" s="4" t="str">
        <x:v>Mule Deer</x:v>
      </x:c>
      <x:c r="F34" s="4" t="str">
        <x:v>Yoakum Dunes WMA</x:v>
      </x:c>
      <x:c r="G34" s="4" t="str">
        <x:v>Panhandle / Rolling Plains</x:v>
      </x:c>
      <x:c r="H34" s="4" t="str">
        <x:v>Gun Mule Deer</x:v>
      </x:c>
      <x:c r="I34" s="4" t="str">
        <x:v>Yes</x:v>
      </x:c>
      <x:c r="J34" s="4" t="str">
        <x:v>Yes</x:v>
      </x:c>
      <x:c r="K34" s="24" t="str">
        <x:v>2026-10-01</x:v>
      </x:c>
      <x:c r="L34" s="4" t="n">
        <x:v>130</x:v>
      </x:c>
      <x:c r="M34" s="4"/>
      <x:c r="N34" s="4" t="str">
        <x:v>Apply every year</x:v>
      </x:c>
      <x:c r="O34" s="4" t="str">
        <x:v>https://tpwd.texas.gov/huntwild/hunt/public/public_hunt_drawing/hunt-category-details.phtml?OCat=MDG</x:v>
      </x:c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  <x:c r="AA34" s="4"/>
      <x:c r="AB34" s="4"/>
      <x:c r="AC34" s="4"/>
      <x:c r="AD34" s="4"/>
      <x:c r="AE34" s="4"/>
    </x:row>
    <x:row r="35">
      <x:c r="A35" s="4" t="n">
        <x:v>34</x:v>
      </x:c>
      <x:c r="B35" s="4" t="str">
        <x:v>No</x:v>
      </x:c>
      <x:c r="C35" s="4" t="n">
        <x:v>2.7</x:v>
      </x:c>
      <x:c r="D35" s="4" t="str">
        <x:v>A</x:v>
      </x:c>
      <x:c r="E35" s="4" t="str">
        <x:v>Mule Deer</x:v>
      </x:c>
      <x:c r="F35" s="4" t="str">
        <x:v>Big Bend Ranch SP</x:v>
      </x:c>
      <x:c r="G35" s="4" t="str">
        <x:v>Trans-Pecos / West Texas</x:v>
      </x:c>
      <x:c r="H35" s="4" t="str">
        <x:v>Youth Gun Deer - Either Sex</x:v>
      </x:c>
      <x:c r="I35" s="4" t="str">
        <x:v>No</x:v>
      </x:c>
      <x:c r="J35" s="4" t="str">
        <x:v>Yes</x:v>
      </x:c>
      <x:c r="K35" s="24" t="str">
        <x:v>2026-09-01</x:v>
      </x:c>
      <x:c r="L35" s="4" t="n">
        <x:v>520</x:v>
      </x:c>
      <x:c r="M35" s="4"/>
      <x:c r="N35" s="4" t="str">
        <x:v>Youth priority — apply</x:v>
      </x:c>
      <x:c r="O35" s="4" t="str">
        <x:v>https://tpwd.texas.gov/huntwild/hunt/public/public_hunt_drawing/hunt-category-details.phtml?OCat=YDE</x:v>
      </x:c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  <x:c r="AA35" s="4"/>
      <x:c r="AB35" s="4"/>
      <x:c r="AC35" s="4"/>
      <x:c r="AD35" s="4"/>
      <x:c r="AE35" s="4"/>
    </x:row>
    <x:row r="36">
      <x:c r="A36" s="4" t="n">
        <x:v>35</x:v>
      </x:c>
      <x:c r="B36" s="4" t="str">
        <x:v>No</x:v>
      </x:c>
      <x:c r="C36" s="4" t="n">
        <x:v>2.7</x:v>
      </x:c>
      <x:c r="D36" s="4" t="str">
        <x:v>A</x:v>
      </x:c>
      <x:c r="E36" s="4" t="str">
        <x:v>Whitetail Deer</x:v>
      </x:c>
      <x:c r="F36" s="4" t="str">
        <x:v>Cooper WMA</x:v>
      </x:c>
      <x:c r="G36" s="4" t="str">
        <x:v>North Texas / DFW</x:v>
      </x:c>
      <x:c r="H36" s="4" t="str">
        <x:v>Youth Gun Deer - Either Sex</x:v>
      </x:c>
      <x:c r="I36" s="4" t="str">
        <x:v>No</x:v>
      </x:c>
      <x:c r="J36" s="4" t="str">
        <x:v>Yes</x:v>
      </x:c>
      <x:c r="K36" s="24" t="str">
        <x:v>2026-09-01</x:v>
      </x:c>
      <x:c r="L36" s="4" t="n">
        <x:v>360</x:v>
      </x:c>
      <x:c r="M36" s="4"/>
      <x:c r="N36" s="4" t="str">
        <x:v>Youth priority — apply</x:v>
      </x:c>
      <x:c r="O36" s="4" t="str">
        <x:v>https://tpwd.texas.gov/huntwild/hunt/public/public_hunt_drawing/hunt-category-details.phtml?OCat=YDE</x:v>
      </x:c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  <x:c r="AA36" s="4"/>
      <x:c r="AB36" s="4"/>
      <x:c r="AC36" s="4"/>
      <x:c r="AD36" s="4"/>
      <x:c r="AE36" s="4"/>
    </x:row>
    <x:row r="37">
      <x:c r="A37" s="4" t="n">
        <x:v>36</x:v>
      </x:c>
      <x:c r="B37" s="4" t="str">
        <x:v>No</x:v>
      </x:c>
      <x:c r="C37" s="4" t="n">
        <x:v>2.7</x:v>
      </x:c>
      <x:c r="D37" s="4" t="str">
        <x:v>A</x:v>
      </x:c>
      <x:c r="E37" s="4" t="str">
        <x:v>Whitetail Deer</x:v>
      </x:c>
      <x:c r="F37" s="4" t="str">
        <x:v>Devils River SNA - Dan Allen Hughes</x:v>
      </x:c>
      <x:c r="G37" s="4" t="str">
        <x:v>Trans-Pecos / West Texas</x:v>
      </x:c>
      <x:c r="H37" s="4" t="str">
        <x:v>Youth Gun Deer - Either Sex</x:v>
      </x:c>
      <x:c r="I37" s="4" t="str">
        <x:v>No</x:v>
      </x:c>
      <x:c r="J37" s="4" t="str">
        <x:v>Yes</x:v>
      </x:c>
      <x:c r="K37" s="24" t="str">
        <x:v>2026-09-01</x:v>
      </x:c>
      <x:c r="L37" s="4" t="n">
        <x:v>520</x:v>
      </x:c>
      <x:c r="M37" s="4"/>
      <x:c r="N37" s="4" t="str">
        <x:v>Youth priority — apply</x:v>
      </x:c>
      <x:c r="O37" s="4" t="str">
        <x:v>https://tpwd.texas.gov/huntwild/hunt/public/public_hunt_drawing/hunt-category-details.phtml?OCat=YDE</x:v>
      </x:c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  <x:c r="AA37" s="4"/>
      <x:c r="AB37" s="4"/>
      <x:c r="AC37" s="4"/>
      <x:c r="AD37" s="4"/>
      <x:c r="AE37" s="4"/>
    </x:row>
    <x:row r="38">
      <x:c r="A38" s="4" t="n">
        <x:v>37</x:v>
      </x:c>
      <x:c r="B38" s="4" t="str">
        <x:v>No</x:v>
      </x:c>
      <x:c r="C38" s="4" t="n">
        <x:v>2.7</x:v>
      </x:c>
      <x:c r="D38" s="4" t="str">
        <x:v>A</x:v>
      </x:c>
      <x:c r="E38" s="4" t="str">
        <x:v>Whitetail Deer</x:v>
      </x:c>
      <x:c r="F38" s="4" t="str">
        <x:v>Lake Mineral Wells SP</x:v>
      </x:c>
      <x:c r="G38" s="4" t="str">
        <x:v>North Texas / DFW</x:v>
      </x:c>
      <x:c r="H38" s="4" t="str">
        <x:v>Youth Gun Deer - Either Sex</x:v>
      </x:c>
      <x:c r="I38" s="4" t="str">
        <x:v>No</x:v>
      </x:c>
      <x:c r="J38" s="4" t="str">
        <x:v>Yes</x:v>
      </x:c>
      <x:c r="K38" s="24" t="str">
        <x:v>2026-09-01</x:v>
      </x:c>
      <x:c r="L38" s="4" t="n">
        <x:v>360</x:v>
      </x:c>
      <x:c r="M38" s="4"/>
      <x:c r="N38" s="4" t="str">
        <x:v>Youth priority — apply</x:v>
      </x:c>
      <x:c r="O38" s="4" t="str">
        <x:v>https://tpwd.texas.gov/huntwild/hunt/public/public_hunt_drawing/hunt-category-details.phtml?OCat=YDE</x:v>
      </x:c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</x:row>
    <x:row r="39">
      <x:c r="A39" s="4" t="n">
        <x:v>38</x:v>
      </x:c>
      <x:c r="B39" s="4" t="str">
        <x:v>No</x:v>
      </x:c>
      <x:c r="C39" s="4" t="n">
        <x:v>2.7</x:v>
      </x:c>
      <x:c r="D39" s="4" t="str">
        <x:v>A</x:v>
      </x:c>
      <x:c r="E39" s="4" t="str">
        <x:v>Whitetail Deer</x:v>
      </x:c>
      <x:c r="F39" s="4" t="str">
        <x:v>Caddo National Grasslands WMA - Bois d'Arc Unit</x:v>
      </x:c>
      <x:c r="G39" s="4" t="str">
        <x:v>North Texas / DFW</x:v>
      </x:c>
      <x:c r="H39" s="4" t="str">
        <x:v>USFS Antlerless Deer Permit - Youth</x:v>
      </x:c>
      <x:c r="I39" s="4" t="str">
        <x:v>No</x:v>
      </x:c>
      <x:c r="J39" s="4" t="str">
        <x:v>Yes</x:v>
      </x:c>
      <x:c r="K39" s="24" t="str">
        <x:v>2026-09-15</x:v>
      </x:c>
      <x:c r="L39" s="4" t="n">
        <x:v>360</x:v>
      </x:c>
      <x:c r="M39" s="4"/>
      <x:c r="N39" s="4" t="str">
        <x:v>Youth priority — apply</x:v>
      </x:c>
      <x:c r="O39" s="4" t="str">
        <x:v>https://tpwd.texas.gov/huntwild/hunt/public/public_hunt_drawing/hunt-category-details.phtml?OCat=FSY</x:v>
      </x:c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  <x:c r="AA39" s="4"/>
      <x:c r="AB39" s="4"/>
      <x:c r="AC39" s="4"/>
      <x:c r="AD39" s="4"/>
      <x:c r="AE39" s="4"/>
    </x:row>
    <x:row r="40">
      <x:c r="A40" s="4" t="n">
        <x:v>39</x:v>
      </x:c>
      <x:c r="B40" s="4" t="str">
        <x:v>No</x:v>
      </x:c>
      <x:c r="C40" s="4" t="n">
        <x:v>2.7</x:v>
      </x:c>
      <x:c r="D40" s="4" t="str">
        <x:v>A</x:v>
      </x:c>
      <x:c r="E40" s="4" t="str">
        <x:v>Whitetail Deer</x:v>
      </x:c>
      <x:c r="F40" s="4" t="str">
        <x:v>Caddo National Grasslands WMA - Ladonia Unit</x:v>
      </x:c>
      <x:c r="G40" s="4" t="str">
        <x:v>North Texas / DFW</x:v>
      </x:c>
      <x:c r="H40" s="4" t="str">
        <x:v>USFS Antlerless Deer Permit - Youth</x:v>
      </x:c>
      <x:c r="I40" s="4" t="str">
        <x:v>No</x:v>
      </x:c>
      <x:c r="J40" s="4" t="str">
        <x:v>Yes</x:v>
      </x:c>
      <x:c r="K40" s="24" t="str">
        <x:v>2026-09-15</x:v>
      </x:c>
      <x:c r="L40" s="4" t="n">
        <x:v>360</x:v>
      </x:c>
      <x:c r="M40" s="4"/>
      <x:c r="N40" s="4" t="str">
        <x:v>Youth priority — apply</x:v>
      </x:c>
      <x:c r="O40" s="4" t="str">
        <x:v>https://tpwd.texas.gov/huntwild/hunt/public/public_hunt_drawing/hunt-category-details.phtml?OCat=FSY</x:v>
      </x:c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  <x:c r="AA40" s="4"/>
      <x:c r="AB40" s="4"/>
      <x:c r="AC40" s="4"/>
      <x:c r="AD40" s="4"/>
      <x:c r="AE40" s="4"/>
    </x:row>
    <x:row r="41">
      <x:c r="A41" s="4" t="n">
        <x:v>40</x:v>
      </x:c>
      <x:c r="B41" s="4" t="str">
        <x:v>No</x:v>
      </x:c>
      <x:c r="C41" s="4" t="n">
        <x:v>2.7</x:v>
      </x:c>
      <x:c r="D41" s="4" t="str">
        <x:v>A</x:v>
      </x:c>
      <x:c r="E41" s="4" t="str">
        <x:v>Whitetail Deer</x:v>
      </x:c>
      <x:c r="F41" s="4" t="str">
        <x:v>Cooper Lake State Park</x:v>
      </x:c>
      <x:c r="G41" s="4" t="str">
        <x:v>North Texas / DFW</x:v>
      </x:c>
      <x:c r="H41" s="4" t="str">
        <x:v>Youth Gun Deer - Antlerless/Spike</x:v>
      </x:c>
      <x:c r="I41" s="4" t="str">
        <x:v>No</x:v>
      </x:c>
      <x:c r="J41" s="4" t="str">
        <x:v>Yes</x:v>
      </x:c>
      <x:c r="K41" s="24" t="str">
        <x:v>2026-09-15</x:v>
      </x:c>
      <x:c r="L41" s="4" t="n">
        <x:v>360</x:v>
      </x:c>
      <x:c r="M41" s="4"/>
      <x:c r="N41" s="4" t="str">
        <x:v>Youth priority — apply</x:v>
      </x:c>
      <x:c r="O41" s="4" t="str">
        <x:v>https://tpwd.texas.gov/huntwild/hunt/public/public_hunt_drawing/hunt-category-details.phtml?OCat=YDA</x:v>
      </x:c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  <x:c r="AA41" s="4"/>
      <x:c r="AB41" s="4"/>
      <x:c r="AC41" s="4"/>
      <x:c r="AD41" s="4"/>
      <x:c r="AE41" s="4"/>
    </x:row>
    <x:row r="42">
      <x:c r="A42" s="4" t="n">
        <x:v>41</x:v>
      </x:c>
      <x:c r="B42" s="4" t="str">
        <x:v>No</x:v>
      </x:c>
      <x:c r="C42" s="4" t="n">
        <x:v>2.7</x:v>
      </x:c>
      <x:c r="D42" s="4" t="str">
        <x:v>A</x:v>
      </x:c>
      <x:c r="E42" s="4" t="str">
        <x:v>Mule Deer</x:v>
      </x:c>
      <x:c r="F42" s="4" t="str">
        <x:v>Elephant Mountain WMA</x:v>
      </x:c>
      <x:c r="G42" s="4" t="str">
        <x:v>Trans-Pecos / West Texas</x:v>
      </x:c>
      <x:c r="H42" s="4" t="str">
        <x:v>Youth Gun Deer - Management</x:v>
      </x:c>
      <x:c r="I42" s="4" t="str">
        <x:v>No</x:v>
      </x:c>
      <x:c r="J42" s="4" t="str">
        <x:v>Yes</x:v>
      </x:c>
      <x:c r="K42" s="24" t="str">
        <x:v>2026-09-15</x:v>
      </x:c>
      <x:c r="L42" s="4" t="n">
        <x:v>520</x:v>
      </x:c>
      <x:c r="M42" s="4"/>
      <x:c r="N42" s="4" t="str">
        <x:v>Youth priority — apply</x:v>
      </x:c>
      <x:c r="O42" s="4" t="str">
        <x:v>https://tpwd.texas.gov/huntwild/hunt/public/public_hunt_drawing/hunt-category-details.phtml?OCat=YDM</x:v>
      </x:c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  <x:c r="AA42" s="4"/>
      <x:c r="AB42" s="4"/>
      <x:c r="AC42" s="4"/>
      <x:c r="AD42" s="4"/>
      <x:c r="AE42" s="4"/>
    </x:row>
    <x:row r="43">
      <x:c r="A43" s="4" t="n">
        <x:v>42</x:v>
      </x:c>
      <x:c r="B43" s="4" t="str">
        <x:v>No</x:v>
      </x:c>
      <x:c r="C43" s="4" t="n">
        <x:v>2.7</x:v>
      </x:c>
      <x:c r="D43" s="4" t="str">
        <x:v>A</x:v>
      </x:c>
      <x:c r="E43" s="4" t="str">
        <x:v>Whitetail Deer</x:v>
      </x:c>
      <x:c r="F43" s="4" t="str">
        <x:v>Lake Tawakoni State Park</x:v>
      </x:c>
      <x:c r="G43" s="4" t="str">
        <x:v>North Texas / DFW</x:v>
      </x:c>
      <x:c r="H43" s="4" t="str">
        <x:v>Youth Gun Deer - Antlerless/Spike</x:v>
      </x:c>
      <x:c r="I43" s="4" t="str">
        <x:v>No</x:v>
      </x:c>
      <x:c r="J43" s="4" t="str">
        <x:v>Yes</x:v>
      </x:c>
      <x:c r="K43" s="24" t="str">
        <x:v>2026-09-15</x:v>
      </x:c>
      <x:c r="L43" s="4" t="n">
        <x:v>360</x:v>
      </x:c>
      <x:c r="M43" s="4"/>
      <x:c r="N43" s="4" t="str">
        <x:v>Youth priority — apply</x:v>
      </x:c>
      <x:c r="O43" s="4" t="str">
        <x:v>https://tpwd.texas.gov/huntwild/hunt/public/public_hunt_drawing/hunt-category-details.phtml?OCat=YDA</x:v>
      </x:c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  <x:c r="AA43" s="4"/>
      <x:c r="AB43" s="4"/>
      <x:c r="AC43" s="4"/>
      <x:c r="AD43" s="4"/>
      <x:c r="AE43" s="4"/>
    </x:row>
    <x:row r="44">
      <x:c r="A44" s="4" t="n">
        <x:v>43</x:v>
      </x:c>
      <x:c r="B44" s="4" t="str">
        <x:v>No</x:v>
      </x:c>
      <x:c r="C44" s="4" t="n">
        <x:v>2.7</x:v>
      </x:c>
      <x:c r="D44" s="4" t="str">
        <x:v>A</x:v>
      </x:c>
      <x:c r="E44" s="4" t="str">
        <x:v>Whitetail Deer</x:v>
      </x:c>
      <x:c r="F44" s="4" t="str">
        <x:v>Ray Roberts Lake State Park - Isle du Bois</x:v>
      </x:c>
      <x:c r="G44" s="4" t="str">
        <x:v>North Texas / DFW</x:v>
      </x:c>
      <x:c r="H44" s="4" t="str">
        <x:v>Youth Gun Deer - Antlerless/Spike</x:v>
      </x:c>
      <x:c r="I44" s="4" t="str">
        <x:v>No</x:v>
      </x:c>
      <x:c r="J44" s="4" t="str">
        <x:v>Yes</x:v>
      </x:c>
      <x:c r="K44" s="24" t="str">
        <x:v>2026-09-15</x:v>
      </x:c>
      <x:c r="L44" s="4" t="n">
        <x:v>360</x:v>
      </x:c>
      <x:c r="M44" s="4"/>
      <x:c r="N44" s="4" t="str">
        <x:v>Youth priority — apply</x:v>
      </x:c>
      <x:c r="O44" s="4" t="str">
        <x:v>https://tpwd.texas.gov/huntwild/hunt/public/public_hunt_drawing/hunt-category-details.phtml?OCat=YDA</x:v>
      </x:c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  <x:c r="AA44" s="4"/>
      <x:c r="AB44" s="4"/>
      <x:c r="AC44" s="4"/>
      <x:c r="AD44" s="4"/>
      <x:c r="AE44" s="4"/>
    </x:row>
    <x:row r="45">
      <x:c r="A45" s="4" t="n">
        <x:v>44</x:v>
      </x:c>
      <x:c r="B45" s="4" t="str">
        <x:v>No</x:v>
      </x:c>
      <x:c r="C45" s="4" t="n">
        <x:v>2.7</x:v>
      </x:c>
      <x:c r="D45" s="4" t="str">
        <x:v>A</x:v>
      </x:c>
      <x:c r="E45" s="4" t="str">
        <x:v>Mule Deer</x:v>
      </x:c>
      <x:c r="F45" s="4" t="str">
        <x:v>Sierra Diablo WMA</x:v>
      </x:c>
      <x:c r="G45" s="4" t="str">
        <x:v>Trans-Pecos / West Texas</x:v>
      </x:c>
      <x:c r="H45" s="4" t="str">
        <x:v>Youth Gun Deer - Management</x:v>
      </x:c>
      <x:c r="I45" s="4" t="str">
        <x:v>No</x:v>
      </x:c>
      <x:c r="J45" s="4" t="str">
        <x:v>Yes</x:v>
      </x:c>
      <x:c r="K45" s="24" t="str">
        <x:v>2026-09-15</x:v>
      </x:c>
      <x:c r="L45" s="4" t="n">
        <x:v>520</x:v>
      </x:c>
      <x:c r="M45" s="4"/>
      <x:c r="N45" s="4" t="str">
        <x:v>Youth priority — apply</x:v>
      </x:c>
      <x:c r="O45" s="4" t="str">
        <x:v>https://tpwd.texas.gov/huntwild/hunt/public/public_hunt_drawing/hunt-category-details.phtml?OCat=YDM</x:v>
      </x:c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  <x:c r="AA45" s="4"/>
      <x:c r="AB45" s="4"/>
      <x:c r="AC45" s="4"/>
      <x:c r="AD45" s="4"/>
      <x:c r="AE45" s="4"/>
    </x:row>
    <x:row r="46">
      <x:c r="A46" s="4" t="n">
        <x:v>45</x:v>
      </x:c>
      <x:c r="B46" s="4" t="str">
        <x:v>No</x:v>
      </x:c>
      <x:c r="C46" s="4" t="n">
        <x:v>2.6</x:v>
      </x:c>
      <x:c r="D46" s="4" t="str">
        <x:v>A</x:v>
      </x:c>
      <x:c r="E46" s="4" t="str">
        <x:v>Whitetail Deer</x:v>
      </x:c>
      <x:c r="F46" s="4" t="str">
        <x:v>Abilene SP</x:v>
      </x:c>
      <x:c r="G46" s="4" t="str">
        <x:v>West-Central Texas</x:v>
      </x:c>
      <x:c r="H46" s="4" t="str">
        <x:v>Archery Deer</x:v>
      </x:c>
      <x:c r="I46" s="4" t="str">
        <x:v>Yes</x:v>
      </x:c>
      <x:c r="J46" s="4" t="str">
        <x:v>Yes</x:v>
      </x:c>
      <x:c r="K46" s="24" t="str">
        <x:v>2026-08-15</x:v>
      </x:c>
      <x:c r="L46" s="4" t="n">
        <x:v>300</x:v>
      </x:c>
      <x:c r="M46" s="4"/>
      <x:c r="N46" s="4" t="str">
        <x:v>Apply every year</x:v>
      </x:c>
      <x:c r="O46" s="4" t="str">
        <x:v>https://tpwd.texas.gov/huntwild/hunt/public/public_hunt_drawing/hunt-category-details.phtml?OCat=ADE</x:v>
      </x:c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  <x:c r="AA46" s="4"/>
      <x:c r="AB46" s="4"/>
      <x:c r="AC46" s="4"/>
      <x:c r="AD46" s="4"/>
      <x:c r="AE46" s="4"/>
    </x:row>
    <x:row r="47">
      <x:c r="A47" s="4" t="n">
        <x:v>46</x:v>
      </x:c>
      <x:c r="B47" s="4" t="str">
        <x:v>No</x:v>
      </x:c>
      <x:c r="C47" s="4" t="n">
        <x:v>2.6</x:v>
      </x:c>
      <x:c r="D47" s="4" t="str">
        <x:v>A</x:v>
      </x:c>
      <x:c r="E47" s="4" t="str">
        <x:v>Whitetail Deer</x:v>
      </x:c>
      <x:c r="F47" s="4" t="str">
        <x:v>Copper Breaks SP</x:v>
      </x:c>
      <x:c r="G47" s="4" t="str">
        <x:v>West-Central Texas</x:v>
      </x:c>
      <x:c r="H47" s="4" t="str">
        <x:v>Archery Deer</x:v>
      </x:c>
      <x:c r="I47" s="4" t="str">
        <x:v>Yes</x:v>
      </x:c>
      <x:c r="J47" s="4" t="str">
        <x:v>Yes</x:v>
      </x:c>
      <x:c r="K47" s="24" t="str">
        <x:v>2026-08-15</x:v>
      </x:c>
      <x:c r="L47" s="4" t="n">
        <x:v>300</x:v>
      </x:c>
      <x:c r="M47" s="4"/>
      <x:c r="N47" s="4" t="str">
        <x:v>Apply every year</x:v>
      </x:c>
      <x:c r="O47" s="4" t="str">
        <x:v>https://tpwd.texas.gov/huntwild/hunt/public/public_hunt_drawing/hunt-category-details.phtml?OCat=ADE</x:v>
      </x:c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  <x:c r="AA47" s="4"/>
      <x:c r="AB47" s="4"/>
      <x:c r="AC47" s="4"/>
      <x:c r="AD47" s="4"/>
      <x:c r="AE47" s="4"/>
    </x:row>
    <x:row r="48">
      <x:c r="A48" s="4" t="n">
        <x:v>47</x:v>
      </x:c>
      <x:c r="B48" s="4" t="str">
        <x:v>No</x:v>
      </x:c>
      <x:c r="C48" s="4" t="n">
        <x:v>2.6</x:v>
      </x:c>
      <x:c r="D48" s="4" t="str">
        <x:v>A</x:v>
      </x:c>
      <x:c r="E48" s="4" t="str">
        <x:v>Whitetail Deer</x:v>
      </x:c>
      <x:c r="F48" s="4" t="str">
        <x:v>Lake Brownwood SP</x:v>
      </x:c>
      <x:c r="G48" s="4" t="str">
        <x:v>West-Central Texas</x:v>
      </x:c>
      <x:c r="H48" s="4" t="str">
        <x:v>Archery Deer</x:v>
      </x:c>
      <x:c r="I48" s="4" t="str">
        <x:v>Yes</x:v>
      </x:c>
      <x:c r="J48" s="4" t="str">
        <x:v>Yes</x:v>
      </x:c>
      <x:c r="K48" s="24" t="str">
        <x:v>2026-08-15</x:v>
      </x:c>
      <x:c r="L48" s="4" t="n">
        <x:v>300</x:v>
      </x:c>
      <x:c r="M48" s="4"/>
      <x:c r="N48" s="4" t="str">
        <x:v>Apply every year</x:v>
      </x:c>
      <x:c r="O48" s="4" t="str">
        <x:v>https://tpwd.texas.gov/huntwild/hunt/public/public_hunt_drawing/hunt-category-details.phtml?OCat=ADE</x:v>
      </x:c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  <x:c r="AA48" s="4"/>
      <x:c r="AB48" s="4"/>
      <x:c r="AC48" s="4"/>
      <x:c r="AD48" s="4"/>
      <x:c r="AE48" s="4"/>
    </x:row>
    <x:row r="49">
      <x:c r="A49" s="4" t="n">
        <x:v>48</x:v>
      </x:c>
      <x:c r="B49" s="4" t="str">
        <x:v>No</x:v>
      </x:c>
      <x:c r="C49" s="4" t="n">
        <x:v>2.6</x:v>
      </x:c>
      <x:c r="D49" s="4" t="str">
        <x:v>A</x:v>
      </x:c>
      <x:c r="E49" s="4" t="str">
        <x:v>Whitetail Deer</x:v>
      </x:c>
      <x:c r="F49" s="4" t="str">
        <x:v>Roger Fawcett WMA</x:v>
      </x:c>
      <x:c r="G49" s="4" t="str">
        <x:v>West-Central Texas</x:v>
      </x:c>
      <x:c r="H49" s="4" t="str">
        <x:v>Archery Deer</x:v>
      </x:c>
      <x:c r="I49" s="4" t="str">
        <x:v>Yes</x:v>
      </x:c>
      <x:c r="J49" s="4" t="str">
        <x:v>Yes</x:v>
      </x:c>
      <x:c r="K49" s="24" t="str">
        <x:v>2026-08-15</x:v>
      </x:c>
      <x:c r="L49" s="4" t="n">
        <x:v>300</x:v>
      </x:c>
      <x:c r="M49" s="4"/>
      <x:c r="N49" s="4" t="str">
        <x:v>Apply every year</x:v>
      </x:c>
      <x:c r="O49" s="4" t="str">
        <x:v>https://tpwd.texas.gov/huntwild/hunt/public/public_hunt_drawing/hunt-category-details.phtml?OCat=ADE</x:v>
      </x:c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  <x:c r="AA49" s="4"/>
      <x:c r="AB49" s="4"/>
      <x:c r="AC49" s="4"/>
      <x:c r="AD49" s="4"/>
      <x:c r="AE49" s="4"/>
    </x:row>
    <x:row r="50">
      <x:c r="A50" s="4" t="n">
        <x:v>49</x:v>
      </x:c>
      <x:c r="B50" s="4" t="str">
        <x:v>No</x:v>
      </x:c>
      <x:c r="C50" s="4" t="n">
        <x:v>2.6</x:v>
      </x:c>
      <x:c r="D50" s="4" t="str">
        <x:v>A</x:v>
      </x:c>
      <x:c r="E50" s="4" t="str">
        <x:v>Whitetail Deer</x:v>
      </x:c>
      <x:c r="F50" s="4" t="str">
        <x:v>Abilene SP</x:v>
      </x:c>
      <x:c r="G50" s="4" t="str">
        <x:v>West-Central Texas</x:v>
      </x:c>
      <x:c r="H50" s="4" t="str">
        <x:v>Gun Deer - Either Sex</x:v>
      </x:c>
      <x:c r="I50" s="4" t="str">
        <x:v>Yes</x:v>
      </x:c>
      <x:c r="J50" s="4" t="str">
        <x:v>Yes</x:v>
      </x:c>
      <x:c r="K50" s="24" t="str">
        <x:v>2026-09-15</x:v>
      </x:c>
      <x:c r="L50" s="4" t="n">
        <x:v>300</x:v>
      </x:c>
      <x:c r="M50" s="4"/>
      <x:c r="N50" s="4" t="str">
        <x:v>Apply every year</x:v>
      </x:c>
      <x:c r="O50" s="4" t="str">
        <x:v>https://tpwd.texas.gov/huntwild/hunt/public/public_hunt_drawing/hunt-category-details.phtml?OCat=GDE</x:v>
      </x:c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  <x:c r="AA50" s="4"/>
      <x:c r="AB50" s="4"/>
      <x:c r="AC50" s="4"/>
      <x:c r="AD50" s="4"/>
      <x:c r="AE50" s="4"/>
    </x:row>
    <x:row r="51">
      <x:c r="A51" s="4" t="n">
        <x:v>50</x:v>
      </x:c>
      <x:c r="B51" s="4" t="str">
        <x:v>No</x:v>
      </x:c>
      <x:c r="C51" s="4" t="n">
        <x:v>2.6</x:v>
      </x:c>
      <x:c r="D51" s="4" t="str">
        <x:v>A</x:v>
      </x:c>
      <x:c r="E51" s="4" t="str">
        <x:v>Whitetail Deer</x:v>
      </x:c>
      <x:c r="F51" s="4" t="str">
        <x:v>Copper Breaks SP</x:v>
      </x:c>
      <x:c r="G51" s="4" t="str">
        <x:v>West-Central Texas</x:v>
      </x:c>
      <x:c r="H51" s="4" t="str">
        <x:v>Gun Deer - Antlerless/Spike</x:v>
      </x:c>
      <x:c r="I51" s="4" t="str">
        <x:v>Yes</x:v>
      </x:c>
      <x:c r="J51" s="4" t="str">
        <x:v>Yes</x:v>
      </x:c>
      <x:c r="K51" s="24" t="str">
        <x:v>2026-09-15</x:v>
      </x:c>
      <x:c r="L51" s="4" t="n">
        <x:v>300</x:v>
      </x:c>
      <x:c r="M51" s="4"/>
      <x:c r="N51" s="4" t="str">
        <x:v>Apply every year</x:v>
      </x:c>
      <x:c r="O51" s="4" t="str">
        <x:v>https://tpwd.texas.gov/huntwild/hunt/public/public_hunt_drawing/hunt-category-details.phtml?OCat=GDA</x:v>
      </x:c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  <x:c r="AA51" s="4"/>
      <x:c r="AB51" s="4"/>
      <x:c r="AC51" s="4"/>
      <x:c r="AD51" s="4"/>
      <x:c r="AE51" s="4"/>
    </x:row>
    <x:row r="52">
      <x:c r="A52" s="4" t="n">
        <x:v>51</x:v>
      </x:c>
      <x:c r="B52" s="4" t="str">
        <x:v>No</x:v>
      </x:c>
      <x:c r="C52" s="4" t="n">
        <x:v>2.6</x:v>
      </x:c>
      <x:c r="D52" s="4" t="str">
        <x:v>A</x:v>
      </x:c>
      <x:c r="E52" s="4" t="str">
        <x:v>Whitetail Deer</x:v>
      </x:c>
      <x:c r="F52" s="4" t="str">
        <x:v>Lake Brownwood SP</x:v>
      </x:c>
      <x:c r="G52" s="4" t="str">
        <x:v>West-Central Texas</x:v>
      </x:c>
      <x:c r="H52" s="4" t="str">
        <x:v>Gun Deer - Antlerless/Spike</x:v>
      </x:c>
      <x:c r="I52" s="4" t="str">
        <x:v>Yes</x:v>
      </x:c>
      <x:c r="J52" s="4" t="str">
        <x:v>Yes</x:v>
      </x:c>
      <x:c r="K52" s="24" t="str">
        <x:v>2026-09-15</x:v>
      </x:c>
      <x:c r="L52" s="4" t="n">
        <x:v>300</x:v>
      </x:c>
      <x:c r="M52" s="4"/>
      <x:c r="N52" s="4" t="str">
        <x:v>Apply every year</x:v>
      </x:c>
      <x:c r="O52" s="4" t="str">
        <x:v>https://tpwd.texas.gov/huntwild/hunt/public/public_hunt_drawing/hunt-category-details.phtml?OCat=GDA</x:v>
      </x:c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  <x:c r="AA52" s="4"/>
      <x:c r="AB52" s="4"/>
      <x:c r="AC52" s="4"/>
      <x:c r="AD52" s="4"/>
      <x:c r="AE52" s="4"/>
    </x:row>
    <x:row r="53">
      <x:c r="A53" s="4" t="n">
        <x:v>52</x:v>
      </x:c>
      <x:c r="B53" s="4" t="str">
        <x:v>No</x:v>
      </x:c>
      <x:c r="C53" s="4" t="n">
        <x:v>2.6</x:v>
      </x:c>
      <x:c r="D53" s="4" t="str">
        <x:v>A</x:v>
      </x:c>
      <x:c r="E53" s="4" t="str">
        <x:v>Whitetail Deer</x:v>
      </x:c>
      <x:c r="F53" s="4" t="str">
        <x:v>Roger Fawcett WMA</x:v>
      </x:c>
      <x:c r="G53" s="4" t="str">
        <x:v>West-Central Texas</x:v>
      </x:c>
      <x:c r="H53" s="4" t="str">
        <x:v>Gun Deer - Either Sex</x:v>
      </x:c>
      <x:c r="I53" s="4" t="str">
        <x:v>Yes</x:v>
      </x:c>
      <x:c r="J53" s="4" t="str">
        <x:v>Yes</x:v>
      </x:c>
      <x:c r="K53" s="24" t="str">
        <x:v>2026-09-15</x:v>
      </x:c>
      <x:c r="L53" s="4" t="n">
        <x:v>300</x:v>
      </x:c>
      <x:c r="M53" s="4"/>
      <x:c r="N53" s="4" t="str">
        <x:v>Apply every year</x:v>
      </x:c>
      <x:c r="O53" s="4" t="str">
        <x:v>https://tpwd.texas.gov/huntwild/hunt/public/public_hunt_drawing/hunt-category-details.phtml?OCat=GDE</x:v>
      </x:c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  <x:c r="AA53" s="4"/>
      <x:c r="AB53" s="4"/>
      <x:c r="AC53" s="4"/>
      <x:c r="AD53" s="4"/>
      <x:c r="AE53" s="4"/>
    </x:row>
    <x:row r="54">
      <x:c r="A54" s="4" t="n">
        <x:v>53</x:v>
      </x:c>
      <x:c r="B54" s="4" t="str">
        <x:v>No</x:v>
      </x:c>
      <x:c r="C54" s="4" t="n">
        <x:v>2.6</x:v>
      </x:c>
      <x:c r="D54" s="4" t="str">
        <x:v>A</x:v>
      </x:c>
      <x:c r="E54" s="4" t="str">
        <x:v>Whitetail Deer</x:v>
      </x:c>
      <x:c r="F54" s="4" t="str">
        <x:v>San Angelo SP</x:v>
      </x:c>
      <x:c r="G54" s="4" t="str">
        <x:v>West-Central Texas</x:v>
      </x:c>
      <x:c r="H54" s="4" t="str">
        <x:v>Gun Deer - Antlerless/Spike</x:v>
      </x:c>
      <x:c r="I54" s="4" t="str">
        <x:v>Yes</x:v>
      </x:c>
      <x:c r="J54" s="4" t="str">
        <x:v>Yes</x:v>
      </x:c>
      <x:c r="K54" s="24" t="str">
        <x:v>2026-09-15</x:v>
      </x:c>
      <x:c r="L54" s="4" t="n">
        <x:v>300</x:v>
      </x:c>
      <x:c r="M54" s="4"/>
      <x:c r="N54" s="4" t="str">
        <x:v>Apply every year</x:v>
      </x:c>
      <x:c r="O54" s="4" t="str">
        <x:v>https://tpwd.texas.gov/huntwild/hunt/public/public_hunt_drawing/hunt-category-details.phtml?OCat=GDA</x:v>
      </x:c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  <x:c r="AA54" s="4"/>
      <x:c r="AB54" s="4"/>
      <x:c r="AC54" s="4"/>
      <x:c r="AD54" s="4"/>
      <x:c r="AE54" s="4"/>
    </x:row>
    <x:row r="55">
      <x:c r="A55" s="4" t="n">
        <x:v>54</x:v>
      </x:c>
      <x:c r="B55" s="4" t="str">
        <x:v>No</x:v>
      </x:c>
      <x:c r="C55" s="4" t="n">
        <x:v>2.6</x:v>
      </x:c>
      <x:c r="D55" s="4" t="str">
        <x:v>A</x:v>
      </x:c>
      <x:c r="E55" s="4" t="str">
        <x:v>Whitetail Deer</x:v>
      </x:c>
      <x:c r="F55" s="4" t="str">
        <x:v>San Angelo SP</x:v>
      </x:c>
      <x:c r="G55" s="4" t="str">
        <x:v>West-Central Texas</x:v>
      </x:c>
      <x:c r="H55" s="4" t="str">
        <x:v>Gun Deer - Either Sex</x:v>
      </x:c>
      <x:c r="I55" s="4" t="str">
        <x:v>Yes</x:v>
      </x:c>
      <x:c r="J55" s="4" t="str">
        <x:v>Yes</x:v>
      </x:c>
      <x:c r="K55" s="24" t="str">
        <x:v>2026-09-15</x:v>
      </x:c>
      <x:c r="L55" s="4" t="n">
        <x:v>300</x:v>
      </x:c>
      <x:c r="M55" s="4"/>
      <x:c r="N55" s="4" t="str">
        <x:v>Apply every year</x:v>
      </x:c>
      <x:c r="O55" s="4" t="str">
        <x:v>https://tpwd.texas.gov/huntwild/hunt/public/public_hunt_drawing/hunt-category-details.phtml?OCat=GDE</x:v>
      </x:c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  <x:c r="AA55" s="4"/>
      <x:c r="AB55" s="4"/>
      <x:c r="AC55" s="4"/>
      <x:c r="AD55" s="4"/>
      <x:c r="AE55" s="4"/>
    </x:row>
    <x:row r="56">
      <x:c r="A56" s="4" t="n">
        <x:v>55</x:v>
      </x:c>
      <x:c r="B56" s="4" t="str">
        <x:v>No</x:v>
      </x:c>
      <x:c r="C56" s="4" t="n">
        <x:v>2.5</x:v>
      </x:c>
      <x:c r="D56" s="4" t="str">
        <x:v>A</x:v>
      </x:c>
      <x:c r="E56" s="4" t="str">
        <x:v>Mule Deer</x:v>
      </x:c>
      <x:c r="F56" s="4" t="str">
        <x:v>Big Bend Ranch SP</x:v>
      </x:c>
      <x:c r="G56" s="4" t="str">
        <x:v>Trans-Pecos / West Texas</x:v>
      </x:c>
      <x:c r="H56" s="4" t="str">
        <x:v>Archery Mule Deer</x:v>
      </x:c>
      <x:c r="I56" s="4" t="str">
        <x:v>Yes</x:v>
      </x:c>
      <x:c r="J56" s="4" t="str">
        <x:v>Yes</x:v>
      </x:c>
      <x:c r="K56" s="24" t="str">
        <x:v>2026-08-15</x:v>
      </x:c>
      <x:c r="L56" s="4" t="n">
        <x:v>520</x:v>
      </x:c>
      <x:c r="M56" s="4"/>
      <x:c r="N56" s="4" t="str">
        <x:v>West Texas priority</x:v>
      </x:c>
      <x:c r="O56" s="4" t="str">
        <x:v>https://tpwd.texas.gov/huntwild/hunt/public/public_hunt_drawing/hunt-category-details.phtml?OCat=AMD</x:v>
      </x:c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  <x:c r="AA56" s="4"/>
      <x:c r="AB56" s="4"/>
      <x:c r="AC56" s="4"/>
      <x:c r="AD56" s="4"/>
      <x:c r="AE56" s="4"/>
    </x:row>
    <x:row r="57">
      <x:c r="A57" s="4" t="n">
        <x:v>56</x:v>
      </x:c>
      <x:c r="B57" s="4" t="str">
        <x:v>No</x:v>
      </x:c>
      <x:c r="C57" s="4" t="n">
        <x:v>2.5</x:v>
      </x:c>
      <x:c r="D57" s="4" t="str">
        <x:v>A</x:v>
      </x:c>
      <x:c r="E57" s="4" t="str">
        <x:v>Mule Deer</x:v>
      </x:c>
      <x:c r="F57" s="4" t="str">
        <x:v>Black Gap WMA</x:v>
      </x:c>
      <x:c r="G57" s="4" t="str">
        <x:v>Trans-Pecos / West Texas</x:v>
      </x:c>
      <x:c r="H57" s="4" t="str">
        <x:v>Archery Mule Deer</x:v>
      </x:c>
      <x:c r="I57" s="4" t="str">
        <x:v>Yes</x:v>
      </x:c>
      <x:c r="J57" s="4" t="str">
        <x:v>Yes</x:v>
      </x:c>
      <x:c r="K57" s="24" t="str">
        <x:v>2026-08-15</x:v>
      </x:c>
      <x:c r="L57" s="4" t="n">
        <x:v>520</x:v>
      </x:c>
      <x:c r="M57" s="4"/>
      <x:c r="N57" s="4" t="str">
        <x:v>West Texas priority</x:v>
      </x:c>
      <x:c r="O57" s="4" t="str">
        <x:v>https://tpwd.texas.gov/huntwild/hunt/public/public_hunt_drawing/hunt-category-details.phtml?OCat=AMD</x:v>
      </x:c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</x:row>
    <x:row r="58">
      <x:c r="A58" s="4" t="n">
        <x:v>57</x:v>
      </x:c>
      <x:c r="B58" s="4" t="str">
        <x:v>No</x:v>
      </x:c>
      <x:c r="C58" s="4" t="n">
        <x:v>2.5</x:v>
      </x:c>
      <x:c r="D58" s="4" t="str">
        <x:v>A</x:v>
      </x:c>
      <x:c r="E58" s="4" t="str">
        <x:v>Mule Deer</x:v>
      </x:c>
      <x:c r="F58" s="4" t="str">
        <x:v>Elephant Mountain WMA</x:v>
      </x:c>
      <x:c r="G58" s="4" t="str">
        <x:v>Trans-Pecos / West Texas</x:v>
      </x:c>
      <x:c r="H58" s="4" t="str">
        <x:v>Archery Mule Deer</x:v>
      </x:c>
      <x:c r="I58" s="4" t="str">
        <x:v>Yes</x:v>
      </x:c>
      <x:c r="J58" s="4" t="str">
        <x:v>Yes</x:v>
      </x:c>
      <x:c r="K58" s="24" t="str">
        <x:v>2026-08-15</x:v>
      </x:c>
      <x:c r="L58" s="4" t="n">
        <x:v>520</x:v>
      </x:c>
      <x:c r="M58" s="4"/>
      <x:c r="N58" s="4" t="str">
        <x:v>West Texas priority</x:v>
      </x:c>
      <x:c r="O58" s="4" t="str">
        <x:v>https://tpwd.texas.gov/huntwild/hunt/public/public_hunt_drawing/hunt-category-details.phtml?OCat=AMD</x:v>
      </x:c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  <x:c r="AA58" s="4"/>
      <x:c r="AB58" s="4"/>
      <x:c r="AC58" s="4"/>
      <x:c r="AD58" s="4"/>
      <x:c r="AE58" s="4"/>
    </x:row>
    <x:row r="59">
      <x:c r="A59" s="4" t="n">
        <x:v>58</x:v>
      </x:c>
      <x:c r="B59" s="4" t="str">
        <x:v>No</x:v>
      </x:c>
      <x:c r="C59" s="4" t="n">
        <x:v>2.5</x:v>
      </x:c>
      <x:c r="D59" s="4" t="str">
        <x:v>A</x:v>
      </x:c>
      <x:c r="E59" s="4" t="str">
        <x:v>Whitetail Deer</x:v>
      </x:c>
      <x:c r="F59" s="4" t="str">
        <x:v>Fort Boggy SP</x:v>
      </x:c>
      <x:c r="G59" s="4" t="str">
        <x:v>North Texas / DFW</x:v>
      </x:c>
      <x:c r="H59" s="4" t="str">
        <x:v>Archery Deer</x:v>
      </x:c>
      <x:c r="I59" s="4" t="str">
        <x:v>Yes</x:v>
      </x:c>
      <x:c r="J59" s="4" t="str">
        <x:v>Yes</x:v>
      </x:c>
      <x:c r="K59" s="24" t="str">
        <x:v>2026-08-15</x:v>
      </x:c>
      <x:c r="L59" s="4" t="n">
        <x:v>360</x:v>
      </x:c>
      <x:c r="M59" s="4"/>
      <x:c r="N59" s="4" t="str">
        <x:v>Apply every year</x:v>
      </x:c>
      <x:c r="O59" s="4" t="str">
        <x:v>https://tpwd.texas.gov/huntwild/hunt/public/public_hunt_drawing/hunt-category-details.phtml?OCat=ADE</x:v>
      </x:c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  <x:c r="AA59" s="4"/>
      <x:c r="AB59" s="4"/>
      <x:c r="AC59" s="4"/>
      <x:c r="AD59" s="4"/>
      <x:c r="AE59" s="4"/>
    </x:row>
    <x:row r="60">
      <x:c r="A60" s="4" t="n">
        <x:v>59</x:v>
      </x:c>
      <x:c r="B60" s="4" t="str">
        <x:v>No</x:v>
      </x:c>
      <x:c r="C60" s="4" t="n">
        <x:v>2.5</x:v>
      </x:c>
      <x:c r="D60" s="4" t="str">
        <x:v>A</x:v>
      </x:c>
      <x:c r="E60" s="4" t="str">
        <x:v>Whitetail Deer</x:v>
      </x:c>
      <x:c r="F60" s="4" t="str">
        <x:v>Lake Mineral Wells SP</x:v>
      </x:c>
      <x:c r="G60" s="4" t="str">
        <x:v>North Texas / DFW</x:v>
      </x:c>
      <x:c r="H60" s="4" t="str">
        <x:v>Archery Deer</x:v>
      </x:c>
      <x:c r="I60" s="4" t="str">
        <x:v>Yes</x:v>
      </x:c>
      <x:c r="J60" s="4" t="str">
        <x:v>Yes</x:v>
      </x:c>
      <x:c r="K60" s="24" t="str">
        <x:v>2026-08-15</x:v>
      </x:c>
      <x:c r="L60" s="4" t="n">
        <x:v>360</x:v>
      </x:c>
      <x:c r="M60" s="4"/>
      <x:c r="N60" s="4" t="str">
        <x:v>Apply every year</x:v>
      </x:c>
      <x:c r="O60" s="4" t="str">
        <x:v>https://tpwd.texas.gov/huntwild/hunt/public/public_hunt_drawing/hunt-category-details.phtml?OCat=ADE</x:v>
      </x:c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  <x:c r="AA60" s="4"/>
      <x:c r="AB60" s="4"/>
      <x:c r="AC60" s="4"/>
      <x:c r="AD60" s="4"/>
      <x:c r="AE60" s="4"/>
    </x:row>
    <x:row r="61">
      <x:c r="A61" s="4" t="n">
        <x:v>60</x:v>
      </x:c>
      <x:c r="B61" s="4" t="str">
        <x:v>No</x:v>
      </x:c>
      <x:c r="C61" s="4" t="n">
        <x:v>2.5</x:v>
      </x:c>
      <x:c r="D61" s="4" t="str">
        <x:v>A</x:v>
      </x:c>
      <x:c r="E61" s="4" t="str">
        <x:v>Whitetail Deer</x:v>
      </x:c>
      <x:c r="F61" s="4" t="str">
        <x:v>Alazan Bayou WMA</x:v>
      </x:c>
      <x:c r="G61" s="4" t="str">
        <x:v>East Texas / Pineywoods</x:v>
      </x:c>
      <x:c r="H61" s="4" t="str">
        <x:v>Youth Gun Deer - Either Sex</x:v>
      </x:c>
      <x:c r="I61" s="4" t="str">
        <x:v>No</x:v>
      </x:c>
      <x:c r="J61" s="4" t="str">
        <x:v>Yes</x:v>
      </x:c>
      <x:c r="K61" s="24" t="str">
        <x:v>2026-09-01</x:v>
      </x:c>
      <x:c r="L61" s="4" t="n">
        <x:v>570</x:v>
      </x:c>
      <x:c r="M61" s="4"/>
      <x:c r="N61" s="4" t="str">
        <x:v>Youth priority — apply</x:v>
      </x:c>
      <x:c r="O61" s="4" t="str">
        <x:v>https://tpwd.texas.gov/huntwild/hunt/public/public_hunt_drawing/hunt-category-details.phtml?OCat=YDE</x:v>
      </x:c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  <x:c r="AA61" s="4"/>
      <x:c r="AB61" s="4"/>
      <x:c r="AC61" s="4"/>
      <x:c r="AD61" s="4"/>
      <x:c r="AE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  <x:c r="AA62" s="4"/>
      <x:c r="AB62" s="4"/>
      <x:c r="AC62" s="4"/>
      <x:c r="AD62" s="4"/>
      <x:c r="AE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  <x:c r="AA63" s="4"/>
      <x:c r="AB63" s="4"/>
      <x:c r="AC63" s="4"/>
      <x:c r="AD63" s="4"/>
      <x:c r="AE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  <x:c r="AA64" s="4"/>
      <x:c r="AB64" s="4"/>
      <x:c r="AC64" s="4"/>
      <x:c r="AD64" s="4"/>
      <x:c r="AE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  <x:c r="AA65" s="4"/>
      <x:c r="AB65" s="4"/>
      <x:c r="AC65" s="4"/>
      <x:c r="AD65" s="4"/>
      <x:c r="AE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  <x:c r="AA66" s="4"/>
      <x:c r="AB66" s="4"/>
      <x:c r="AC66" s="4"/>
      <x:c r="AD66" s="4"/>
      <x:c r="AE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  <x:c r="AA67" s="4"/>
      <x:c r="AB67" s="4"/>
      <x:c r="AC67" s="4"/>
      <x:c r="AD67" s="4"/>
      <x:c r="AE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s="4"/>
      <x:c r="AB68" s="4"/>
      <x:c r="AC68" s="4"/>
      <x:c r="AD68" s="4"/>
      <x:c r="AE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  <x:c r="AA69" s="4"/>
      <x:c r="AB69" s="4"/>
      <x:c r="AC69" s="4"/>
      <x:c r="AD69" s="4"/>
      <x:c r="AE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  <x:c r="AA70" s="4"/>
      <x:c r="AB70" s="4"/>
      <x:c r="AC70" s="4"/>
      <x:c r="AD70" s="4"/>
      <x:c r="AE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  <x:c r="AA71" s="4"/>
      <x:c r="AB71" s="4"/>
      <x:c r="AC71" s="4"/>
      <x:c r="AD71" s="4"/>
      <x:c r="AE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  <x:c r="AA72" s="4"/>
      <x:c r="AB72" s="4"/>
      <x:c r="AC72" s="4"/>
      <x:c r="AD72" s="4"/>
      <x:c r="AE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  <x:c r="AA73" s="4"/>
      <x:c r="AB73" s="4"/>
      <x:c r="AC73" s="4"/>
      <x:c r="AD73" s="4"/>
      <x:c r="AE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  <x:c r="AA74" s="4"/>
      <x:c r="AB74" s="4"/>
      <x:c r="AC74" s="4"/>
      <x:c r="AD74" s="4"/>
      <x:c r="AE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  <x:c r="AA75" s="4"/>
      <x:c r="AB75" s="4"/>
      <x:c r="AC75" s="4"/>
      <x:c r="AD75" s="4"/>
      <x:c r="AE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  <x:c r="AA77" s="4"/>
      <x:c r="AB77" s="4"/>
      <x:c r="AC77" s="4"/>
      <x:c r="AD77" s="4"/>
      <x:c r="AE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  <x:c r="AA78" s="4"/>
      <x:c r="AB78" s="4"/>
      <x:c r="AC78" s="4"/>
      <x:c r="AD78" s="4"/>
      <x:c r="AE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  <x:c r="AA79" s="4"/>
      <x:c r="AB79" s="4"/>
      <x:c r="AC79" s="4"/>
      <x:c r="AD79" s="4"/>
      <x:c r="AE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  <x:c r="AA80" s="4"/>
      <x:c r="AB80" s="4"/>
      <x:c r="AC80" s="4"/>
      <x:c r="AD80" s="4"/>
      <x:c r="AE80" s="4"/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  <x:c r="AA81" s="4"/>
      <x:c r="AB81" s="4"/>
      <x:c r="AC81" s="4"/>
      <x:c r="AD81" s="4"/>
      <x:c r="AE81" s="4"/>
    </x:row>
    <x:row r="82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  <x:c r="AA82" s="4"/>
      <x:c r="AB82" s="4"/>
      <x:c r="AC82" s="4"/>
      <x:c r="AD82" s="4"/>
      <x:c r="AE82" s="4"/>
    </x:row>
    <x:row r="83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  <x:c r="AA83" s="4"/>
      <x:c r="AB83" s="4"/>
      <x:c r="AC83" s="4"/>
      <x:c r="AD83" s="4"/>
      <x:c r="AE83" s="4"/>
    </x:row>
    <x:row r="84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  <x:c r="AA84" s="4"/>
      <x:c r="AB84" s="4"/>
      <x:c r="AC84" s="4"/>
      <x:c r="AD84" s="4"/>
      <x:c r="AE84" s="4"/>
    </x:row>
    <x:row r="85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  <x:c r="AA85" s="4"/>
      <x:c r="AB85" s="4"/>
      <x:c r="AC85" s="4"/>
      <x:c r="AD85" s="4"/>
      <x:c r="AE85" s="4"/>
    </x:row>
    <x:row r="86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  <x:c r="AA86" s="4"/>
      <x:c r="AB86" s="4"/>
      <x:c r="AC86" s="4"/>
      <x:c r="AD86" s="4"/>
      <x:c r="AE86" s="4"/>
    </x:row>
    <x:row r="87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  <x:c r="AA87" s="4"/>
      <x:c r="AB87" s="4"/>
      <x:c r="AC87" s="4"/>
      <x:c r="AD87" s="4"/>
      <x:c r="AE87" s="4"/>
    </x:row>
    <x:row r="88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  <x:c r="AA88" s="4"/>
      <x:c r="AB88" s="4"/>
      <x:c r="AC88" s="4"/>
      <x:c r="AD88" s="4"/>
      <x:c r="AE88" s="4"/>
    </x:row>
    <x:row r="89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  <x:c r="AA89" s="4"/>
      <x:c r="AB89" s="4"/>
      <x:c r="AC89" s="4"/>
      <x:c r="AD89" s="4"/>
      <x:c r="AE89" s="4"/>
    </x:row>
    <x:row r="90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  <x:c r="AA90" s="4"/>
      <x:c r="AB90" s="4"/>
      <x:c r="AC90" s="4"/>
      <x:c r="AD90" s="4"/>
      <x:c r="AE90" s="4"/>
    </x:row>
    <x:row r="9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  <x:c r="AA91" s="4"/>
      <x:c r="AB91" s="4"/>
      <x:c r="AC91" s="4"/>
      <x:c r="AD91" s="4"/>
      <x:c r="AE91" s="4"/>
    </x:row>
    <x:row r="92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  <x:c r="AA92" s="4"/>
      <x:c r="AB92" s="4"/>
      <x:c r="AC92" s="4"/>
      <x:c r="AD92" s="4"/>
      <x:c r="AE92" s="4"/>
    </x:row>
    <x:row r="93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  <x:c r="AA93" s="4"/>
      <x:c r="AB93" s="4"/>
      <x:c r="AC93" s="4"/>
      <x:c r="AD93" s="4"/>
      <x:c r="AE93" s="4"/>
    </x:row>
    <x:row r="94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  <x:c r="AA94" s="4"/>
      <x:c r="AB94" s="4"/>
      <x:c r="AC94" s="4"/>
      <x:c r="AD94" s="4"/>
      <x:c r="AE94" s="4"/>
    </x:row>
    <x:row r="95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  <x:c r="AA96" s="4"/>
      <x:c r="AB96" s="4"/>
      <x:c r="AC96" s="4"/>
      <x:c r="AD96" s="4"/>
      <x:c r="AE96" s="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  <x:c r="AA97" s="4"/>
      <x:c r="AB97" s="4"/>
      <x:c r="AC97" s="4"/>
      <x:c r="AD97" s="4"/>
      <x:c r="AE97" s="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  <x:c r="AA98" s="4"/>
      <x:c r="AB98" s="4"/>
      <x:c r="AC98" s="4"/>
      <x:c r="AD98" s="4"/>
      <x:c r="AE98" s="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  <x:c r="AA99" s="4"/>
      <x:c r="AB99" s="4"/>
      <x:c r="AC99" s="4"/>
      <x:c r="AD99" s="4"/>
      <x:c r="AE99" s="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  <x:c r="AA100" s="4"/>
      <x:c r="AB100" s="4"/>
      <x:c r="AC100" s="4"/>
      <x:c r="AD100" s="4"/>
      <x:c r="AE100" s="4"/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  <x:c r="AA101" s="4"/>
      <x:c r="AB101" s="4"/>
      <x:c r="AC101" s="4"/>
      <x:c r="AD101" s="4"/>
      <x:c r="AE101" s="4"/>
    </x:row>
    <x:row r="102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  <x:c r="AA102" s="4"/>
      <x:c r="AB102" s="4"/>
      <x:c r="AC102" s="4"/>
      <x:c r="AD102" s="4"/>
      <x:c r="AE102" s="4"/>
    </x:row>
    <x:row r="103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  <x:c r="AA103" s="4"/>
      <x:c r="AB103" s="4"/>
      <x:c r="AC103" s="4"/>
      <x:c r="AD103" s="4"/>
      <x:c r="AE103" s="4"/>
    </x:row>
    <x:row r="104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  <x:c r="AA104" s="4"/>
      <x:c r="AB104" s="4"/>
      <x:c r="AC104" s="4"/>
      <x:c r="AD104" s="4"/>
      <x:c r="AE104" s="4"/>
    </x:row>
    <x:row r="105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  <x:c r="AA105" s="4"/>
      <x:c r="AB105" s="4"/>
      <x:c r="AC105" s="4"/>
      <x:c r="AD105" s="4"/>
      <x:c r="AE105" s="4"/>
    </x:row>
    <x:row r="106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  <x:c r="AA106" s="4"/>
      <x:c r="AB106" s="4"/>
      <x:c r="AC106" s="4"/>
      <x:c r="AD106" s="4"/>
      <x:c r="AE106" s="4"/>
    </x:row>
    <x:row r="107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  <x:c r="AA107" s="4"/>
      <x:c r="AB107" s="4"/>
      <x:c r="AC107" s="4"/>
      <x:c r="AD107" s="4"/>
      <x:c r="AE107" s="4"/>
    </x:row>
    <x:row r="108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  <x:c r="AA108" s="4"/>
      <x:c r="AB108" s="4"/>
      <x:c r="AC108" s="4"/>
      <x:c r="AD108" s="4"/>
      <x:c r="AE108" s="4"/>
    </x:row>
    <x:row r="109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  <x:c r="AA109" s="4"/>
      <x:c r="AB109" s="4"/>
      <x:c r="AC109" s="4"/>
      <x:c r="AD109" s="4"/>
      <x:c r="AE109" s="4"/>
    </x:row>
    <x:row r="110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  <x:c r="AA110" s="4"/>
      <x:c r="AB110" s="4"/>
      <x:c r="AC110" s="4"/>
      <x:c r="AD110" s="4"/>
      <x:c r="AE110" s="4"/>
    </x:row>
    <x:row r="11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  <x:c r="AA111" s="4"/>
      <x:c r="AB111" s="4"/>
      <x:c r="AC111" s="4"/>
      <x:c r="AD111" s="4"/>
      <x:c r="AE111" s="4"/>
    </x:row>
    <x:row r="112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  <x:c r="AA112" s="4"/>
      <x:c r="AB112" s="4"/>
      <x:c r="AC112" s="4"/>
      <x:c r="AD112" s="4"/>
      <x:c r="AE112" s="4"/>
    </x:row>
    <x:row r="113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  <x:c r="AA113" s="4"/>
      <x:c r="AB113" s="4"/>
      <x:c r="AC113" s="4"/>
      <x:c r="AD113" s="4"/>
      <x:c r="AE113" s="4"/>
    </x:row>
    <x:row r="114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  <x:c r="AA114" s="4"/>
      <x:c r="AB114" s="4"/>
      <x:c r="AC114" s="4"/>
      <x:c r="AD114" s="4"/>
      <x:c r="AE114" s="4"/>
    </x:row>
    <x:row r="115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  <x:c r="AA115" s="4"/>
      <x:c r="AB115" s="4"/>
      <x:c r="AC115" s="4"/>
      <x:c r="AD115" s="4"/>
      <x:c r="AE115" s="4"/>
    </x:row>
    <x:row r="116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  <x:c r="AA116" s="4"/>
      <x:c r="AB116" s="4"/>
      <x:c r="AC116" s="4"/>
      <x:c r="AD116" s="4"/>
      <x:c r="AE116" s="4"/>
    </x:row>
    <x:row r="117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  <x:c r="AA117" s="4"/>
      <x:c r="AB117" s="4"/>
      <x:c r="AC117" s="4"/>
      <x:c r="AD117" s="4"/>
      <x:c r="AE117" s="4"/>
    </x:row>
    <x:row r="118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  <x:c r="AA118" s="4"/>
      <x:c r="AB118" s="4"/>
      <x:c r="AC118" s="4"/>
      <x:c r="AD118" s="4"/>
      <x:c r="AE118" s="4"/>
    </x:row>
    <x:row r="119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  <x:c r="AA119" s="4"/>
      <x:c r="AB119" s="4"/>
      <x:c r="AC119" s="4"/>
      <x:c r="AD119" s="4"/>
      <x:c r="AE119" s="4"/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  <x:c r="AA120" s="4"/>
      <x:c r="AB120" s="4"/>
      <x:c r="AC120" s="4"/>
      <x:c r="AD120" s="4"/>
      <x:c r="AE120" s="4"/>
    </x:row>
    <x:row r="12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  <x:c r="AA121" s="4"/>
      <x:c r="AB121" s="4"/>
      <x:c r="AC121" s="4"/>
      <x:c r="AD121" s="4"/>
      <x:c r="AE121" s="4"/>
    </x:row>
    <x:row r="122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  <x:c r="AA122" s="4"/>
      <x:c r="AB122" s="4"/>
      <x:c r="AC122" s="4"/>
      <x:c r="AD122" s="4"/>
      <x:c r="AE122" s="4"/>
    </x:row>
    <x:row r="123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  <x:c r="AA123" s="4"/>
      <x:c r="AB123" s="4"/>
      <x:c r="AC123" s="4"/>
      <x:c r="AD123" s="4"/>
      <x:c r="AE123" s="4"/>
    </x:row>
    <x:row r="124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  <x:c r="AA124" s="4"/>
      <x:c r="AB124" s="4"/>
      <x:c r="AC124" s="4"/>
      <x:c r="AD124" s="4"/>
      <x:c r="AE124" s="4"/>
    </x:row>
    <x:row r="125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  <x:c r="AA125" s="4"/>
      <x:c r="AB125" s="4"/>
      <x:c r="AC125" s="4"/>
      <x:c r="AD125" s="4"/>
      <x:c r="AE125" s="4"/>
    </x:row>
    <x:row r="126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  <x:c r="AA126" s="4"/>
      <x:c r="AB126" s="4"/>
      <x:c r="AC126" s="4"/>
      <x:c r="AD126" s="4"/>
      <x:c r="AE126" s="4"/>
    </x:row>
    <x:row r="127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  <x:c r="AA127" s="4"/>
      <x:c r="AB127" s="4"/>
      <x:c r="AC127" s="4"/>
      <x:c r="AD127" s="4"/>
      <x:c r="AE127" s="4"/>
    </x:row>
    <x:row r="128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  <x:c r="AA128" s="4"/>
      <x:c r="AB128" s="4"/>
      <x:c r="AC128" s="4"/>
      <x:c r="AD128" s="4"/>
      <x:c r="AE128" s="4"/>
    </x:row>
    <x:row r="129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  <x:c r="AA129" s="4"/>
      <x:c r="AB129" s="4"/>
      <x:c r="AC129" s="4"/>
      <x:c r="AD129" s="4"/>
      <x:c r="AE129" s="4"/>
    </x:row>
    <x:row r="130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  <x:c r="AA130" s="4"/>
      <x:c r="AB130" s="4"/>
      <x:c r="AC130" s="4"/>
      <x:c r="AD130" s="4"/>
      <x:c r="AE130" s="4"/>
    </x:row>
    <x:row r="13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  <x:c r="AA131" s="4"/>
      <x:c r="AB131" s="4"/>
      <x:c r="AC131" s="4"/>
      <x:c r="AD131" s="4"/>
      <x:c r="AE131" s="4"/>
    </x:row>
    <x:row r="132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  <x:c r="AA132" s="4"/>
      <x:c r="AB132" s="4"/>
      <x:c r="AC132" s="4"/>
      <x:c r="AD132" s="4"/>
      <x:c r="AE132" s="4"/>
    </x:row>
    <x:row r="133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  <x:c r="AA133" s="4"/>
      <x:c r="AB133" s="4"/>
      <x:c r="AC133" s="4"/>
      <x:c r="AD133" s="4"/>
      <x:c r="AE133" s="4"/>
    </x:row>
    <x:row r="134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  <x:c r="AA134" s="4"/>
      <x:c r="AB134" s="4"/>
      <x:c r="AC134" s="4"/>
      <x:c r="AD134" s="4"/>
      <x:c r="AE134" s="4"/>
    </x:row>
    <x:row r="135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  <x:c r="AA135" s="4"/>
      <x:c r="AB135" s="4"/>
      <x:c r="AC135" s="4"/>
      <x:c r="AD135" s="4"/>
      <x:c r="AE135" s="4"/>
    </x:row>
    <x:row r="136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  <x:c r="AA136" s="4"/>
      <x:c r="AB136" s="4"/>
      <x:c r="AC136" s="4"/>
      <x:c r="AD136" s="4"/>
      <x:c r="AE136" s="4"/>
    </x:row>
    <x:row r="137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  <x:c r="AA137" s="4"/>
      <x:c r="AB137" s="4"/>
      <x:c r="AC137" s="4"/>
      <x:c r="AD137" s="4"/>
      <x:c r="AE137" s="4"/>
    </x:row>
    <x:row r="138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  <x:c r="AA138" s="4"/>
      <x:c r="AB138" s="4"/>
      <x:c r="AC138" s="4"/>
      <x:c r="AD138" s="4"/>
      <x:c r="AE138" s="4"/>
    </x:row>
    <x:row r="139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  <x:c r="AA139" s="4"/>
      <x:c r="AB139" s="4"/>
      <x:c r="AC139" s="4"/>
      <x:c r="AD139" s="4"/>
      <x:c r="AE139" s="4"/>
    </x:row>
    <x:row r="140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  <x:c r="AA140" s="4"/>
      <x:c r="AB140" s="4"/>
      <x:c r="AC140" s="4"/>
      <x:c r="AD140" s="4"/>
      <x:c r="AE140" s="4"/>
    </x:row>
    <x:row r="14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  <x:c r="AA141" s="4"/>
      <x:c r="AB141" s="4"/>
      <x:c r="AC141" s="4"/>
      <x:c r="AD141" s="4"/>
      <x:c r="AE141" s="4"/>
    </x:row>
    <x:row r="142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  <x:c r="AA142" s="4"/>
      <x:c r="AB142" s="4"/>
      <x:c r="AC142" s="4"/>
      <x:c r="AD142" s="4"/>
      <x:c r="AE142" s="4"/>
    </x:row>
    <x:row r="143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  <x:c r="AA143" s="4"/>
      <x:c r="AB143" s="4"/>
      <x:c r="AC143" s="4"/>
      <x:c r="AD143" s="4"/>
      <x:c r="AE143" s="4"/>
    </x:row>
    <x:row r="144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  <x:c r="AA144" s="4"/>
      <x:c r="AB144" s="4"/>
      <x:c r="AC144" s="4"/>
      <x:c r="AD144" s="4"/>
      <x:c r="AE144" s="4"/>
    </x:row>
    <x:row r="145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  <x:c r="AA145" s="4"/>
      <x:c r="AB145" s="4"/>
      <x:c r="AC145" s="4"/>
      <x:c r="AD145" s="4"/>
      <x:c r="AE145" s="4"/>
    </x:row>
    <x:row r="146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  <x:c r="AA146" s="4"/>
      <x:c r="AB146" s="4"/>
      <x:c r="AC146" s="4"/>
      <x:c r="AD146" s="4"/>
      <x:c r="AE146" s="4"/>
    </x:row>
    <x:row r="147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  <x:c r="AA147" s="4"/>
      <x:c r="AB147" s="4"/>
      <x:c r="AC147" s="4"/>
      <x:c r="AD147" s="4"/>
      <x:c r="AE147" s="4"/>
    </x:row>
    <x:row r="148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  <x:c r="AA148" s="4"/>
      <x:c r="AB148" s="4"/>
      <x:c r="AC148" s="4"/>
      <x:c r="AD148" s="4"/>
      <x:c r="AE148" s="4"/>
    </x:row>
    <x:row r="149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  <x:c r="AA149" s="4"/>
      <x:c r="AB149" s="4"/>
      <x:c r="AC149" s="4"/>
      <x:c r="AD149" s="4"/>
      <x:c r="AE149" s="4"/>
    </x:row>
    <x:row r="150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  <x:c r="AA150" s="4"/>
      <x:c r="AB150" s="4"/>
      <x:c r="AC150" s="4"/>
      <x:c r="AD150" s="4"/>
      <x:c r="AE150" s="4"/>
    </x:row>
    <x:row r="15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  <x:c r="AA151" s="4"/>
      <x:c r="AB151" s="4"/>
      <x:c r="AC151" s="4"/>
      <x:c r="AD151" s="4"/>
      <x:c r="AE151" s="4"/>
    </x:row>
    <x:row r="152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  <x:c r="AA152" s="4"/>
      <x:c r="AB152" s="4"/>
      <x:c r="AC152" s="4"/>
      <x:c r="AD152" s="4"/>
      <x:c r="AE152" s="4"/>
    </x:row>
    <x:row r="153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  <x:c r="AA153" s="4"/>
      <x:c r="AB153" s="4"/>
      <x:c r="AC153" s="4"/>
      <x:c r="AD153" s="4"/>
      <x:c r="AE153" s="4"/>
    </x:row>
    <x:row r="154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  <x:c r="AA154" s="4"/>
      <x:c r="AB154" s="4"/>
      <x:c r="AC154" s="4"/>
      <x:c r="AD154" s="4"/>
      <x:c r="AE154" s="4"/>
    </x:row>
    <x:row r="155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  <x:c r="AA155" s="4"/>
      <x:c r="AB155" s="4"/>
      <x:c r="AC155" s="4"/>
      <x:c r="AD155" s="4"/>
      <x:c r="AE155" s="4"/>
    </x:row>
    <x:row r="156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  <x:c r="AA156" s="4"/>
      <x:c r="AB156" s="4"/>
      <x:c r="AC156" s="4"/>
      <x:c r="AD156" s="4"/>
      <x:c r="AE156" s="4"/>
    </x:row>
    <x:row r="157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  <x:c r="AA157" s="4"/>
      <x:c r="AB157" s="4"/>
      <x:c r="AC157" s="4"/>
      <x:c r="AD157" s="4"/>
      <x:c r="AE157" s="4"/>
    </x:row>
    <x:row r="158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  <x:c r="AA158" s="4"/>
      <x:c r="AB158" s="4"/>
      <x:c r="AC158" s="4"/>
      <x:c r="AD158" s="4"/>
      <x:c r="AE158" s="4"/>
    </x:row>
    <x:row r="159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  <x:c r="AA159" s="4"/>
      <x:c r="AB159" s="4"/>
      <x:c r="AC159" s="4"/>
      <x:c r="AD159" s="4"/>
      <x:c r="AE159" s="4"/>
    </x:row>
    <x:row r="160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  <x:c r="AA160" s="4"/>
      <x:c r="AB160" s="4"/>
      <x:c r="AC160" s="4"/>
      <x:c r="AD160" s="4"/>
      <x:c r="AE160" s="4"/>
    </x:row>
    <x:row r="16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  <x:c r="AA161" s="4"/>
      <x:c r="AB161" s="4"/>
      <x:c r="AC161" s="4"/>
      <x:c r="AD161" s="4"/>
      <x:c r="AE161" s="4"/>
    </x:row>
    <x:row r="162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  <x:c r="AA162" s="4"/>
      <x:c r="AB162" s="4"/>
      <x:c r="AC162" s="4"/>
      <x:c r="AD162" s="4"/>
      <x:c r="AE162" s="4"/>
    </x:row>
    <x:row r="163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  <x:c r="AA163" s="4"/>
      <x:c r="AB163" s="4"/>
      <x:c r="AC163" s="4"/>
      <x:c r="AD163" s="4"/>
      <x:c r="AE163" s="4"/>
    </x:row>
    <x:row r="164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  <x:c r="AA164" s="4"/>
      <x:c r="AB164" s="4"/>
      <x:c r="AC164" s="4"/>
      <x:c r="AD164" s="4"/>
      <x:c r="AE164" s="4"/>
    </x:row>
    <x:row r="165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  <x:c r="AA165" s="4"/>
      <x:c r="AB165" s="4"/>
      <x:c r="AC165" s="4"/>
      <x:c r="AD165" s="4"/>
      <x:c r="AE165" s="4"/>
    </x:row>
    <x:row r="166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  <x:c r="AA166" s="4"/>
      <x:c r="AB166" s="4"/>
      <x:c r="AC166" s="4"/>
      <x:c r="AD166" s="4"/>
      <x:c r="AE166" s="4"/>
    </x:row>
    <x:row r="167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  <x:c r="AA167" s="4"/>
      <x:c r="AB167" s="4"/>
      <x:c r="AC167" s="4"/>
      <x:c r="AD167" s="4"/>
      <x:c r="AE167" s="4"/>
    </x:row>
    <x:row r="168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  <x:c r="AA168" s="4"/>
      <x:c r="AB168" s="4"/>
      <x:c r="AC168" s="4"/>
      <x:c r="AD168" s="4"/>
      <x:c r="AE168" s="4"/>
    </x:row>
    <x:row r="169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  <x:c r="AA169" s="4"/>
      <x:c r="AB169" s="4"/>
      <x:c r="AC169" s="4"/>
      <x:c r="AD169" s="4"/>
      <x:c r="AE169" s="4"/>
    </x:row>
    <x:row r="170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  <x:c r="AA170" s="4"/>
      <x:c r="AB170" s="4"/>
      <x:c r="AC170" s="4"/>
      <x:c r="AD170" s="4"/>
      <x:c r="AE170" s="4"/>
    </x:row>
    <x:row r="17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  <x:c r="AA171" s="4"/>
      <x:c r="AB171" s="4"/>
      <x:c r="AC171" s="4"/>
      <x:c r="AD171" s="4"/>
      <x:c r="AE171" s="4"/>
    </x:row>
    <x:row r="172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  <x:c r="AA172" s="4"/>
      <x:c r="AB172" s="4"/>
      <x:c r="AC172" s="4"/>
      <x:c r="AD172" s="4"/>
      <x:c r="AE172" s="4"/>
    </x:row>
    <x:row r="173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  <x:c r="AA173" s="4"/>
      <x:c r="AB173" s="4"/>
      <x:c r="AC173" s="4"/>
      <x:c r="AD173" s="4"/>
      <x:c r="AE173" s="4"/>
    </x:row>
    <x:row r="174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  <x:c r="AA174" s="4"/>
      <x:c r="AB174" s="4"/>
      <x:c r="AC174" s="4"/>
      <x:c r="AD174" s="4"/>
      <x:c r="AE174" s="4"/>
    </x:row>
    <x:row r="175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  <x:c r="AA175" s="4"/>
      <x:c r="AB175" s="4"/>
      <x:c r="AC175" s="4"/>
      <x:c r="AD175" s="4"/>
      <x:c r="AE175" s="4"/>
    </x:row>
    <x:row r="176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  <x:c r="AA176" s="4"/>
      <x:c r="AB176" s="4"/>
      <x:c r="AC176" s="4"/>
      <x:c r="AD176" s="4"/>
      <x:c r="AE176" s="4"/>
    </x:row>
    <x:row r="177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  <x:c r="AA177" s="4"/>
      <x:c r="AB177" s="4"/>
      <x:c r="AC177" s="4"/>
      <x:c r="AD177" s="4"/>
      <x:c r="AE177" s="4"/>
    </x:row>
    <x:row r="178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  <x:c r="AA178" s="4"/>
      <x:c r="AB178" s="4"/>
      <x:c r="AC178" s="4"/>
      <x:c r="AD178" s="4"/>
      <x:c r="AE178" s="4"/>
    </x:row>
    <x:row r="179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  <x:c r="AA179" s="4"/>
      <x:c r="AB179" s="4"/>
      <x:c r="AC179" s="4"/>
      <x:c r="AD179" s="4"/>
      <x:c r="AE179" s="4"/>
    </x:row>
    <x:row r="180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  <x:c r="AA180" s="4"/>
      <x:c r="AB180" s="4"/>
      <x:c r="AC180" s="4"/>
      <x:c r="AD180" s="4"/>
      <x:c r="AE180" s="4"/>
    </x:row>
    <x:row r="18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  <x:c r="AA181" s="4"/>
      <x:c r="AB181" s="4"/>
      <x:c r="AC181" s="4"/>
      <x:c r="AD181" s="4"/>
      <x:c r="AE181" s="4"/>
    </x:row>
    <x:row r="182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  <x:c r="AA182" s="4"/>
      <x:c r="AB182" s="4"/>
      <x:c r="AC182" s="4"/>
      <x:c r="AD182" s="4"/>
      <x:c r="AE182" s="4"/>
    </x:row>
    <x:row r="183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  <x:c r="AA183" s="4"/>
      <x:c r="AB183" s="4"/>
      <x:c r="AC183" s="4"/>
      <x:c r="AD183" s="4"/>
      <x:c r="AE183" s="4"/>
    </x:row>
    <x:row r="184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  <x:c r="AA184" s="4"/>
      <x:c r="AB184" s="4"/>
      <x:c r="AC184" s="4"/>
      <x:c r="AD184" s="4"/>
      <x:c r="AE184" s="4"/>
    </x:row>
    <x:row r="185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  <x:c r="AA185" s="4"/>
      <x:c r="AB185" s="4"/>
      <x:c r="AC185" s="4"/>
      <x:c r="AD185" s="4"/>
      <x:c r="AE185" s="4"/>
    </x:row>
    <x:row r="186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  <x:c r="AA186" s="4"/>
      <x:c r="AB186" s="4"/>
      <x:c r="AC186" s="4"/>
      <x:c r="AD186" s="4"/>
      <x:c r="AE186" s="4"/>
    </x:row>
    <x:row r="187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  <x:c r="AA187" s="4"/>
      <x:c r="AB187" s="4"/>
      <x:c r="AC187" s="4"/>
      <x:c r="AD187" s="4"/>
      <x:c r="AE187" s="4"/>
    </x:row>
    <x:row r="188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  <x:c r="AA188" s="4"/>
      <x:c r="AB188" s="4"/>
      <x:c r="AC188" s="4"/>
      <x:c r="AD188" s="4"/>
      <x:c r="AE188" s="4"/>
    </x:row>
    <x:row r="189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  <x:c r="AA189" s="4"/>
      <x:c r="AB189" s="4"/>
      <x:c r="AC189" s="4"/>
      <x:c r="AD189" s="4"/>
      <x:c r="AE189" s="4"/>
    </x:row>
    <x:row r="190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  <x:c r="AA190" s="4"/>
      <x:c r="AB190" s="4"/>
      <x:c r="AC190" s="4"/>
      <x:c r="AD190" s="4"/>
      <x:c r="AE190" s="4"/>
    </x:row>
    <x:row r="19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  <x:c r="AA191" s="4"/>
      <x:c r="AB191" s="4"/>
      <x:c r="AC191" s="4"/>
      <x:c r="AD191" s="4"/>
      <x:c r="AE191" s="4"/>
    </x:row>
    <x:row r="192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  <x:c r="AA192" s="4"/>
      <x:c r="AB192" s="4"/>
      <x:c r="AC192" s="4"/>
      <x:c r="AD192" s="4"/>
      <x:c r="AE192" s="4"/>
    </x:row>
    <x:row r="193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  <x:c r="AA193" s="4"/>
      <x:c r="AB193" s="4"/>
      <x:c r="AC193" s="4"/>
      <x:c r="AD193" s="4"/>
      <x:c r="AE193" s="4"/>
    </x:row>
    <x:row r="194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  <x:c r="AA194" s="4"/>
      <x:c r="AB194" s="4"/>
      <x:c r="AC194" s="4"/>
      <x:c r="AD194" s="4"/>
      <x:c r="AE194" s="4"/>
    </x:row>
    <x:row r="195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  <x:c r="AA195" s="4"/>
      <x:c r="AB195" s="4"/>
      <x:c r="AC195" s="4"/>
      <x:c r="AD195" s="4"/>
      <x:c r="AE195" s="4"/>
    </x:row>
    <x:row r="196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  <x:c r="AA196" s="4"/>
      <x:c r="AB196" s="4"/>
      <x:c r="AC196" s="4"/>
      <x:c r="AD196" s="4"/>
      <x:c r="AE196" s="4"/>
    </x:row>
    <x:row r="197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  <x:c r="AA197" s="4"/>
      <x:c r="AB197" s="4"/>
      <x:c r="AC197" s="4"/>
      <x:c r="AD197" s="4"/>
      <x:c r="AE197" s="4"/>
    </x:row>
    <x:row r="198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  <x:c r="AA198" s="4"/>
      <x:c r="AB198" s="4"/>
      <x:c r="AC198" s="4"/>
      <x:c r="AD198" s="4"/>
      <x:c r="AE198" s="4"/>
    </x:row>
    <x:row r="199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  <x:c r="AA199" s="4"/>
      <x:c r="AB199" s="4"/>
      <x:c r="AC199" s="4"/>
      <x:c r="AD199" s="4"/>
      <x:c r="AE199" s="4"/>
    </x:row>
    <x:row r="200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  <x:c r="AA200" s="4"/>
      <x:c r="AB200" s="4"/>
      <x:c r="AC200" s="4"/>
      <x:c r="AD200" s="4"/>
      <x:c r="AE200" s="4"/>
    </x:row>
  </x:sheetData>
  <x:conditionalFormatting sqref="C2:C26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C2:C61">
    <x:cfRule type="colorScale" priority="2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dataValidations count="1">
    <x:dataValidation type="list" sqref="A2:A200">
      <x:formula1>"No,Yes,Maybe,Submitted"</x:formula1>
    </x:dataValidation>
  </x:dataValidations>
  <x:pageMargins left="0.7" right="0.7" top="0.75" bottom="0.75" header="0.3" footer="0.3"/>
  <x:drawing xmlns:r="http://schemas.openxmlformats.org/officeDocument/2006/relationships" r:id="R2ba5b217a32c4ba3"/>
  <x:tableParts count="1">
    <x:tablePart xmlns:r="http://schemas.openxmlformats.org/officeDocument/2006/relationships" r:id="R5fdab436c8ec402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" hidden="0" customWidth="1"/>
    <x:col min="3" max="3" width="16" hidden="0" customWidth="1"/>
    <x:col min="4" max="4" width="32" hidden="0" customWidth="1"/>
    <x:col min="5" max="5" width="24" hidden="0" customWidth="1"/>
    <x:col min="6" max="6" width="34" hidden="0" customWidth="1"/>
    <x:col min="7" max="7" width="9" hidden="0" customWidth="1"/>
    <x:col min="8" max="8" width="9" hidden="0" customWidth="1"/>
    <x:col min="9" max="9" width="14" hidden="0" customWidth="1"/>
    <x:col min="10" max="10" width="20" hidden="0" customWidth="1"/>
    <x:col min="11" max="11" width="12" hidden="0" customWidth="1"/>
    <x:col min="12" max="12" width="14" hidden="0" customWidth="1"/>
    <x:col min="13" max="13" width="13" hidden="0" customWidth="1"/>
    <x:col min="14" max="14" width="15" hidden="0" customWidth="1"/>
    <x:col min="15" max="15" width="11" hidden="0" customWidth="1"/>
    <x:col min="16" max="16" width="14" hidden="0" customWidth="1"/>
    <x:col min="17" max="17" width="12" hidden="0" customWidth="1"/>
    <x:col min="18" max="18" width="28" hidden="0" customWidth="1"/>
    <x:col min="19" max="19" width="12" hidden="0" customWidth="1"/>
    <x:col min="20" max="20" width="13" hidden="0" customWidth="1"/>
    <x:col min="21" max="21" width="45" hidden="0" customWidth="1"/>
    <x:col min="22" max="22" width="42" hidden="0" customWidth="1"/>
    <x:col min="23" max="23" width="10" hidden="0" customWidth="1"/>
    <x:col min="24" max="24" width="11" hidden="0" customWidth="1"/>
    <x:col min="25" max="25" width="12" hidden="0" customWidth="1"/>
    <x:col min="26" max="26" width="11" hidden="0" customWidth="1"/>
    <x:col min="27" max="27" width="12" hidden="0" customWidth="1"/>
    <x:col min="28" max="28" width="12" hidden="0" customWidth="1"/>
    <x:col min="29" max="29" width="13" hidden="0" customWidth="1"/>
    <x:col min="30" max="30" width="16" hidden="0" customWidth="1"/>
    <x:col min="31" max="31" width="14" hidden="0" customWidth="1"/>
    <x:col min="32" max="32" width="18" hidden="0" customWidth="1"/>
    <x:col min="33" max="33" width="13" hidden="0" customWidth="1"/>
    <x:col min="34" max="34" width="20" hidden="0" customWidth="1"/>
    <x:col min="35" max="35" width="14" hidden="0" customWidth="1"/>
    <x:col min="36" max="36" width="14" hidden="0" customWidth="1"/>
    <x:col min="37" max="37" width="18" hidden="0" customWidth="1"/>
    <x:col min="38" max="38" width="30" hidden="0" customWidth="1"/>
    <x:col min="39" max="39" width="27" hidden="0" customWidth="1"/>
    <x:col min="40" max="40" width="27" hidden="0" customWidth="1"/>
    <x:col min="41" max="41" width="27" hidden="0" customWidth="1"/>
    <x:col min="42" max="42" width="27" hidden="0" customWidth="1"/>
    <x:col min="43" max="43" width="14" hidden="0" customWidth="1"/>
    <x:col min="44" max="44" width="42" hidden="0" customWidth="1"/>
  </x:cols>
  <x:sheetData>
    <x:row r="1" ht="28" customHeight="1">
      <x:c r="A1" s="109" t="str">
        <x:v>Applied</x:v>
      </x:c>
      <x:c r="B1" s="109" t="str">
        <x:v>Priority</x:v>
      </x:c>
      <x:c r="C1" s="109" t="str">
        <x:v>Species Group</x:v>
      </x:c>
      <x:c r="D1" s="109" t="str">
        <x:v>Hunt Area</x:v>
      </x:c>
      <x:c r="E1" s="109" t="str">
        <x:v>Region</x:v>
      </x:c>
      <x:c r="F1" s="109" t="str">
        <x:v>Hunt Category</x:v>
      </x:c>
      <x:c r="G1" s="109" t="str">
        <x:v>Adult</x:v>
      </x:c>
      <x:c r="H1" s="109" t="str">
        <x:v>Youth</x:v>
      </x:c>
      <x:c r="I1" s="109" t="str">
        <x:v>Application Deadline</x:v>
      </x:c>
      <x:c r="J1" s="109" t="str">
        <x:v>Hunt Window</x:v>
      </x:c>
      <x:c r="K1" s="109" t="str">
        <x:v>Application Fee</x:v>
      </x:c>
      <x:c r="L1" s="109" t="str">
        <x:v>Estimated Permit Fee</x:v>
      </x:c>
      <x:c r="M1" s="109" t="str">
        <x:v>Permits/Groups</x:v>
      </x:c>
      <x:c r="N1" s="109" t="str">
        <x:v>Applicants Last Year</x:v>
      </x:c>
      <x:c r="O1" s="109" t="str">
        <x:v>Draw Odds</x:v>
      </x:c>
      <x:c r="P1" s="109" t="str">
        <x:v>Approx Miles from Amarillo</x:v>
      </x:c>
      <x:c r="Q1" s="109" t="str">
        <x:v>Drive Zone</x:v>
      </x:c>
      <x:c r="R1" s="109" t="str">
        <x:v>Camping Notes</x:v>
      </x:c>
      <x:c r="S1" s="109" t="str">
        <x:v>Backpack Rating</x:v>
      </x:c>
      <x:c r="T1" s="109" t="str">
        <x:v>Past Drawn by Hastings</x:v>
      </x:c>
      <x:c r="U1" s="109" t="str">
        <x:v>Notes</x:v>
      </x:c>
      <x:c r="V1" s="109" t="str">
        <x:v>Source URL</x:v>
      </x:c>
      <x:c r="W1" s="109" t="str">
        <x:v>Odds Score</x:v>
      </x:c>
      <x:c r="X1" s="109" t="str">
        <x:v>Distance Score</x:v>
      </x:c>
      <x:c r="Y1" s="109" t="str">
        <x:v>Youth Fit Score</x:v>
      </x:c>
      <x:c r="Z1" s="109" t="str">
        <x:v>Camping Score</x:v>
      </x:c>
      <x:c r="AA1" s="109" t="str">
        <x:v>Backpack Score</x:v>
      </x:c>
      <x:c r="AB1" s="109" t="str">
        <x:v>Past Draw Bonus</x:v>
      </x:c>
      <x:c r="AC1" s="109" t="str">
        <x:v>Hastings Score</x:v>
      </x:c>
      <x:c r="AD1" s="109" t="str">
        <x:v>Estimated Total If Drawn</x:v>
      </x:c>
      <x:c r="AE1" s="109" t="str">
        <x:v>Deadline Month</x:v>
      </x:c>
      <x:c r="AF1" s="109" t="str">
        <x:v>Applicant(s)</x:v>
      </x:c>
      <x:c r="AG1" s="109" t="str">
        <x:v>Date Applied</x:v>
      </x:c>
      <x:c r="AH1" s="109" t="str">
        <x:v>TPWD Confirmation #</x:v>
      </x:c>
      <x:c r="AI1" s="109" t="str">
        <x:v>Draw Status</x:v>
      </x:c>
      <x:c r="AJ1" s="109" t="str">
        <x:v>Draw Result Date</x:v>
      </x:c>
      <x:c r="AK1" s="109" t="str">
        <x:v>Harvest/Outcome</x:v>
      </x:c>
      <x:c r="AL1" s="109" t="str">
        <x:v>Post-Hunt Notes</x:v>
      </x:c>
      <x:c r="AM1" s="150" t="str">
        <x:v>Official Category Link</x:v>
      </x:c>
      <x:c r="AN1" s="150" t="str">
        <x:v>TPWD Area / Brochure Search</x:v>
      </x:c>
      <x:c r="AO1" s="150" t="str">
        <x:v>TPWD Apply Portal</x:v>
      </x:c>
      <x:c r="AP1" s="150" t="str">
        <x:v>Google Maps</x:v>
      </x:c>
      <x:c r="AQ1" s="150" t="str">
        <x:v>Preference Adjustment</x:v>
      </x:c>
      <x:c r="AR1" s="150" t="str">
        <x:v>Priority Reason</x:v>
      </x:c>
    </x:row>
    <x:row r="2">
      <x:c r="A2" s="4" t="str">
        <x:v>No</x:v>
      </x:c>
      <x:c r="B2" s="4" t="str">
        <x:v>A</x:v>
      </x:c>
      <x:c r="C2" s="4" t="str">
        <x:v>Mule Deer</x:v>
      </x:c>
      <x:c r="D2" s="4" t="str">
        <x:v>Big Bend Ranch SP</x:v>
      </x:c>
      <x:c r="E2" s="4" t="str">
        <x:v>Trans-Pecos / West Texas</x:v>
      </x:c>
      <x:c r="F2" s="4" t="str">
        <x:v>Archery Mule Deer</x:v>
      </x:c>
      <x:c r="G2" s="4" t="str">
        <x:v>Yes</x:v>
      </x:c>
      <x:c r="H2" s="4" t="str">
        <x:v>Yes</x:v>
      </x:c>
      <x:c r="I2" s="24" t="str">
        <x:v>2026-08-15</x:v>
      </x:c>
      <x:c r="J2" s="4" t="str">
        <x:v>See TPWD category page</x:v>
      </x:c>
      <x:c r="K2" s="110" t="n">
        <x:v>3</x:v>
      </x:c>
      <x:c r="L2" s="110"/>
      <x:c r="M2" s="4"/>
      <x:c r="N2" s="4"/>
      <x:c r="O2" s="112"/>
      <x:c r="P2" s="4" t="n">
        <x:v>520</x:v>
      </x:c>
      <x:c r="Q2" s="4" t="str">
        <x:v>Statewide</x:v>
      </x:c>
      <x:c r="R2" s="4" t="str">
        <x:v>Research before draw; property brochure linked from TPWD</x:v>
      </x:c>
      <x:c r="S2" s="4" t="str">
        <x:v>High</x:v>
      </x:c>
      <x:c r="T2" s="4" t="str">
        <x:v>No</x:v>
      </x:c>
      <x:c r="U2" s="4" t="str">
        <x:v>Verified in TPWD 2026-2027 statewide deer category catalog. West Texas/El Paso-region opportunity; prioritize for mule deer adventure value. V5 preference rule: High priority: public-land archery mule deer fits spot-and-stalk preference.</x:v>
      </x:c>
      <x:c r="V2" s="4" t="str">
        <x:v>https://tpwd.texas.gov/huntwild/hunt/public/public_hunt_drawing/hunt-category-details.phtml?OCat=AMD</x:v>
      </x:c>
      <x:c r="W2" s="4" t="n">
        <x:v>2</x:v>
      </x:c>
      <x:c r="X2" s="4" t="n">
        <x:v>2</x:v>
      </x:c>
      <x:c r="Y2" s="4" t="n">
        <x:v>4</x:v>
      </x:c>
      <x:c r="Z2" s="4" t="n">
        <x:v>3</x:v>
      </x:c>
      <x:c r="AA2" s="4" t="n">
        <x:v>4</x:v>
      </x:c>
      <x:c r="AB2" s="4" t="n">
        <x:v>0</x:v>
      </x:c>
      <x:c r="AC2" s="30" t="n">
        <x:v>4.5</x:v>
      </x:c>
      <x:c r="AD2" s="4"/>
      <x:c r="AE2" s="4" t="str">
        <x:v>2026-08-15</x:v>
      </x:c>
      <x:c r="AF2" s="2"/>
      <x:c r="AG2" s="97"/>
      <x:c r="AH2" s="2"/>
      <x:c r="AI2" s="2"/>
      <x:c r="AJ2" s="97"/>
      <x:c r="AK2" s="2"/>
      <x:c r="AL2" s="2"/>
      <x:c r="AM2" s="2" t="str">
        <x:v>https://tpwd.texas.gov/huntwild/hunt/public/public_hunt_drawing/hunt-category-details.phtml?OCat=AMD</x:v>
      </x:c>
      <x:c r="AN2" s="2" t="str">
        <x:v>https://tpwd.texas.gov/search/?q=Big+Bend+Ranch+SP+public+hunting+brochure</x:v>
      </x:c>
      <x:c r="AO2" s="2" t="str">
        <x:v>https://apps.tpwd.state.tx.us/huntwild/hunt/public/public_hunt_drawing/</x:v>
      </x:c>
      <x:c r="AP2" s="2" t="str">
        <x:v>https://www.google.com/maps/search/?api=1&amp;query=Big+Bend+Ranch+SP%2C+Texas</x:v>
      </x:c>
      <x:c r="AQ2" s="96" t="n">
        <x:v>1</x:v>
      </x:c>
      <x:c r="AR2" s="2" t="str">
        <x:v>High priority: public-land archery mule deer fits spot-and-stalk preference</x:v>
      </x:c>
    </x:row>
    <x:row r="3">
      <x:c r="A3" s="4" t="str">
        <x:v>No</x:v>
      </x:c>
      <x:c r="B3" s="4" t="str">
        <x:v>A</x:v>
      </x:c>
      <x:c r="C3" s="4" t="str">
        <x:v>Mule Deer</x:v>
      </x:c>
      <x:c r="D3" s="4" t="str">
        <x:v>Black Gap WMA</x:v>
      </x:c>
      <x:c r="E3" s="4" t="str">
        <x:v>Trans-Pecos / West Texas</x:v>
      </x:c>
      <x:c r="F3" s="4" t="str">
        <x:v>Archery Mule Deer</x:v>
      </x:c>
      <x:c r="G3" s="4" t="str">
        <x:v>Yes</x:v>
      </x:c>
      <x:c r="H3" s="4" t="str">
        <x:v>Yes</x:v>
      </x:c>
      <x:c r="I3" s="24" t="str">
        <x:v>2026-08-15</x:v>
      </x:c>
      <x:c r="J3" s="4" t="str">
        <x:v>See TPWD category page</x:v>
      </x:c>
      <x:c r="K3" s="110" t="n">
        <x:v>3</x:v>
      </x:c>
      <x:c r="L3" s="110"/>
      <x:c r="M3" s="4"/>
      <x:c r="N3" s="4"/>
      <x:c r="O3" s="112"/>
      <x:c r="P3" s="4" t="n">
        <x:v>520</x:v>
      </x:c>
      <x:c r="Q3" s="4" t="str">
        <x:v>Statewide</x:v>
      </x:c>
      <x:c r="R3" s="4" t="str">
        <x:v>Research before draw; property brochure linked from TPWD</x:v>
      </x:c>
      <x:c r="S3" s="4" t="str">
        <x:v>High</x:v>
      </x:c>
      <x:c r="T3" s="4" t="str">
        <x:v>No</x:v>
      </x:c>
      <x:c r="U3" s="4" t="str">
        <x:v>Verified in TPWD 2026-2027 statewide deer category catalog. West Texas/El Paso-region opportunity; prioritize for mule deer adventure value. V5 preference rule: High priority: public-land archery mule deer fits spot-and-stalk preference.</x:v>
      </x:c>
      <x:c r="V3" s="4" t="str">
        <x:v>https://tpwd.texas.gov/huntwild/hunt/public/public_hunt_drawing/hunt-category-details.phtml?OCat=AMD</x:v>
      </x:c>
      <x:c r="W3" s="4" t="n">
        <x:v>2</x:v>
      </x:c>
      <x:c r="X3" s="4" t="n">
        <x:v>2</x:v>
      </x:c>
      <x:c r="Y3" s="4" t="n">
        <x:v>4</x:v>
      </x:c>
      <x:c r="Z3" s="4" t="n">
        <x:v>3</x:v>
      </x:c>
      <x:c r="AA3" s="4" t="n">
        <x:v>4</x:v>
      </x:c>
      <x:c r="AB3" s="4" t="n">
        <x:v>0</x:v>
      </x:c>
      <x:c r="AC3" s="30" t="n">
        <x:v>4.5</x:v>
      </x:c>
      <x:c r="AD3" s="4"/>
      <x:c r="AE3" s="4" t="str">
        <x:v>2026-08-15</x:v>
      </x:c>
      <x:c r="AF3" s="2"/>
      <x:c r="AG3" s="97"/>
      <x:c r="AH3" s="2"/>
      <x:c r="AI3" s="2"/>
      <x:c r="AJ3" s="97"/>
      <x:c r="AK3" s="2"/>
      <x:c r="AL3" s="2"/>
      <x:c r="AM3" s="2" t="str">
        <x:v>https://tpwd.texas.gov/huntwild/hunt/public/public_hunt_drawing/hunt-category-details.phtml?OCat=AMD</x:v>
      </x:c>
      <x:c r="AN3" s="2" t="str">
        <x:v>https://tpwd.texas.gov/search/?q=Black+Gap+WMA+public+hunting+brochure</x:v>
      </x:c>
      <x:c r="AO3" s="2" t="str">
        <x:v>https://apps.tpwd.state.tx.us/huntwild/hunt/public/public_hunt_drawing/</x:v>
      </x:c>
      <x:c r="AP3" s="2" t="str">
        <x:v>https://www.google.com/maps/search/?api=1&amp;query=Black+Gap+WMA%2C+Texas</x:v>
      </x:c>
      <x:c r="AQ3" s="96" t="n">
        <x:v>1</x:v>
      </x:c>
      <x:c r="AR3" s="2" t="str">
        <x:v>High priority: public-land archery mule deer fits spot-and-stalk preference</x:v>
      </x:c>
    </x:row>
    <x:row r="4">
      <x:c r="A4" s="4" t="str">
        <x:v>No</x:v>
      </x:c>
      <x:c r="B4" s="4" t="str">
        <x:v>A</x:v>
      </x:c>
      <x:c r="C4" s="4" t="str">
        <x:v>Mule Deer</x:v>
      </x:c>
      <x:c r="D4" s="4" t="str">
        <x:v>Elephant Mountain WMA</x:v>
      </x:c>
      <x:c r="E4" s="4" t="str">
        <x:v>Trans-Pecos / West Texas</x:v>
      </x:c>
      <x:c r="F4" s="4" t="str">
        <x:v>Archery Mule Deer</x:v>
      </x:c>
      <x:c r="G4" s="4" t="str">
        <x:v>Yes</x:v>
      </x:c>
      <x:c r="H4" s="4" t="str">
        <x:v>Yes</x:v>
      </x:c>
      <x:c r="I4" s="24" t="str">
        <x:v>2026-08-15</x:v>
      </x:c>
      <x:c r="J4" s="4" t="str">
        <x:v>See TPWD category page</x:v>
      </x:c>
      <x:c r="K4" s="110" t="n">
        <x:v>3</x:v>
      </x:c>
      <x:c r="L4" s="110"/>
      <x:c r="M4" s="4"/>
      <x:c r="N4" s="4"/>
      <x:c r="O4" s="112"/>
      <x:c r="P4" s="4" t="n">
        <x:v>520</x:v>
      </x:c>
      <x:c r="Q4" s="4" t="str">
        <x:v>Statewide</x:v>
      </x:c>
      <x:c r="R4" s="4" t="str">
        <x:v>Research before draw; property brochure linked from TPWD</x:v>
      </x:c>
      <x:c r="S4" s="4" t="str">
        <x:v>High</x:v>
      </x:c>
      <x:c r="T4" s="4" t="str">
        <x:v>No</x:v>
      </x:c>
      <x:c r="U4" s="4" t="str">
        <x:v>Verified in TPWD 2026-2027 statewide deer category catalog. West Texas/El Paso-region opportunity; prioritize for mule deer adventure value. V5 preference rule: High priority: public-land archery mule deer fits spot-and-stalk preference.</x:v>
      </x:c>
      <x:c r="V4" s="4" t="str">
        <x:v>https://tpwd.texas.gov/huntwild/hunt/public/public_hunt_drawing/hunt-category-details.phtml?OCat=AMD</x:v>
      </x:c>
      <x:c r="W4" s="4" t="n">
        <x:v>2</x:v>
      </x:c>
      <x:c r="X4" s="4" t="n">
        <x:v>2</x:v>
      </x:c>
      <x:c r="Y4" s="4" t="n">
        <x:v>4</x:v>
      </x:c>
      <x:c r="Z4" s="4" t="n">
        <x:v>3</x:v>
      </x:c>
      <x:c r="AA4" s="4" t="n">
        <x:v>4</x:v>
      </x:c>
      <x:c r="AB4" s="4" t="n">
        <x:v>0</x:v>
      </x:c>
      <x:c r="AC4" s="30" t="n">
        <x:v>4.5</x:v>
      </x:c>
      <x:c r="AD4" s="4"/>
      <x:c r="AE4" s="4" t="str">
        <x:v>2026-08-15</x:v>
      </x:c>
      <x:c r="AF4" s="2"/>
      <x:c r="AG4" s="97"/>
      <x:c r="AH4" s="2"/>
      <x:c r="AI4" s="2"/>
      <x:c r="AJ4" s="97"/>
      <x:c r="AK4" s="2"/>
      <x:c r="AL4" s="2"/>
      <x:c r="AM4" s="2" t="str">
        <x:v>https://tpwd.texas.gov/huntwild/hunt/public/public_hunt_drawing/hunt-category-details.phtml?OCat=AMD</x:v>
      </x:c>
      <x:c r="AN4" s="2" t="str">
        <x:v>https://tpwd.texas.gov/search/?q=Elephant+Mountain+WMA+public+hunting+brochure</x:v>
      </x:c>
      <x:c r="AO4" s="2" t="str">
        <x:v>https://apps.tpwd.state.tx.us/huntwild/hunt/public/public_hunt_drawing/</x:v>
      </x:c>
      <x:c r="AP4" s="2" t="str">
        <x:v>https://www.google.com/maps/search/?api=1&amp;query=Elephant+Mountain+WMA%2C+Texas</x:v>
      </x:c>
      <x:c r="AQ4" s="96" t="n">
        <x:v>1</x:v>
      </x:c>
      <x:c r="AR4" s="2" t="str">
        <x:v>High priority: public-land archery mule deer fits spot-and-stalk preference</x:v>
      </x:c>
    </x:row>
    <x:row r="5">
      <x:c r="A5" s="4" t="str">
        <x:v>No</x:v>
      </x:c>
      <x:c r="B5" s="4" t="str">
        <x:v>A</x:v>
      </x:c>
      <x:c r="C5" s="4" t="str">
        <x:v>Mule Deer</x:v>
      </x:c>
      <x:c r="D5" s="4" t="str">
        <x:v>Matador WMA</x:v>
      </x:c>
      <x:c r="E5" s="4" t="str">
        <x:v>Panhandle / Rolling Plains</x:v>
      </x:c>
      <x:c r="F5" s="4" t="str">
        <x:v>Archery Mule Deer</x:v>
      </x:c>
      <x:c r="G5" s="4" t="str">
        <x:v>Yes</x:v>
      </x:c>
      <x:c r="H5" s="4" t="str">
        <x:v>Yes</x:v>
      </x:c>
      <x:c r="I5" s="24" t="str">
        <x:v>2026-08-15</x:v>
      </x:c>
      <x:c r="J5" s="4" t="str">
        <x:v>See TPWD category page</x:v>
      </x:c>
      <x:c r="K5" s="110" t="n">
        <x:v>3</x:v>
      </x:c>
      <x:c r="L5" s="110"/>
      <x:c r="M5" s="4"/>
      <x:c r="N5" s="4"/>
      <x:c r="O5" s="112"/>
      <x:c r="P5" s="4" t="n">
        <x:v>130</x:v>
      </x:c>
      <x:c r="Q5" s="4" t="str">
        <x:v>Core</x:v>
      </x:c>
      <x:c r="R5" s="4" t="str">
        <x:v>Research before draw; property brochure linked from TPWD</x:v>
      </x:c>
      <x:c r="S5" s="4" t="str">
        <x:v>High</x:v>
      </x:c>
      <x:c r="T5" s="4" t="str">
        <x:v>No</x:v>
      </x:c>
      <x:c r="U5" s="4" t="str">
        <x:v>Verified in TPWD 2026-2027 statewide deer category catalog. V5 preference rule: High priority: public-land archery mule deer fits spot-and-stalk preference.</x:v>
      </x:c>
      <x:c r="V5" s="4" t="str">
        <x:v>https://tpwd.texas.gov/huntwild/hunt/public/public_hunt_drawing/hunt-category-details.phtml?OCat=AMD</x:v>
      </x:c>
      <x:c r="W5" s="4" t="n">
        <x:v>2</x:v>
      </x:c>
      <x:c r="X5" s="4" t="n">
        <x:v>5</x:v>
      </x:c>
      <x:c r="Y5" s="4" t="n">
        <x:v>4</x:v>
      </x:c>
      <x:c r="Z5" s="4" t="n">
        <x:v>3</x:v>
      </x:c>
      <x:c r="AA5" s="4" t="n">
        <x:v>4</x:v>
      </x:c>
      <x:c r="AB5" s="4" t="n">
        <x:v>0</x:v>
      </x:c>
      <x:c r="AC5" s="30" t="n">
        <x:v>4.5</x:v>
      </x:c>
      <x:c r="AD5" s="4"/>
      <x:c r="AE5" s="4" t="str">
        <x:v>2026-08-15</x:v>
      </x:c>
      <x:c r="AF5" s="2"/>
      <x:c r="AG5" s="97"/>
      <x:c r="AH5" s="2"/>
      <x:c r="AI5" s="2"/>
      <x:c r="AJ5" s="97"/>
      <x:c r="AK5" s="2"/>
      <x:c r="AL5" s="2"/>
      <x:c r="AM5" s="2" t="str">
        <x:v>https://tpwd.texas.gov/huntwild/hunt/public/public_hunt_drawing/hunt-category-details.phtml?OCat=AMD</x:v>
      </x:c>
      <x:c r="AN5" s="2" t="str">
        <x:v>https://tpwd.texas.gov/search/?q=Matador+WMA+public+hunting+brochure</x:v>
      </x:c>
      <x:c r="AO5" s="2" t="str">
        <x:v>https://apps.tpwd.state.tx.us/huntwild/hunt/public/public_hunt_drawing/</x:v>
      </x:c>
      <x:c r="AP5" s="2" t="str">
        <x:v>https://www.google.com/maps/search/?api=1&amp;query=Matador+WMA%2C+Texas</x:v>
      </x:c>
      <x:c r="AQ5" s="96" t="n">
        <x:v>1</x:v>
      </x:c>
      <x:c r="AR5" s="2" t="str">
        <x:v>High priority: public-land archery mule deer fits spot-and-stalk preference</x:v>
      </x:c>
    </x:row>
    <x:row r="6">
      <x:c r="A6" s="4" t="str">
        <x:v>No</x:v>
      </x:c>
      <x:c r="B6" s="4" t="str">
        <x:v>A</x:v>
      </x:c>
      <x:c r="C6" s="4" t="str">
        <x:v>Mule Deer</x:v>
      </x:c>
      <x:c r="D6" s="4" t="str">
        <x:v>Potter County - Cross Bar Mgt. Area</x:v>
      </x:c>
      <x:c r="E6" s="4" t="str">
        <x:v>Panhandle / Rolling Plains</x:v>
      </x:c>
      <x:c r="F6" s="4" t="str">
        <x:v>Archery Mule Deer</x:v>
      </x:c>
      <x:c r="G6" s="4" t="str">
        <x:v>Yes</x:v>
      </x:c>
      <x:c r="H6" s="4" t="str">
        <x:v>Yes</x:v>
      </x:c>
      <x:c r="I6" s="24" t="str">
        <x:v>2026-08-15</x:v>
      </x:c>
      <x:c r="J6" s="4" t="str">
        <x:v>See TPWD category page</x:v>
      </x:c>
      <x:c r="K6" s="110" t="n">
        <x:v>3</x:v>
      </x:c>
      <x:c r="L6" s="110"/>
      <x:c r="M6" s="4"/>
      <x:c r="N6" s="4"/>
      <x:c r="O6" s="112"/>
      <x:c r="P6" s="4" t="n">
        <x:v>130</x:v>
      </x:c>
      <x:c r="Q6" s="4" t="str">
        <x:v>Core</x:v>
      </x:c>
      <x:c r="R6" s="4" t="str">
        <x:v>Research before draw; property brochure linked from TPWD</x:v>
      </x:c>
      <x:c r="S6" s="4" t="str">
        <x:v>High</x:v>
      </x:c>
      <x:c r="T6" s="4" t="str">
        <x:v>No</x:v>
      </x:c>
      <x:c r="U6" s="4" t="str">
        <x:v>Verified in TPWD 2026-2027 statewide deer category catalog. V5 preference rule: High priority: public-land archery mule deer fits spot-and-stalk preference.</x:v>
      </x:c>
      <x:c r="V6" s="4" t="str">
        <x:v>https://tpwd.texas.gov/huntwild/hunt/public/public_hunt_drawing/hunt-category-details.phtml?OCat=AMD</x:v>
      </x:c>
      <x:c r="W6" s="4" t="n">
        <x:v>2</x:v>
      </x:c>
      <x:c r="X6" s="4" t="n">
        <x:v>5</x:v>
      </x:c>
      <x:c r="Y6" s="4" t="n">
        <x:v>4</x:v>
      </x:c>
      <x:c r="Z6" s="4" t="n">
        <x:v>3</x:v>
      </x:c>
      <x:c r="AA6" s="4" t="n">
        <x:v>4</x:v>
      </x:c>
      <x:c r="AB6" s="4" t="n">
        <x:v>0</x:v>
      </x:c>
      <x:c r="AC6" s="30" t="n">
        <x:v>4.5</x:v>
      </x:c>
      <x:c r="AD6" s="4"/>
      <x:c r="AE6" s="4" t="str">
        <x:v>2026-08-15</x:v>
      </x:c>
      <x:c r="AF6" s="2"/>
      <x:c r="AG6" s="97"/>
      <x:c r="AH6" s="2"/>
      <x:c r="AI6" s="2"/>
      <x:c r="AJ6" s="97"/>
      <x:c r="AK6" s="2"/>
      <x:c r="AL6" s="2"/>
      <x:c r="AM6" s="2" t="str">
        <x:v>https://tpwd.texas.gov/huntwild/hunt/public/public_hunt_drawing/hunt-category-details.phtml?OCat=AMD</x:v>
      </x:c>
      <x:c r="AN6" s="2" t="str">
        <x:v>https://tpwd.texas.gov/search/?q=Potter+County+-+Cross+Bar+Mgt.+Area+public+hunting+brochure</x:v>
      </x:c>
      <x:c r="AO6" s="2" t="str">
        <x:v>https://apps.tpwd.state.tx.us/huntwild/hunt/public/public_hunt_drawing/</x:v>
      </x:c>
      <x:c r="AP6" s="2" t="str">
        <x:v>https://www.google.com/maps/search/?api=1&amp;query=Potter+County+-+Cross+Bar+Mgt.+Area%2C+Texas</x:v>
      </x:c>
      <x:c r="AQ6" s="96" t="n">
        <x:v>1</x:v>
      </x:c>
      <x:c r="AR6" s="2" t="str">
        <x:v>High priority: public-land archery mule deer fits spot-and-stalk preference</x:v>
      </x:c>
    </x:row>
    <x:row r="7">
      <x:c r="A7" s="4" t="str">
        <x:v>No</x:v>
      </x:c>
      <x:c r="B7" s="4" t="str">
        <x:v>B</x:v>
      </x:c>
      <x:c r="C7" s="4" t="str">
        <x:v>Whitetail Deer</x:v>
      </x:c>
      <x:c r="D7" s="4" t="str">
        <x:v>Abilene SP</x:v>
      </x:c>
      <x:c r="E7" s="4" t="str">
        <x:v>West-Central Texas</x:v>
      </x:c>
      <x:c r="F7" s="4" t="str">
        <x:v>Archery Deer</x:v>
      </x:c>
      <x:c r="G7" s="4" t="str">
        <x:v>Yes</x:v>
      </x:c>
      <x:c r="H7" s="4" t="str">
        <x:v>Yes</x:v>
      </x:c>
      <x:c r="I7" s="24" t="str">
        <x:v>2026-08-15</x:v>
      </x:c>
      <x:c r="J7" s="4" t="str">
        <x:v>See TPWD category page</x:v>
      </x:c>
      <x:c r="K7" s="110" t="n">
        <x:v>3</x:v>
      </x:c>
      <x:c r="L7" s="110"/>
      <x:c r="M7" s="4"/>
      <x:c r="N7" s="4"/>
      <x:c r="O7" s="112"/>
      <x:c r="P7" s="4" t="n">
        <x:v>300</x:v>
      </x:c>
      <x:c r="Q7" s="4" t="str">
        <x:v>Extended</x:v>
      </x:c>
      <x:c r="R7" s="4" t="str">
        <x:v>Research before draw; property brochure linked from TPWD</x:v>
      </x:c>
      <x:c r="S7" s="4" t="str">
        <x:v>Low</x:v>
      </x:c>
      <x:c r="T7" s="4" t="str">
        <x:v>No</x:v>
      </x:c>
      <x:c r="U7" s="4" t="str">
        <x:v>Verified in TPWD 2026-2027 statewide deer category catalog. V5 preference rule: Lower priority: archery whitetail is more than 200 miles from Amarillo.</x:v>
      </x:c>
      <x:c r="V7" s="4" t="str">
        <x:v>https://tpwd.texas.gov/huntwild/hunt/public/public_hunt_drawing/hunt-category-details.phtml?OCat=ADE</x:v>
      </x:c>
      <x:c r="W7" s="4" t="n">
        <x:v>2</x:v>
      </x:c>
      <x:c r="X7" s="4" t="n">
        <x:v>4</x:v>
      </x:c>
      <x:c r="Y7" s="4" t="n">
        <x:v>4</x:v>
      </x:c>
      <x:c r="Z7" s="4" t="n">
        <x:v>3</x:v>
      </x:c>
      <x:c r="AA7" s="4" t="n">
        <x:v>2</x:v>
      </x:c>
      <x:c r="AB7" s="4" t="n">
        <x:v>0</x:v>
      </x:c>
      <x:c r="AC7" s="30" t="n">
        <x:v>1.6</x:v>
      </x:c>
      <x:c r="AD7" s="4"/>
      <x:c r="AE7" s="4" t="str">
        <x:v>2026-08-15</x:v>
      </x:c>
      <x:c r="AF7" s="2"/>
      <x:c r="AG7" s="97"/>
      <x:c r="AH7" s="2"/>
      <x:c r="AI7" s="2"/>
      <x:c r="AJ7" s="97"/>
      <x:c r="AK7" s="2"/>
      <x:c r="AL7" s="2"/>
      <x:c r="AM7" s="2" t="str">
        <x:v>https://tpwd.texas.gov/huntwild/hunt/public/public_hunt_drawing/hunt-category-details.phtml?OCat=ADE</x:v>
      </x:c>
      <x:c r="AN7" s="2" t="str">
        <x:v>https://tpwd.texas.gov/search/?q=Abilene+SP+public+hunting+brochure</x:v>
      </x:c>
      <x:c r="AO7" s="2" t="str">
        <x:v>https://apps.tpwd.state.tx.us/huntwild/hunt/public/public_hunt_drawing/</x:v>
      </x:c>
      <x:c r="AP7" s="2" t="str">
        <x:v>https://www.google.com/maps/search/?api=1&amp;query=Abilene+SP%2C+Texas</x:v>
      </x:c>
      <x:c r="AQ7" s="96" t="n">
        <x:v>-1</x:v>
      </x:c>
      <x:c r="AR7" s="2" t="str">
        <x:v>Lower priority: archery whitetail is more than 200 miles from Amarillo</x:v>
      </x:c>
    </x:row>
    <x:row r="8">
      <x:c r="A8" s="4" t="str">
        <x:v>No</x:v>
      </x:c>
      <x:c r="B8" s="4" t="str">
        <x:v>B</x:v>
      </x:c>
      <x:c r="C8" s="4" t="str">
        <x:v>Whitetail Deer</x:v>
      </x:c>
      <x:c r="D8" s="4" t="str">
        <x:v>Chaparral WMA</x:v>
      </x:c>
      <x:c r="E8" s="4" t="str">
        <x:v>South Texas / Rio Grande Valley</x:v>
      </x:c>
      <x:c r="F8" s="4" t="str">
        <x:v>Archery Deer</x:v>
      </x:c>
      <x:c r="G8" s="4" t="str">
        <x:v>Yes</x:v>
      </x:c>
      <x:c r="H8" s="4" t="str">
        <x:v>Yes</x:v>
      </x:c>
      <x:c r="I8" s="24" t="str">
        <x:v>2026-08-15</x:v>
      </x:c>
      <x:c r="J8" s="4" t="str">
        <x:v>See TPWD category page</x:v>
      </x:c>
      <x:c r="K8" s="110" t="n">
        <x:v>3</x:v>
      </x:c>
      <x:c r="L8" s="110"/>
      <x:c r="M8" s="4"/>
      <x:c r="N8" s="4"/>
      <x:c r="O8" s="112"/>
      <x:c r="P8" s="4" t="n">
        <x:v>700</x:v>
      </x:c>
      <x:c r="Q8" s="4" t="str">
        <x:v>Long Haul</x:v>
      </x:c>
      <x:c r="R8" s="4" t="str">
        <x:v>Research before draw; property brochure linked from TPWD</x:v>
      </x:c>
      <x:c r="S8" s="4" t="str">
        <x:v>Low</x:v>
      </x:c>
      <x:c r="T8" s="4" t="str">
        <x:v>No</x:v>
      </x:c>
      <x:c r="U8" s="4" t="str">
        <x:v>Verified in TPWD 2026-2027 statewide deer category catalog. V5 preference rule: Lower priority: archery whitetail is more than 200 miles from Amarillo.</x:v>
      </x:c>
      <x:c r="V8" s="4" t="str">
        <x:v>https://tpwd.texas.gov/huntwild/hunt/public/public_hunt_drawing/hunt-category-details.phtml?OCat=ADE</x:v>
      </x:c>
      <x:c r="W8" s="4" t="n">
        <x:v>2</x:v>
      </x:c>
      <x:c r="X8" s="4" t="n">
        <x:v>1</x:v>
      </x:c>
      <x:c r="Y8" s="4" t="n">
        <x:v>4</x:v>
      </x:c>
      <x:c r="Z8" s="4" t="n">
        <x:v>3</x:v>
      </x:c>
      <x:c r="AA8" s="4" t="n">
        <x:v>2</x:v>
      </x:c>
      <x:c r="AB8" s="4" t="n">
        <x:v>0</x:v>
      </x:c>
      <x:c r="AC8" s="30" t="n">
        <x:v>1.1</x:v>
      </x:c>
      <x:c r="AD8" s="4"/>
      <x:c r="AE8" s="4" t="str">
        <x:v>2026-08-15</x:v>
      </x:c>
      <x:c r="AF8" s="2"/>
      <x:c r="AG8" s="97"/>
      <x:c r="AH8" s="2"/>
      <x:c r="AI8" s="2"/>
      <x:c r="AJ8" s="97"/>
      <x:c r="AK8" s="2"/>
      <x:c r="AL8" s="2"/>
      <x:c r="AM8" s="2" t="str">
        <x:v>https://tpwd.texas.gov/huntwild/hunt/public/public_hunt_drawing/hunt-category-details.phtml?OCat=ADE</x:v>
      </x:c>
      <x:c r="AN8" s="2" t="str">
        <x:v>https://tpwd.texas.gov/search/?q=Chaparral+WMA+public+hunting+brochure</x:v>
      </x:c>
      <x:c r="AO8" s="2" t="str">
        <x:v>https://apps.tpwd.state.tx.us/huntwild/hunt/public/public_hunt_drawing/</x:v>
      </x:c>
      <x:c r="AP8" s="2" t="str">
        <x:v>https://www.google.com/maps/search/?api=1&amp;query=Chaparral+WMA%2C+Texas</x:v>
      </x:c>
      <x:c r="AQ8" s="96" t="n">
        <x:v>-1</x:v>
      </x:c>
      <x:c r="AR8" s="2" t="str">
        <x:v>Lower priority: archery whitetail is more than 200 miles from Amarillo</x:v>
      </x:c>
    </x:row>
    <x:row r="9">
      <x:c r="A9" s="4" t="str">
        <x:v>No</x:v>
      </x:c>
      <x:c r="B9" s="4" t="str">
        <x:v>B</x:v>
      </x:c>
      <x:c r="C9" s="4" t="str">
        <x:v>Whitetail Deer</x:v>
      </x:c>
      <x:c r="D9" s="4" t="str">
        <x:v>Choke Canyon SP - North Shore Unit</x:v>
      </x:c>
      <x:c r="E9" s="4" t="str">
        <x:v>South Texas / Rio Grande Valley</x:v>
      </x:c>
      <x:c r="F9" s="4" t="str">
        <x:v>Archery Deer</x:v>
      </x:c>
      <x:c r="G9" s="4" t="str">
        <x:v>Yes</x:v>
      </x:c>
      <x:c r="H9" s="4" t="str">
        <x:v>Yes</x:v>
      </x:c>
      <x:c r="I9" s="24" t="str">
        <x:v>2026-08-15</x:v>
      </x:c>
      <x:c r="J9" s="4" t="str">
        <x:v>See TPWD category page</x:v>
      </x:c>
      <x:c r="K9" s="110" t="n">
        <x:v>3</x:v>
      </x:c>
      <x:c r="L9" s="110"/>
      <x:c r="M9" s="4"/>
      <x:c r="N9" s="4"/>
      <x:c r="O9" s="112"/>
      <x:c r="P9" s="4" t="n">
        <x:v>700</x:v>
      </x:c>
      <x:c r="Q9" s="4" t="str">
        <x:v>Long Haul</x:v>
      </x:c>
      <x:c r="R9" s="4" t="str">
        <x:v>Research before draw; property brochure linked from TPWD</x:v>
      </x:c>
      <x:c r="S9" s="4" t="str">
        <x:v>Low</x:v>
      </x:c>
      <x:c r="T9" s="4" t="str">
        <x:v>No</x:v>
      </x:c>
      <x:c r="U9" s="4" t="str">
        <x:v>Verified in TPWD 2026-2027 statewide deer category catalog. V5 preference rule: Lower priority: archery whitetail is more than 200 miles from Amarillo.</x:v>
      </x:c>
      <x:c r="V9" s="4" t="str">
        <x:v>https://tpwd.texas.gov/huntwild/hunt/public/public_hunt_drawing/hunt-category-details.phtml?OCat=ADE</x:v>
      </x:c>
      <x:c r="W9" s="4" t="n">
        <x:v>2</x:v>
      </x:c>
      <x:c r="X9" s="4" t="n">
        <x:v>1</x:v>
      </x:c>
      <x:c r="Y9" s="4" t="n">
        <x:v>4</x:v>
      </x:c>
      <x:c r="Z9" s="4" t="n">
        <x:v>3</x:v>
      </x:c>
      <x:c r="AA9" s="4" t="n">
        <x:v>2</x:v>
      </x:c>
      <x:c r="AB9" s="4" t="n">
        <x:v>0</x:v>
      </x:c>
      <x:c r="AC9" s="30" t="n">
        <x:v>1.1</x:v>
      </x:c>
      <x:c r="AD9" s="4"/>
      <x:c r="AE9" s="4" t="str">
        <x:v>2026-08-15</x:v>
      </x:c>
      <x:c r="AF9" s="2"/>
      <x:c r="AG9" s="97"/>
      <x:c r="AH9" s="2"/>
      <x:c r="AI9" s="2"/>
      <x:c r="AJ9" s="97"/>
      <x:c r="AK9" s="2"/>
      <x:c r="AL9" s="2"/>
      <x:c r="AM9" s="2" t="str">
        <x:v>https://tpwd.texas.gov/huntwild/hunt/public/public_hunt_drawing/hunt-category-details.phtml?OCat=ADE</x:v>
      </x:c>
      <x:c r="AN9" s="2" t="str">
        <x:v>https://tpwd.texas.gov/search/?q=Choke+Canyon+SP+-+North+Shore+Unit+public+hunting+brochure</x:v>
      </x:c>
      <x:c r="AO9" s="2" t="str">
        <x:v>https://apps.tpwd.state.tx.us/huntwild/hunt/public/public_hunt_drawing/</x:v>
      </x:c>
      <x:c r="AP9" s="2" t="str">
        <x:v>https://www.google.com/maps/search/?api=1&amp;query=Choke+Canyon+SP+-+North+Shore+Unit%2C+Texas</x:v>
      </x:c>
      <x:c r="AQ9" s="96" t="n">
        <x:v>-1</x:v>
      </x:c>
      <x:c r="AR9" s="2" t="str">
        <x:v>Lower priority: archery whitetail is more than 200 miles from Amarillo</x:v>
      </x:c>
    </x:row>
    <x:row r="10">
      <x:c r="A10" s="4" t="str">
        <x:v>No</x:v>
      </x:c>
      <x:c r="B10" s="4" t="str">
        <x:v>B</x:v>
      </x:c>
      <x:c r="C10" s="4" t="str">
        <x:v>Whitetail Deer</x:v>
      </x:c>
      <x:c r="D10" s="4" t="str">
        <x:v>Colorado Bend SP</x:v>
      </x:c>
      <x:c r="E10" s="4" t="str">
        <x:v>Central Texas / Austin</x:v>
      </x:c>
      <x:c r="F10" s="4" t="str">
        <x:v>Archery Deer</x:v>
      </x:c>
      <x:c r="G10" s="4" t="str">
        <x:v>Yes</x:v>
      </x:c>
      <x:c r="H10" s="4" t="str">
        <x:v>Yes</x:v>
      </x:c>
      <x:c r="I10" s="24" t="str">
        <x:v>2026-08-15</x:v>
      </x:c>
      <x:c r="J10" s="4" t="str">
        <x:v>See TPWD category page</x:v>
      </x:c>
      <x:c r="K10" s="110" t="n">
        <x:v>3</x:v>
      </x:c>
      <x:c r="L10" s="110"/>
      <x:c r="M10" s="4"/>
      <x:c r="N10" s="4"/>
      <x:c r="O10" s="112"/>
      <x:c r="P10" s="4" t="n">
        <x:v>490</x:v>
      </x:c>
      <x:c r="Q10" s="4" t="str">
        <x:v>Statewide</x:v>
      </x:c>
      <x:c r="R10" s="4" t="str">
        <x:v>Research before draw; property brochure linked from TPWD</x:v>
      </x:c>
      <x:c r="S10" s="4" t="str">
        <x:v>Low</x:v>
      </x:c>
      <x:c r="T10" s="4" t="str">
        <x:v>No</x:v>
      </x:c>
      <x:c r="U10" s="4" t="str">
        <x:v>Verified in TPWD 2026-2027 statewide deer category catalog. V5 preference rule: Lower priority: archery whitetail is more than 200 miles from Amarillo.</x:v>
      </x:c>
      <x:c r="V10" s="4" t="str">
        <x:v>https://tpwd.texas.gov/huntwild/hunt/public/public_hunt_drawing/hunt-category-details.phtml?OCat=ADE</x:v>
      </x:c>
      <x:c r="W10" s="4" t="n">
        <x:v>2</x:v>
      </x:c>
      <x:c r="X10" s="4" t="n">
        <x:v>2</x:v>
      </x:c>
      <x:c r="Y10" s="4" t="n">
        <x:v>4</x:v>
      </x:c>
      <x:c r="Z10" s="4" t="n">
        <x:v>3</x:v>
      </x:c>
      <x:c r="AA10" s="4" t="n">
        <x:v>2</x:v>
      </x:c>
      <x:c r="AB10" s="4" t="n">
        <x:v>0</x:v>
      </x:c>
      <x:c r="AC10" s="30" t="n">
        <x:v>1.3</x:v>
      </x:c>
      <x:c r="AD10" s="4"/>
      <x:c r="AE10" s="4" t="str">
        <x:v>2026-08-15</x:v>
      </x:c>
      <x:c r="AF10" s="2"/>
      <x:c r="AG10" s="97"/>
      <x:c r="AH10" s="2"/>
      <x:c r="AI10" s="2"/>
      <x:c r="AJ10" s="97"/>
      <x:c r="AK10" s="2"/>
      <x:c r="AL10" s="2"/>
      <x:c r="AM10" s="2" t="str">
        <x:v>https://tpwd.texas.gov/huntwild/hunt/public/public_hunt_drawing/hunt-category-details.phtml?OCat=ADE</x:v>
      </x:c>
      <x:c r="AN10" s="2" t="str">
        <x:v>https://tpwd.texas.gov/search/?q=Colorado+Bend+SP+public+hunting+brochure</x:v>
      </x:c>
      <x:c r="AO10" s="2" t="str">
        <x:v>https://apps.tpwd.state.tx.us/huntwild/hunt/public/public_hunt_drawing/</x:v>
      </x:c>
      <x:c r="AP10" s="2" t="str">
        <x:v>https://www.google.com/maps/search/?api=1&amp;query=Colorado+Bend+SP%2C+Texas</x:v>
      </x:c>
      <x:c r="AQ10" s="96" t="n">
        <x:v>-1</x:v>
      </x:c>
      <x:c r="AR10" s="2" t="str">
        <x:v>Lower priority: archery whitetail is more than 200 miles from Amarillo</x:v>
      </x:c>
    </x:row>
    <x:row r="11">
      <x:c r="A11" s="4" t="str">
        <x:v>No</x:v>
      </x:c>
      <x:c r="B11" s="4" t="str">
        <x:v>B</x:v>
      </x:c>
      <x:c r="C11" s="4" t="str">
        <x:v>Whitetail Deer</x:v>
      </x:c>
      <x:c r="D11" s="4" t="str">
        <x:v>Copper Breaks SP</x:v>
      </x:c>
      <x:c r="E11" s="4" t="str">
        <x:v>West-Central Texas</x:v>
      </x:c>
      <x:c r="F11" s="4" t="str">
        <x:v>Archery Deer</x:v>
      </x:c>
      <x:c r="G11" s="4" t="str">
        <x:v>Yes</x:v>
      </x:c>
      <x:c r="H11" s="4" t="str">
        <x:v>Yes</x:v>
      </x:c>
      <x:c r="I11" s="24" t="str">
        <x:v>2026-08-15</x:v>
      </x:c>
      <x:c r="J11" s="4" t="str">
        <x:v>See TPWD category page</x:v>
      </x:c>
      <x:c r="K11" s="110" t="n">
        <x:v>3</x:v>
      </x:c>
      <x:c r="L11" s="110"/>
      <x:c r="M11" s="4"/>
      <x:c r="N11" s="4"/>
      <x:c r="O11" s="112"/>
      <x:c r="P11" s="4" t="n">
        <x:v>300</x:v>
      </x:c>
      <x:c r="Q11" s="4" t="str">
        <x:v>Extended</x:v>
      </x:c>
      <x:c r="R11" s="4" t="str">
        <x:v>Research before draw; property brochure linked from TPWD</x:v>
      </x:c>
      <x:c r="S11" s="4" t="str">
        <x:v>Low</x:v>
      </x:c>
      <x:c r="T11" s="4" t="str">
        <x:v>No</x:v>
      </x:c>
      <x:c r="U11" s="4" t="str">
        <x:v>Verified in TPWD 2026-2027 statewide deer category catalog. V5 preference rule: Lower priority: archery whitetail is more than 200 miles from Amarillo.</x:v>
      </x:c>
      <x:c r="V11" s="4" t="str">
        <x:v>https://tpwd.texas.gov/huntwild/hunt/public/public_hunt_drawing/hunt-category-details.phtml?OCat=ADE</x:v>
      </x:c>
      <x:c r="W11" s="4" t="n">
        <x:v>2</x:v>
      </x:c>
      <x:c r="X11" s="4" t="n">
        <x:v>4</x:v>
      </x:c>
      <x:c r="Y11" s="4" t="n">
        <x:v>4</x:v>
      </x:c>
      <x:c r="Z11" s="4" t="n">
        <x:v>3</x:v>
      </x:c>
      <x:c r="AA11" s="4" t="n">
        <x:v>2</x:v>
      </x:c>
      <x:c r="AB11" s="4" t="n">
        <x:v>0</x:v>
      </x:c>
      <x:c r="AC11" s="30" t="n">
        <x:v>1.6</x:v>
      </x:c>
      <x:c r="AD11" s="4"/>
      <x:c r="AE11" s="4" t="str">
        <x:v>2026-08-15</x:v>
      </x:c>
      <x:c r="AF11" s="2"/>
      <x:c r="AG11" s="97"/>
      <x:c r="AH11" s="2"/>
      <x:c r="AI11" s="2"/>
      <x:c r="AJ11" s="97"/>
      <x:c r="AK11" s="2"/>
      <x:c r="AL11" s="2"/>
      <x:c r="AM11" s="2" t="str">
        <x:v>https://tpwd.texas.gov/huntwild/hunt/public/public_hunt_drawing/hunt-category-details.phtml?OCat=ADE</x:v>
      </x:c>
      <x:c r="AN11" s="2" t="str">
        <x:v>https://tpwd.texas.gov/search/?q=Copper+Breaks+SP+public+hunting+brochure</x:v>
      </x:c>
      <x:c r="AO11" s="2" t="str">
        <x:v>https://apps.tpwd.state.tx.us/huntwild/hunt/public/public_hunt_drawing/</x:v>
      </x:c>
      <x:c r="AP11" s="2" t="str">
        <x:v>https://www.google.com/maps/search/?api=1&amp;query=Copper+Breaks+SP%2C+Texas</x:v>
      </x:c>
      <x:c r="AQ11" s="96" t="n">
        <x:v>-1</x:v>
      </x:c>
      <x:c r="AR11" s="2" t="str">
        <x:v>Lower priority: archery whitetail is more than 200 miles from Amarillo</x:v>
      </x:c>
    </x:row>
    <x:row r="12">
      <x:c r="A12" s="4" t="str">
        <x:v>No</x:v>
      </x:c>
      <x:c r="B12" s="4" t="str">
        <x:v>B</x:v>
      </x:c>
      <x:c r="C12" s="4" t="str">
        <x:v>Whitetail Deer</x:v>
      </x:c>
      <x:c r="D12" s="4" t="str">
        <x:v>Enchanted Rock SNA</x:v>
      </x:c>
      <x:c r="E12" s="4" t="str">
        <x:v>Hill Country / San Antonio</x:v>
      </x:c>
      <x:c r="F12" s="4" t="str">
        <x:v>Archery Deer</x:v>
      </x:c>
      <x:c r="G12" s="4" t="str">
        <x:v>Yes</x:v>
      </x:c>
      <x:c r="H12" s="4" t="str">
        <x:v>Yes</x:v>
      </x:c>
      <x:c r="I12" s="24" t="str">
        <x:v>2026-08-15</x:v>
      </x:c>
      <x:c r="J12" s="4" t="str">
        <x:v>See TPWD category page</x:v>
      </x:c>
      <x:c r="K12" s="110" t="n">
        <x:v>3</x:v>
      </x:c>
      <x:c r="L12" s="110"/>
      <x:c r="M12" s="4"/>
      <x:c r="N12" s="4"/>
      <x:c r="O12" s="112"/>
      <x:c r="P12" s="4" t="n">
        <x:v>520</x:v>
      </x:c>
      <x:c r="Q12" s="4" t="str">
        <x:v>Statewide</x:v>
      </x:c>
      <x:c r="R12" s="4" t="str">
        <x:v>Research before draw; property brochure linked from TPWD</x:v>
      </x:c>
      <x:c r="S12" s="4" t="str">
        <x:v>Low</x:v>
      </x:c>
      <x:c r="T12" s="4" t="str">
        <x:v>No</x:v>
      </x:c>
      <x:c r="U12" s="4" t="str">
        <x:v>Verified in TPWD 2026-2027 statewide deer category catalog. V5 preference rule: Lower priority: archery whitetail is more than 200 miles from Amarillo.</x:v>
      </x:c>
      <x:c r="V12" s="4" t="str">
        <x:v>https://tpwd.texas.gov/huntwild/hunt/public/public_hunt_drawing/hunt-category-details.phtml?OCat=ADE</x:v>
      </x:c>
      <x:c r="W12" s="4" t="n">
        <x:v>2</x:v>
      </x:c>
      <x:c r="X12" s="4" t="n">
        <x:v>2</x:v>
      </x:c>
      <x:c r="Y12" s="4" t="n">
        <x:v>4</x:v>
      </x:c>
      <x:c r="Z12" s="4" t="n">
        <x:v>3</x:v>
      </x:c>
      <x:c r="AA12" s="4" t="n">
        <x:v>2</x:v>
      </x:c>
      <x:c r="AB12" s="4" t="n">
        <x:v>0</x:v>
      </x:c>
      <x:c r="AC12" s="30" t="n">
        <x:v>1.3</x:v>
      </x:c>
      <x:c r="AD12" s="4"/>
      <x:c r="AE12" s="4" t="str">
        <x:v>2026-08-15</x:v>
      </x:c>
      <x:c r="AF12" s="2"/>
      <x:c r="AG12" s="97"/>
      <x:c r="AH12" s="2"/>
      <x:c r="AI12" s="2"/>
      <x:c r="AJ12" s="97"/>
      <x:c r="AK12" s="2"/>
      <x:c r="AL12" s="2"/>
      <x:c r="AM12" s="2" t="str">
        <x:v>https://tpwd.texas.gov/huntwild/hunt/public/public_hunt_drawing/hunt-category-details.phtml?OCat=ADE</x:v>
      </x:c>
      <x:c r="AN12" s="2" t="str">
        <x:v>https://tpwd.texas.gov/search/?q=Enchanted+Rock+SNA+public+hunting+brochure</x:v>
      </x:c>
      <x:c r="AO12" s="2" t="str">
        <x:v>https://apps.tpwd.state.tx.us/huntwild/hunt/public/public_hunt_drawing/</x:v>
      </x:c>
      <x:c r="AP12" s="2" t="str">
        <x:v>https://www.google.com/maps/search/?api=1&amp;query=Enchanted+Rock+SNA%2C+Texas</x:v>
      </x:c>
      <x:c r="AQ12" s="96" t="n">
        <x:v>-1</x:v>
      </x:c>
      <x:c r="AR12" s="2" t="str">
        <x:v>Lower priority: archery whitetail is more than 200 miles from Amarillo</x:v>
      </x:c>
    </x:row>
    <x:row r="13">
      <x:c r="A13" s="4" t="str">
        <x:v>No</x:v>
      </x:c>
      <x:c r="B13" s="4" t="str">
        <x:v>B</x:v>
      </x:c>
      <x:c r="C13" s="4" t="str">
        <x:v>Whitetail Deer</x:v>
      </x:c>
      <x:c r="D13" s="4" t="str">
        <x:v>Fort Boggy SP</x:v>
      </x:c>
      <x:c r="E13" s="4" t="str">
        <x:v>North Texas / DFW</x:v>
      </x:c>
      <x:c r="F13" s="4" t="str">
        <x:v>Archery Deer</x:v>
      </x:c>
      <x:c r="G13" s="4" t="str">
        <x:v>Yes</x:v>
      </x:c>
      <x:c r="H13" s="4" t="str">
        <x:v>Yes</x:v>
      </x:c>
      <x:c r="I13" s="24" t="str">
        <x:v>2026-08-15</x:v>
      </x:c>
      <x:c r="J13" s="4" t="str">
        <x:v>See TPWD category page</x:v>
      </x:c>
      <x:c r="K13" s="110" t="n">
        <x:v>3</x:v>
      </x:c>
      <x:c r="L13" s="110"/>
      <x:c r="M13" s="4"/>
      <x:c r="N13" s="4"/>
      <x:c r="O13" s="112"/>
      <x:c r="P13" s="4" t="n">
        <x:v>360</x:v>
      </x:c>
      <x:c r="Q13" s="4" t="str">
        <x:v>Extended</x:v>
      </x:c>
      <x:c r="R13" s="4" t="str">
        <x:v>Research before draw; property brochure linked from TPWD</x:v>
      </x:c>
      <x:c r="S13" s="4" t="str">
        <x:v>Low</x:v>
      </x:c>
      <x:c r="T13" s="4" t="str">
        <x:v>No</x:v>
      </x:c>
      <x:c r="U13" s="4" t="str">
        <x:v>Verified in TPWD 2026-2027 statewide deer category catalog. V5 preference rule: Lower priority: archery whitetail is more than 200 miles from Amarillo.</x:v>
      </x:c>
      <x:c r="V13" s="4" t="str">
        <x:v>https://tpwd.texas.gov/huntwild/hunt/public/public_hunt_drawing/hunt-category-details.phtml?OCat=ADE</x:v>
      </x:c>
      <x:c r="W13" s="4" t="n">
        <x:v>2</x:v>
      </x:c>
      <x:c r="X13" s="4" t="n">
        <x:v>3</x:v>
      </x:c>
      <x:c r="Y13" s="4" t="n">
        <x:v>4</x:v>
      </x:c>
      <x:c r="Z13" s="4" t="n">
        <x:v>3</x:v>
      </x:c>
      <x:c r="AA13" s="4" t="n">
        <x:v>2</x:v>
      </x:c>
      <x:c r="AB13" s="4" t="n">
        <x:v>0</x:v>
      </x:c>
      <x:c r="AC13" s="30" t="n">
        <x:v>1.5</x:v>
      </x:c>
      <x:c r="AD13" s="4"/>
      <x:c r="AE13" s="4" t="str">
        <x:v>2026-08-15</x:v>
      </x:c>
      <x:c r="AF13" s="2"/>
      <x:c r="AG13" s="97"/>
      <x:c r="AH13" s="2"/>
      <x:c r="AI13" s="2"/>
      <x:c r="AJ13" s="97"/>
      <x:c r="AK13" s="2"/>
      <x:c r="AL13" s="2"/>
      <x:c r="AM13" s="2" t="str">
        <x:v>https://tpwd.texas.gov/huntwild/hunt/public/public_hunt_drawing/hunt-category-details.phtml?OCat=ADE</x:v>
      </x:c>
      <x:c r="AN13" s="2" t="str">
        <x:v>https://tpwd.texas.gov/search/?q=Fort+Boggy+SP+public+hunting+brochure</x:v>
      </x:c>
      <x:c r="AO13" s="2" t="str">
        <x:v>https://apps.tpwd.state.tx.us/huntwild/hunt/public/public_hunt_drawing/</x:v>
      </x:c>
      <x:c r="AP13" s="2" t="str">
        <x:v>https://www.google.com/maps/search/?api=1&amp;query=Fort+Boggy+SP%2C+Texas</x:v>
      </x:c>
      <x:c r="AQ13" s="96" t="n">
        <x:v>-1</x:v>
      </x:c>
      <x:c r="AR13" s="2" t="str">
        <x:v>Lower priority: archery whitetail is more than 200 miles from Amarillo</x:v>
      </x:c>
    </x:row>
    <x:row r="14">
      <x:c r="A14" s="4" t="str">
        <x:v>No</x:v>
      </x:c>
      <x:c r="B14" s="4" t="str">
        <x:v>B</x:v>
      </x:c>
      <x:c r="C14" s="4" t="str">
        <x:v>Whitetail Deer</x:v>
      </x:c>
      <x:c r="D14" s="4" t="str">
        <x:v>Garner SP</x:v>
      </x:c>
      <x:c r="E14" s="4" t="str">
        <x:v>Hill Country / San Antonio</x:v>
      </x:c>
      <x:c r="F14" s="4" t="str">
        <x:v>Archery Deer</x:v>
      </x:c>
      <x:c r="G14" s="4" t="str">
        <x:v>Yes</x:v>
      </x:c>
      <x:c r="H14" s="4" t="str">
        <x:v>Yes</x:v>
      </x:c>
      <x:c r="I14" s="24" t="str">
        <x:v>2026-08-15</x:v>
      </x:c>
      <x:c r="J14" s="4" t="str">
        <x:v>See TPWD category page</x:v>
      </x:c>
      <x:c r="K14" s="110" t="n">
        <x:v>3</x:v>
      </x:c>
      <x:c r="L14" s="110"/>
      <x:c r="M14" s="4"/>
      <x:c r="N14" s="4"/>
      <x:c r="O14" s="112"/>
      <x:c r="P14" s="4" t="n">
        <x:v>520</x:v>
      </x:c>
      <x:c r="Q14" s="4" t="str">
        <x:v>Statewide</x:v>
      </x:c>
      <x:c r="R14" s="4" t="str">
        <x:v>Research before draw; property brochure linked from TPWD</x:v>
      </x:c>
      <x:c r="S14" s="4" t="str">
        <x:v>Low</x:v>
      </x:c>
      <x:c r="T14" s="4" t="str">
        <x:v>No</x:v>
      </x:c>
      <x:c r="U14" s="4" t="str">
        <x:v>Verified in TPWD 2026-2027 statewide deer category catalog. V5 preference rule: Lower priority: archery whitetail is more than 200 miles from Amarillo.</x:v>
      </x:c>
      <x:c r="V14" s="4" t="str">
        <x:v>https://tpwd.texas.gov/huntwild/hunt/public/public_hunt_drawing/hunt-category-details.phtml?OCat=ADE</x:v>
      </x:c>
      <x:c r="W14" s="4" t="n">
        <x:v>2</x:v>
      </x:c>
      <x:c r="X14" s="4" t="n">
        <x:v>2</x:v>
      </x:c>
      <x:c r="Y14" s="4" t="n">
        <x:v>4</x:v>
      </x:c>
      <x:c r="Z14" s="4" t="n">
        <x:v>3</x:v>
      </x:c>
      <x:c r="AA14" s="4" t="n">
        <x:v>2</x:v>
      </x:c>
      <x:c r="AB14" s="4" t="n">
        <x:v>0</x:v>
      </x:c>
      <x:c r="AC14" s="30" t="n">
        <x:v>1.3</x:v>
      </x:c>
      <x:c r="AD14" s="4"/>
      <x:c r="AE14" s="4" t="str">
        <x:v>2026-08-15</x:v>
      </x:c>
      <x:c r="AF14" s="2"/>
      <x:c r="AG14" s="97"/>
      <x:c r="AH14" s="2"/>
      <x:c r="AI14" s="2"/>
      <x:c r="AJ14" s="97"/>
      <x:c r="AK14" s="2"/>
      <x:c r="AL14" s="2"/>
      <x:c r="AM14" s="2" t="str">
        <x:v>https://tpwd.texas.gov/huntwild/hunt/public/public_hunt_drawing/hunt-category-details.phtml?OCat=ADE</x:v>
      </x:c>
      <x:c r="AN14" s="2" t="str">
        <x:v>https://tpwd.texas.gov/search/?q=Garner+SP+public+hunting+brochure</x:v>
      </x:c>
      <x:c r="AO14" s="2" t="str">
        <x:v>https://apps.tpwd.state.tx.us/huntwild/hunt/public/public_hunt_drawing/</x:v>
      </x:c>
      <x:c r="AP14" s="2" t="str">
        <x:v>https://www.google.com/maps/search/?api=1&amp;query=Garner+SP%2C+Texas</x:v>
      </x:c>
      <x:c r="AQ14" s="96" t="n">
        <x:v>-1</x:v>
      </x:c>
      <x:c r="AR14" s="2" t="str">
        <x:v>Lower priority: archery whitetail is more than 200 miles from Amarillo</x:v>
      </x:c>
    </x:row>
    <x:row r="15">
      <x:c r="A15" s="4" t="str">
        <x:v>No</x:v>
      </x:c>
      <x:c r="B15" s="4" t="str">
        <x:v>A</x:v>
      </x:c>
      <x:c r="C15" s="4" t="str">
        <x:v>Whitetail Deer</x:v>
      </x:c>
      <x:c r="D15" s="4" t="str">
        <x:v>Gene Howe WMA</x:v>
      </x:c>
      <x:c r="E15" s="4" t="str">
        <x:v>Panhandle / Rolling Plains</x:v>
      </x:c>
      <x:c r="F15" s="4" t="str">
        <x:v>Archery Deer</x:v>
      </x:c>
      <x:c r="G15" s="4" t="str">
        <x:v>Yes</x:v>
      </x:c>
      <x:c r="H15" s="4" t="str">
        <x:v>Yes</x:v>
      </x:c>
      <x:c r="I15" s="24" t="str">
        <x:v>2026-08-15</x:v>
      </x:c>
      <x:c r="J15" s="4" t="str">
        <x:v>See TPWD category page</x:v>
      </x:c>
      <x:c r="K15" s="110" t="n">
        <x:v>3</x:v>
      </x:c>
      <x:c r="L15" s="110"/>
      <x:c r="M15" s="4"/>
      <x:c r="N15" s="4"/>
      <x:c r="O15" s="112"/>
      <x:c r="P15" s="4" t="n">
        <x:v>130</x:v>
      </x:c>
      <x:c r="Q15" s="4" t="str">
        <x:v>Core</x:v>
      </x:c>
      <x:c r="R15" s="4" t="str">
        <x:v>Research before draw; property brochure linked from TPWD</x:v>
      </x:c>
      <x:c r="S15" s="4" t="str">
        <x:v>High</x:v>
      </x:c>
      <x:c r="T15" s="4" t="str">
        <x:v>No</x:v>
      </x:c>
      <x:c r="U15" s="4" t="str">
        <x:v>Verified in TPWD 2026-2027 statewide deer category catalog.</x:v>
      </x:c>
      <x:c r="V15" s="4" t="str">
        <x:v>https://tpwd.texas.gov/huntwild/hunt/public/public_hunt_drawing/hunt-category-details.phtml?OCat=ADE</x:v>
      </x:c>
      <x:c r="W15" s="4" t="n">
        <x:v>2</x:v>
      </x:c>
      <x:c r="X15" s="4" t="n">
        <x:v>5</x:v>
      </x:c>
      <x:c r="Y15" s="4" t="n">
        <x:v>4</x:v>
      </x:c>
      <x:c r="Z15" s="4" t="n">
        <x:v>3</x:v>
      </x:c>
      <x:c r="AA15" s="4" t="n">
        <x:v>4</x:v>
      </x:c>
      <x:c r="AB15" s="4" t="n">
        <x:v>0</x:v>
      </x:c>
      <x:c r="AC15" s="30" t="n">
        <x:v>2.9</x:v>
      </x:c>
      <x:c r="AD15" s="4"/>
      <x:c r="AE15" s="4" t="str">
        <x:v>2026-08-15</x:v>
      </x:c>
      <x:c r="AF15" s="2"/>
      <x:c r="AG15" s="97"/>
      <x:c r="AH15" s="2"/>
      <x:c r="AI15" s="2"/>
      <x:c r="AJ15" s="97"/>
      <x:c r="AK15" s="2"/>
      <x:c r="AL15" s="2"/>
      <x:c r="AM15" s="2" t="str">
        <x:v>https://tpwd.texas.gov/huntwild/hunt/public/public_hunt_drawing/hunt-category-details.phtml?OCat=ADE</x:v>
      </x:c>
      <x:c r="AN15" s="2" t="str">
        <x:v>https://tpwd.texas.gov/search/?q=Gene+Howe+WMA+public+hunting+brochure</x:v>
      </x:c>
      <x:c r="AO15" s="2" t="str">
        <x:v>https://apps.tpwd.state.tx.us/huntwild/hunt/public/public_hunt_drawing/</x:v>
      </x:c>
      <x:c r="AP15" s="2" t="str">
        <x:v>https://www.google.com/maps/search/?api=1&amp;query=Gene+Howe+WMA%2C+Texas</x:v>
      </x:c>
      <x:c r="AQ15" s="96" t="n">
        <x:v>0</x:v>
      </x:c>
      <x:c r="AR15" s="2" t="str">
        <x:v>Standard Hastings ranking</x:v>
      </x:c>
    </x:row>
    <x:row r="16">
      <x:c r="A16" s="4" t="str">
        <x:v>No</x:v>
      </x:c>
      <x:c r="B16" s="4" t="str">
        <x:v>B</x:v>
      </x:c>
      <x:c r="C16" s="4" t="str">
        <x:v>Whitetail Deer</x:v>
      </x:c>
      <x:c r="D16" s="4" t="str">
        <x:v>Government Canyon SNA</x:v>
      </x:c>
      <x:c r="E16" s="4" t="str">
        <x:v>Hill Country / San Antonio</x:v>
      </x:c>
      <x:c r="F16" s="4" t="str">
        <x:v>Archery Deer</x:v>
      </x:c>
      <x:c r="G16" s="4" t="str">
        <x:v>Yes</x:v>
      </x:c>
      <x:c r="H16" s="4" t="str">
        <x:v>Yes</x:v>
      </x:c>
      <x:c r="I16" s="24" t="str">
        <x:v>2026-08-15</x:v>
      </x:c>
      <x:c r="J16" s="4" t="str">
        <x:v>See TPWD category page</x:v>
      </x:c>
      <x:c r="K16" s="110" t="n">
        <x:v>3</x:v>
      </x:c>
      <x:c r="L16" s="110"/>
      <x:c r="M16" s="4"/>
      <x:c r="N16" s="4"/>
      <x:c r="O16" s="112"/>
      <x:c r="P16" s="4" t="n">
        <x:v>520</x:v>
      </x:c>
      <x:c r="Q16" s="4" t="str">
        <x:v>Statewide</x:v>
      </x:c>
      <x:c r="R16" s="4" t="str">
        <x:v>Research before draw; property brochure linked from TPWD</x:v>
      </x:c>
      <x:c r="S16" s="4" t="str">
        <x:v>Low</x:v>
      </x:c>
      <x:c r="T16" s="4" t="str">
        <x:v>No</x:v>
      </x:c>
      <x:c r="U16" s="4" t="str">
        <x:v>Verified in TPWD 2026-2027 statewide deer category catalog. V5 preference rule: Lower priority: archery whitetail is more than 200 miles from Amarillo.</x:v>
      </x:c>
      <x:c r="V16" s="4" t="str">
        <x:v>https://tpwd.texas.gov/huntwild/hunt/public/public_hunt_drawing/hunt-category-details.phtml?OCat=ADE</x:v>
      </x:c>
      <x:c r="W16" s="4" t="n">
        <x:v>2</x:v>
      </x:c>
      <x:c r="X16" s="4" t="n">
        <x:v>2</x:v>
      </x:c>
      <x:c r="Y16" s="4" t="n">
        <x:v>4</x:v>
      </x:c>
      <x:c r="Z16" s="4" t="n">
        <x:v>3</x:v>
      </x:c>
      <x:c r="AA16" s="4" t="n">
        <x:v>2</x:v>
      </x:c>
      <x:c r="AB16" s="4" t="n">
        <x:v>0</x:v>
      </x:c>
      <x:c r="AC16" s="30" t="n">
        <x:v>1.3</x:v>
      </x:c>
      <x:c r="AD16" s="4"/>
      <x:c r="AE16" s="4" t="str">
        <x:v>2026-08-15</x:v>
      </x:c>
      <x:c r="AF16" s="2"/>
      <x:c r="AG16" s="97"/>
      <x:c r="AH16" s="2"/>
      <x:c r="AI16" s="2"/>
      <x:c r="AJ16" s="97"/>
      <x:c r="AK16" s="2"/>
      <x:c r="AL16" s="2"/>
      <x:c r="AM16" s="2" t="str">
        <x:v>https://tpwd.texas.gov/huntwild/hunt/public/public_hunt_drawing/hunt-category-details.phtml?OCat=ADE</x:v>
      </x:c>
      <x:c r="AN16" s="2" t="str">
        <x:v>https://tpwd.texas.gov/search/?q=Government+Canyon+SNA+public+hunting+brochure</x:v>
      </x:c>
      <x:c r="AO16" s="2" t="str">
        <x:v>https://apps.tpwd.state.tx.us/huntwild/hunt/public/public_hunt_drawing/</x:v>
      </x:c>
      <x:c r="AP16" s="2" t="str">
        <x:v>https://www.google.com/maps/search/?api=1&amp;query=Government+Canyon+SNA%2C+Texas</x:v>
      </x:c>
      <x:c r="AQ16" s="96" t="n">
        <x:v>-1</x:v>
      </x:c>
      <x:c r="AR16" s="2" t="str">
        <x:v>Lower priority: archery whitetail is more than 200 miles from Amarillo</x:v>
      </x:c>
    </x:row>
    <x:row r="17">
      <x:c r="A17" s="4" t="str">
        <x:v>No</x:v>
      </x:c>
      <x:c r="B17" s="4" t="str">
        <x:v>B</x:v>
      </x:c>
      <x:c r="C17" s="4" t="str">
        <x:v>Whitetail Deer</x:v>
      </x:c>
      <x:c r="D17" s="4" t="str">
        <x:v>Gus Engeling WMA</x:v>
      </x:c>
      <x:c r="E17" s="4" t="str">
        <x:v>Statewide / Other</x:v>
      </x:c>
      <x:c r="F17" s="4" t="str">
        <x:v>Archery Deer</x:v>
      </x:c>
      <x:c r="G17" s="4" t="str">
        <x:v>Yes</x:v>
      </x:c>
      <x:c r="H17" s="4" t="str">
        <x:v>Yes</x:v>
      </x:c>
      <x:c r="I17" s="24" t="str">
        <x:v>2026-08-15</x:v>
      </x:c>
      <x:c r="J17" s="4" t="str">
        <x:v>See TPWD category page</x:v>
      </x:c>
      <x:c r="K17" s="110" t="n">
        <x:v>3</x:v>
      </x:c>
      <x:c r="L17" s="110"/>
      <x:c r="M17" s="4"/>
      <x:c r="N17" s="4"/>
      <x:c r="O17" s="112"/>
      <x:c r="P17" s="4" t="n">
        <x:v>500</x:v>
      </x:c>
      <x:c r="Q17" s="4" t="str">
        <x:v>Statewide</x:v>
      </x:c>
      <x:c r="R17" s="4" t="str">
        <x:v>Research before draw; property brochure linked from TPWD</x:v>
      </x:c>
      <x:c r="S17" s="4" t="str">
        <x:v>Low</x:v>
      </x:c>
      <x:c r="T17" s="4" t="str">
        <x:v>No</x:v>
      </x:c>
      <x:c r="U17" s="4" t="str">
        <x:v>Verified in TPWD 2026-2027 statewide deer category catalog. V5 preference rule: Lower priority: archery whitetail is more than 200 miles from Amarillo.</x:v>
      </x:c>
      <x:c r="V17" s="4" t="str">
        <x:v>https://tpwd.texas.gov/huntwild/hunt/public/public_hunt_drawing/hunt-category-details.phtml?OCat=ADE</x:v>
      </x:c>
      <x:c r="W17" s="4" t="n">
        <x:v>2</x:v>
      </x:c>
      <x:c r="X17" s="4" t="n">
        <x:v>2</x:v>
      </x:c>
      <x:c r="Y17" s="4" t="n">
        <x:v>4</x:v>
      </x:c>
      <x:c r="Z17" s="4" t="n">
        <x:v>3</x:v>
      </x:c>
      <x:c r="AA17" s="4" t="n">
        <x:v>2</x:v>
      </x:c>
      <x:c r="AB17" s="4" t="n">
        <x:v>0</x:v>
      </x:c>
      <x:c r="AC17" s="30" t="n">
        <x:v>1.3</x:v>
      </x:c>
      <x:c r="AD17" s="4"/>
      <x:c r="AE17" s="4" t="str">
        <x:v>2026-08-15</x:v>
      </x:c>
      <x:c r="AF17" s="2"/>
      <x:c r="AG17" s="97"/>
      <x:c r="AH17" s="2"/>
      <x:c r="AI17" s="2"/>
      <x:c r="AJ17" s="97"/>
      <x:c r="AK17" s="2"/>
      <x:c r="AL17" s="2"/>
      <x:c r="AM17" s="2" t="str">
        <x:v>https://tpwd.texas.gov/huntwild/hunt/public/public_hunt_drawing/hunt-category-details.phtml?OCat=ADE</x:v>
      </x:c>
      <x:c r="AN17" s="2" t="str">
        <x:v>https://tpwd.texas.gov/search/?q=Gus+Engeling+WMA+public+hunting+brochure</x:v>
      </x:c>
      <x:c r="AO17" s="2" t="str">
        <x:v>https://apps.tpwd.state.tx.us/huntwild/hunt/public/public_hunt_drawing/</x:v>
      </x:c>
      <x:c r="AP17" s="2" t="str">
        <x:v>https://www.google.com/maps/search/?api=1&amp;query=Gus+Engeling+WMA%2C+Texas</x:v>
      </x:c>
      <x:c r="AQ17" s="96" t="n">
        <x:v>-1</x:v>
      </x:c>
      <x:c r="AR17" s="2" t="str">
        <x:v>Lower priority: archery whitetail is more than 200 miles from Amarillo</x:v>
      </x:c>
    </x:row>
    <x:row r="18">
      <x:c r="A18" s="4" t="str">
        <x:v>No</x:v>
      </x:c>
      <x:c r="B18" s="4" t="str">
        <x:v>B</x:v>
      </x:c>
      <x:c r="C18" s="4" t="str">
        <x:v>Whitetail Deer</x:v>
      </x:c>
      <x:c r="D18" s="4" t="str">
        <x:v>James Daughtrey WMA</x:v>
      </x:c>
      <x:c r="E18" s="4" t="str">
        <x:v>South Texas / Rio Grande Valley</x:v>
      </x:c>
      <x:c r="F18" s="4" t="str">
        <x:v>Archery Deer</x:v>
      </x:c>
      <x:c r="G18" s="4" t="str">
        <x:v>Yes</x:v>
      </x:c>
      <x:c r="H18" s="4" t="str">
        <x:v>Yes</x:v>
      </x:c>
      <x:c r="I18" s="24" t="str">
        <x:v>2026-08-15</x:v>
      </x:c>
      <x:c r="J18" s="4" t="str">
        <x:v>See TPWD category page</x:v>
      </x:c>
      <x:c r="K18" s="110" t="n">
        <x:v>3</x:v>
      </x:c>
      <x:c r="L18" s="110"/>
      <x:c r="M18" s="4"/>
      <x:c r="N18" s="4"/>
      <x:c r="O18" s="112"/>
      <x:c r="P18" s="4" t="n">
        <x:v>700</x:v>
      </x:c>
      <x:c r="Q18" s="4" t="str">
        <x:v>Long Haul</x:v>
      </x:c>
      <x:c r="R18" s="4" t="str">
        <x:v>Research before draw; property brochure linked from TPWD</x:v>
      </x:c>
      <x:c r="S18" s="4" t="str">
        <x:v>Low</x:v>
      </x:c>
      <x:c r="T18" s="4" t="str">
        <x:v>No</x:v>
      </x:c>
      <x:c r="U18" s="4" t="str">
        <x:v>Verified in TPWD 2026-2027 statewide deer category catalog. V5 preference rule: Lower priority: archery whitetail is more than 200 miles from Amarillo.</x:v>
      </x:c>
      <x:c r="V18" s="4" t="str">
        <x:v>https://tpwd.texas.gov/huntwild/hunt/public/public_hunt_drawing/hunt-category-details.phtml?OCat=ADE</x:v>
      </x:c>
      <x:c r="W18" s="4" t="n">
        <x:v>2</x:v>
      </x:c>
      <x:c r="X18" s="4" t="n">
        <x:v>1</x:v>
      </x:c>
      <x:c r="Y18" s="4" t="n">
        <x:v>4</x:v>
      </x:c>
      <x:c r="Z18" s="4" t="n">
        <x:v>3</x:v>
      </x:c>
      <x:c r="AA18" s="4" t="n">
        <x:v>2</x:v>
      </x:c>
      <x:c r="AB18" s="4" t="n">
        <x:v>0</x:v>
      </x:c>
      <x:c r="AC18" s="30" t="n">
        <x:v>1.1</x:v>
      </x:c>
      <x:c r="AD18" s="4"/>
      <x:c r="AE18" s="4" t="str">
        <x:v>2026-08-15</x:v>
      </x:c>
      <x:c r="AF18" s="2"/>
      <x:c r="AG18" s="97"/>
      <x:c r="AH18" s="2"/>
      <x:c r="AI18" s="2"/>
      <x:c r="AJ18" s="97"/>
      <x:c r="AK18" s="2"/>
      <x:c r="AL18" s="2"/>
      <x:c r="AM18" s="2" t="str">
        <x:v>https://tpwd.texas.gov/huntwild/hunt/public/public_hunt_drawing/hunt-category-details.phtml?OCat=ADE</x:v>
      </x:c>
      <x:c r="AN18" s="2" t="str">
        <x:v>https://tpwd.texas.gov/search/?q=James+Daughtrey+WMA+public+hunting+brochure</x:v>
      </x:c>
      <x:c r="AO18" s="2" t="str">
        <x:v>https://apps.tpwd.state.tx.us/huntwild/hunt/public/public_hunt_drawing/</x:v>
      </x:c>
      <x:c r="AP18" s="2" t="str">
        <x:v>https://www.google.com/maps/search/?api=1&amp;query=James+Daughtrey+WMA%2C+Texas</x:v>
      </x:c>
      <x:c r="AQ18" s="96" t="n">
        <x:v>-1</x:v>
      </x:c>
      <x:c r="AR18" s="2" t="str">
        <x:v>Lower priority: archery whitetail is more than 200 miles from Amarillo</x:v>
      </x:c>
    </x:row>
    <x:row r="19">
      <x:c r="A19" s="4" t="str">
        <x:v>No</x:v>
      </x:c>
      <x:c r="B19" s="4" t="str">
        <x:v>B</x:v>
      </x:c>
      <x:c r="C19" s="4" t="str">
        <x:v>Whitetail Deer</x:v>
      </x:c>
      <x:c r="D19" s="4" t="str">
        <x:v>Lake Brownwood SP</x:v>
      </x:c>
      <x:c r="E19" s="4" t="str">
        <x:v>West-Central Texas</x:v>
      </x:c>
      <x:c r="F19" s="4" t="str">
        <x:v>Archery Deer</x:v>
      </x:c>
      <x:c r="G19" s="4" t="str">
        <x:v>Yes</x:v>
      </x:c>
      <x:c r="H19" s="4" t="str">
        <x:v>Yes</x:v>
      </x:c>
      <x:c r="I19" s="24" t="str">
        <x:v>2026-08-15</x:v>
      </x:c>
      <x:c r="J19" s="4" t="str">
        <x:v>See TPWD category page</x:v>
      </x:c>
      <x:c r="K19" s="110" t="n">
        <x:v>3</x:v>
      </x:c>
      <x:c r="L19" s="110"/>
      <x:c r="M19" s="4"/>
      <x:c r="N19" s="4"/>
      <x:c r="O19" s="112"/>
      <x:c r="P19" s="4" t="n">
        <x:v>300</x:v>
      </x:c>
      <x:c r="Q19" s="4" t="str">
        <x:v>Extended</x:v>
      </x:c>
      <x:c r="R19" s="4" t="str">
        <x:v>Research before draw; property brochure linked from TPWD</x:v>
      </x:c>
      <x:c r="S19" s="4" t="str">
        <x:v>Low</x:v>
      </x:c>
      <x:c r="T19" s="4" t="str">
        <x:v>No</x:v>
      </x:c>
      <x:c r="U19" s="4" t="str">
        <x:v>Verified in TPWD 2026-2027 statewide deer category catalog. V5 preference rule: Lower priority: archery whitetail is more than 200 miles from Amarillo.</x:v>
      </x:c>
      <x:c r="V19" s="4" t="str">
        <x:v>https://tpwd.texas.gov/huntwild/hunt/public/public_hunt_drawing/hunt-category-details.phtml?OCat=ADE</x:v>
      </x:c>
      <x:c r="W19" s="4" t="n">
        <x:v>2</x:v>
      </x:c>
      <x:c r="X19" s="4" t="n">
        <x:v>4</x:v>
      </x:c>
      <x:c r="Y19" s="4" t="n">
        <x:v>4</x:v>
      </x:c>
      <x:c r="Z19" s="4" t="n">
        <x:v>3</x:v>
      </x:c>
      <x:c r="AA19" s="4" t="n">
        <x:v>2</x:v>
      </x:c>
      <x:c r="AB19" s="4" t="n">
        <x:v>0</x:v>
      </x:c>
      <x:c r="AC19" s="30" t="n">
        <x:v>1.6</x:v>
      </x:c>
      <x:c r="AD19" s="4"/>
      <x:c r="AE19" s="4" t="str">
        <x:v>2026-08-15</x:v>
      </x:c>
      <x:c r="AF19" s="2"/>
      <x:c r="AG19" s="97"/>
      <x:c r="AH19" s="2"/>
      <x:c r="AI19" s="2"/>
      <x:c r="AJ19" s="97"/>
      <x:c r="AK19" s="2"/>
      <x:c r="AL19" s="2"/>
      <x:c r="AM19" s="2" t="str">
        <x:v>https://tpwd.texas.gov/huntwild/hunt/public/public_hunt_drawing/hunt-category-details.phtml?OCat=ADE</x:v>
      </x:c>
      <x:c r="AN19" s="2" t="str">
        <x:v>https://tpwd.texas.gov/search/?q=Lake+Brownwood+SP+public+hunting+brochure</x:v>
      </x:c>
      <x:c r="AO19" s="2" t="str">
        <x:v>https://apps.tpwd.state.tx.us/huntwild/hunt/public/public_hunt_drawing/</x:v>
      </x:c>
      <x:c r="AP19" s="2" t="str">
        <x:v>https://www.google.com/maps/search/?api=1&amp;query=Lake+Brownwood+SP%2C+Texas</x:v>
      </x:c>
      <x:c r="AQ19" s="96" t="n">
        <x:v>-1</x:v>
      </x:c>
      <x:c r="AR19" s="2" t="str">
        <x:v>Lower priority: archery whitetail is more than 200 miles from Amarillo</x:v>
      </x:c>
    </x:row>
    <x:row r="20">
      <x:c r="A20" s="4" t="str">
        <x:v>No</x:v>
      </x:c>
      <x:c r="B20" s="4" t="str">
        <x:v>B</x:v>
      </x:c>
      <x:c r="C20" s="4" t="str">
        <x:v>Whitetail Deer</x:v>
      </x:c>
      <x:c r="D20" s="4" t="str">
        <x:v>Lake Mineral Wells SP</x:v>
      </x:c>
      <x:c r="E20" s="4" t="str">
        <x:v>North Texas / DFW</x:v>
      </x:c>
      <x:c r="F20" s="4" t="str">
        <x:v>Archery Deer</x:v>
      </x:c>
      <x:c r="G20" s="4" t="str">
        <x:v>Yes</x:v>
      </x:c>
      <x:c r="H20" s="4" t="str">
        <x:v>Yes</x:v>
      </x:c>
      <x:c r="I20" s="24" t="str">
        <x:v>2026-08-15</x:v>
      </x:c>
      <x:c r="J20" s="4" t="str">
        <x:v>See TPWD category page</x:v>
      </x:c>
      <x:c r="K20" s="110" t="n">
        <x:v>3</x:v>
      </x:c>
      <x:c r="L20" s="110"/>
      <x:c r="M20" s="4"/>
      <x:c r="N20" s="4"/>
      <x:c r="O20" s="112"/>
      <x:c r="P20" s="4" t="n">
        <x:v>360</x:v>
      </x:c>
      <x:c r="Q20" s="4" t="str">
        <x:v>Extended</x:v>
      </x:c>
      <x:c r="R20" s="4" t="str">
        <x:v>Research before draw; property brochure linked from TPWD</x:v>
      </x:c>
      <x:c r="S20" s="4" t="str">
        <x:v>Low</x:v>
      </x:c>
      <x:c r="T20" s="4" t="str">
        <x:v>No</x:v>
      </x:c>
      <x:c r="U20" s="4" t="str">
        <x:v>Verified in TPWD 2026-2027 statewide deer category catalog. V5 preference rule: Lower priority: archery whitetail is more than 200 miles from Amarillo.</x:v>
      </x:c>
      <x:c r="V20" s="4" t="str">
        <x:v>https://tpwd.texas.gov/huntwild/hunt/public/public_hunt_drawing/hunt-category-details.phtml?OCat=ADE</x:v>
      </x:c>
      <x:c r="W20" s="4" t="n">
        <x:v>2</x:v>
      </x:c>
      <x:c r="X20" s="4" t="n">
        <x:v>3</x:v>
      </x:c>
      <x:c r="Y20" s="4" t="n">
        <x:v>4</x:v>
      </x:c>
      <x:c r="Z20" s="4" t="n">
        <x:v>3</x:v>
      </x:c>
      <x:c r="AA20" s="4" t="n">
        <x:v>2</x:v>
      </x:c>
      <x:c r="AB20" s="4" t="n">
        <x:v>0</x:v>
      </x:c>
      <x:c r="AC20" s="30" t="n">
        <x:v>1.5</x:v>
      </x:c>
      <x:c r="AD20" s="4"/>
      <x:c r="AE20" s="4" t="str">
        <x:v>2026-08-15</x:v>
      </x:c>
      <x:c r="AF20" s="2"/>
      <x:c r="AG20" s="97"/>
      <x:c r="AH20" s="2"/>
      <x:c r="AI20" s="2"/>
      <x:c r="AJ20" s="97"/>
      <x:c r="AK20" s="2"/>
      <x:c r="AL20" s="2"/>
      <x:c r="AM20" s="2" t="str">
        <x:v>https://tpwd.texas.gov/huntwild/hunt/public/public_hunt_drawing/hunt-category-details.phtml?OCat=ADE</x:v>
      </x:c>
      <x:c r="AN20" s="2" t="str">
        <x:v>https://tpwd.texas.gov/search/?q=Lake+Mineral+Wells+SP+public+hunting+brochure</x:v>
      </x:c>
      <x:c r="AO20" s="2" t="str">
        <x:v>https://apps.tpwd.state.tx.us/huntwild/hunt/public/public_hunt_drawing/</x:v>
      </x:c>
      <x:c r="AP20" s="2" t="str">
        <x:v>https://www.google.com/maps/search/?api=1&amp;query=Lake+Mineral+Wells+SP%2C+Texas</x:v>
      </x:c>
      <x:c r="AQ20" s="96" t="n">
        <x:v>-1</x:v>
      </x:c>
      <x:c r="AR20" s="2" t="str">
        <x:v>Lower priority: archery whitetail is more than 200 miles from Amarillo</x:v>
      </x:c>
    </x:row>
    <x:row r="21">
      <x:c r="A21" s="4" t="str">
        <x:v>No</x:v>
      </x:c>
      <x:c r="B21" s="4" t="str">
        <x:v>B</x:v>
      </x:c>
      <x:c r="C21" s="4" t="str">
        <x:v>Whitetail Deer</x:v>
      </x:c>
      <x:c r="D21" s="4" t="str">
        <x:v>Las Palomas WMA - Arroyo Colorado Unit</x:v>
      </x:c>
      <x:c r="E21" s="4" t="str">
        <x:v>South Texas / Rio Grande Valley</x:v>
      </x:c>
      <x:c r="F21" s="4" t="str">
        <x:v>Archery Deer</x:v>
      </x:c>
      <x:c r="G21" s="4" t="str">
        <x:v>Yes</x:v>
      </x:c>
      <x:c r="H21" s="4" t="str">
        <x:v>Yes</x:v>
      </x:c>
      <x:c r="I21" s="24" t="str">
        <x:v>2026-08-15</x:v>
      </x:c>
      <x:c r="J21" s="4" t="str">
        <x:v>See TPWD category page</x:v>
      </x:c>
      <x:c r="K21" s="110" t="n">
        <x:v>3</x:v>
      </x:c>
      <x:c r="L21" s="110"/>
      <x:c r="M21" s="4"/>
      <x:c r="N21" s="4"/>
      <x:c r="O21" s="112"/>
      <x:c r="P21" s="4" t="n">
        <x:v>700</x:v>
      </x:c>
      <x:c r="Q21" s="4" t="str">
        <x:v>Long Haul</x:v>
      </x:c>
      <x:c r="R21" s="4" t="str">
        <x:v>Research before draw; property brochure linked from TPWD</x:v>
      </x:c>
      <x:c r="S21" s="4" t="str">
        <x:v>Low</x:v>
      </x:c>
      <x:c r="T21" s="4" t="str">
        <x:v>No</x:v>
      </x:c>
      <x:c r="U21" s="4" t="str">
        <x:v>Verified in TPWD 2026-2027 statewide deer category catalog. V5 preference rule: Lower priority: archery whitetail is more than 200 miles from Amarillo.</x:v>
      </x:c>
      <x:c r="V21" s="4" t="str">
        <x:v>https://tpwd.texas.gov/huntwild/hunt/public/public_hunt_drawing/hunt-category-details.phtml?OCat=ADE</x:v>
      </x:c>
      <x:c r="W21" s="4" t="n">
        <x:v>2</x:v>
      </x:c>
      <x:c r="X21" s="4" t="n">
        <x:v>1</x:v>
      </x:c>
      <x:c r="Y21" s="4" t="n">
        <x:v>4</x:v>
      </x:c>
      <x:c r="Z21" s="4" t="n">
        <x:v>3</x:v>
      </x:c>
      <x:c r="AA21" s="4" t="n">
        <x:v>2</x:v>
      </x:c>
      <x:c r="AB21" s="4" t="n">
        <x:v>0</x:v>
      </x:c>
      <x:c r="AC21" s="30" t="n">
        <x:v>1.1</x:v>
      </x:c>
      <x:c r="AD21" s="4"/>
      <x:c r="AE21" s="4" t="str">
        <x:v>2026-08-15</x:v>
      </x:c>
      <x:c r="AF21" s="2"/>
      <x:c r="AG21" s="97"/>
      <x:c r="AH21" s="2"/>
      <x:c r="AI21" s="2"/>
      <x:c r="AJ21" s="97"/>
      <x:c r="AK21" s="2"/>
      <x:c r="AL21" s="2"/>
      <x:c r="AM21" s="2" t="str">
        <x:v>https://tpwd.texas.gov/huntwild/hunt/public/public_hunt_drawing/hunt-category-details.phtml?OCat=ADE</x:v>
      </x:c>
      <x:c r="AN21" s="2" t="str">
        <x:v>https://tpwd.texas.gov/search/?q=Las+Palomas+WMA+-+Arroyo+Colorado+Unit+public+hunting+brochure</x:v>
      </x:c>
      <x:c r="AO21" s="2" t="str">
        <x:v>https://apps.tpwd.state.tx.us/huntwild/hunt/public/public_hunt_drawing/</x:v>
      </x:c>
      <x:c r="AP21" s="2" t="str">
        <x:v>https://www.google.com/maps/search/?api=1&amp;query=Las+Palomas+WMA+-+Arroyo+Colorado+Unit%2C+Texas</x:v>
      </x:c>
      <x:c r="AQ21" s="96" t="n">
        <x:v>-1</x:v>
      </x:c>
      <x:c r="AR21" s="2" t="str">
        <x:v>Lower priority: archery whitetail is more than 200 miles from Amarillo</x:v>
      </x:c>
    </x:row>
    <x:row r="22">
      <x:c r="A22" s="4" t="str">
        <x:v>No</x:v>
      </x:c>
      <x:c r="B22" s="4" t="str">
        <x:v>A</x:v>
      </x:c>
      <x:c r="C22" s="4" t="str">
        <x:v>Whitetail Deer</x:v>
      </x:c>
      <x:c r="D22" s="4" t="str">
        <x:v>Matador WMA</x:v>
      </x:c>
      <x:c r="E22" s="4" t="str">
        <x:v>Panhandle / Rolling Plains</x:v>
      </x:c>
      <x:c r="F22" s="4" t="str">
        <x:v>Archery Deer</x:v>
      </x:c>
      <x:c r="G22" s="4" t="str">
        <x:v>Yes</x:v>
      </x:c>
      <x:c r="H22" s="4" t="str">
        <x:v>Yes</x:v>
      </x:c>
      <x:c r="I22" s="24" t="str">
        <x:v>2026-08-15</x:v>
      </x:c>
      <x:c r="J22" s="4" t="str">
        <x:v>See TPWD category page</x:v>
      </x:c>
      <x:c r="K22" s="110" t="n">
        <x:v>3</x:v>
      </x:c>
      <x:c r="L22" s="110"/>
      <x:c r="M22" s="4"/>
      <x:c r="N22" s="4"/>
      <x:c r="O22" s="112"/>
      <x:c r="P22" s="4" t="n">
        <x:v>130</x:v>
      </x:c>
      <x:c r="Q22" s="4" t="str">
        <x:v>Core</x:v>
      </x:c>
      <x:c r="R22" s="4" t="str">
        <x:v>Research before draw; property brochure linked from TPWD</x:v>
      </x:c>
      <x:c r="S22" s="4" t="str">
        <x:v>High</x:v>
      </x:c>
      <x:c r="T22" s="4" t="str">
        <x:v>No</x:v>
      </x:c>
      <x:c r="U22" s="4" t="str">
        <x:v>Verified in TPWD 2026-2027 statewide deer category catalog.</x:v>
      </x:c>
      <x:c r="V22" s="4" t="str">
        <x:v>https://tpwd.texas.gov/huntwild/hunt/public/public_hunt_drawing/hunt-category-details.phtml?OCat=ADE</x:v>
      </x:c>
      <x:c r="W22" s="4" t="n">
        <x:v>2</x:v>
      </x:c>
      <x:c r="X22" s="4" t="n">
        <x:v>5</x:v>
      </x:c>
      <x:c r="Y22" s="4" t="n">
        <x:v>4</x:v>
      </x:c>
      <x:c r="Z22" s="4" t="n">
        <x:v>3</x:v>
      </x:c>
      <x:c r="AA22" s="4" t="n">
        <x:v>4</x:v>
      </x:c>
      <x:c r="AB22" s="4" t="n">
        <x:v>0</x:v>
      </x:c>
      <x:c r="AC22" s="30" t="n">
        <x:v>2.9</x:v>
      </x:c>
      <x:c r="AD22" s="4"/>
      <x:c r="AE22" s="4" t="str">
        <x:v>2026-08-15</x:v>
      </x:c>
      <x:c r="AF22" s="2"/>
      <x:c r="AG22" s="97"/>
      <x:c r="AH22" s="2"/>
      <x:c r="AI22" s="2"/>
      <x:c r="AJ22" s="97"/>
      <x:c r="AK22" s="2"/>
      <x:c r="AL22" s="2"/>
      <x:c r="AM22" s="2" t="str">
        <x:v>https://tpwd.texas.gov/huntwild/hunt/public/public_hunt_drawing/hunt-category-details.phtml?OCat=ADE</x:v>
      </x:c>
      <x:c r="AN22" s="2" t="str">
        <x:v>https://tpwd.texas.gov/search/?q=Matador+WMA+public+hunting+brochure</x:v>
      </x:c>
      <x:c r="AO22" s="2" t="str">
        <x:v>https://apps.tpwd.state.tx.us/huntwild/hunt/public/public_hunt_drawing/</x:v>
      </x:c>
      <x:c r="AP22" s="2" t="str">
        <x:v>https://www.google.com/maps/search/?api=1&amp;query=Matador+WMA%2C+Texas</x:v>
      </x:c>
      <x:c r="AQ22" s="96" t="n">
        <x:v>0</x:v>
      </x:c>
      <x:c r="AR22" s="2" t="str">
        <x:v>Standard Hastings ranking</x:v>
      </x:c>
    </x:row>
    <x:row r="23">
      <x:c r="A23" s="4" t="str">
        <x:v>No</x:v>
      </x:c>
      <x:c r="B23" s="4" t="str">
        <x:v>B</x:v>
      </x:c>
      <x:c r="C23" s="4" t="str">
        <x:v>Whitetail Deer</x:v>
      </x:c>
      <x:c r="D23" s="4" t="str">
        <x:v>Muse WMA</x:v>
      </x:c>
      <x:c r="E23" s="4" t="str">
        <x:v>Statewide / Other</x:v>
      </x:c>
      <x:c r="F23" s="4" t="str">
        <x:v>Archery Deer</x:v>
      </x:c>
      <x:c r="G23" s="4" t="str">
        <x:v>Yes</x:v>
      </x:c>
      <x:c r="H23" s="4" t="str">
        <x:v>Yes</x:v>
      </x:c>
      <x:c r="I23" s="24" t="str">
        <x:v>2026-08-15</x:v>
      </x:c>
      <x:c r="J23" s="4" t="str">
        <x:v>See TPWD category page</x:v>
      </x:c>
      <x:c r="K23" s="110" t="n">
        <x:v>3</x:v>
      </x:c>
      <x:c r="L23" s="110"/>
      <x:c r="M23" s="4"/>
      <x:c r="N23" s="4"/>
      <x:c r="O23" s="112"/>
      <x:c r="P23" s="4" t="n">
        <x:v>500</x:v>
      </x:c>
      <x:c r="Q23" s="4" t="str">
        <x:v>Statewide</x:v>
      </x:c>
      <x:c r="R23" s="4" t="str">
        <x:v>Research before draw; property brochure linked from TPWD</x:v>
      </x:c>
      <x:c r="S23" s="4" t="str">
        <x:v>Low</x:v>
      </x:c>
      <x:c r="T23" s="4" t="str">
        <x:v>No</x:v>
      </x:c>
      <x:c r="U23" s="4" t="str">
        <x:v>Verified in TPWD 2026-2027 statewide deer category catalog. V5 preference rule: Lower priority: archery whitetail is more than 200 miles from Amarillo.</x:v>
      </x:c>
      <x:c r="V23" s="4" t="str">
        <x:v>https://tpwd.texas.gov/huntwild/hunt/public/public_hunt_drawing/hunt-category-details.phtml?OCat=ADE</x:v>
      </x:c>
      <x:c r="W23" s="4" t="n">
        <x:v>2</x:v>
      </x:c>
      <x:c r="X23" s="4" t="n">
        <x:v>2</x:v>
      </x:c>
      <x:c r="Y23" s="4" t="n">
        <x:v>4</x:v>
      </x:c>
      <x:c r="Z23" s="4" t="n">
        <x:v>3</x:v>
      </x:c>
      <x:c r="AA23" s="4" t="n">
        <x:v>2</x:v>
      </x:c>
      <x:c r="AB23" s="4" t="n">
        <x:v>0</x:v>
      </x:c>
      <x:c r="AC23" s="30" t="n">
        <x:v>1.3</x:v>
      </x:c>
      <x:c r="AD23" s="4"/>
      <x:c r="AE23" s="4" t="str">
        <x:v>2026-08-15</x:v>
      </x:c>
      <x:c r="AF23" s="2"/>
      <x:c r="AG23" s="97"/>
      <x:c r="AH23" s="2"/>
      <x:c r="AI23" s="2"/>
      <x:c r="AJ23" s="97"/>
      <x:c r="AK23" s="2"/>
      <x:c r="AL23" s="2"/>
      <x:c r="AM23" s="2" t="str">
        <x:v>https://tpwd.texas.gov/huntwild/hunt/public/public_hunt_drawing/hunt-category-details.phtml?OCat=ADE</x:v>
      </x:c>
      <x:c r="AN23" s="2" t="str">
        <x:v>https://tpwd.texas.gov/search/?q=Muse+WMA+public+hunting+brochure</x:v>
      </x:c>
      <x:c r="AO23" s="2" t="str">
        <x:v>https://apps.tpwd.state.tx.us/huntwild/hunt/public/public_hunt_drawing/</x:v>
      </x:c>
      <x:c r="AP23" s="2" t="str">
        <x:v>https://www.google.com/maps/search/?api=1&amp;query=Muse+WMA%2C+Texas</x:v>
      </x:c>
      <x:c r="AQ23" s="96" t="n">
        <x:v>-1</x:v>
      </x:c>
      <x:c r="AR23" s="2" t="str">
        <x:v>Lower priority: archery whitetail is more than 200 miles from Amarillo</x:v>
      </x:c>
    </x:row>
    <x:row r="24">
      <x:c r="A24" s="4" t="str">
        <x:v>No</x:v>
      </x:c>
      <x:c r="B24" s="4" t="str">
        <x:v>B</x:v>
      </x:c>
      <x:c r="C24" s="4" t="str">
        <x:v>Whitetail Deer</x:v>
      </x:c>
      <x:c r="D24" s="4" t="str">
        <x:v>Nannie Stringfellow WMA</x:v>
      </x:c>
      <x:c r="E24" s="4" t="str">
        <x:v>Houston / Gulf Coast</x:v>
      </x:c>
      <x:c r="F24" s="4" t="str">
        <x:v>Archery Deer</x:v>
      </x:c>
      <x:c r="G24" s="4" t="str">
        <x:v>Yes</x:v>
      </x:c>
      <x:c r="H24" s="4" t="str">
        <x:v>Yes</x:v>
      </x:c>
      <x:c r="I24" s="24" t="str">
        <x:v>2026-08-15</x:v>
      </x:c>
      <x:c r="J24" s="4" t="str">
        <x:v>See TPWD category page</x:v>
      </x:c>
      <x:c r="K24" s="110" t="n">
        <x:v>3</x:v>
      </x:c>
      <x:c r="L24" s="110"/>
      <x:c r="M24" s="4"/>
      <x:c r="N24" s="4"/>
      <x:c r="O24" s="112"/>
      <x:c r="P24" s="4" t="n">
        <x:v>610</x:v>
      </x:c>
      <x:c r="Q24" s="4" t="str">
        <x:v>Long Haul</x:v>
      </x:c>
      <x:c r="R24" s="4" t="str">
        <x:v>Research before draw; property brochure linked from TPWD</x:v>
      </x:c>
      <x:c r="S24" s="4" t="str">
        <x:v>Low</x:v>
      </x:c>
      <x:c r="T24" s="4" t="str">
        <x:v>No</x:v>
      </x:c>
      <x:c r="U24" s="4" t="str">
        <x:v>Verified in TPWD 2026-2027 statewide deer category catalog. V5 preference rule: Lower priority: archery whitetail is more than 200 miles from Amarillo.</x:v>
      </x:c>
      <x:c r="V24" s="4" t="str">
        <x:v>https://tpwd.texas.gov/huntwild/hunt/public/public_hunt_drawing/hunt-category-details.phtml?OCat=ADE</x:v>
      </x:c>
      <x:c r="W24" s="4" t="n">
        <x:v>2</x:v>
      </x:c>
      <x:c r="X24" s="4" t="n">
        <x:v>1</x:v>
      </x:c>
      <x:c r="Y24" s="4" t="n">
        <x:v>4</x:v>
      </x:c>
      <x:c r="Z24" s="4" t="n">
        <x:v>3</x:v>
      </x:c>
      <x:c r="AA24" s="4" t="n">
        <x:v>2</x:v>
      </x:c>
      <x:c r="AB24" s="4" t="n">
        <x:v>0</x:v>
      </x:c>
      <x:c r="AC24" s="30" t="n">
        <x:v>1.1</x:v>
      </x:c>
      <x:c r="AD24" s="4"/>
      <x:c r="AE24" s="4" t="str">
        <x:v>2026-08-15</x:v>
      </x:c>
      <x:c r="AF24" s="2"/>
      <x:c r="AG24" s="97"/>
      <x:c r="AH24" s="2"/>
      <x:c r="AI24" s="2"/>
      <x:c r="AJ24" s="97"/>
      <x:c r="AK24" s="2"/>
      <x:c r="AL24" s="2"/>
      <x:c r="AM24" s="2" t="str">
        <x:v>https://tpwd.texas.gov/huntwild/hunt/public/public_hunt_drawing/hunt-category-details.phtml?OCat=ADE</x:v>
      </x:c>
      <x:c r="AN24" s="2" t="str">
        <x:v>https://tpwd.texas.gov/search/?q=Nannie+Stringfellow+WMA+public+hunting+brochure</x:v>
      </x:c>
      <x:c r="AO24" s="2" t="str">
        <x:v>https://apps.tpwd.state.tx.us/huntwild/hunt/public/public_hunt_drawing/</x:v>
      </x:c>
      <x:c r="AP24" s="2" t="str">
        <x:v>https://www.google.com/maps/search/?api=1&amp;query=Nannie+Stringfellow+WMA%2C+Texas</x:v>
      </x:c>
      <x:c r="AQ24" s="96" t="n">
        <x:v>-1</x:v>
      </x:c>
      <x:c r="AR24" s="2" t="str">
        <x:v>Lower priority: archery whitetail is more than 200 miles from Amarillo</x:v>
      </x:c>
    </x:row>
    <x:row r="25">
      <x:c r="A25" s="4" t="str">
        <x:v>No</x:v>
      </x:c>
      <x:c r="B25" s="4" t="str">
        <x:v>A</x:v>
      </x:c>
      <x:c r="C25" s="4" t="str">
        <x:v>Whitetail Deer</x:v>
      </x:c>
      <x:c r="D25" s="4" t="str">
        <x:v>Palo Duro Canyon SP</x:v>
      </x:c>
      <x:c r="E25" s="4" t="str">
        <x:v>Panhandle / Rolling Plains</x:v>
      </x:c>
      <x:c r="F25" s="4" t="str">
        <x:v>Archery Deer</x:v>
      </x:c>
      <x:c r="G25" s="4" t="str">
        <x:v>Yes</x:v>
      </x:c>
      <x:c r="H25" s="4" t="str">
        <x:v>Yes</x:v>
      </x:c>
      <x:c r="I25" s="24" t="str">
        <x:v>2026-08-15</x:v>
      </x:c>
      <x:c r="J25" s="4" t="str">
        <x:v>See TPWD category page</x:v>
      </x:c>
      <x:c r="K25" s="110" t="n">
        <x:v>3</x:v>
      </x:c>
      <x:c r="L25" s="110"/>
      <x:c r="M25" s="4"/>
      <x:c r="N25" s="4"/>
      <x:c r="O25" s="112"/>
      <x:c r="P25" s="4" t="n">
        <x:v>130</x:v>
      </x:c>
      <x:c r="Q25" s="4" t="str">
        <x:v>Core</x:v>
      </x:c>
      <x:c r="R25" s="4" t="str">
        <x:v>Research before draw; property brochure linked from TPWD</x:v>
      </x:c>
      <x:c r="S25" s="4" t="str">
        <x:v>High</x:v>
      </x:c>
      <x:c r="T25" s="4" t="str">
        <x:v>No</x:v>
      </x:c>
      <x:c r="U25" s="4" t="str">
        <x:v>Verified in TPWD 2026-2027 statewide deer category catalog.</x:v>
      </x:c>
      <x:c r="V25" s="4" t="str">
        <x:v>https://tpwd.texas.gov/huntwild/hunt/public/public_hunt_drawing/hunt-category-details.phtml?OCat=ADE</x:v>
      </x:c>
      <x:c r="W25" s="4" t="n">
        <x:v>2</x:v>
      </x:c>
      <x:c r="X25" s="4" t="n">
        <x:v>5</x:v>
      </x:c>
      <x:c r="Y25" s="4" t="n">
        <x:v>4</x:v>
      </x:c>
      <x:c r="Z25" s="4" t="n">
        <x:v>3</x:v>
      </x:c>
      <x:c r="AA25" s="4" t="n">
        <x:v>4</x:v>
      </x:c>
      <x:c r="AB25" s="4" t="n">
        <x:v>0</x:v>
      </x:c>
      <x:c r="AC25" s="30" t="n">
        <x:v>2.9</x:v>
      </x:c>
      <x:c r="AD25" s="4"/>
      <x:c r="AE25" s="4" t="str">
        <x:v>2026-08-15</x:v>
      </x:c>
      <x:c r="AF25" s="2"/>
      <x:c r="AG25" s="97"/>
      <x:c r="AH25" s="2"/>
      <x:c r="AI25" s="2"/>
      <x:c r="AJ25" s="97"/>
      <x:c r="AK25" s="2"/>
      <x:c r="AL25" s="2"/>
      <x:c r="AM25" s="2" t="str">
        <x:v>https://tpwd.texas.gov/huntwild/hunt/public/public_hunt_drawing/hunt-category-details.phtml?OCat=ADE</x:v>
      </x:c>
      <x:c r="AN25" s="2" t="str">
        <x:v>https://tpwd.texas.gov/search/?q=Palo+Duro+Canyon+SP+public+hunting+brochure</x:v>
      </x:c>
      <x:c r="AO25" s="2" t="str">
        <x:v>https://apps.tpwd.state.tx.us/huntwild/hunt/public/public_hunt_drawing/</x:v>
      </x:c>
      <x:c r="AP25" s="2" t="str">
        <x:v>https://www.google.com/maps/search/?api=1&amp;query=Palo+Duro+Canyon+SP%2C+Texas</x:v>
      </x:c>
      <x:c r="AQ25" s="96" t="n">
        <x:v>0</x:v>
      </x:c>
      <x:c r="AR25" s="2" t="str">
        <x:v>Standard Hastings ranking</x:v>
      </x:c>
    </x:row>
    <x:row r="26">
      <x:c r="A26" s="4" t="str">
        <x:v>No</x:v>
      </x:c>
      <x:c r="B26" s="4" t="str">
        <x:v>B</x:v>
      </x:c>
      <x:c r="C26" s="4" t="str">
        <x:v>Whitetail Deer</x:v>
      </x:c>
      <x:c r="D26" s="4" t="str">
        <x:v>Post Oak Ridge State Park</x:v>
      </x:c>
      <x:c r="E26" s="4" t="str">
        <x:v>Statewide / Other</x:v>
      </x:c>
      <x:c r="F26" s="4" t="str">
        <x:v>Archery Deer</x:v>
      </x:c>
      <x:c r="G26" s="4" t="str">
        <x:v>Yes</x:v>
      </x:c>
      <x:c r="H26" s="4" t="str">
        <x:v>Yes</x:v>
      </x:c>
      <x:c r="I26" s="24" t="str">
        <x:v>2026-08-15</x:v>
      </x:c>
      <x:c r="J26" s="4" t="str">
        <x:v>See TPWD category page</x:v>
      </x:c>
      <x:c r="K26" s="110" t="n">
        <x:v>3</x:v>
      </x:c>
      <x:c r="L26" s="110"/>
      <x:c r="M26" s="4"/>
      <x:c r="N26" s="4"/>
      <x:c r="O26" s="112"/>
      <x:c r="P26" s="4" t="n">
        <x:v>500</x:v>
      </x:c>
      <x:c r="Q26" s="4" t="str">
        <x:v>Statewide</x:v>
      </x:c>
      <x:c r="R26" s="4" t="str">
        <x:v>Research before draw; property brochure linked from TPWD</x:v>
      </x:c>
      <x:c r="S26" s="4" t="str">
        <x:v>Low</x:v>
      </x:c>
      <x:c r="T26" s="4" t="str">
        <x:v>No</x:v>
      </x:c>
      <x:c r="U26" s="4" t="str">
        <x:v>Verified in TPWD 2026-2027 statewide deer category catalog. V5 preference rule: Lower priority: archery whitetail is more than 200 miles from Amarillo.</x:v>
      </x:c>
      <x:c r="V26" s="4" t="str">
        <x:v>https://tpwd.texas.gov/huntwild/hunt/public/public_hunt_drawing/hunt-category-details.phtml?OCat=ADE</x:v>
      </x:c>
      <x:c r="W26" s="4" t="n">
        <x:v>2</x:v>
      </x:c>
      <x:c r="X26" s="4" t="n">
        <x:v>2</x:v>
      </x:c>
      <x:c r="Y26" s="4" t="n">
        <x:v>4</x:v>
      </x:c>
      <x:c r="Z26" s="4" t="n">
        <x:v>3</x:v>
      </x:c>
      <x:c r="AA26" s="4" t="n">
        <x:v>2</x:v>
      </x:c>
      <x:c r="AB26" s="4" t="n">
        <x:v>0</x:v>
      </x:c>
      <x:c r="AC26" s="30" t="n">
        <x:v>1.3</x:v>
      </x:c>
      <x:c r="AD26" s="4"/>
      <x:c r="AE26" s="4" t="str">
        <x:v>2026-08-15</x:v>
      </x:c>
      <x:c r="AF26" s="2"/>
      <x:c r="AG26" s="97"/>
      <x:c r="AH26" s="2"/>
      <x:c r="AI26" s="2"/>
      <x:c r="AJ26" s="97"/>
      <x:c r="AK26" s="2"/>
      <x:c r="AL26" s="2"/>
      <x:c r="AM26" s="2" t="str">
        <x:v>https://tpwd.texas.gov/huntwild/hunt/public/public_hunt_drawing/hunt-category-details.phtml?OCat=ADE</x:v>
      </x:c>
      <x:c r="AN26" s="2" t="str">
        <x:v>https://tpwd.texas.gov/search/?q=Post+Oak+Ridge+State+Park+public+hunting+brochure</x:v>
      </x:c>
      <x:c r="AO26" s="2" t="str">
        <x:v>https://apps.tpwd.state.tx.us/huntwild/hunt/public/public_hunt_drawing/</x:v>
      </x:c>
      <x:c r="AP26" s="2" t="str">
        <x:v>https://www.google.com/maps/search/?api=1&amp;query=Post+Oak+Ridge+State+Park%2C+Texas</x:v>
      </x:c>
      <x:c r="AQ26" s="96" t="n">
        <x:v>-1</x:v>
      </x:c>
      <x:c r="AR26" s="2" t="str">
        <x:v>Lower priority: archery whitetail is more than 200 miles from Amarillo</x:v>
      </x:c>
    </x:row>
    <x:row r="27">
      <x:c r="A27" s="4" t="str">
        <x:v>No</x:v>
      </x:c>
      <x:c r="B27" s="4" t="str">
        <x:v>A</x:v>
      </x:c>
      <x:c r="C27" s="4" t="str">
        <x:v>Whitetail Deer</x:v>
      </x:c>
      <x:c r="D27" s="4" t="str">
        <x:v>Potter County - Cross Bar Mgt. Area</x:v>
      </x:c>
      <x:c r="E27" s="4" t="str">
        <x:v>Panhandle / Rolling Plains</x:v>
      </x:c>
      <x:c r="F27" s="4" t="str">
        <x:v>Archery Deer</x:v>
      </x:c>
      <x:c r="G27" s="4" t="str">
        <x:v>Yes</x:v>
      </x:c>
      <x:c r="H27" s="4" t="str">
        <x:v>Yes</x:v>
      </x:c>
      <x:c r="I27" s="24" t="str">
        <x:v>2026-08-15</x:v>
      </x:c>
      <x:c r="J27" s="4" t="str">
        <x:v>See TPWD category page</x:v>
      </x:c>
      <x:c r="K27" s="110" t="n">
        <x:v>3</x:v>
      </x:c>
      <x:c r="L27" s="110"/>
      <x:c r="M27" s="4"/>
      <x:c r="N27" s="4"/>
      <x:c r="O27" s="112"/>
      <x:c r="P27" s="4" t="n">
        <x:v>130</x:v>
      </x:c>
      <x:c r="Q27" s="4" t="str">
        <x:v>Core</x:v>
      </x:c>
      <x:c r="R27" s="4" t="str">
        <x:v>Research before draw; property brochure linked from TPWD</x:v>
      </x:c>
      <x:c r="S27" s="4" t="str">
        <x:v>High</x:v>
      </x:c>
      <x:c r="T27" s="4" t="str">
        <x:v>Yes</x:v>
      </x:c>
      <x:c r="U27" s="4" t="str">
        <x:v>Verified in TPWD 2026-2027 statewide deer category catalog.</x:v>
      </x:c>
      <x:c r="V27" s="4" t="str">
        <x:v>https://tpwd.texas.gov/huntwild/hunt/public/public_hunt_drawing/hunt-category-details.phtml?OCat=ADE</x:v>
      </x:c>
      <x:c r="W27" s="4" t="n">
        <x:v>2</x:v>
      </x:c>
      <x:c r="X27" s="4" t="n">
        <x:v>5</x:v>
      </x:c>
      <x:c r="Y27" s="4" t="n">
        <x:v>4</x:v>
      </x:c>
      <x:c r="Z27" s="4" t="n">
        <x:v>3</x:v>
      </x:c>
      <x:c r="AA27" s="4" t="n">
        <x:v>4</x:v>
      </x:c>
      <x:c r="AB27" s="4" t="n">
        <x:v>5</x:v>
      </x:c>
      <x:c r="AC27" s="30" t="n">
        <x:v>3.7</x:v>
      </x:c>
      <x:c r="AD27" s="4"/>
      <x:c r="AE27" s="4" t="str">
        <x:v>2026-08-15</x:v>
      </x:c>
      <x:c r="AF27" s="2"/>
      <x:c r="AG27" s="97"/>
      <x:c r="AH27" s="2"/>
      <x:c r="AI27" s="2"/>
      <x:c r="AJ27" s="97"/>
      <x:c r="AK27" s="2"/>
      <x:c r="AL27" s="2"/>
      <x:c r="AM27" s="2" t="str">
        <x:v>https://tpwd.texas.gov/huntwild/hunt/public/public_hunt_drawing/hunt-category-details.phtml?OCat=ADE</x:v>
      </x:c>
      <x:c r="AN27" s="2" t="str">
        <x:v>https://tpwd.texas.gov/search/?q=Potter+County+-+Cross+Bar+Mgt.+Area+public+hunting+brochure</x:v>
      </x:c>
      <x:c r="AO27" s="2" t="str">
        <x:v>https://apps.tpwd.state.tx.us/huntwild/hunt/public/public_hunt_drawing/</x:v>
      </x:c>
      <x:c r="AP27" s="2" t="str">
        <x:v>https://www.google.com/maps/search/?api=1&amp;query=Potter+County+-+Cross+Bar+Mgt.+Area%2C+Texas</x:v>
      </x:c>
      <x:c r="AQ27" s="96" t="n">
        <x:v>0</x:v>
      </x:c>
      <x:c r="AR27" s="2" t="str">
        <x:v>Standard Hastings ranking</x:v>
      </x:c>
    </x:row>
    <x:row r="28">
      <x:c r="A28" s="4" t="str">
        <x:v>No</x:v>
      </x:c>
      <x:c r="B28" s="4" t="str">
        <x:v>B</x:v>
      </x:c>
      <x:c r="C28" s="4" t="str">
        <x:v>Whitetail Deer</x:v>
      </x:c>
      <x:c r="D28" s="4" t="str">
        <x:v>Richland Creek WMA - Carl Frentress Unit</x:v>
      </x:c>
      <x:c r="E28" s="4" t="str">
        <x:v>Statewide / Other</x:v>
      </x:c>
      <x:c r="F28" s="4" t="str">
        <x:v>Archery Deer</x:v>
      </x:c>
      <x:c r="G28" s="4" t="str">
        <x:v>Yes</x:v>
      </x:c>
      <x:c r="H28" s="4" t="str">
        <x:v>Yes</x:v>
      </x:c>
      <x:c r="I28" s="24" t="str">
        <x:v>2026-08-15</x:v>
      </x:c>
      <x:c r="J28" s="4" t="str">
        <x:v>See TPWD category page</x:v>
      </x:c>
      <x:c r="K28" s="110" t="n">
        <x:v>3</x:v>
      </x:c>
      <x:c r="L28" s="110"/>
      <x:c r="M28" s="4"/>
      <x:c r="N28" s="4"/>
      <x:c r="O28" s="112"/>
      <x:c r="P28" s="4" t="n">
        <x:v>500</x:v>
      </x:c>
      <x:c r="Q28" s="4" t="str">
        <x:v>Statewide</x:v>
      </x:c>
      <x:c r="R28" s="4" t="str">
        <x:v>Research before draw; property brochure linked from TPWD</x:v>
      </x:c>
      <x:c r="S28" s="4" t="str">
        <x:v>Low</x:v>
      </x:c>
      <x:c r="T28" s="4" t="str">
        <x:v>No</x:v>
      </x:c>
      <x:c r="U28" s="4" t="str">
        <x:v>Verified in TPWD 2026-2027 statewide deer category catalog. V5 preference rule: Lower priority: archery whitetail is more than 200 miles from Amarillo.</x:v>
      </x:c>
      <x:c r="V28" s="4" t="str">
        <x:v>https://tpwd.texas.gov/huntwild/hunt/public/public_hunt_drawing/hunt-category-details.phtml?OCat=ADE</x:v>
      </x:c>
      <x:c r="W28" s="4" t="n">
        <x:v>2</x:v>
      </x:c>
      <x:c r="X28" s="4" t="n">
        <x:v>2</x:v>
      </x:c>
      <x:c r="Y28" s="4" t="n">
        <x:v>4</x:v>
      </x:c>
      <x:c r="Z28" s="4" t="n">
        <x:v>3</x:v>
      </x:c>
      <x:c r="AA28" s="4" t="n">
        <x:v>2</x:v>
      </x:c>
      <x:c r="AB28" s="4" t="n">
        <x:v>0</x:v>
      </x:c>
      <x:c r="AC28" s="30" t="n">
        <x:v>1.3</x:v>
      </x:c>
      <x:c r="AD28" s="4"/>
      <x:c r="AE28" s="4" t="str">
        <x:v>2026-08-15</x:v>
      </x:c>
      <x:c r="AF28" s="2"/>
      <x:c r="AG28" s="97"/>
      <x:c r="AH28" s="2"/>
      <x:c r="AI28" s="2"/>
      <x:c r="AJ28" s="97"/>
      <x:c r="AK28" s="2"/>
      <x:c r="AL28" s="2"/>
      <x:c r="AM28" s="2" t="str">
        <x:v>https://tpwd.texas.gov/huntwild/hunt/public/public_hunt_drawing/hunt-category-details.phtml?OCat=ADE</x:v>
      </x:c>
      <x:c r="AN28" s="2" t="str">
        <x:v>https://tpwd.texas.gov/search/?q=Richland+Creek+WMA+-+Carl+Frentress+Unit+public+hunting+brochure</x:v>
      </x:c>
      <x:c r="AO28" s="2" t="str">
        <x:v>https://apps.tpwd.state.tx.us/huntwild/hunt/public/public_hunt_drawing/</x:v>
      </x:c>
      <x:c r="AP28" s="2" t="str">
        <x:v>https://www.google.com/maps/search/?api=1&amp;query=Richland+Creek+WMA+-+Carl+Frentress+Unit%2C+Texas</x:v>
      </x:c>
      <x:c r="AQ28" s="96" t="n">
        <x:v>-1</x:v>
      </x:c>
      <x:c r="AR28" s="2" t="str">
        <x:v>Lower priority: archery whitetail is more than 200 miles from Amarillo</x:v>
      </x:c>
    </x:row>
    <x:row r="29">
      <x:c r="A29" s="4" t="str">
        <x:v>No</x:v>
      </x:c>
      <x:c r="B29" s="4" t="str">
        <x:v>B</x:v>
      </x:c>
      <x:c r="C29" s="4" t="str">
        <x:v>Whitetail Deer</x:v>
      </x:c>
      <x:c r="D29" s="4" t="str">
        <x:v>Roger Fawcett WMA</x:v>
      </x:c>
      <x:c r="E29" s="4" t="str">
        <x:v>West-Central Texas</x:v>
      </x:c>
      <x:c r="F29" s="4" t="str">
        <x:v>Archery Deer</x:v>
      </x:c>
      <x:c r="G29" s="4" t="str">
        <x:v>Yes</x:v>
      </x:c>
      <x:c r="H29" s="4" t="str">
        <x:v>Yes</x:v>
      </x:c>
      <x:c r="I29" s="24" t="str">
        <x:v>2026-08-15</x:v>
      </x:c>
      <x:c r="J29" s="4" t="str">
        <x:v>See TPWD category page</x:v>
      </x:c>
      <x:c r="K29" s="110" t="n">
        <x:v>3</x:v>
      </x:c>
      <x:c r="L29" s="110"/>
      <x:c r="M29" s="4"/>
      <x:c r="N29" s="4"/>
      <x:c r="O29" s="112"/>
      <x:c r="P29" s="4" t="n">
        <x:v>300</x:v>
      </x:c>
      <x:c r="Q29" s="4" t="str">
        <x:v>Extended</x:v>
      </x:c>
      <x:c r="R29" s="4" t="str">
        <x:v>Research before draw; property brochure linked from TPWD</x:v>
      </x:c>
      <x:c r="S29" s="4" t="str">
        <x:v>Low</x:v>
      </x:c>
      <x:c r="T29" s="4" t="str">
        <x:v>No</x:v>
      </x:c>
      <x:c r="U29" s="4" t="str">
        <x:v>Verified in TPWD 2026-2027 statewide deer category catalog. V5 preference rule: Lower priority: archery whitetail is more than 200 miles from Amarillo.</x:v>
      </x:c>
      <x:c r="V29" s="4" t="str">
        <x:v>https://tpwd.texas.gov/huntwild/hunt/public/public_hunt_drawing/hunt-category-details.phtml?OCat=ADE</x:v>
      </x:c>
      <x:c r="W29" s="4" t="n">
        <x:v>2</x:v>
      </x:c>
      <x:c r="X29" s="4" t="n">
        <x:v>4</x:v>
      </x:c>
      <x:c r="Y29" s="4" t="n">
        <x:v>4</x:v>
      </x:c>
      <x:c r="Z29" s="4" t="n">
        <x:v>3</x:v>
      </x:c>
      <x:c r="AA29" s="4" t="n">
        <x:v>2</x:v>
      </x:c>
      <x:c r="AB29" s="4" t="n">
        <x:v>0</x:v>
      </x:c>
      <x:c r="AC29" s="30" t="n">
        <x:v>1.6</x:v>
      </x:c>
      <x:c r="AD29" s="4"/>
      <x:c r="AE29" s="4" t="str">
        <x:v>2026-08-15</x:v>
      </x:c>
      <x:c r="AF29" s="2"/>
      <x:c r="AG29" s="97"/>
      <x:c r="AH29" s="2"/>
      <x:c r="AI29" s="2"/>
      <x:c r="AJ29" s="97"/>
      <x:c r="AK29" s="2"/>
      <x:c r="AL29" s="2"/>
      <x:c r="AM29" s="2" t="str">
        <x:v>https://tpwd.texas.gov/huntwild/hunt/public/public_hunt_drawing/hunt-category-details.phtml?OCat=ADE</x:v>
      </x:c>
      <x:c r="AN29" s="2" t="str">
        <x:v>https://tpwd.texas.gov/search/?q=Roger+Fawcett+WMA+public+hunting+brochure</x:v>
      </x:c>
      <x:c r="AO29" s="2" t="str">
        <x:v>https://apps.tpwd.state.tx.us/huntwild/hunt/public/public_hunt_drawing/</x:v>
      </x:c>
      <x:c r="AP29" s="2" t="str">
        <x:v>https://www.google.com/maps/search/?api=1&amp;query=Roger+Fawcett+WMA%2C+Texas</x:v>
      </x:c>
      <x:c r="AQ29" s="96" t="n">
        <x:v>-1</x:v>
      </x:c>
      <x:c r="AR29" s="2" t="str">
        <x:v>Lower priority: archery whitetail is more than 200 miles from Amarillo</x:v>
      </x:c>
    </x:row>
    <x:row r="30">
      <x:c r="A30" s="4" t="str">
        <x:v>No</x:v>
      </x:c>
      <x:c r="B30" s="4" t="str">
        <x:v>A</x:v>
      </x:c>
      <x:c r="C30" s="4" t="str">
        <x:v>Mule Deer</x:v>
      </x:c>
      <x:c r="D30" s="4" t="str">
        <x:v>Big Bend Ranch SP</x:v>
      </x:c>
      <x:c r="E30" s="4" t="str">
        <x:v>Trans-Pecos / West Texas</x:v>
      </x:c>
      <x:c r="F30" s="4" t="str">
        <x:v>Youth Gun Deer - Either Sex</x:v>
      </x:c>
      <x:c r="G30" s="4" t="str">
        <x:v>No</x:v>
      </x:c>
      <x:c r="H30" s="4" t="str">
        <x:v>Yes</x:v>
      </x:c>
      <x:c r="I30" s="24" t="str">
        <x:v>2026-09-01</x:v>
      </x:c>
      <x:c r="J30" s="4" t="str">
        <x:v>See TPWD category page</x:v>
      </x:c>
      <x:c r="K30" s="110" t="n">
        <x:v>0</x:v>
      </x:c>
      <x:c r="L30" s="110" t="n">
        <x:v>0</x:v>
      </x:c>
      <x:c r="M30" s="4"/>
      <x:c r="N30" s="4"/>
      <x:c r="O30" s="112"/>
      <x:c r="P30" s="4" t="n">
        <x:v>520</x:v>
      </x:c>
      <x:c r="Q30" s="4" t="str">
        <x:v>Statewide</x:v>
      </x:c>
      <x:c r="R30" s="4" t="str">
        <x:v>Research before draw; property brochure linked from TPWD</x:v>
      </x:c>
      <x:c r="S30" s="4" t="str">
        <x:v>High</x:v>
      </x:c>
      <x:c r="T30" s="4" t="str">
        <x:v>No</x:v>
      </x:c>
      <x:c r="U30" s="4" t="str">
        <x:v>Verified in TPWD 2026-2027 statewide deer category catalog. West Texas/El Paso-region opportunity; prioritize for mule deer adventure value.</x:v>
      </x:c>
      <x:c r="V30" s="4" t="str">
        <x:v>https://tpwd.texas.gov/huntwild/hunt/public/public_hunt_drawing/hunt-category-details.phtml?OCat=YDE</x:v>
      </x:c>
      <x:c r="W30" s="4" t="n">
        <x:v>2</x:v>
      </x:c>
      <x:c r="X30" s="4" t="n">
        <x:v>2</x:v>
      </x:c>
      <x:c r="Y30" s="4" t="n">
        <x:v>5</x:v>
      </x:c>
      <x:c r="Z30" s="4" t="n">
        <x:v>3</x:v>
      </x:c>
      <x:c r="AA30" s="4" t="n">
        <x:v>4</x:v>
      </x:c>
      <x:c r="AB30" s="4" t="n">
        <x:v>0</x:v>
      </x:c>
      <x:c r="AC30" s="30" t="n">
        <x:v>2.7</x:v>
      </x:c>
      <x:c r="AD30" s="4" t="n">
        <x:v>0</x:v>
      </x:c>
      <x:c r="AE30" s="4" t="str">
        <x:v>2026-09-01</x:v>
      </x:c>
      <x:c r="AF30" s="2"/>
      <x:c r="AG30" s="97"/>
      <x:c r="AH30" s="2"/>
      <x:c r="AI30" s="2"/>
      <x:c r="AJ30" s="97"/>
      <x:c r="AK30" s="2"/>
      <x:c r="AL30" s="2"/>
      <x:c r="AM30" s="2" t="str">
        <x:v>https://tpwd.texas.gov/huntwild/hunt/public/public_hunt_drawing/hunt-category-details.phtml?OCat=YDE</x:v>
      </x:c>
      <x:c r="AN30" s="2" t="str">
        <x:v>https://tpwd.texas.gov/search/?q=Big+Bend+Ranch+SP+public+hunting+brochure</x:v>
      </x:c>
      <x:c r="AO30" s="2" t="str">
        <x:v>https://apps.tpwd.state.tx.us/huntwild/hunt/public/public_hunt_drawing/</x:v>
      </x:c>
      <x:c r="AP30" s="2" t="str">
        <x:v>https://www.google.com/maps/search/?api=1&amp;query=Big+Bend+Ranch+SP%2C+Texas</x:v>
      </x:c>
      <x:c r="AQ30" s="96" t="n">
        <x:v>0</x:v>
      </x:c>
      <x:c r="AR30" s="2" t="str">
        <x:v>Standard Hastings ranking</x:v>
      </x:c>
    </x:row>
    <x:row r="31">
      <x:c r="A31" s="4" t="str">
        <x:v>No</x:v>
      </x:c>
      <x:c r="B31" s="4" t="str">
        <x:v>A</x:v>
      </x:c>
      <x:c r="C31" s="4" t="str">
        <x:v>Mule Deer</x:v>
      </x:c>
      <x:c r="D31" s="4" t="str">
        <x:v>Caprock Canyons SP</x:v>
      </x:c>
      <x:c r="E31" s="4" t="str">
        <x:v>Panhandle / Rolling Plains</x:v>
      </x:c>
      <x:c r="F31" s="4" t="str">
        <x:v>Youth Gun Deer - Either Sex</x:v>
      </x:c>
      <x:c r="G31" s="4" t="str">
        <x:v>No</x:v>
      </x:c>
      <x:c r="H31" s="4" t="str">
        <x:v>Yes</x:v>
      </x:c>
      <x:c r="I31" s="24" t="str">
        <x:v>2026-09-01</x:v>
      </x:c>
      <x:c r="J31" s="4" t="str">
        <x:v>See TPWD category page</x:v>
      </x:c>
      <x:c r="K31" s="110" t="n">
        <x:v>0</x:v>
      </x:c>
      <x:c r="L31" s="110" t="n">
        <x:v>0</x:v>
      </x:c>
      <x:c r="M31" s="4"/>
      <x:c r="N31" s="4"/>
      <x:c r="O31" s="112"/>
      <x:c r="P31" s="4" t="n">
        <x:v>130</x:v>
      </x:c>
      <x:c r="Q31" s="4" t="str">
        <x:v>Core</x:v>
      </x:c>
      <x:c r="R31" s="4" t="str">
        <x:v>Research before draw; property brochure linked from TPWD</x:v>
      </x:c>
      <x:c r="S31" s="4" t="str">
        <x:v>High</x:v>
      </x:c>
      <x:c r="T31" s="4" t="str">
        <x:v>Yes</x:v>
      </x:c>
      <x:c r="U31" s="4" t="str">
        <x:v>Verified in TPWD 2026-2027 statewide deer category catalog.</x:v>
      </x:c>
      <x:c r="V31" s="4" t="str">
        <x:v>https://tpwd.texas.gov/huntwild/hunt/public/public_hunt_drawing/hunt-category-details.phtml?OCat=YDE</x:v>
      </x:c>
      <x:c r="W31" s="4" t="n">
        <x:v>2</x:v>
      </x:c>
      <x:c r="X31" s="4" t="n">
        <x:v>5</x:v>
      </x:c>
      <x:c r="Y31" s="4" t="n">
        <x:v>5</x:v>
      </x:c>
      <x:c r="Z31" s="4" t="n">
        <x:v>3</x:v>
      </x:c>
      <x:c r="AA31" s="4" t="n">
        <x:v>4</x:v>
      </x:c>
      <x:c r="AB31" s="4" t="n">
        <x:v>5</x:v>
      </x:c>
      <x:c r="AC31" s="30" t="n">
        <x:v>3.9</x:v>
      </x:c>
      <x:c r="AD31" s="4" t="n">
        <x:v>0</x:v>
      </x:c>
      <x:c r="AE31" s="4" t="str">
        <x:v>2026-09-01</x:v>
      </x:c>
      <x:c r="AF31" s="2"/>
      <x:c r="AG31" s="97"/>
      <x:c r="AH31" s="2"/>
      <x:c r="AI31" s="2"/>
      <x:c r="AJ31" s="97"/>
      <x:c r="AK31" s="2"/>
      <x:c r="AL31" s="2"/>
      <x:c r="AM31" s="2" t="str">
        <x:v>https://tpwd.texas.gov/huntwild/hunt/public/public_hunt_drawing/hunt-category-details.phtml?OCat=YDE</x:v>
      </x:c>
      <x:c r="AN31" s="2" t="str">
        <x:v>https://tpwd.texas.gov/search/?q=Caprock+Canyons+SP+public+hunting+brochure</x:v>
      </x:c>
      <x:c r="AO31" s="2" t="str">
        <x:v>https://apps.tpwd.state.tx.us/huntwild/hunt/public/public_hunt_drawing/</x:v>
      </x:c>
      <x:c r="AP31" s="2" t="str">
        <x:v>https://www.google.com/maps/search/?api=1&amp;query=Caprock+Canyons+SP%2C+Texas</x:v>
      </x:c>
      <x:c r="AQ31" s="96" t="n">
        <x:v>0</x:v>
      </x:c>
      <x:c r="AR31" s="2" t="str">
        <x:v>Standard Hastings ranking</x:v>
      </x:c>
    </x:row>
    <x:row r="32">
      <x:c r="A32" s="4" t="str">
        <x:v>No</x:v>
      </x:c>
      <x:c r="B32" s="4" t="str">
        <x:v>A</x:v>
      </x:c>
      <x:c r="C32" s="4" t="str">
        <x:v>Whitetail Deer</x:v>
      </x:c>
      <x:c r="D32" s="4" t="str">
        <x:v>Abilene SP</x:v>
      </x:c>
      <x:c r="E32" s="4" t="str">
        <x:v>West-Central Texas</x:v>
      </x:c>
      <x:c r="F32" s="4" t="str">
        <x:v>Youth Gun Deer - Either Sex</x:v>
      </x:c>
      <x:c r="G32" s="4" t="str">
        <x:v>No</x:v>
      </x:c>
      <x:c r="H32" s="4" t="str">
        <x:v>Yes</x:v>
      </x:c>
      <x:c r="I32" s="24" t="str">
        <x:v>2026-09-01</x:v>
      </x:c>
      <x:c r="J32" s="4" t="str">
        <x:v>See TPWD category page</x:v>
      </x:c>
      <x:c r="K32" s="110" t="n">
        <x:v>0</x:v>
      </x:c>
      <x:c r="L32" s="110" t="n">
        <x:v>0</x:v>
      </x:c>
      <x:c r="M32" s="4"/>
      <x:c r="N32" s="4"/>
      <x:c r="O32" s="112"/>
      <x:c r="P32" s="4" t="n">
        <x:v>300</x:v>
      </x:c>
      <x:c r="Q32" s="4" t="str">
        <x:v>Extended</x:v>
      </x:c>
      <x:c r="R32" s="4" t="str">
        <x:v>Research before draw; property brochure linked from TPWD</x:v>
      </x:c>
      <x:c r="S32" s="4" t="str">
        <x:v>Low</x:v>
      </x:c>
      <x:c r="T32" s="4" t="str">
        <x:v>No</x:v>
      </x:c>
      <x:c r="U32" s="4" t="str">
        <x:v>Verified in TPWD 2026-2027 statewide deer category catalog.</x:v>
      </x:c>
      <x:c r="V32" s="4" t="str">
        <x:v>https://tpwd.texas.gov/huntwild/hunt/public/public_hunt_drawing/hunt-category-details.phtml?OCat=YDE</x:v>
      </x:c>
      <x:c r="W32" s="4" t="n">
        <x:v>2</x:v>
      </x:c>
      <x:c r="X32" s="4" t="n">
        <x:v>4</x:v>
      </x:c>
      <x:c r="Y32" s="4" t="n">
        <x:v>5</x:v>
      </x:c>
      <x:c r="Z32" s="4" t="n">
        <x:v>3</x:v>
      </x:c>
      <x:c r="AA32" s="4" t="n">
        <x:v>2</x:v>
      </x:c>
      <x:c r="AB32" s="4" t="n">
        <x:v>0</x:v>
      </x:c>
      <x:c r="AC32" s="30" t="n">
        <x:v>2.9</x:v>
      </x:c>
      <x:c r="AD32" s="4" t="n">
        <x:v>0</x:v>
      </x:c>
      <x:c r="AE32" s="4" t="str">
        <x:v>2026-09-01</x:v>
      </x:c>
      <x:c r="AF32" s="2"/>
      <x:c r="AG32" s="97"/>
      <x:c r="AH32" s="2"/>
      <x:c r="AI32" s="2"/>
      <x:c r="AJ32" s="97"/>
      <x:c r="AK32" s="2"/>
      <x:c r="AL32" s="2"/>
      <x:c r="AM32" s="2" t="str">
        <x:v>https://tpwd.texas.gov/huntwild/hunt/public/public_hunt_drawing/hunt-category-details.phtml?OCat=YDE</x:v>
      </x:c>
      <x:c r="AN32" s="2" t="str">
        <x:v>https://tpwd.texas.gov/search/?q=Abilene+SP+public+hunting+brochure</x:v>
      </x:c>
      <x:c r="AO32" s="2" t="str">
        <x:v>https://apps.tpwd.state.tx.us/huntwild/hunt/public/public_hunt_drawing/</x:v>
      </x:c>
      <x:c r="AP32" s="2" t="str">
        <x:v>https://www.google.com/maps/search/?api=1&amp;query=Abilene+SP%2C+Texas</x:v>
      </x:c>
      <x:c r="AQ32" s="96" t="n">
        <x:v>0</x:v>
      </x:c>
      <x:c r="AR32" s="2" t="str">
        <x:v>Standard Hastings ranking</x:v>
      </x:c>
    </x:row>
    <x:row r="33">
      <x:c r="A33" s="4" t="str">
        <x:v>No</x:v>
      </x:c>
      <x:c r="B33" s="4" t="str">
        <x:v>A</x:v>
      </x:c>
      <x:c r="C33" s="4" t="str">
        <x:v>Whitetail Deer</x:v>
      </x:c>
      <x:c r="D33" s="4" t="str">
        <x:v>Alazan Bayou WMA</x:v>
      </x:c>
      <x:c r="E33" s="4" t="str">
        <x:v>East Texas / Pineywoods</x:v>
      </x:c>
      <x:c r="F33" s="4" t="str">
        <x:v>Youth Gun Deer - Either Sex</x:v>
      </x:c>
      <x:c r="G33" s="4" t="str">
        <x:v>No</x:v>
      </x:c>
      <x:c r="H33" s="4" t="str">
        <x:v>Yes</x:v>
      </x:c>
      <x:c r="I33" s="24" t="str">
        <x:v>2026-09-01</x:v>
      </x:c>
      <x:c r="J33" s="4" t="str">
        <x:v>See TPWD category page</x:v>
      </x:c>
      <x:c r="K33" s="110" t="n">
        <x:v>0</x:v>
      </x:c>
      <x:c r="L33" s="110" t="n">
        <x:v>0</x:v>
      </x:c>
      <x:c r="M33" s="4"/>
      <x:c r="N33" s="4"/>
      <x:c r="O33" s="112"/>
      <x:c r="P33" s="4" t="n">
        <x:v>570</x:v>
      </x:c>
      <x:c r="Q33" s="4" t="str">
        <x:v>Statewide</x:v>
      </x:c>
      <x:c r="R33" s="4" t="str">
        <x:v>Research before draw; property brochure linked from TPWD</x:v>
      </x:c>
      <x:c r="S33" s="4" t="str">
        <x:v>Low</x:v>
      </x:c>
      <x:c r="T33" s="4" t="str">
        <x:v>No</x:v>
      </x:c>
      <x:c r="U33" s="4" t="str">
        <x:v>Verified in TPWD 2026-2027 statewide deer category catalog.</x:v>
      </x:c>
      <x:c r="V33" s="4" t="str">
        <x:v>https://tpwd.texas.gov/huntwild/hunt/public/public_hunt_drawing/hunt-category-details.phtml?OCat=YDE</x:v>
      </x:c>
      <x:c r="W33" s="4" t="n">
        <x:v>2</x:v>
      </x:c>
      <x:c r="X33" s="4" t="n">
        <x:v>2</x:v>
      </x:c>
      <x:c r="Y33" s="4" t="n">
        <x:v>5</x:v>
      </x:c>
      <x:c r="Z33" s="4" t="n">
        <x:v>3</x:v>
      </x:c>
      <x:c r="AA33" s="4" t="n">
        <x:v>2</x:v>
      </x:c>
      <x:c r="AB33" s="4" t="n">
        <x:v>0</x:v>
      </x:c>
      <x:c r="AC33" s="30" t="n">
        <x:v>2.5</x:v>
      </x:c>
      <x:c r="AD33" s="4" t="n">
        <x:v>0</x:v>
      </x:c>
      <x:c r="AE33" s="4" t="str">
        <x:v>2026-09-01</x:v>
      </x:c>
      <x:c r="AF33" s="2"/>
      <x:c r="AG33" s="97"/>
      <x:c r="AH33" s="2"/>
      <x:c r="AI33" s="2"/>
      <x:c r="AJ33" s="97"/>
      <x:c r="AK33" s="2"/>
      <x:c r="AL33" s="2"/>
      <x:c r="AM33" s="2" t="str">
        <x:v>https://tpwd.texas.gov/huntwild/hunt/public/public_hunt_drawing/hunt-category-details.phtml?OCat=YDE</x:v>
      </x:c>
      <x:c r="AN33" s="2" t="str">
        <x:v>https://tpwd.texas.gov/search/?q=Alazan+Bayou+WMA+public+hunting+brochure</x:v>
      </x:c>
      <x:c r="AO33" s="2" t="str">
        <x:v>https://apps.tpwd.state.tx.us/huntwild/hunt/public/public_hunt_drawing/</x:v>
      </x:c>
      <x:c r="AP33" s="2" t="str">
        <x:v>https://www.google.com/maps/search/?api=1&amp;query=Alazan+Bayou+WMA%2C+Texas</x:v>
      </x:c>
      <x:c r="AQ33" s="96" t="n">
        <x:v>0</x:v>
      </x:c>
      <x:c r="AR33" s="2" t="str">
        <x:v>Standard Hastings ranking</x:v>
      </x:c>
    </x:row>
    <x:row r="34">
      <x:c r="A34" s="4" t="str">
        <x:v>No</x:v>
      </x:c>
      <x:c r="B34" s="4" t="str">
        <x:v>A</x:v>
      </x:c>
      <x:c r="C34" s="4" t="str">
        <x:v>Whitetail Deer</x:v>
      </x:c>
      <x:c r="D34" s="4" t="str">
        <x:v>Atlanta SP</x:v>
      </x:c>
      <x:c r="E34" s="4" t="str">
        <x:v>East Texas / Pineywoods</x:v>
      </x:c>
      <x:c r="F34" s="4" t="str">
        <x:v>Youth Gun Deer - Either Sex</x:v>
      </x:c>
      <x:c r="G34" s="4" t="str">
        <x:v>No</x:v>
      </x:c>
      <x:c r="H34" s="4" t="str">
        <x:v>Yes</x:v>
      </x:c>
      <x:c r="I34" s="24" t="str">
        <x:v>2026-09-01</x:v>
      </x:c>
      <x:c r="J34" s="4" t="str">
        <x:v>See TPWD category page</x:v>
      </x:c>
      <x:c r="K34" s="110" t="n">
        <x:v>0</x:v>
      </x:c>
      <x:c r="L34" s="110" t="n">
        <x:v>0</x:v>
      </x:c>
      <x:c r="M34" s="4"/>
      <x:c r="N34" s="4"/>
      <x:c r="O34" s="112"/>
      <x:c r="P34" s="4" t="n">
        <x:v>570</x:v>
      </x:c>
      <x:c r="Q34" s="4" t="str">
        <x:v>Statewide</x:v>
      </x:c>
      <x:c r="R34" s="4" t="str">
        <x:v>Research before draw; property brochure linked from TPWD</x:v>
      </x:c>
      <x:c r="S34" s="4" t="str">
        <x:v>Low</x:v>
      </x:c>
      <x:c r="T34" s="4" t="str">
        <x:v>No</x:v>
      </x:c>
      <x:c r="U34" s="4" t="str">
        <x:v>Verified in TPWD 2026-2027 statewide deer category catalog.</x:v>
      </x:c>
      <x:c r="V34" s="4" t="str">
        <x:v>https://tpwd.texas.gov/huntwild/hunt/public/public_hunt_drawing/hunt-category-details.phtml?OCat=YDE</x:v>
      </x:c>
      <x:c r="W34" s="4" t="n">
        <x:v>2</x:v>
      </x:c>
      <x:c r="X34" s="4" t="n">
        <x:v>2</x:v>
      </x:c>
      <x:c r="Y34" s="4" t="n">
        <x:v>5</x:v>
      </x:c>
      <x:c r="Z34" s="4" t="n">
        <x:v>3</x:v>
      </x:c>
      <x:c r="AA34" s="4" t="n">
        <x:v>2</x:v>
      </x:c>
      <x:c r="AB34" s="4" t="n">
        <x:v>0</x:v>
      </x:c>
      <x:c r="AC34" s="30" t="n">
        <x:v>2.5</x:v>
      </x:c>
      <x:c r="AD34" s="4" t="n">
        <x:v>0</x:v>
      </x:c>
      <x:c r="AE34" s="4" t="str">
        <x:v>2026-09-01</x:v>
      </x:c>
      <x:c r="AF34" s="2"/>
      <x:c r="AG34" s="97"/>
      <x:c r="AH34" s="2"/>
      <x:c r="AI34" s="2"/>
      <x:c r="AJ34" s="97"/>
      <x:c r="AK34" s="2"/>
      <x:c r="AL34" s="2"/>
      <x:c r="AM34" s="2" t="str">
        <x:v>https://tpwd.texas.gov/huntwild/hunt/public/public_hunt_drawing/hunt-category-details.phtml?OCat=YDE</x:v>
      </x:c>
      <x:c r="AN34" s="2" t="str">
        <x:v>https://tpwd.texas.gov/search/?q=Atlanta+SP+public+hunting+brochure</x:v>
      </x:c>
      <x:c r="AO34" s="2" t="str">
        <x:v>https://apps.tpwd.state.tx.us/huntwild/hunt/public/public_hunt_drawing/</x:v>
      </x:c>
      <x:c r="AP34" s="2" t="str">
        <x:v>https://www.google.com/maps/search/?api=1&amp;query=Atlanta+SP%2C+Texas</x:v>
      </x:c>
      <x:c r="AQ34" s="96" t="n">
        <x:v>0</x:v>
      </x:c>
      <x:c r="AR34" s="2" t="str">
        <x:v>Standard Hastings ranking</x:v>
      </x:c>
    </x:row>
    <x:row r="35">
      <x:c r="A35" s="4" t="str">
        <x:v>No</x:v>
      </x:c>
      <x:c r="B35" s="4" t="str">
        <x:v>A</x:v>
      </x:c>
      <x:c r="C35" s="4" t="str">
        <x:v>Whitetail Deer</x:v>
      </x:c>
      <x:c r="D35" s="4" t="str">
        <x:v>Bastrop SP</x:v>
      </x:c>
      <x:c r="E35" s="4" t="str">
        <x:v>Central Texas / Austin</x:v>
      </x:c>
      <x:c r="F35" s="4" t="str">
        <x:v>Youth Gun Deer - Either Sex</x:v>
      </x:c>
      <x:c r="G35" s="4" t="str">
        <x:v>No</x:v>
      </x:c>
      <x:c r="H35" s="4" t="str">
        <x:v>Yes</x:v>
      </x:c>
      <x:c r="I35" s="24" t="str">
        <x:v>2026-09-01</x:v>
      </x:c>
      <x:c r="J35" s="4" t="str">
        <x:v>See TPWD category page</x:v>
      </x:c>
      <x:c r="K35" s="110" t="n">
        <x:v>0</x:v>
      </x:c>
      <x:c r="L35" s="110" t="n">
        <x:v>0</x:v>
      </x:c>
      <x:c r="M35" s="4"/>
      <x:c r="N35" s="4"/>
      <x:c r="O35" s="112"/>
      <x:c r="P35" s="4" t="n">
        <x:v>490</x:v>
      </x:c>
      <x:c r="Q35" s="4" t="str">
        <x:v>Statewide</x:v>
      </x:c>
      <x:c r="R35" s="4" t="str">
        <x:v>Research before draw; property brochure linked from TPWD</x:v>
      </x:c>
      <x:c r="S35" s="4" t="str">
        <x:v>Low</x:v>
      </x:c>
      <x:c r="T35" s="4" t="str">
        <x:v>No</x:v>
      </x:c>
      <x:c r="U35" s="4" t="str">
        <x:v>Verified in TPWD 2026-2027 statewide deer category catalog.</x:v>
      </x:c>
      <x:c r="V35" s="4" t="str">
        <x:v>https://tpwd.texas.gov/huntwild/hunt/public/public_hunt_drawing/hunt-category-details.phtml?OCat=YDE</x:v>
      </x:c>
      <x:c r="W35" s="4" t="n">
        <x:v>2</x:v>
      </x:c>
      <x:c r="X35" s="4" t="n">
        <x:v>2</x:v>
      </x:c>
      <x:c r="Y35" s="4" t="n">
        <x:v>5</x:v>
      </x:c>
      <x:c r="Z35" s="4" t="n">
        <x:v>3</x:v>
      </x:c>
      <x:c r="AA35" s="4" t="n">
        <x:v>2</x:v>
      </x:c>
      <x:c r="AB35" s="4" t="n">
        <x:v>0</x:v>
      </x:c>
      <x:c r="AC35" s="30" t="n">
        <x:v>2.5</x:v>
      </x:c>
      <x:c r="AD35" s="4" t="n">
        <x:v>0</x:v>
      </x:c>
      <x:c r="AE35" s="4" t="str">
        <x:v>2026-09-01</x:v>
      </x:c>
      <x:c r="AF35" s="2"/>
      <x:c r="AG35" s="97"/>
      <x:c r="AH35" s="2"/>
      <x:c r="AI35" s="2"/>
      <x:c r="AJ35" s="97"/>
      <x:c r="AK35" s="2"/>
      <x:c r="AL35" s="2"/>
      <x:c r="AM35" s="2" t="str">
        <x:v>https://tpwd.texas.gov/huntwild/hunt/public/public_hunt_drawing/hunt-category-details.phtml?OCat=YDE</x:v>
      </x:c>
      <x:c r="AN35" s="2" t="str">
        <x:v>https://tpwd.texas.gov/search/?q=Bastrop+SP+public+hunting+brochure</x:v>
      </x:c>
      <x:c r="AO35" s="2" t="str">
        <x:v>https://apps.tpwd.state.tx.us/huntwild/hunt/public/public_hunt_drawing/</x:v>
      </x:c>
      <x:c r="AP35" s="2" t="str">
        <x:v>https://www.google.com/maps/search/?api=1&amp;query=Bastrop+SP%2C+Texas</x:v>
      </x:c>
      <x:c r="AQ35" s="96" t="n">
        <x:v>0</x:v>
      </x:c>
      <x:c r="AR35" s="2" t="str">
        <x:v>Standard Hastings ranking</x:v>
      </x:c>
    </x:row>
    <x:row r="36">
      <x:c r="A36" s="4" t="str">
        <x:v>No</x:v>
      </x:c>
      <x:c r="B36" s="4" t="str">
        <x:v>A</x:v>
      </x:c>
      <x:c r="C36" s="4" t="str">
        <x:v>Whitetail Deer</x:v>
      </x:c>
      <x:c r="D36" s="4" t="str">
        <x:v>Chaparral WMA</x:v>
      </x:c>
      <x:c r="E36" s="4" t="str">
        <x:v>South Texas / Rio Grande Valley</x:v>
      </x:c>
      <x:c r="F36" s="4" t="str">
        <x:v>Youth Gun Deer - Either Sex</x:v>
      </x:c>
      <x:c r="G36" s="4" t="str">
        <x:v>No</x:v>
      </x:c>
      <x:c r="H36" s="4" t="str">
        <x:v>Yes</x:v>
      </x:c>
      <x:c r="I36" s="24" t="str">
        <x:v>2026-09-01</x:v>
      </x:c>
      <x:c r="J36" s="4" t="str">
        <x:v>See TPWD category page</x:v>
      </x:c>
      <x:c r="K36" s="110" t="n">
        <x:v>0</x:v>
      </x:c>
      <x:c r="L36" s="110" t="n">
        <x:v>0</x:v>
      </x:c>
      <x:c r="M36" s="4"/>
      <x:c r="N36" s="4"/>
      <x:c r="O36" s="112"/>
      <x:c r="P36" s="4" t="n">
        <x:v>700</x:v>
      </x:c>
      <x:c r="Q36" s="4" t="str">
        <x:v>Long Haul</x:v>
      </x:c>
      <x:c r="R36" s="4" t="str">
        <x:v>Research before draw; property brochure linked from TPWD</x:v>
      </x:c>
      <x:c r="S36" s="4" t="str">
        <x:v>Low</x:v>
      </x:c>
      <x:c r="T36" s="4" t="str">
        <x:v>No</x:v>
      </x:c>
      <x:c r="U36" s="4" t="str">
        <x:v>Verified in TPWD 2026-2027 statewide deer category catalog.</x:v>
      </x:c>
      <x:c r="V36" s="4" t="str">
        <x:v>https://tpwd.texas.gov/huntwild/hunt/public/public_hunt_drawing/hunt-category-details.phtml?OCat=YDE</x:v>
      </x:c>
      <x:c r="W36" s="4" t="n">
        <x:v>2</x:v>
      </x:c>
      <x:c r="X36" s="4" t="n">
        <x:v>1</x:v>
      </x:c>
      <x:c r="Y36" s="4" t="n">
        <x:v>5</x:v>
      </x:c>
      <x:c r="Z36" s="4" t="n">
        <x:v>3</x:v>
      </x:c>
      <x:c r="AA36" s="4" t="n">
        <x:v>2</x:v>
      </x:c>
      <x:c r="AB36" s="4" t="n">
        <x:v>0</x:v>
      </x:c>
      <x:c r="AC36" s="30" t="n">
        <x:v>2.4</x:v>
      </x:c>
      <x:c r="AD36" s="4" t="n">
        <x:v>0</x:v>
      </x:c>
      <x:c r="AE36" s="4" t="str">
        <x:v>2026-09-01</x:v>
      </x:c>
      <x:c r="AF36" s="2"/>
      <x:c r="AG36" s="97"/>
      <x:c r="AH36" s="2"/>
      <x:c r="AI36" s="2"/>
      <x:c r="AJ36" s="97"/>
      <x:c r="AK36" s="2"/>
      <x:c r="AL36" s="2"/>
      <x:c r="AM36" s="2" t="str">
        <x:v>https://tpwd.texas.gov/huntwild/hunt/public/public_hunt_drawing/hunt-category-details.phtml?OCat=YDE</x:v>
      </x:c>
      <x:c r="AN36" s="2" t="str">
        <x:v>https://tpwd.texas.gov/search/?q=Chaparral+WMA+public+hunting+brochure</x:v>
      </x:c>
      <x:c r="AO36" s="2" t="str">
        <x:v>https://apps.tpwd.state.tx.us/huntwild/hunt/public/public_hunt_drawing/</x:v>
      </x:c>
      <x:c r="AP36" s="2" t="str">
        <x:v>https://www.google.com/maps/search/?api=1&amp;query=Chaparral+WMA%2C+Texas</x:v>
      </x:c>
      <x:c r="AQ36" s="96" t="n">
        <x:v>0</x:v>
      </x:c>
      <x:c r="AR36" s="2" t="str">
        <x:v>Standard Hastings ranking</x:v>
      </x:c>
    </x:row>
    <x:row r="37">
      <x:c r="A37" s="4" t="str">
        <x:v>No</x:v>
      </x:c>
      <x:c r="B37" s="4" t="str">
        <x:v>A</x:v>
      </x:c>
      <x:c r="C37" s="4" t="str">
        <x:v>Whitetail Deer</x:v>
      </x:c>
      <x:c r="D37" s="4" t="str">
        <x:v>Choke Canyon SP - North Shore Unit</x:v>
      </x:c>
      <x:c r="E37" s="4" t="str">
        <x:v>South Texas / Rio Grande Valley</x:v>
      </x:c>
      <x:c r="F37" s="4" t="str">
        <x:v>Youth Gun Deer - Either Sex</x:v>
      </x:c>
      <x:c r="G37" s="4" t="str">
        <x:v>No</x:v>
      </x:c>
      <x:c r="H37" s="4" t="str">
        <x:v>Yes</x:v>
      </x:c>
      <x:c r="I37" s="24" t="str">
        <x:v>2026-09-01</x:v>
      </x:c>
      <x:c r="J37" s="4" t="str">
        <x:v>See TPWD category page</x:v>
      </x:c>
      <x:c r="K37" s="110" t="n">
        <x:v>0</x:v>
      </x:c>
      <x:c r="L37" s="110" t="n">
        <x:v>0</x:v>
      </x:c>
      <x:c r="M37" s="4"/>
      <x:c r="N37" s="4"/>
      <x:c r="O37" s="112"/>
      <x:c r="P37" s="4" t="n">
        <x:v>700</x:v>
      </x:c>
      <x:c r="Q37" s="4" t="str">
        <x:v>Long Haul</x:v>
      </x:c>
      <x:c r="R37" s="4" t="str">
        <x:v>Research before draw; property brochure linked from TPWD</x:v>
      </x:c>
      <x:c r="S37" s="4" t="str">
        <x:v>Low</x:v>
      </x:c>
      <x:c r="T37" s="4" t="str">
        <x:v>No</x:v>
      </x:c>
      <x:c r="U37" s="4" t="str">
        <x:v>Verified in TPWD 2026-2027 statewide deer category catalog.</x:v>
      </x:c>
      <x:c r="V37" s="4" t="str">
        <x:v>https://tpwd.texas.gov/huntwild/hunt/public/public_hunt_drawing/hunt-category-details.phtml?OCat=YDE</x:v>
      </x:c>
      <x:c r="W37" s="4" t="n">
        <x:v>2</x:v>
      </x:c>
      <x:c r="X37" s="4" t="n">
        <x:v>1</x:v>
      </x:c>
      <x:c r="Y37" s="4" t="n">
        <x:v>5</x:v>
      </x:c>
      <x:c r="Z37" s="4" t="n">
        <x:v>3</x:v>
      </x:c>
      <x:c r="AA37" s="4" t="n">
        <x:v>2</x:v>
      </x:c>
      <x:c r="AB37" s="4" t="n">
        <x:v>0</x:v>
      </x:c>
      <x:c r="AC37" s="30" t="n">
        <x:v>2.4</x:v>
      </x:c>
      <x:c r="AD37" s="4" t="n">
        <x:v>0</x:v>
      </x:c>
      <x:c r="AE37" s="4" t="str">
        <x:v>2026-09-01</x:v>
      </x:c>
      <x:c r="AF37" s="2"/>
      <x:c r="AG37" s="97"/>
      <x:c r="AH37" s="2"/>
      <x:c r="AI37" s="2"/>
      <x:c r="AJ37" s="97"/>
      <x:c r="AK37" s="2"/>
      <x:c r="AL37" s="2"/>
      <x:c r="AM37" s="2" t="str">
        <x:v>https://tpwd.texas.gov/huntwild/hunt/public/public_hunt_drawing/hunt-category-details.phtml?OCat=YDE</x:v>
      </x:c>
      <x:c r="AN37" s="2" t="str">
        <x:v>https://tpwd.texas.gov/search/?q=Choke+Canyon+SP+-+North+Shore+Unit+public+hunting+brochure</x:v>
      </x:c>
      <x:c r="AO37" s="2" t="str">
        <x:v>https://apps.tpwd.state.tx.us/huntwild/hunt/public/public_hunt_drawing/</x:v>
      </x:c>
      <x:c r="AP37" s="2" t="str">
        <x:v>https://www.google.com/maps/search/?api=1&amp;query=Choke+Canyon+SP+-+North+Shore+Unit%2C+Texas</x:v>
      </x:c>
      <x:c r="AQ37" s="96" t="n">
        <x:v>0</x:v>
      </x:c>
      <x:c r="AR37" s="2" t="str">
        <x:v>Standard Hastings ranking</x:v>
      </x:c>
    </x:row>
    <x:row r="38">
      <x:c r="A38" s="4" t="str">
        <x:v>No</x:v>
      </x:c>
      <x:c r="B38" s="4" t="str">
        <x:v>A</x:v>
      </x:c>
      <x:c r="C38" s="4" t="str">
        <x:v>Whitetail Deer</x:v>
      </x:c>
      <x:c r="D38" s="4" t="str">
        <x:v>Colorado Bend SP</x:v>
      </x:c>
      <x:c r="E38" s="4" t="str">
        <x:v>Central Texas / Austin</x:v>
      </x:c>
      <x:c r="F38" s="4" t="str">
        <x:v>Youth Gun Deer - Either Sex</x:v>
      </x:c>
      <x:c r="G38" s="4" t="str">
        <x:v>No</x:v>
      </x:c>
      <x:c r="H38" s="4" t="str">
        <x:v>Yes</x:v>
      </x:c>
      <x:c r="I38" s="24" t="str">
        <x:v>2026-09-01</x:v>
      </x:c>
      <x:c r="J38" s="4" t="str">
        <x:v>See TPWD category page</x:v>
      </x:c>
      <x:c r="K38" s="110" t="n">
        <x:v>0</x:v>
      </x:c>
      <x:c r="L38" s="110" t="n">
        <x:v>0</x:v>
      </x:c>
      <x:c r="M38" s="4"/>
      <x:c r="N38" s="4"/>
      <x:c r="O38" s="112"/>
      <x:c r="P38" s="4" t="n">
        <x:v>490</x:v>
      </x:c>
      <x:c r="Q38" s="4" t="str">
        <x:v>Statewide</x:v>
      </x:c>
      <x:c r="R38" s="4" t="str">
        <x:v>Research before draw; property brochure linked from TPWD</x:v>
      </x:c>
      <x:c r="S38" s="4" t="str">
        <x:v>Low</x:v>
      </x:c>
      <x:c r="T38" s="4" t="str">
        <x:v>No</x:v>
      </x:c>
      <x:c r="U38" s="4" t="str">
        <x:v>Verified in TPWD 2026-2027 statewide deer category catalog.</x:v>
      </x:c>
      <x:c r="V38" s="4" t="str">
        <x:v>https://tpwd.texas.gov/huntwild/hunt/public/public_hunt_drawing/hunt-category-details.phtml?OCat=YDE</x:v>
      </x:c>
      <x:c r="W38" s="4" t="n">
        <x:v>2</x:v>
      </x:c>
      <x:c r="X38" s="4" t="n">
        <x:v>2</x:v>
      </x:c>
      <x:c r="Y38" s="4" t="n">
        <x:v>5</x:v>
      </x:c>
      <x:c r="Z38" s="4" t="n">
        <x:v>3</x:v>
      </x:c>
      <x:c r="AA38" s="4" t="n">
        <x:v>2</x:v>
      </x:c>
      <x:c r="AB38" s="4" t="n">
        <x:v>0</x:v>
      </x:c>
      <x:c r="AC38" s="30" t="n">
        <x:v>2.5</x:v>
      </x:c>
      <x:c r="AD38" s="4" t="n">
        <x:v>0</x:v>
      </x:c>
      <x:c r="AE38" s="4" t="str">
        <x:v>2026-09-01</x:v>
      </x:c>
      <x:c r="AF38" s="2"/>
      <x:c r="AG38" s="97"/>
      <x:c r="AH38" s="2"/>
      <x:c r="AI38" s="2"/>
      <x:c r="AJ38" s="97"/>
      <x:c r="AK38" s="2"/>
      <x:c r="AL38" s="2"/>
      <x:c r="AM38" s="2" t="str">
        <x:v>https://tpwd.texas.gov/huntwild/hunt/public/public_hunt_drawing/hunt-category-details.phtml?OCat=YDE</x:v>
      </x:c>
      <x:c r="AN38" s="2" t="str">
        <x:v>https://tpwd.texas.gov/search/?q=Colorado+Bend+SP+public+hunting+brochure</x:v>
      </x:c>
      <x:c r="AO38" s="2" t="str">
        <x:v>https://apps.tpwd.state.tx.us/huntwild/hunt/public/public_hunt_drawing/</x:v>
      </x:c>
      <x:c r="AP38" s="2" t="str">
        <x:v>https://www.google.com/maps/search/?api=1&amp;query=Colorado+Bend+SP%2C+Texas</x:v>
      </x:c>
      <x:c r="AQ38" s="96" t="n">
        <x:v>0</x:v>
      </x:c>
      <x:c r="AR38" s="2" t="str">
        <x:v>Standard Hastings ranking</x:v>
      </x:c>
    </x:row>
    <x:row r="39">
      <x:c r="A39" s="4" t="str">
        <x:v>No</x:v>
      </x:c>
      <x:c r="B39" s="4" t="str">
        <x:v>A</x:v>
      </x:c>
      <x:c r="C39" s="4" t="str">
        <x:v>Whitetail Deer</x:v>
      </x:c>
      <x:c r="D39" s="4" t="str">
        <x:v>Cooper WMA</x:v>
      </x:c>
      <x:c r="E39" s="4" t="str">
        <x:v>North Texas / DFW</x:v>
      </x:c>
      <x:c r="F39" s="4" t="str">
        <x:v>Youth Gun Deer - Either Sex</x:v>
      </x:c>
      <x:c r="G39" s="4" t="str">
        <x:v>No</x:v>
      </x:c>
      <x:c r="H39" s="4" t="str">
        <x:v>Yes</x:v>
      </x:c>
      <x:c r="I39" s="24" t="str">
        <x:v>2026-09-01</x:v>
      </x:c>
      <x:c r="J39" s="4" t="str">
        <x:v>See TPWD category page</x:v>
      </x:c>
      <x:c r="K39" s="110" t="n">
        <x:v>0</x:v>
      </x:c>
      <x:c r="L39" s="110" t="n">
        <x:v>0</x:v>
      </x:c>
      <x:c r="M39" s="4"/>
      <x:c r="N39" s="4"/>
      <x:c r="O39" s="112"/>
      <x:c r="P39" s="4" t="n">
        <x:v>360</x:v>
      </x:c>
      <x:c r="Q39" s="4" t="str">
        <x:v>Extended</x:v>
      </x:c>
      <x:c r="R39" s="4" t="str">
        <x:v>Research before draw; property brochure linked from TPWD</x:v>
      </x:c>
      <x:c r="S39" s="4" t="str">
        <x:v>Low</x:v>
      </x:c>
      <x:c r="T39" s="4" t="str">
        <x:v>No</x:v>
      </x:c>
      <x:c r="U39" s="4" t="str">
        <x:v>Verified in TPWD 2026-2027 statewide deer category catalog.</x:v>
      </x:c>
      <x:c r="V39" s="4" t="str">
        <x:v>https://tpwd.texas.gov/huntwild/hunt/public/public_hunt_drawing/hunt-category-details.phtml?OCat=YDE</x:v>
      </x:c>
      <x:c r="W39" s="4" t="n">
        <x:v>2</x:v>
      </x:c>
      <x:c r="X39" s="4" t="n">
        <x:v>3</x:v>
      </x:c>
      <x:c r="Y39" s="4" t="n">
        <x:v>5</x:v>
      </x:c>
      <x:c r="Z39" s="4" t="n">
        <x:v>3</x:v>
      </x:c>
      <x:c r="AA39" s="4" t="n">
        <x:v>2</x:v>
      </x:c>
      <x:c r="AB39" s="4" t="n">
        <x:v>0</x:v>
      </x:c>
      <x:c r="AC39" s="30" t="n">
        <x:v>2.7</x:v>
      </x:c>
      <x:c r="AD39" s="4" t="n">
        <x:v>0</x:v>
      </x:c>
      <x:c r="AE39" s="4" t="str">
        <x:v>2026-09-01</x:v>
      </x:c>
      <x:c r="AF39" s="2"/>
      <x:c r="AG39" s="97"/>
      <x:c r="AH39" s="2"/>
      <x:c r="AI39" s="2"/>
      <x:c r="AJ39" s="97"/>
      <x:c r="AK39" s="2"/>
      <x:c r="AL39" s="2"/>
      <x:c r="AM39" s="2" t="str">
        <x:v>https://tpwd.texas.gov/huntwild/hunt/public/public_hunt_drawing/hunt-category-details.phtml?OCat=YDE</x:v>
      </x:c>
      <x:c r="AN39" s="2" t="str">
        <x:v>https://tpwd.texas.gov/search/?q=Cooper+WMA+public+hunting+brochure</x:v>
      </x:c>
      <x:c r="AO39" s="2" t="str">
        <x:v>https://apps.tpwd.state.tx.us/huntwild/hunt/public/public_hunt_drawing/</x:v>
      </x:c>
      <x:c r="AP39" s="2" t="str">
        <x:v>https://www.google.com/maps/search/?api=1&amp;query=Cooper+WMA%2C+Texas</x:v>
      </x:c>
      <x:c r="AQ39" s="96" t="n">
        <x:v>0</x:v>
      </x:c>
      <x:c r="AR39" s="2" t="str">
        <x:v>Standard Hastings ranking</x:v>
      </x:c>
    </x:row>
    <x:row r="40">
      <x:c r="A40" s="4" t="str">
        <x:v>No</x:v>
      </x:c>
      <x:c r="B40" s="4" t="str">
        <x:v>A</x:v>
      </x:c>
      <x:c r="C40" s="4" t="str">
        <x:v>Whitetail Deer</x:v>
      </x:c>
      <x:c r="D40" s="4" t="str">
        <x:v>Devil's Sinkhole SNA</x:v>
      </x:c>
      <x:c r="E40" s="4" t="str">
        <x:v>Hill Country / San Antonio</x:v>
      </x:c>
      <x:c r="F40" s="4" t="str">
        <x:v>Youth Gun Deer - Either Sex</x:v>
      </x:c>
      <x:c r="G40" s="4" t="str">
        <x:v>No</x:v>
      </x:c>
      <x:c r="H40" s="4" t="str">
        <x:v>Yes</x:v>
      </x:c>
      <x:c r="I40" s="24" t="str">
        <x:v>2026-09-01</x:v>
      </x:c>
      <x:c r="J40" s="4" t="str">
        <x:v>See TPWD category page</x:v>
      </x:c>
      <x:c r="K40" s="110" t="n">
        <x:v>0</x:v>
      </x:c>
      <x:c r="L40" s="110" t="n">
        <x:v>0</x:v>
      </x:c>
      <x:c r="M40" s="4"/>
      <x:c r="N40" s="4"/>
      <x:c r="O40" s="112"/>
      <x:c r="P40" s="4" t="n">
        <x:v>520</x:v>
      </x:c>
      <x:c r="Q40" s="4" t="str">
        <x:v>Statewide</x:v>
      </x:c>
      <x:c r="R40" s="4" t="str">
        <x:v>Research before draw; property brochure linked from TPWD</x:v>
      </x:c>
      <x:c r="S40" s="4" t="str">
        <x:v>Low</x:v>
      </x:c>
      <x:c r="T40" s="4" t="str">
        <x:v>No</x:v>
      </x:c>
      <x:c r="U40" s="4" t="str">
        <x:v>Verified in TPWD 2026-2027 statewide deer category catalog.</x:v>
      </x:c>
      <x:c r="V40" s="4" t="str">
        <x:v>https://tpwd.texas.gov/huntwild/hunt/public/public_hunt_drawing/hunt-category-details.phtml?OCat=YDE</x:v>
      </x:c>
      <x:c r="W40" s="4" t="n">
        <x:v>2</x:v>
      </x:c>
      <x:c r="X40" s="4" t="n">
        <x:v>2</x:v>
      </x:c>
      <x:c r="Y40" s="4" t="n">
        <x:v>5</x:v>
      </x:c>
      <x:c r="Z40" s="4" t="n">
        <x:v>3</x:v>
      </x:c>
      <x:c r="AA40" s="4" t="n">
        <x:v>2</x:v>
      </x:c>
      <x:c r="AB40" s="4" t="n">
        <x:v>0</x:v>
      </x:c>
      <x:c r="AC40" s="30" t="n">
        <x:v>2.5</x:v>
      </x:c>
      <x:c r="AD40" s="4" t="n">
        <x:v>0</x:v>
      </x:c>
      <x:c r="AE40" s="4" t="str">
        <x:v>2026-09-01</x:v>
      </x:c>
      <x:c r="AF40" s="2"/>
      <x:c r="AG40" s="97"/>
      <x:c r="AH40" s="2"/>
      <x:c r="AI40" s="2"/>
      <x:c r="AJ40" s="97"/>
      <x:c r="AK40" s="2"/>
      <x:c r="AL40" s="2"/>
      <x:c r="AM40" s="2" t="str">
        <x:v>https://tpwd.texas.gov/huntwild/hunt/public/public_hunt_drawing/hunt-category-details.phtml?OCat=YDE</x:v>
      </x:c>
      <x:c r="AN40" s="2" t="str">
        <x:v>https://tpwd.texas.gov/search/?q=Devil%27s+Sinkhole+SNA+public+hunting+brochure</x:v>
      </x:c>
      <x:c r="AO40" s="2" t="str">
        <x:v>https://apps.tpwd.state.tx.us/huntwild/hunt/public/public_hunt_drawing/</x:v>
      </x:c>
      <x:c r="AP40" s="2" t="str">
        <x:v>https://www.google.com/maps/search/?api=1&amp;query=Devil%27s+Sinkhole+SNA%2C+Texas</x:v>
      </x:c>
      <x:c r="AQ40" s="96" t="n">
        <x:v>0</x:v>
      </x:c>
      <x:c r="AR40" s="2" t="str">
        <x:v>Standard Hastings ranking</x:v>
      </x:c>
    </x:row>
    <x:row r="41">
      <x:c r="A41" s="4" t="str">
        <x:v>No</x:v>
      </x:c>
      <x:c r="B41" s="4" t="str">
        <x:v>A</x:v>
      </x:c>
      <x:c r="C41" s="4" t="str">
        <x:v>Whitetail Deer</x:v>
      </x:c>
      <x:c r="D41" s="4" t="str">
        <x:v>Devils River SNA - Dan Allen Hughes</x:v>
      </x:c>
      <x:c r="E41" s="4" t="str">
        <x:v>Trans-Pecos / West Texas</x:v>
      </x:c>
      <x:c r="F41" s="4" t="str">
        <x:v>Youth Gun Deer - Either Sex</x:v>
      </x:c>
      <x:c r="G41" s="4" t="str">
        <x:v>No</x:v>
      </x:c>
      <x:c r="H41" s="4" t="str">
        <x:v>Yes</x:v>
      </x:c>
      <x:c r="I41" s="24" t="str">
        <x:v>2026-09-01</x:v>
      </x:c>
      <x:c r="J41" s="4" t="str">
        <x:v>See TPWD category page</x:v>
      </x:c>
      <x:c r="K41" s="110" t="n">
        <x:v>0</x:v>
      </x:c>
      <x:c r="L41" s="110" t="n">
        <x:v>0</x:v>
      </x:c>
      <x:c r="M41" s="4"/>
      <x:c r="N41" s="4"/>
      <x:c r="O41" s="112"/>
      <x:c r="P41" s="4" t="n">
        <x:v>520</x:v>
      </x:c>
      <x:c r="Q41" s="4" t="str">
        <x:v>Statewide</x:v>
      </x:c>
      <x:c r="R41" s="4" t="str">
        <x:v>Research before draw; property brochure linked from TPWD</x:v>
      </x:c>
      <x:c r="S41" s="4" t="str">
        <x:v>High</x:v>
      </x:c>
      <x:c r="T41" s="4" t="str">
        <x:v>No</x:v>
      </x:c>
      <x:c r="U41" s="4" t="str">
        <x:v>Verified in TPWD 2026-2027 statewide deer category catalog. West Texas/El Paso-region opportunity; prioritize for mule deer adventure value.</x:v>
      </x:c>
      <x:c r="V41" s="4" t="str">
        <x:v>https://tpwd.texas.gov/huntwild/hunt/public/public_hunt_drawing/hunt-category-details.phtml?OCat=YDE</x:v>
      </x:c>
      <x:c r="W41" s="4" t="n">
        <x:v>2</x:v>
      </x:c>
      <x:c r="X41" s="4" t="n">
        <x:v>2</x:v>
      </x:c>
      <x:c r="Y41" s="4" t="n">
        <x:v>5</x:v>
      </x:c>
      <x:c r="Z41" s="4" t="n">
        <x:v>3</x:v>
      </x:c>
      <x:c r="AA41" s="4" t="n">
        <x:v>4</x:v>
      </x:c>
      <x:c r="AB41" s="4" t="n">
        <x:v>0</x:v>
      </x:c>
      <x:c r="AC41" s="30" t="n">
        <x:v>2.7</x:v>
      </x:c>
      <x:c r="AD41" s="4" t="n">
        <x:v>0</x:v>
      </x:c>
      <x:c r="AE41" s="4" t="str">
        <x:v>2026-09-01</x:v>
      </x:c>
      <x:c r="AF41" s="2"/>
      <x:c r="AG41" s="97"/>
      <x:c r="AH41" s="2"/>
      <x:c r="AI41" s="2"/>
      <x:c r="AJ41" s="97"/>
      <x:c r="AK41" s="2"/>
      <x:c r="AL41" s="2"/>
      <x:c r="AM41" s="2" t="str">
        <x:v>https://tpwd.texas.gov/huntwild/hunt/public/public_hunt_drawing/hunt-category-details.phtml?OCat=YDE</x:v>
      </x:c>
      <x:c r="AN41" s="2" t="str">
        <x:v>https://tpwd.texas.gov/search/?q=Devils+River+SNA+-+Dan+Allen+Hughes+public+hunting+brochure</x:v>
      </x:c>
      <x:c r="AO41" s="2" t="str">
        <x:v>https://apps.tpwd.state.tx.us/huntwild/hunt/public/public_hunt_drawing/</x:v>
      </x:c>
      <x:c r="AP41" s="2" t="str">
        <x:v>https://www.google.com/maps/search/?api=1&amp;query=Devils+River+SNA+-+Dan+Allen+Hughes%2C+Texas</x:v>
      </x:c>
      <x:c r="AQ41" s="96" t="n">
        <x:v>0</x:v>
      </x:c>
      <x:c r="AR41" s="2" t="str">
        <x:v>Standard Hastings ranking</x:v>
      </x:c>
    </x:row>
    <x:row r="42">
      <x:c r="A42" s="4" t="str">
        <x:v>No</x:v>
      </x:c>
      <x:c r="B42" s="4" t="str">
        <x:v>A</x:v>
      </x:c>
      <x:c r="C42" s="4" t="str">
        <x:v>Whitetail Deer</x:v>
      </x:c>
      <x:c r="D42" s="4" t="str">
        <x:v>E.O. Siecke State Forest</x:v>
      </x:c>
      <x:c r="E42" s="4" t="str">
        <x:v>East Texas / Pineywoods</x:v>
      </x:c>
      <x:c r="F42" s="4" t="str">
        <x:v>Youth Gun Deer - Either Sex</x:v>
      </x:c>
      <x:c r="G42" s="4" t="str">
        <x:v>No</x:v>
      </x:c>
      <x:c r="H42" s="4" t="str">
        <x:v>Yes</x:v>
      </x:c>
      <x:c r="I42" s="24" t="str">
        <x:v>2026-09-01</x:v>
      </x:c>
      <x:c r="J42" s="4" t="str">
        <x:v>See TPWD category page</x:v>
      </x:c>
      <x:c r="K42" s="110" t="n">
        <x:v>0</x:v>
      </x:c>
      <x:c r="L42" s="110" t="n">
        <x:v>0</x:v>
      </x:c>
      <x:c r="M42" s="4"/>
      <x:c r="N42" s="4"/>
      <x:c r="O42" s="112"/>
      <x:c r="P42" s="4" t="n">
        <x:v>570</x:v>
      </x:c>
      <x:c r="Q42" s="4" t="str">
        <x:v>Statewide</x:v>
      </x:c>
      <x:c r="R42" s="4" t="str">
        <x:v>Research before draw; property brochure linked from TPWD</x:v>
      </x:c>
      <x:c r="S42" s="4" t="str">
        <x:v>Low</x:v>
      </x:c>
      <x:c r="T42" s="4" t="str">
        <x:v>No</x:v>
      </x:c>
      <x:c r="U42" s="4" t="str">
        <x:v>Verified in TPWD 2026-2027 statewide deer category catalog.</x:v>
      </x:c>
      <x:c r="V42" s="4" t="str">
        <x:v>https://tpwd.texas.gov/huntwild/hunt/public/public_hunt_drawing/hunt-category-details.phtml?OCat=YDE</x:v>
      </x:c>
      <x:c r="W42" s="4" t="n">
        <x:v>2</x:v>
      </x:c>
      <x:c r="X42" s="4" t="n">
        <x:v>2</x:v>
      </x:c>
      <x:c r="Y42" s="4" t="n">
        <x:v>5</x:v>
      </x:c>
      <x:c r="Z42" s="4" t="n">
        <x:v>3</x:v>
      </x:c>
      <x:c r="AA42" s="4" t="n">
        <x:v>2</x:v>
      </x:c>
      <x:c r="AB42" s="4" t="n">
        <x:v>0</x:v>
      </x:c>
      <x:c r="AC42" s="30" t="n">
        <x:v>2.5</x:v>
      </x:c>
      <x:c r="AD42" s="4" t="n">
        <x:v>0</x:v>
      </x:c>
      <x:c r="AE42" s="4" t="str">
        <x:v>2026-09-01</x:v>
      </x:c>
      <x:c r="AF42" s="2"/>
      <x:c r="AG42" s="97"/>
      <x:c r="AH42" s="2"/>
      <x:c r="AI42" s="2"/>
      <x:c r="AJ42" s="97"/>
      <x:c r="AK42" s="2"/>
      <x:c r="AL42" s="2"/>
      <x:c r="AM42" s="2" t="str">
        <x:v>https://tpwd.texas.gov/huntwild/hunt/public/public_hunt_drawing/hunt-category-details.phtml?OCat=YDE</x:v>
      </x:c>
      <x:c r="AN42" s="2" t="str">
        <x:v>https://tpwd.texas.gov/search/?q=E.O.+Siecke+State+Forest+public+hunting+brochure</x:v>
      </x:c>
      <x:c r="AO42" s="2" t="str">
        <x:v>https://apps.tpwd.state.tx.us/huntwild/hunt/public/public_hunt_drawing/</x:v>
      </x:c>
      <x:c r="AP42" s="2" t="str">
        <x:v>https://www.google.com/maps/search/?api=1&amp;query=E.O.+Siecke+State+Forest%2C+Texas</x:v>
      </x:c>
      <x:c r="AQ42" s="96" t="n">
        <x:v>0</x:v>
      </x:c>
      <x:c r="AR42" s="2" t="str">
        <x:v>Standard Hastings ranking</x:v>
      </x:c>
    </x:row>
    <x:row r="43">
      <x:c r="A43" s="4" t="str">
        <x:v>No</x:v>
      </x:c>
      <x:c r="B43" s="4" t="str">
        <x:v>A</x:v>
      </x:c>
      <x:c r="C43" s="4" t="str">
        <x:v>Whitetail Deer</x:v>
      </x:c>
      <x:c r="D43" s="4" t="str">
        <x:v>Enchanted Rock SNA</x:v>
      </x:c>
      <x:c r="E43" s="4" t="str">
        <x:v>Hill Country / San Antonio</x:v>
      </x:c>
      <x:c r="F43" s="4" t="str">
        <x:v>Youth Gun Deer - Either Sex</x:v>
      </x:c>
      <x:c r="G43" s="4" t="str">
        <x:v>No</x:v>
      </x:c>
      <x:c r="H43" s="4" t="str">
        <x:v>Yes</x:v>
      </x:c>
      <x:c r="I43" s="24" t="str">
        <x:v>2026-09-01</x:v>
      </x:c>
      <x:c r="J43" s="4" t="str">
        <x:v>See TPWD category page</x:v>
      </x:c>
      <x:c r="K43" s="110" t="n">
        <x:v>0</x:v>
      </x:c>
      <x:c r="L43" s="110" t="n">
        <x:v>0</x:v>
      </x:c>
      <x:c r="M43" s="4"/>
      <x:c r="N43" s="4"/>
      <x:c r="O43" s="112"/>
      <x:c r="P43" s="4" t="n">
        <x:v>520</x:v>
      </x:c>
      <x:c r="Q43" s="4" t="str">
        <x:v>Statewide</x:v>
      </x:c>
      <x:c r="R43" s="4" t="str">
        <x:v>Research before draw; property brochure linked from TPWD</x:v>
      </x:c>
      <x:c r="S43" s="4" t="str">
        <x:v>Low</x:v>
      </x:c>
      <x:c r="T43" s="4" t="str">
        <x:v>No</x:v>
      </x:c>
      <x:c r="U43" s="4" t="str">
        <x:v>Verified in TPWD 2026-2027 statewide deer category catalog.</x:v>
      </x:c>
      <x:c r="V43" s="4" t="str">
        <x:v>https://tpwd.texas.gov/huntwild/hunt/public/public_hunt_drawing/hunt-category-details.phtml?OCat=YDE</x:v>
      </x:c>
      <x:c r="W43" s="4" t="n">
        <x:v>2</x:v>
      </x:c>
      <x:c r="X43" s="4" t="n">
        <x:v>2</x:v>
      </x:c>
      <x:c r="Y43" s="4" t="n">
        <x:v>5</x:v>
      </x:c>
      <x:c r="Z43" s="4" t="n">
        <x:v>3</x:v>
      </x:c>
      <x:c r="AA43" s="4" t="n">
        <x:v>2</x:v>
      </x:c>
      <x:c r="AB43" s="4" t="n">
        <x:v>0</x:v>
      </x:c>
      <x:c r="AC43" s="30" t="n">
        <x:v>2.5</x:v>
      </x:c>
      <x:c r="AD43" s="4" t="n">
        <x:v>0</x:v>
      </x:c>
      <x:c r="AE43" s="4" t="str">
        <x:v>2026-09-01</x:v>
      </x:c>
      <x:c r="AF43" s="2"/>
      <x:c r="AG43" s="97"/>
      <x:c r="AH43" s="2"/>
      <x:c r="AI43" s="2"/>
      <x:c r="AJ43" s="97"/>
      <x:c r="AK43" s="2"/>
      <x:c r="AL43" s="2"/>
      <x:c r="AM43" s="2" t="str">
        <x:v>https://tpwd.texas.gov/huntwild/hunt/public/public_hunt_drawing/hunt-category-details.phtml?OCat=YDE</x:v>
      </x:c>
      <x:c r="AN43" s="2" t="str">
        <x:v>https://tpwd.texas.gov/search/?q=Enchanted+Rock+SNA+public+hunting+brochure</x:v>
      </x:c>
      <x:c r="AO43" s="2" t="str">
        <x:v>https://apps.tpwd.state.tx.us/huntwild/hunt/public/public_hunt_drawing/</x:v>
      </x:c>
      <x:c r="AP43" s="2" t="str">
        <x:v>https://www.google.com/maps/search/?api=1&amp;query=Enchanted+Rock+SNA%2C+Texas</x:v>
      </x:c>
      <x:c r="AQ43" s="96" t="n">
        <x:v>0</x:v>
      </x:c>
      <x:c r="AR43" s="2" t="str">
        <x:v>Standard Hastings ranking</x:v>
      </x:c>
    </x:row>
    <x:row r="44">
      <x:c r="A44" s="4" t="str">
        <x:v>No</x:v>
      </x:c>
      <x:c r="B44" s="4" t="str">
        <x:v>A</x:v>
      </x:c>
      <x:c r="C44" s="4" t="str">
        <x:v>Whitetail Deer</x:v>
      </x:c>
      <x:c r="D44" s="4" t="str">
        <x:v>Garner SP</x:v>
      </x:c>
      <x:c r="E44" s="4" t="str">
        <x:v>Hill Country / San Antonio</x:v>
      </x:c>
      <x:c r="F44" s="4" t="str">
        <x:v>Youth Gun Deer - Either Sex</x:v>
      </x:c>
      <x:c r="G44" s="4" t="str">
        <x:v>No</x:v>
      </x:c>
      <x:c r="H44" s="4" t="str">
        <x:v>Yes</x:v>
      </x:c>
      <x:c r="I44" s="24" t="str">
        <x:v>2026-09-01</x:v>
      </x:c>
      <x:c r="J44" s="4" t="str">
        <x:v>See TPWD category page</x:v>
      </x:c>
      <x:c r="K44" s="110" t="n">
        <x:v>0</x:v>
      </x:c>
      <x:c r="L44" s="110" t="n">
        <x:v>0</x:v>
      </x:c>
      <x:c r="M44" s="4"/>
      <x:c r="N44" s="4"/>
      <x:c r="O44" s="112"/>
      <x:c r="P44" s="4" t="n">
        <x:v>520</x:v>
      </x:c>
      <x:c r="Q44" s="4" t="str">
        <x:v>Statewide</x:v>
      </x:c>
      <x:c r="R44" s="4" t="str">
        <x:v>Research before draw; property brochure linked from TPWD</x:v>
      </x:c>
      <x:c r="S44" s="4" t="str">
        <x:v>Low</x:v>
      </x:c>
      <x:c r="T44" s="4" t="str">
        <x:v>No</x:v>
      </x:c>
      <x:c r="U44" s="4" t="str">
        <x:v>Verified in TPWD 2026-2027 statewide deer category catalog.</x:v>
      </x:c>
      <x:c r="V44" s="4" t="str">
        <x:v>https://tpwd.texas.gov/huntwild/hunt/public/public_hunt_drawing/hunt-category-details.phtml?OCat=YDE</x:v>
      </x:c>
      <x:c r="W44" s="4" t="n">
        <x:v>2</x:v>
      </x:c>
      <x:c r="X44" s="4" t="n">
        <x:v>2</x:v>
      </x:c>
      <x:c r="Y44" s="4" t="n">
        <x:v>5</x:v>
      </x:c>
      <x:c r="Z44" s="4" t="n">
        <x:v>3</x:v>
      </x:c>
      <x:c r="AA44" s="4" t="n">
        <x:v>2</x:v>
      </x:c>
      <x:c r="AB44" s="4" t="n">
        <x:v>0</x:v>
      </x:c>
      <x:c r="AC44" s="30" t="n">
        <x:v>2.5</x:v>
      </x:c>
      <x:c r="AD44" s="4" t="n">
        <x:v>0</x:v>
      </x:c>
      <x:c r="AE44" s="4" t="str">
        <x:v>2026-09-01</x:v>
      </x:c>
      <x:c r="AF44" s="2"/>
      <x:c r="AG44" s="97"/>
      <x:c r="AH44" s="2"/>
      <x:c r="AI44" s="2"/>
      <x:c r="AJ44" s="97"/>
      <x:c r="AK44" s="2"/>
      <x:c r="AL44" s="2"/>
      <x:c r="AM44" s="2" t="str">
        <x:v>https://tpwd.texas.gov/huntwild/hunt/public/public_hunt_drawing/hunt-category-details.phtml?OCat=YDE</x:v>
      </x:c>
      <x:c r="AN44" s="2" t="str">
        <x:v>https://tpwd.texas.gov/search/?q=Garner+SP+public+hunting+brochure</x:v>
      </x:c>
      <x:c r="AO44" s="2" t="str">
        <x:v>https://apps.tpwd.state.tx.us/huntwild/hunt/public/public_hunt_drawing/</x:v>
      </x:c>
      <x:c r="AP44" s="2" t="str">
        <x:v>https://www.google.com/maps/search/?api=1&amp;query=Garner+SP%2C+Texas</x:v>
      </x:c>
      <x:c r="AQ44" s="96" t="n">
        <x:v>0</x:v>
      </x:c>
      <x:c r="AR44" s="2" t="str">
        <x:v>Standard Hastings ranking</x:v>
      </x:c>
    </x:row>
    <x:row r="45">
      <x:c r="A45" s="4" t="str">
        <x:v>No</x:v>
      </x:c>
      <x:c r="B45" s="4" t="str">
        <x:v>A</x:v>
      </x:c>
      <x:c r="C45" s="4" t="str">
        <x:v>Whitetail Deer</x:v>
      </x:c>
      <x:c r="D45" s="4" t="str">
        <x:v>Gene Howe WMA</x:v>
      </x:c>
      <x:c r="E45" s="4" t="str">
        <x:v>Panhandle / Rolling Plains</x:v>
      </x:c>
      <x:c r="F45" s="4" t="str">
        <x:v>Youth Gun Deer - Either Sex</x:v>
      </x:c>
      <x:c r="G45" s="4" t="str">
        <x:v>No</x:v>
      </x:c>
      <x:c r="H45" s="4" t="str">
        <x:v>Yes</x:v>
      </x:c>
      <x:c r="I45" s="24" t="str">
        <x:v>2026-09-01</x:v>
      </x:c>
      <x:c r="J45" s="4" t="str">
        <x:v>See TPWD category page</x:v>
      </x:c>
      <x:c r="K45" s="110" t="n">
        <x:v>0</x:v>
      </x:c>
      <x:c r="L45" s="110" t="n">
        <x:v>0</x:v>
      </x:c>
      <x:c r="M45" s="4"/>
      <x:c r="N45" s="4"/>
      <x:c r="O45" s="112"/>
      <x:c r="P45" s="4" t="n">
        <x:v>130</x:v>
      </x:c>
      <x:c r="Q45" s="4" t="str">
        <x:v>Core</x:v>
      </x:c>
      <x:c r="R45" s="4" t="str">
        <x:v>Research before draw; property brochure linked from TPWD</x:v>
      </x:c>
      <x:c r="S45" s="4" t="str">
        <x:v>High</x:v>
      </x:c>
      <x:c r="T45" s="4" t="str">
        <x:v>No</x:v>
      </x:c>
      <x:c r="U45" s="4" t="str">
        <x:v>Verified in TPWD 2026-2027 statewide deer category catalog.</x:v>
      </x:c>
      <x:c r="V45" s="4" t="str">
        <x:v>https://tpwd.texas.gov/huntwild/hunt/public/public_hunt_drawing/hunt-category-details.phtml?OCat=YDE</x:v>
      </x:c>
      <x:c r="W45" s="4" t="n">
        <x:v>2</x:v>
      </x:c>
      <x:c r="X45" s="4" t="n">
        <x:v>5</x:v>
      </x:c>
      <x:c r="Y45" s="4" t="n">
        <x:v>5</x:v>
      </x:c>
      <x:c r="Z45" s="4" t="n">
        <x:v>3</x:v>
      </x:c>
      <x:c r="AA45" s="4" t="n">
        <x:v>4</x:v>
      </x:c>
      <x:c r="AB45" s="4" t="n">
        <x:v>0</x:v>
      </x:c>
      <x:c r="AC45" s="30" t="n">
        <x:v>3.2</x:v>
      </x:c>
      <x:c r="AD45" s="4" t="n">
        <x:v>0</x:v>
      </x:c>
      <x:c r="AE45" s="4" t="str">
        <x:v>2026-09-01</x:v>
      </x:c>
      <x:c r="AF45" s="2"/>
      <x:c r="AG45" s="97"/>
      <x:c r="AH45" s="2"/>
      <x:c r="AI45" s="2"/>
      <x:c r="AJ45" s="97"/>
      <x:c r="AK45" s="2"/>
      <x:c r="AL45" s="2"/>
      <x:c r="AM45" s="2" t="str">
        <x:v>https://tpwd.texas.gov/huntwild/hunt/public/public_hunt_drawing/hunt-category-details.phtml?OCat=YDE</x:v>
      </x:c>
      <x:c r="AN45" s="2" t="str">
        <x:v>https://tpwd.texas.gov/search/?q=Gene+Howe+WMA+public+hunting+brochure</x:v>
      </x:c>
      <x:c r="AO45" s="2" t="str">
        <x:v>https://apps.tpwd.state.tx.us/huntwild/hunt/public/public_hunt_drawing/</x:v>
      </x:c>
      <x:c r="AP45" s="2" t="str">
        <x:v>https://www.google.com/maps/search/?api=1&amp;query=Gene+Howe+WMA%2C+Texas</x:v>
      </x:c>
      <x:c r="AQ45" s="96" t="n">
        <x:v>0</x:v>
      </x:c>
      <x:c r="AR45" s="2" t="str">
        <x:v>Standard Hastings ranking</x:v>
      </x:c>
    </x:row>
    <x:row r="46">
      <x:c r="A46" s="4" t="str">
        <x:v>No</x:v>
      </x:c>
      <x:c r="B46" s="4" t="str">
        <x:v>A</x:v>
      </x:c>
      <x:c r="C46" s="4" t="str">
        <x:v>Whitetail Deer</x:v>
      </x:c>
      <x:c r="D46" s="4" t="str">
        <x:v>Government Canyon SNA</x:v>
      </x:c>
      <x:c r="E46" s="4" t="str">
        <x:v>Hill Country / San Antonio</x:v>
      </x:c>
      <x:c r="F46" s="4" t="str">
        <x:v>Youth Gun Deer - Either Sex</x:v>
      </x:c>
      <x:c r="G46" s="4" t="str">
        <x:v>No</x:v>
      </x:c>
      <x:c r="H46" s="4" t="str">
        <x:v>Yes</x:v>
      </x:c>
      <x:c r="I46" s="24" t="str">
        <x:v>2026-09-01</x:v>
      </x:c>
      <x:c r="J46" s="4" t="str">
        <x:v>See TPWD category page</x:v>
      </x:c>
      <x:c r="K46" s="110" t="n">
        <x:v>0</x:v>
      </x:c>
      <x:c r="L46" s="110" t="n">
        <x:v>0</x:v>
      </x:c>
      <x:c r="M46" s="4"/>
      <x:c r="N46" s="4"/>
      <x:c r="O46" s="112"/>
      <x:c r="P46" s="4" t="n">
        <x:v>520</x:v>
      </x:c>
      <x:c r="Q46" s="4" t="str">
        <x:v>Statewide</x:v>
      </x:c>
      <x:c r="R46" s="4" t="str">
        <x:v>Research before draw; property brochure linked from TPWD</x:v>
      </x:c>
      <x:c r="S46" s="4" t="str">
        <x:v>Low</x:v>
      </x:c>
      <x:c r="T46" s="4" t="str">
        <x:v>No</x:v>
      </x:c>
      <x:c r="U46" s="4" t="str">
        <x:v>Verified in TPWD 2026-2027 statewide deer category catalog.</x:v>
      </x:c>
      <x:c r="V46" s="4" t="str">
        <x:v>https://tpwd.texas.gov/huntwild/hunt/public/public_hunt_drawing/hunt-category-details.phtml?OCat=YDE</x:v>
      </x:c>
      <x:c r="W46" s="4" t="n">
        <x:v>2</x:v>
      </x:c>
      <x:c r="X46" s="4" t="n">
        <x:v>2</x:v>
      </x:c>
      <x:c r="Y46" s="4" t="n">
        <x:v>5</x:v>
      </x:c>
      <x:c r="Z46" s="4" t="n">
        <x:v>3</x:v>
      </x:c>
      <x:c r="AA46" s="4" t="n">
        <x:v>2</x:v>
      </x:c>
      <x:c r="AB46" s="4" t="n">
        <x:v>0</x:v>
      </x:c>
      <x:c r="AC46" s="30" t="n">
        <x:v>2.5</x:v>
      </x:c>
      <x:c r="AD46" s="4" t="n">
        <x:v>0</x:v>
      </x:c>
      <x:c r="AE46" s="4" t="str">
        <x:v>2026-09-01</x:v>
      </x:c>
      <x:c r="AF46" s="2"/>
      <x:c r="AG46" s="97"/>
      <x:c r="AH46" s="2"/>
      <x:c r="AI46" s="2"/>
      <x:c r="AJ46" s="97"/>
      <x:c r="AK46" s="2"/>
      <x:c r="AL46" s="2"/>
      <x:c r="AM46" s="2" t="str">
        <x:v>https://tpwd.texas.gov/huntwild/hunt/public/public_hunt_drawing/hunt-category-details.phtml?OCat=YDE</x:v>
      </x:c>
      <x:c r="AN46" s="2" t="str">
        <x:v>https://tpwd.texas.gov/search/?q=Government+Canyon+SNA+public+hunting+brochure</x:v>
      </x:c>
      <x:c r="AO46" s="2" t="str">
        <x:v>https://apps.tpwd.state.tx.us/huntwild/hunt/public/public_hunt_drawing/</x:v>
      </x:c>
      <x:c r="AP46" s="2" t="str">
        <x:v>https://www.google.com/maps/search/?api=1&amp;query=Government+Canyon+SNA%2C+Texas</x:v>
      </x:c>
      <x:c r="AQ46" s="96" t="n">
        <x:v>0</x:v>
      </x:c>
      <x:c r="AR46" s="2" t="str">
        <x:v>Standard Hastings ranking</x:v>
      </x:c>
    </x:row>
    <x:row r="47">
      <x:c r="A47" s="4" t="str">
        <x:v>No</x:v>
      </x:c>
      <x:c r="B47" s="4" t="str">
        <x:v>A</x:v>
      </x:c>
      <x:c r="C47" s="4" t="str">
        <x:v>Whitetail Deer</x:v>
      </x:c>
      <x:c r="D47" s="4" t="str">
        <x:v>Guadalupe River SP</x:v>
      </x:c>
      <x:c r="E47" s="4" t="str">
        <x:v>Hill Country / San Antonio</x:v>
      </x:c>
      <x:c r="F47" s="4" t="str">
        <x:v>Youth Gun Deer - Either Sex</x:v>
      </x:c>
      <x:c r="G47" s="4" t="str">
        <x:v>No</x:v>
      </x:c>
      <x:c r="H47" s="4" t="str">
        <x:v>Yes</x:v>
      </x:c>
      <x:c r="I47" s="24" t="str">
        <x:v>2026-09-01</x:v>
      </x:c>
      <x:c r="J47" s="4" t="str">
        <x:v>See TPWD category page</x:v>
      </x:c>
      <x:c r="K47" s="110" t="n">
        <x:v>0</x:v>
      </x:c>
      <x:c r="L47" s="110" t="n">
        <x:v>0</x:v>
      </x:c>
      <x:c r="M47" s="4"/>
      <x:c r="N47" s="4"/>
      <x:c r="O47" s="112"/>
      <x:c r="P47" s="4" t="n">
        <x:v>520</x:v>
      </x:c>
      <x:c r="Q47" s="4" t="str">
        <x:v>Statewide</x:v>
      </x:c>
      <x:c r="R47" s="4" t="str">
        <x:v>Research before draw; property brochure linked from TPWD</x:v>
      </x:c>
      <x:c r="S47" s="4" t="str">
        <x:v>Low</x:v>
      </x:c>
      <x:c r="T47" s="4" t="str">
        <x:v>No</x:v>
      </x:c>
      <x:c r="U47" s="4" t="str">
        <x:v>Verified in TPWD 2026-2027 statewide deer category catalog.</x:v>
      </x:c>
      <x:c r="V47" s="4" t="str">
        <x:v>https://tpwd.texas.gov/huntwild/hunt/public/public_hunt_drawing/hunt-category-details.phtml?OCat=YDE</x:v>
      </x:c>
      <x:c r="W47" s="4" t="n">
        <x:v>2</x:v>
      </x:c>
      <x:c r="X47" s="4" t="n">
        <x:v>2</x:v>
      </x:c>
      <x:c r="Y47" s="4" t="n">
        <x:v>5</x:v>
      </x:c>
      <x:c r="Z47" s="4" t="n">
        <x:v>3</x:v>
      </x:c>
      <x:c r="AA47" s="4" t="n">
        <x:v>2</x:v>
      </x:c>
      <x:c r="AB47" s="4" t="n">
        <x:v>0</x:v>
      </x:c>
      <x:c r="AC47" s="30" t="n">
        <x:v>2.5</x:v>
      </x:c>
      <x:c r="AD47" s="4" t="n">
        <x:v>0</x:v>
      </x:c>
      <x:c r="AE47" s="4" t="str">
        <x:v>2026-09-01</x:v>
      </x:c>
      <x:c r="AF47" s="2"/>
      <x:c r="AG47" s="97"/>
      <x:c r="AH47" s="2"/>
      <x:c r="AI47" s="2"/>
      <x:c r="AJ47" s="97"/>
      <x:c r="AK47" s="2"/>
      <x:c r="AL47" s="2"/>
      <x:c r="AM47" s="2" t="str">
        <x:v>https://tpwd.texas.gov/huntwild/hunt/public/public_hunt_drawing/hunt-category-details.phtml?OCat=YDE</x:v>
      </x:c>
      <x:c r="AN47" s="2" t="str">
        <x:v>https://tpwd.texas.gov/search/?q=Guadalupe+River+SP+public+hunting+brochure</x:v>
      </x:c>
      <x:c r="AO47" s="2" t="str">
        <x:v>https://apps.tpwd.state.tx.us/huntwild/hunt/public/public_hunt_drawing/</x:v>
      </x:c>
      <x:c r="AP47" s="2" t="str">
        <x:v>https://www.google.com/maps/search/?api=1&amp;query=Guadalupe+River+SP%2C+Texas</x:v>
      </x:c>
      <x:c r="AQ47" s="96" t="n">
        <x:v>0</x:v>
      </x:c>
      <x:c r="AR47" s="2" t="str">
        <x:v>Standard Hastings ranking</x:v>
      </x:c>
    </x:row>
    <x:row r="48">
      <x:c r="A48" s="4" t="str">
        <x:v>No</x:v>
      </x:c>
      <x:c r="B48" s="4" t="str">
        <x:v>A</x:v>
      </x:c>
      <x:c r="C48" s="4" t="str">
        <x:v>Whitetail Deer</x:v>
      </x:c>
      <x:c r="D48" s="4" t="str">
        <x:v>Gus Engeling WMA</x:v>
      </x:c>
      <x:c r="E48" s="4" t="str">
        <x:v>Statewide / Other</x:v>
      </x:c>
      <x:c r="F48" s="4" t="str">
        <x:v>Youth Gun Deer - Either Sex</x:v>
      </x:c>
      <x:c r="G48" s="4" t="str">
        <x:v>No</x:v>
      </x:c>
      <x:c r="H48" s="4" t="str">
        <x:v>Yes</x:v>
      </x:c>
      <x:c r="I48" s="24" t="str">
        <x:v>2026-09-01</x:v>
      </x:c>
      <x:c r="J48" s="4" t="str">
        <x:v>See TPWD category page</x:v>
      </x:c>
      <x:c r="K48" s="110" t="n">
        <x:v>0</x:v>
      </x:c>
      <x:c r="L48" s="110" t="n">
        <x:v>0</x:v>
      </x:c>
      <x:c r="M48" s="4"/>
      <x:c r="N48" s="4"/>
      <x:c r="O48" s="112"/>
      <x:c r="P48" s="4" t="n">
        <x:v>500</x:v>
      </x:c>
      <x:c r="Q48" s="4" t="str">
        <x:v>Statewide</x:v>
      </x:c>
      <x:c r="R48" s="4" t="str">
        <x:v>Research before draw; property brochure linked from TPWD</x:v>
      </x:c>
      <x:c r="S48" s="4" t="str">
        <x:v>Low</x:v>
      </x:c>
      <x:c r="T48" s="4" t="str">
        <x:v>No</x:v>
      </x:c>
      <x:c r="U48" s="4" t="str">
        <x:v>Verified in TPWD 2026-2027 statewide deer category catalog.</x:v>
      </x:c>
      <x:c r="V48" s="4" t="str">
        <x:v>https://tpwd.texas.gov/huntwild/hunt/public/public_hunt_drawing/hunt-category-details.phtml?OCat=YDE</x:v>
      </x:c>
      <x:c r="W48" s="4" t="n">
        <x:v>2</x:v>
      </x:c>
      <x:c r="X48" s="4" t="n">
        <x:v>2</x:v>
      </x:c>
      <x:c r="Y48" s="4" t="n">
        <x:v>5</x:v>
      </x:c>
      <x:c r="Z48" s="4" t="n">
        <x:v>3</x:v>
      </x:c>
      <x:c r="AA48" s="4" t="n">
        <x:v>2</x:v>
      </x:c>
      <x:c r="AB48" s="4" t="n">
        <x:v>0</x:v>
      </x:c>
      <x:c r="AC48" s="30" t="n">
        <x:v>2.5</x:v>
      </x:c>
      <x:c r="AD48" s="4" t="n">
        <x:v>0</x:v>
      </x:c>
      <x:c r="AE48" s="4" t="str">
        <x:v>2026-09-01</x:v>
      </x:c>
      <x:c r="AF48" s="2"/>
      <x:c r="AG48" s="97"/>
      <x:c r="AH48" s="2"/>
      <x:c r="AI48" s="2"/>
      <x:c r="AJ48" s="97"/>
      <x:c r="AK48" s="2"/>
      <x:c r="AL48" s="2"/>
      <x:c r="AM48" s="2" t="str">
        <x:v>https://tpwd.texas.gov/huntwild/hunt/public/public_hunt_drawing/hunt-category-details.phtml?OCat=YDE</x:v>
      </x:c>
      <x:c r="AN48" s="2" t="str">
        <x:v>https://tpwd.texas.gov/search/?q=Gus+Engeling+WMA+public+hunting+brochure</x:v>
      </x:c>
      <x:c r="AO48" s="2" t="str">
        <x:v>https://apps.tpwd.state.tx.us/huntwild/hunt/public/public_hunt_drawing/</x:v>
      </x:c>
      <x:c r="AP48" s="2" t="str">
        <x:v>https://www.google.com/maps/search/?api=1&amp;query=Gus+Engeling+WMA%2C+Texas</x:v>
      </x:c>
      <x:c r="AQ48" s="96" t="n">
        <x:v>0</x:v>
      </x:c>
      <x:c r="AR48" s="2" t="str">
        <x:v>Standard Hastings ranking</x:v>
      </x:c>
    </x:row>
    <x:row r="49">
      <x:c r="A49" s="4" t="str">
        <x:v>No</x:v>
      </x:c>
      <x:c r="B49" s="4" t="str">
        <x:v>A</x:v>
      </x:c>
      <x:c r="C49" s="4" t="str">
        <x:v>Whitetail Deer</x:v>
      </x:c>
      <x:c r="D49" s="4" t="str">
        <x:v>Hill Country SNA</x:v>
      </x:c>
      <x:c r="E49" s="4" t="str">
        <x:v>Hill Country / San Antonio</x:v>
      </x:c>
      <x:c r="F49" s="4" t="str">
        <x:v>Youth Gun Deer - Either Sex</x:v>
      </x:c>
      <x:c r="G49" s="4" t="str">
        <x:v>No</x:v>
      </x:c>
      <x:c r="H49" s="4" t="str">
        <x:v>Yes</x:v>
      </x:c>
      <x:c r="I49" s="24" t="str">
        <x:v>2026-09-01</x:v>
      </x:c>
      <x:c r="J49" s="4" t="str">
        <x:v>See TPWD category page</x:v>
      </x:c>
      <x:c r="K49" s="110" t="n">
        <x:v>0</x:v>
      </x:c>
      <x:c r="L49" s="110" t="n">
        <x:v>0</x:v>
      </x:c>
      <x:c r="M49" s="4"/>
      <x:c r="N49" s="4"/>
      <x:c r="O49" s="112"/>
      <x:c r="P49" s="4" t="n">
        <x:v>520</x:v>
      </x:c>
      <x:c r="Q49" s="4" t="str">
        <x:v>Statewide</x:v>
      </x:c>
      <x:c r="R49" s="4" t="str">
        <x:v>Research before draw; property brochure linked from TPWD</x:v>
      </x:c>
      <x:c r="S49" s="4" t="str">
        <x:v>Low</x:v>
      </x:c>
      <x:c r="T49" s="4" t="str">
        <x:v>No</x:v>
      </x:c>
      <x:c r="U49" s="4" t="str">
        <x:v>Verified in TPWD 2026-2027 statewide deer category catalog.</x:v>
      </x:c>
      <x:c r="V49" s="4" t="str">
        <x:v>https://tpwd.texas.gov/huntwild/hunt/public/public_hunt_drawing/hunt-category-details.phtml?OCat=YDE</x:v>
      </x:c>
      <x:c r="W49" s="4" t="n">
        <x:v>2</x:v>
      </x:c>
      <x:c r="X49" s="4" t="n">
        <x:v>2</x:v>
      </x:c>
      <x:c r="Y49" s="4" t="n">
        <x:v>5</x:v>
      </x:c>
      <x:c r="Z49" s="4" t="n">
        <x:v>3</x:v>
      </x:c>
      <x:c r="AA49" s="4" t="n">
        <x:v>2</x:v>
      </x:c>
      <x:c r="AB49" s="4" t="n">
        <x:v>0</x:v>
      </x:c>
      <x:c r="AC49" s="30" t="n">
        <x:v>2.5</x:v>
      </x:c>
      <x:c r="AD49" s="4" t="n">
        <x:v>0</x:v>
      </x:c>
      <x:c r="AE49" s="4" t="str">
        <x:v>2026-09-01</x:v>
      </x:c>
      <x:c r="AF49" s="2"/>
      <x:c r="AG49" s="97"/>
      <x:c r="AH49" s="2"/>
      <x:c r="AI49" s="2"/>
      <x:c r="AJ49" s="97"/>
      <x:c r="AK49" s="2"/>
      <x:c r="AL49" s="2"/>
      <x:c r="AM49" s="2" t="str">
        <x:v>https://tpwd.texas.gov/huntwild/hunt/public/public_hunt_drawing/hunt-category-details.phtml?OCat=YDE</x:v>
      </x:c>
      <x:c r="AN49" s="2" t="str">
        <x:v>https://tpwd.texas.gov/search/?q=Hill+Country+SNA+public+hunting+brochure</x:v>
      </x:c>
      <x:c r="AO49" s="2" t="str">
        <x:v>https://apps.tpwd.state.tx.us/huntwild/hunt/public/public_hunt_drawing/</x:v>
      </x:c>
      <x:c r="AP49" s="2" t="str">
        <x:v>https://www.google.com/maps/search/?api=1&amp;query=Hill+Country+SNA%2C+Texas</x:v>
      </x:c>
      <x:c r="AQ49" s="96" t="n">
        <x:v>0</x:v>
      </x:c>
      <x:c r="AR49" s="2" t="str">
        <x:v>Standard Hastings ranking</x:v>
      </x:c>
    </x:row>
    <x:row r="50">
      <x:c r="A50" s="4" t="str">
        <x:v>No</x:v>
      </x:c>
      <x:c r="B50" s="4" t="str">
        <x:v>A</x:v>
      </x:c>
      <x:c r="C50" s="4" t="str">
        <x:v>Whitetail Deer</x:v>
      </x:c>
      <x:c r="D50" s="4" t="str">
        <x:v>Honey Creek SNA</x:v>
      </x:c>
      <x:c r="E50" s="4" t="str">
        <x:v>Hill Country / San Antonio</x:v>
      </x:c>
      <x:c r="F50" s="4" t="str">
        <x:v>Youth Gun Deer - Either Sex</x:v>
      </x:c>
      <x:c r="G50" s="4" t="str">
        <x:v>No</x:v>
      </x:c>
      <x:c r="H50" s="4" t="str">
        <x:v>Yes</x:v>
      </x:c>
      <x:c r="I50" s="24" t="str">
        <x:v>2026-09-01</x:v>
      </x:c>
      <x:c r="J50" s="4" t="str">
        <x:v>See TPWD category page</x:v>
      </x:c>
      <x:c r="K50" s="110" t="n">
        <x:v>0</x:v>
      </x:c>
      <x:c r="L50" s="110" t="n">
        <x:v>0</x:v>
      </x:c>
      <x:c r="M50" s="4"/>
      <x:c r="N50" s="4"/>
      <x:c r="O50" s="112"/>
      <x:c r="P50" s="4" t="n">
        <x:v>520</x:v>
      </x:c>
      <x:c r="Q50" s="4" t="str">
        <x:v>Statewide</x:v>
      </x:c>
      <x:c r="R50" s="4" t="str">
        <x:v>Research before draw; property brochure linked from TPWD</x:v>
      </x:c>
      <x:c r="S50" s="4" t="str">
        <x:v>Low</x:v>
      </x:c>
      <x:c r="T50" s="4" t="str">
        <x:v>No</x:v>
      </x:c>
      <x:c r="U50" s="4" t="str">
        <x:v>Verified in TPWD 2026-2027 statewide deer category catalog.</x:v>
      </x:c>
      <x:c r="V50" s="4" t="str">
        <x:v>https://tpwd.texas.gov/huntwild/hunt/public/public_hunt_drawing/hunt-category-details.phtml?OCat=YDE</x:v>
      </x:c>
      <x:c r="W50" s="4" t="n">
        <x:v>2</x:v>
      </x:c>
      <x:c r="X50" s="4" t="n">
        <x:v>2</x:v>
      </x:c>
      <x:c r="Y50" s="4" t="n">
        <x:v>5</x:v>
      </x:c>
      <x:c r="Z50" s="4" t="n">
        <x:v>3</x:v>
      </x:c>
      <x:c r="AA50" s="4" t="n">
        <x:v>2</x:v>
      </x:c>
      <x:c r="AB50" s="4" t="n">
        <x:v>0</x:v>
      </x:c>
      <x:c r="AC50" s="30" t="n">
        <x:v>2.5</x:v>
      </x:c>
      <x:c r="AD50" s="4" t="n">
        <x:v>0</x:v>
      </x:c>
      <x:c r="AE50" s="4" t="str">
        <x:v>2026-09-01</x:v>
      </x:c>
      <x:c r="AF50" s="2"/>
      <x:c r="AG50" s="97"/>
      <x:c r="AH50" s="2"/>
      <x:c r="AI50" s="2"/>
      <x:c r="AJ50" s="97"/>
      <x:c r="AK50" s="2"/>
      <x:c r="AL50" s="2"/>
      <x:c r="AM50" s="2" t="str">
        <x:v>https://tpwd.texas.gov/huntwild/hunt/public/public_hunt_drawing/hunt-category-details.phtml?OCat=YDE</x:v>
      </x:c>
      <x:c r="AN50" s="2" t="str">
        <x:v>https://tpwd.texas.gov/search/?q=Honey+Creek+SNA+public+hunting+brochure</x:v>
      </x:c>
      <x:c r="AO50" s="2" t="str">
        <x:v>https://apps.tpwd.state.tx.us/huntwild/hunt/public/public_hunt_drawing/</x:v>
      </x:c>
      <x:c r="AP50" s="2" t="str">
        <x:v>https://www.google.com/maps/search/?api=1&amp;query=Honey+Creek+SNA%2C+Texas</x:v>
      </x:c>
      <x:c r="AQ50" s="96" t="n">
        <x:v>0</x:v>
      </x:c>
      <x:c r="AR50" s="2" t="str">
        <x:v>Standard Hastings ranking</x:v>
      </x:c>
    </x:row>
    <x:row r="51">
      <x:c r="A51" s="4" t="str">
        <x:v>No</x:v>
      </x:c>
      <x:c r="B51" s="4" t="str">
        <x:v>A</x:v>
      </x:c>
      <x:c r="C51" s="4" t="str">
        <x:v>Whitetail Deer</x:v>
      </x:c>
      <x:c r="D51" s="4" t="str">
        <x:v>Huntsville SP</x:v>
      </x:c>
      <x:c r="E51" s="4" t="str">
        <x:v>East Texas / Pineywoods</x:v>
      </x:c>
      <x:c r="F51" s="4" t="str">
        <x:v>Youth Gun Deer - Either Sex</x:v>
      </x:c>
      <x:c r="G51" s="4" t="str">
        <x:v>No</x:v>
      </x:c>
      <x:c r="H51" s="4" t="str">
        <x:v>Yes</x:v>
      </x:c>
      <x:c r="I51" s="24" t="str">
        <x:v>2026-09-01</x:v>
      </x:c>
      <x:c r="J51" s="4" t="str">
        <x:v>See TPWD category page</x:v>
      </x:c>
      <x:c r="K51" s="110" t="n">
        <x:v>0</x:v>
      </x:c>
      <x:c r="L51" s="110" t="n">
        <x:v>0</x:v>
      </x:c>
      <x:c r="M51" s="4"/>
      <x:c r="N51" s="4"/>
      <x:c r="O51" s="112"/>
      <x:c r="P51" s="4" t="n">
        <x:v>570</x:v>
      </x:c>
      <x:c r="Q51" s="4" t="str">
        <x:v>Statewide</x:v>
      </x:c>
      <x:c r="R51" s="4" t="str">
        <x:v>Research before draw; property brochure linked from TPWD</x:v>
      </x:c>
      <x:c r="S51" s="4" t="str">
        <x:v>Low</x:v>
      </x:c>
      <x:c r="T51" s="4" t="str">
        <x:v>No</x:v>
      </x:c>
      <x:c r="U51" s="4" t="str">
        <x:v>Verified in TPWD 2026-2027 statewide deer category catalog.</x:v>
      </x:c>
      <x:c r="V51" s="4" t="str">
        <x:v>https://tpwd.texas.gov/huntwild/hunt/public/public_hunt_drawing/hunt-category-details.phtml?OCat=YDE</x:v>
      </x:c>
      <x:c r="W51" s="4" t="n">
        <x:v>2</x:v>
      </x:c>
      <x:c r="X51" s="4" t="n">
        <x:v>2</x:v>
      </x:c>
      <x:c r="Y51" s="4" t="n">
        <x:v>5</x:v>
      </x:c>
      <x:c r="Z51" s="4" t="n">
        <x:v>3</x:v>
      </x:c>
      <x:c r="AA51" s="4" t="n">
        <x:v>2</x:v>
      </x:c>
      <x:c r="AB51" s="4" t="n">
        <x:v>0</x:v>
      </x:c>
      <x:c r="AC51" s="30" t="n">
        <x:v>2.5</x:v>
      </x:c>
      <x:c r="AD51" s="4" t="n">
        <x:v>0</x:v>
      </x:c>
      <x:c r="AE51" s="4" t="str">
        <x:v>2026-09-01</x:v>
      </x:c>
      <x:c r="AF51" s="2"/>
      <x:c r="AG51" s="97"/>
      <x:c r="AH51" s="2"/>
      <x:c r="AI51" s="2"/>
      <x:c r="AJ51" s="97"/>
      <x:c r="AK51" s="2"/>
      <x:c r="AL51" s="2"/>
      <x:c r="AM51" s="2" t="str">
        <x:v>https://tpwd.texas.gov/huntwild/hunt/public/public_hunt_drawing/hunt-category-details.phtml?OCat=YDE</x:v>
      </x:c>
      <x:c r="AN51" s="2" t="str">
        <x:v>https://tpwd.texas.gov/search/?q=Huntsville+SP+public+hunting+brochure</x:v>
      </x:c>
      <x:c r="AO51" s="2" t="str">
        <x:v>https://apps.tpwd.state.tx.us/huntwild/hunt/public/public_hunt_drawing/</x:v>
      </x:c>
      <x:c r="AP51" s="2" t="str">
        <x:v>https://www.google.com/maps/search/?api=1&amp;query=Huntsville+SP%2C+Texas</x:v>
      </x:c>
      <x:c r="AQ51" s="96" t="n">
        <x:v>0</x:v>
      </x:c>
      <x:c r="AR51" s="2" t="str">
        <x:v>Standard Hastings ranking</x:v>
      </x:c>
    </x:row>
    <x:row r="52">
      <x:c r="A52" s="4" t="str">
        <x:v>No</x:v>
      </x:c>
      <x:c r="B52" s="4" t="str">
        <x:v>A</x:v>
      </x:c>
      <x:c r="C52" s="4" t="str">
        <x:v>Whitetail Deer</x:v>
      </x:c>
      <x:c r="D52" s="4" t="str">
        <x:v>I.D. Fairchild State Forest</x:v>
      </x:c>
      <x:c r="E52" s="4" t="str">
        <x:v>East Texas / Pineywoods</x:v>
      </x:c>
      <x:c r="F52" s="4" t="str">
        <x:v>Youth Gun Deer - Either Sex</x:v>
      </x:c>
      <x:c r="G52" s="4" t="str">
        <x:v>No</x:v>
      </x:c>
      <x:c r="H52" s="4" t="str">
        <x:v>Yes</x:v>
      </x:c>
      <x:c r="I52" s="24" t="str">
        <x:v>2026-09-01</x:v>
      </x:c>
      <x:c r="J52" s="4" t="str">
        <x:v>See TPWD category page</x:v>
      </x:c>
      <x:c r="K52" s="110" t="n">
        <x:v>0</x:v>
      </x:c>
      <x:c r="L52" s="110" t="n">
        <x:v>0</x:v>
      </x:c>
      <x:c r="M52" s="4"/>
      <x:c r="N52" s="4"/>
      <x:c r="O52" s="112"/>
      <x:c r="P52" s="4" t="n">
        <x:v>570</x:v>
      </x:c>
      <x:c r="Q52" s="4" t="str">
        <x:v>Statewide</x:v>
      </x:c>
      <x:c r="R52" s="4" t="str">
        <x:v>Research before draw; property brochure linked from TPWD</x:v>
      </x:c>
      <x:c r="S52" s="4" t="str">
        <x:v>Low</x:v>
      </x:c>
      <x:c r="T52" s="4" t="str">
        <x:v>No</x:v>
      </x:c>
      <x:c r="U52" s="4" t="str">
        <x:v>Verified in TPWD 2026-2027 statewide deer category catalog.</x:v>
      </x:c>
      <x:c r="V52" s="4" t="str">
        <x:v>https://tpwd.texas.gov/huntwild/hunt/public/public_hunt_drawing/hunt-category-details.phtml?OCat=YDE</x:v>
      </x:c>
      <x:c r="W52" s="4" t="n">
        <x:v>2</x:v>
      </x:c>
      <x:c r="X52" s="4" t="n">
        <x:v>2</x:v>
      </x:c>
      <x:c r="Y52" s="4" t="n">
        <x:v>5</x:v>
      </x:c>
      <x:c r="Z52" s="4" t="n">
        <x:v>3</x:v>
      </x:c>
      <x:c r="AA52" s="4" t="n">
        <x:v>2</x:v>
      </x:c>
      <x:c r="AB52" s="4" t="n">
        <x:v>0</x:v>
      </x:c>
      <x:c r="AC52" s="30" t="n">
        <x:v>2.5</x:v>
      </x:c>
      <x:c r="AD52" s="4" t="n">
        <x:v>0</x:v>
      </x:c>
      <x:c r="AE52" s="4" t="str">
        <x:v>2026-09-01</x:v>
      </x:c>
      <x:c r="AF52" s="2"/>
      <x:c r="AG52" s="97"/>
      <x:c r="AH52" s="2"/>
      <x:c r="AI52" s="2"/>
      <x:c r="AJ52" s="97"/>
      <x:c r="AK52" s="2"/>
      <x:c r="AL52" s="2"/>
      <x:c r="AM52" s="2" t="str">
        <x:v>https://tpwd.texas.gov/huntwild/hunt/public/public_hunt_drawing/hunt-category-details.phtml?OCat=YDE</x:v>
      </x:c>
      <x:c r="AN52" s="2" t="str">
        <x:v>https://tpwd.texas.gov/search/?q=I.D.+Fairchild+State+Forest+public+hunting+brochure</x:v>
      </x:c>
      <x:c r="AO52" s="2" t="str">
        <x:v>https://apps.tpwd.state.tx.us/huntwild/hunt/public/public_hunt_drawing/</x:v>
      </x:c>
      <x:c r="AP52" s="2" t="str">
        <x:v>https://www.google.com/maps/search/?api=1&amp;query=I.D.+Fairchild+State+Forest%2C+Texas</x:v>
      </x:c>
      <x:c r="AQ52" s="96" t="n">
        <x:v>0</x:v>
      </x:c>
      <x:c r="AR52" s="2" t="str">
        <x:v>Standard Hastings ranking</x:v>
      </x:c>
    </x:row>
    <x:row r="53">
      <x:c r="A53" s="4" t="str">
        <x:v>No</x:v>
      </x:c>
      <x:c r="B53" s="4" t="str">
        <x:v>A</x:v>
      </x:c>
      <x:c r="C53" s="4" t="str">
        <x:v>Whitetail Deer</x:v>
      </x:c>
      <x:c r="D53" s="4" t="str">
        <x:v>Inks Lake/Longhorn Caverns SP</x:v>
      </x:c>
      <x:c r="E53" s="4" t="str">
        <x:v>Central Texas / Austin</x:v>
      </x:c>
      <x:c r="F53" s="4" t="str">
        <x:v>Youth Gun Deer - Either Sex</x:v>
      </x:c>
      <x:c r="G53" s="4" t="str">
        <x:v>No</x:v>
      </x:c>
      <x:c r="H53" s="4" t="str">
        <x:v>Yes</x:v>
      </x:c>
      <x:c r="I53" s="24" t="str">
        <x:v>2026-09-01</x:v>
      </x:c>
      <x:c r="J53" s="4" t="str">
        <x:v>See TPWD category page</x:v>
      </x:c>
      <x:c r="K53" s="110" t="n">
        <x:v>0</x:v>
      </x:c>
      <x:c r="L53" s="110" t="n">
        <x:v>0</x:v>
      </x:c>
      <x:c r="M53" s="4"/>
      <x:c r="N53" s="4"/>
      <x:c r="O53" s="112"/>
      <x:c r="P53" s="4" t="n">
        <x:v>490</x:v>
      </x:c>
      <x:c r="Q53" s="4" t="str">
        <x:v>Statewide</x:v>
      </x:c>
      <x:c r="R53" s="4" t="str">
        <x:v>Research before draw; property brochure linked from TPWD</x:v>
      </x:c>
      <x:c r="S53" s="4" t="str">
        <x:v>Low</x:v>
      </x:c>
      <x:c r="T53" s="4" t="str">
        <x:v>No</x:v>
      </x:c>
      <x:c r="U53" s="4" t="str">
        <x:v>Verified in TPWD 2026-2027 statewide deer category catalog.</x:v>
      </x:c>
      <x:c r="V53" s="4" t="str">
        <x:v>https://tpwd.texas.gov/huntwild/hunt/public/public_hunt_drawing/hunt-category-details.phtml?OCat=YDE</x:v>
      </x:c>
      <x:c r="W53" s="4" t="n">
        <x:v>2</x:v>
      </x:c>
      <x:c r="X53" s="4" t="n">
        <x:v>2</x:v>
      </x:c>
      <x:c r="Y53" s="4" t="n">
        <x:v>5</x:v>
      </x:c>
      <x:c r="Z53" s="4" t="n">
        <x:v>3</x:v>
      </x:c>
      <x:c r="AA53" s="4" t="n">
        <x:v>2</x:v>
      </x:c>
      <x:c r="AB53" s="4" t="n">
        <x:v>0</x:v>
      </x:c>
      <x:c r="AC53" s="30" t="n">
        <x:v>2.5</x:v>
      </x:c>
      <x:c r="AD53" s="4" t="n">
        <x:v>0</x:v>
      </x:c>
      <x:c r="AE53" s="4" t="str">
        <x:v>2026-09-01</x:v>
      </x:c>
      <x:c r="AF53" s="2"/>
      <x:c r="AG53" s="97"/>
      <x:c r="AH53" s="2"/>
      <x:c r="AI53" s="2"/>
      <x:c r="AJ53" s="97"/>
      <x:c r="AK53" s="2"/>
      <x:c r="AL53" s="2"/>
      <x:c r="AM53" s="2" t="str">
        <x:v>https://tpwd.texas.gov/huntwild/hunt/public/public_hunt_drawing/hunt-category-details.phtml?OCat=YDE</x:v>
      </x:c>
      <x:c r="AN53" s="2" t="str">
        <x:v>https://tpwd.texas.gov/search/?q=Inks+Lake%2FLonghorn+Caverns+SP+public+hunting+brochure</x:v>
      </x:c>
      <x:c r="AO53" s="2" t="str">
        <x:v>https://apps.tpwd.state.tx.us/huntwild/hunt/public/public_hunt_drawing/</x:v>
      </x:c>
      <x:c r="AP53" s="2" t="str">
        <x:v>https://www.google.com/maps/search/?api=1&amp;query=Inks+Lake%2FLonghorn+Caverns+SP%2C+Texas</x:v>
      </x:c>
      <x:c r="AQ53" s="96" t="n">
        <x:v>0</x:v>
      </x:c>
      <x:c r="AR53" s="2" t="str">
        <x:v>Standard Hastings ranking</x:v>
      </x:c>
    </x:row>
    <x:row r="54">
      <x:c r="A54" s="4" t="str">
        <x:v>No</x:v>
      </x:c>
      <x:c r="B54" s="4" t="str">
        <x:v>A</x:v>
      </x:c>
      <x:c r="C54" s="4" t="str">
        <x:v>Whitetail Deer</x:v>
      </x:c>
      <x:c r="D54" s="4" t="str">
        <x:v>James Daughtrey WMA</x:v>
      </x:c>
      <x:c r="E54" s="4" t="str">
        <x:v>South Texas / Rio Grande Valley</x:v>
      </x:c>
      <x:c r="F54" s="4" t="str">
        <x:v>Youth Gun Deer - Either Sex</x:v>
      </x:c>
      <x:c r="G54" s="4" t="str">
        <x:v>No</x:v>
      </x:c>
      <x:c r="H54" s="4" t="str">
        <x:v>Yes</x:v>
      </x:c>
      <x:c r="I54" s="24" t="str">
        <x:v>2026-09-01</x:v>
      </x:c>
      <x:c r="J54" s="4" t="str">
        <x:v>See TPWD category page</x:v>
      </x:c>
      <x:c r="K54" s="110" t="n">
        <x:v>0</x:v>
      </x:c>
      <x:c r="L54" s="110" t="n">
        <x:v>0</x:v>
      </x:c>
      <x:c r="M54" s="4"/>
      <x:c r="N54" s="4"/>
      <x:c r="O54" s="112"/>
      <x:c r="P54" s="4" t="n">
        <x:v>700</x:v>
      </x:c>
      <x:c r="Q54" s="4" t="str">
        <x:v>Long Haul</x:v>
      </x:c>
      <x:c r="R54" s="4" t="str">
        <x:v>Research before draw; property brochure linked from TPWD</x:v>
      </x:c>
      <x:c r="S54" s="4" t="str">
        <x:v>Low</x:v>
      </x:c>
      <x:c r="T54" s="4" t="str">
        <x:v>No</x:v>
      </x:c>
      <x:c r="U54" s="4" t="str">
        <x:v>Verified in TPWD 2026-2027 statewide deer category catalog.</x:v>
      </x:c>
      <x:c r="V54" s="4" t="str">
        <x:v>https://tpwd.texas.gov/huntwild/hunt/public/public_hunt_drawing/hunt-category-details.phtml?OCat=YDE</x:v>
      </x:c>
      <x:c r="W54" s="4" t="n">
        <x:v>2</x:v>
      </x:c>
      <x:c r="X54" s="4" t="n">
        <x:v>1</x:v>
      </x:c>
      <x:c r="Y54" s="4" t="n">
        <x:v>5</x:v>
      </x:c>
      <x:c r="Z54" s="4" t="n">
        <x:v>3</x:v>
      </x:c>
      <x:c r="AA54" s="4" t="n">
        <x:v>2</x:v>
      </x:c>
      <x:c r="AB54" s="4" t="n">
        <x:v>0</x:v>
      </x:c>
      <x:c r="AC54" s="30" t="n">
        <x:v>2.4</x:v>
      </x:c>
      <x:c r="AD54" s="4" t="n">
        <x:v>0</x:v>
      </x:c>
      <x:c r="AE54" s="4" t="str">
        <x:v>2026-09-01</x:v>
      </x:c>
      <x:c r="AF54" s="2"/>
      <x:c r="AG54" s="97"/>
      <x:c r="AH54" s="2"/>
      <x:c r="AI54" s="2"/>
      <x:c r="AJ54" s="97"/>
      <x:c r="AK54" s="2"/>
      <x:c r="AL54" s="2"/>
      <x:c r="AM54" s="2" t="str">
        <x:v>https://tpwd.texas.gov/huntwild/hunt/public/public_hunt_drawing/hunt-category-details.phtml?OCat=YDE</x:v>
      </x:c>
      <x:c r="AN54" s="2" t="str">
        <x:v>https://tpwd.texas.gov/search/?q=James+Daughtrey+WMA+public+hunting+brochure</x:v>
      </x:c>
      <x:c r="AO54" s="2" t="str">
        <x:v>https://apps.tpwd.state.tx.us/huntwild/hunt/public/public_hunt_drawing/</x:v>
      </x:c>
      <x:c r="AP54" s="2" t="str">
        <x:v>https://www.google.com/maps/search/?api=1&amp;query=James+Daughtrey+WMA%2C+Texas</x:v>
      </x:c>
      <x:c r="AQ54" s="96" t="n">
        <x:v>0</x:v>
      </x:c>
      <x:c r="AR54" s="2" t="str">
        <x:v>Standard Hastings ranking</x:v>
      </x:c>
    </x:row>
    <x:row r="55">
      <x:c r="A55" s="4" t="str">
        <x:v>No</x:v>
      </x:c>
      <x:c r="B55" s="4" t="str">
        <x:v>A</x:v>
      </x:c>
      <x:c r="C55" s="4" t="str">
        <x:v>Whitetail Deer</x:v>
      </x:c>
      <x:c r="D55" s="4" t="str">
        <x:v>John Henry Kirby State Forest</x:v>
      </x:c>
      <x:c r="E55" s="4" t="str">
        <x:v>East Texas / Pineywoods</x:v>
      </x:c>
      <x:c r="F55" s="4" t="str">
        <x:v>Youth Gun Deer - Either Sex</x:v>
      </x:c>
      <x:c r="G55" s="4" t="str">
        <x:v>No</x:v>
      </x:c>
      <x:c r="H55" s="4" t="str">
        <x:v>Yes</x:v>
      </x:c>
      <x:c r="I55" s="24" t="str">
        <x:v>2026-09-01</x:v>
      </x:c>
      <x:c r="J55" s="4" t="str">
        <x:v>See TPWD category page</x:v>
      </x:c>
      <x:c r="K55" s="110" t="n">
        <x:v>0</x:v>
      </x:c>
      <x:c r="L55" s="110" t="n">
        <x:v>0</x:v>
      </x:c>
      <x:c r="M55" s="4"/>
      <x:c r="N55" s="4"/>
      <x:c r="O55" s="112"/>
      <x:c r="P55" s="4" t="n">
        <x:v>570</x:v>
      </x:c>
      <x:c r="Q55" s="4" t="str">
        <x:v>Statewide</x:v>
      </x:c>
      <x:c r="R55" s="4" t="str">
        <x:v>Research before draw; property brochure linked from TPWD</x:v>
      </x:c>
      <x:c r="S55" s="4" t="str">
        <x:v>Low</x:v>
      </x:c>
      <x:c r="T55" s="4" t="str">
        <x:v>No</x:v>
      </x:c>
      <x:c r="U55" s="4" t="str">
        <x:v>Verified in TPWD 2026-2027 statewide deer category catalog.</x:v>
      </x:c>
      <x:c r="V55" s="4" t="str">
        <x:v>https://tpwd.texas.gov/huntwild/hunt/public/public_hunt_drawing/hunt-category-details.phtml?OCat=YDE</x:v>
      </x:c>
      <x:c r="W55" s="4" t="n">
        <x:v>2</x:v>
      </x:c>
      <x:c r="X55" s="4" t="n">
        <x:v>2</x:v>
      </x:c>
      <x:c r="Y55" s="4" t="n">
        <x:v>5</x:v>
      </x:c>
      <x:c r="Z55" s="4" t="n">
        <x:v>3</x:v>
      </x:c>
      <x:c r="AA55" s="4" t="n">
        <x:v>2</x:v>
      </x:c>
      <x:c r="AB55" s="4" t="n">
        <x:v>0</x:v>
      </x:c>
      <x:c r="AC55" s="30" t="n">
        <x:v>2.5</x:v>
      </x:c>
      <x:c r="AD55" s="4" t="n">
        <x:v>0</x:v>
      </x:c>
      <x:c r="AE55" s="4" t="str">
        <x:v>2026-09-01</x:v>
      </x:c>
      <x:c r="AF55" s="2"/>
      <x:c r="AG55" s="97"/>
      <x:c r="AH55" s="2"/>
      <x:c r="AI55" s="2"/>
      <x:c r="AJ55" s="97"/>
      <x:c r="AK55" s="2"/>
      <x:c r="AL55" s="2"/>
      <x:c r="AM55" s="2" t="str">
        <x:v>https://tpwd.texas.gov/huntwild/hunt/public/public_hunt_drawing/hunt-category-details.phtml?OCat=YDE</x:v>
      </x:c>
      <x:c r="AN55" s="2" t="str">
        <x:v>https://tpwd.texas.gov/search/?q=John+Henry+Kirby+State+Forest+public+hunting+brochure</x:v>
      </x:c>
      <x:c r="AO55" s="2" t="str">
        <x:v>https://apps.tpwd.state.tx.us/huntwild/hunt/public/public_hunt_drawing/</x:v>
      </x:c>
      <x:c r="AP55" s="2" t="str">
        <x:v>https://www.google.com/maps/search/?api=1&amp;query=John+Henry+Kirby+State+Forest%2C+Texas</x:v>
      </x:c>
      <x:c r="AQ55" s="96" t="n">
        <x:v>0</x:v>
      </x:c>
      <x:c r="AR55" s="2" t="str">
        <x:v>Standard Hastings ranking</x:v>
      </x:c>
    </x:row>
    <x:row r="56">
      <x:c r="A56" s="4" t="str">
        <x:v>No</x:v>
      </x:c>
      <x:c r="B56" s="4" t="str">
        <x:v>A</x:v>
      </x:c>
      <x:c r="C56" s="4" t="str">
        <x:v>Whitetail Deer</x:v>
      </x:c>
      <x:c r="D56" s="4" t="str">
        <x:v>Justin Hurst WMA</x:v>
      </x:c>
      <x:c r="E56" s="4" t="str">
        <x:v>Houston / Gulf Coast</x:v>
      </x:c>
      <x:c r="F56" s="4" t="str">
        <x:v>Youth Gun Deer - Either Sex</x:v>
      </x:c>
      <x:c r="G56" s="4" t="str">
        <x:v>No</x:v>
      </x:c>
      <x:c r="H56" s="4" t="str">
        <x:v>Yes</x:v>
      </x:c>
      <x:c r="I56" s="24" t="str">
        <x:v>2026-09-01</x:v>
      </x:c>
      <x:c r="J56" s="4" t="str">
        <x:v>See TPWD category page</x:v>
      </x:c>
      <x:c r="K56" s="110" t="n">
        <x:v>0</x:v>
      </x:c>
      <x:c r="L56" s="110" t="n">
        <x:v>0</x:v>
      </x:c>
      <x:c r="M56" s="4"/>
      <x:c r="N56" s="4"/>
      <x:c r="O56" s="112"/>
      <x:c r="P56" s="4" t="n">
        <x:v>610</x:v>
      </x:c>
      <x:c r="Q56" s="4" t="str">
        <x:v>Long Haul</x:v>
      </x:c>
      <x:c r="R56" s="4" t="str">
        <x:v>Research before draw; property brochure linked from TPWD</x:v>
      </x:c>
      <x:c r="S56" s="4" t="str">
        <x:v>Low</x:v>
      </x:c>
      <x:c r="T56" s="4" t="str">
        <x:v>No</x:v>
      </x:c>
      <x:c r="U56" s="4" t="str">
        <x:v>Verified in TPWD 2026-2027 statewide deer category catalog.</x:v>
      </x:c>
      <x:c r="V56" s="4" t="str">
        <x:v>https://tpwd.texas.gov/huntwild/hunt/public/public_hunt_drawing/hunt-category-details.phtml?OCat=YDE</x:v>
      </x:c>
      <x:c r="W56" s="4" t="n">
        <x:v>2</x:v>
      </x:c>
      <x:c r="X56" s="4" t="n">
        <x:v>1</x:v>
      </x:c>
      <x:c r="Y56" s="4" t="n">
        <x:v>5</x:v>
      </x:c>
      <x:c r="Z56" s="4" t="n">
        <x:v>3</x:v>
      </x:c>
      <x:c r="AA56" s="4" t="n">
        <x:v>2</x:v>
      </x:c>
      <x:c r="AB56" s="4" t="n">
        <x:v>0</x:v>
      </x:c>
      <x:c r="AC56" s="30" t="n">
        <x:v>2.4</x:v>
      </x:c>
      <x:c r="AD56" s="4" t="n">
        <x:v>0</x:v>
      </x:c>
      <x:c r="AE56" s="4" t="str">
        <x:v>2026-09-01</x:v>
      </x:c>
      <x:c r="AF56" s="2"/>
      <x:c r="AG56" s="97"/>
      <x:c r="AH56" s="2"/>
      <x:c r="AI56" s="2"/>
      <x:c r="AJ56" s="97"/>
      <x:c r="AK56" s="2"/>
      <x:c r="AL56" s="2"/>
      <x:c r="AM56" s="2" t="str">
        <x:v>https://tpwd.texas.gov/huntwild/hunt/public/public_hunt_drawing/hunt-category-details.phtml?OCat=YDE</x:v>
      </x:c>
      <x:c r="AN56" s="2" t="str">
        <x:v>https://tpwd.texas.gov/search/?q=Justin+Hurst+WMA+public+hunting+brochure</x:v>
      </x:c>
      <x:c r="AO56" s="2" t="str">
        <x:v>https://apps.tpwd.state.tx.us/huntwild/hunt/public/public_hunt_drawing/</x:v>
      </x:c>
      <x:c r="AP56" s="2" t="str">
        <x:v>https://www.google.com/maps/search/?api=1&amp;query=Justin+Hurst+WMA%2C+Texas</x:v>
      </x:c>
      <x:c r="AQ56" s="96" t="n">
        <x:v>0</x:v>
      </x:c>
      <x:c r="AR56" s="2" t="str">
        <x:v>Standard Hastings ranking</x:v>
      </x:c>
    </x:row>
    <x:row r="57">
      <x:c r="A57" s="4" t="str">
        <x:v>No</x:v>
      </x:c>
      <x:c r="B57" s="4" t="str">
        <x:v>A</x:v>
      </x:c>
      <x:c r="C57" s="4" t="str">
        <x:v>Whitetail Deer</x:v>
      </x:c>
      <x:c r="D57" s="4" t="str">
        <x:v>Kerr WMA</x:v>
      </x:c>
      <x:c r="E57" s="4" t="str">
        <x:v>Hill Country / San Antonio</x:v>
      </x:c>
      <x:c r="F57" s="4" t="str">
        <x:v>Youth Gun Deer - Either Sex</x:v>
      </x:c>
      <x:c r="G57" s="4" t="str">
        <x:v>No</x:v>
      </x:c>
      <x:c r="H57" s="4" t="str">
        <x:v>Yes</x:v>
      </x:c>
      <x:c r="I57" s="24" t="str">
        <x:v>2026-09-01</x:v>
      </x:c>
      <x:c r="J57" s="4" t="str">
        <x:v>See TPWD category page</x:v>
      </x:c>
      <x:c r="K57" s="110" t="n">
        <x:v>0</x:v>
      </x:c>
      <x:c r="L57" s="110" t="n">
        <x:v>0</x:v>
      </x:c>
      <x:c r="M57" s="4"/>
      <x:c r="N57" s="4"/>
      <x:c r="O57" s="112"/>
      <x:c r="P57" s="4" t="n">
        <x:v>520</x:v>
      </x:c>
      <x:c r="Q57" s="4" t="str">
        <x:v>Statewide</x:v>
      </x:c>
      <x:c r="R57" s="4" t="str">
        <x:v>Research before draw; property brochure linked from TPWD</x:v>
      </x:c>
      <x:c r="S57" s="4" t="str">
        <x:v>Low</x:v>
      </x:c>
      <x:c r="T57" s="4" t="str">
        <x:v>No</x:v>
      </x:c>
      <x:c r="U57" s="4" t="str">
        <x:v>Verified in TPWD 2026-2027 statewide deer category catalog.</x:v>
      </x:c>
      <x:c r="V57" s="4" t="str">
        <x:v>https://tpwd.texas.gov/huntwild/hunt/public/public_hunt_drawing/hunt-category-details.phtml?OCat=YDE</x:v>
      </x:c>
      <x:c r="W57" s="4" t="n">
        <x:v>2</x:v>
      </x:c>
      <x:c r="X57" s="4" t="n">
        <x:v>2</x:v>
      </x:c>
      <x:c r="Y57" s="4" t="n">
        <x:v>5</x:v>
      </x:c>
      <x:c r="Z57" s="4" t="n">
        <x:v>3</x:v>
      </x:c>
      <x:c r="AA57" s="4" t="n">
        <x:v>2</x:v>
      </x:c>
      <x:c r="AB57" s="4" t="n">
        <x:v>0</x:v>
      </x:c>
      <x:c r="AC57" s="30" t="n">
        <x:v>2.5</x:v>
      </x:c>
      <x:c r="AD57" s="4" t="n">
        <x:v>0</x:v>
      </x:c>
      <x:c r="AE57" s="4" t="str">
        <x:v>2026-09-01</x:v>
      </x:c>
      <x:c r="AF57" s="2"/>
      <x:c r="AG57" s="97"/>
      <x:c r="AH57" s="2"/>
      <x:c r="AI57" s="2"/>
      <x:c r="AJ57" s="97"/>
      <x:c r="AK57" s="2"/>
      <x:c r="AL57" s="2"/>
      <x:c r="AM57" s="2" t="str">
        <x:v>https://tpwd.texas.gov/huntwild/hunt/public/public_hunt_drawing/hunt-category-details.phtml?OCat=YDE</x:v>
      </x:c>
      <x:c r="AN57" s="2" t="str">
        <x:v>https://tpwd.texas.gov/search/?q=Kerr+WMA+public+hunting+brochure</x:v>
      </x:c>
      <x:c r="AO57" s="2" t="str">
        <x:v>https://apps.tpwd.state.tx.us/huntwild/hunt/public/public_hunt_drawing/</x:v>
      </x:c>
      <x:c r="AP57" s="2" t="str">
        <x:v>https://www.google.com/maps/search/?api=1&amp;query=Kerr+WMA%2C+Texas</x:v>
      </x:c>
      <x:c r="AQ57" s="96" t="n">
        <x:v>0</x:v>
      </x:c>
      <x:c r="AR57" s="2" t="str">
        <x:v>Standard Hastings ranking</x:v>
      </x:c>
    </x:row>
    <x:row r="58">
      <x:c r="A58" s="4" t="str">
        <x:v>No</x:v>
      </x:c>
      <x:c r="B58" s="4" t="str">
        <x:v>A</x:v>
      </x:c>
      <x:c r="C58" s="4" t="str">
        <x:v>Whitetail Deer</x:v>
      </x:c>
      <x:c r="D58" s="4" t="str">
        <x:v>Lake Brownwood SP</x:v>
      </x:c>
      <x:c r="E58" s="4" t="str">
        <x:v>West-Central Texas</x:v>
      </x:c>
      <x:c r="F58" s="4" t="str">
        <x:v>Youth Gun Deer - Either Sex</x:v>
      </x:c>
      <x:c r="G58" s="4" t="str">
        <x:v>No</x:v>
      </x:c>
      <x:c r="H58" s="4" t="str">
        <x:v>Yes</x:v>
      </x:c>
      <x:c r="I58" s="24" t="str">
        <x:v>2026-09-01</x:v>
      </x:c>
      <x:c r="J58" s="4" t="str">
        <x:v>See TPWD category page</x:v>
      </x:c>
      <x:c r="K58" s="110" t="n">
        <x:v>0</x:v>
      </x:c>
      <x:c r="L58" s="110" t="n">
        <x:v>0</x:v>
      </x:c>
      <x:c r="M58" s="4"/>
      <x:c r="N58" s="4"/>
      <x:c r="O58" s="112"/>
      <x:c r="P58" s="4" t="n">
        <x:v>300</x:v>
      </x:c>
      <x:c r="Q58" s="4" t="str">
        <x:v>Extended</x:v>
      </x:c>
      <x:c r="R58" s="4" t="str">
        <x:v>Research before draw; property brochure linked from TPWD</x:v>
      </x:c>
      <x:c r="S58" s="4" t="str">
        <x:v>Low</x:v>
      </x:c>
      <x:c r="T58" s="4" t="str">
        <x:v>No</x:v>
      </x:c>
      <x:c r="U58" s="4" t="str">
        <x:v>Verified in TPWD 2026-2027 statewide deer category catalog.</x:v>
      </x:c>
      <x:c r="V58" s="4" t="str">
        <x:v>https://tpwd.texas.gov/huntwild/hunt/public/public_hunt_drawing/hunt-category-details.phtml?OCat=YDE</x:v>
      </x:c>
      <x:c r="W58" s="4" t="n">
        <x:v>2</x:v>
      </x:c>
      <x:c r="X58" s="4" t="n">
        <x:v>4</x:v>
      </x:c>
      <x:c r="Y58" s="4" t="n">
        <x:v>5</x:v>
      </x:c>
      <x:c r="Z58" s="4" t="n">
        <x:v>3</x:v>
      </x:c>
      <x:c r="AA58" s="4" t="n">
        <x:v>2</x:v>
      </x:c>
      <x:c r="AB58" s="4" t="n">
        <x:v>0</x:v>
      </x:c>
      <x:c r="AC58" s="30" t="n">
        <x:v>2.9</x:v>
      </x:c>
      <x:c r="AD58" s="4" t="n">
        <x:v>0</x:v>
      </x:c>
      <x:c r="AE58" s="4" t="str">
        <x:v>2026-09-01</x:v>
      </x:c>
      <x:c r="AF58" s="2"/>
      <x:c r="AG58" s="97"/>
      <x:c r="AH58" s="2"/>
      <x:c r="AI58" s="2"/>
      <x:c r="AJ58" s="97"/>
      <x:c r="AK58" s="2"/>
      <x:c r="AL58" s="2"/>
      <x:c r="AM58" s="2" t="str">
        <x:v>https://tpwd.texas.gov/huntwild/hunt/public/public_hunt_drawing/hunt-category-details.phtml?OCat=YDE</x:v>
      </x:c>
      <x:c r="AN58" s="2" t="str">
        <x:v>https://tpwd.texas.gov/search/?q=Lake+Brownwood+SP+public+hunting+brochure</x:v>
      </x:c>
      <x:c r="AO58" s="2" t="str">
        <x:v>https://apps.tpwd.state.tx.us/huntwild/hunt/public/public_hunt_drawing/</x:v>
      </x:c>
      <x:c r="AP58" s="2" t="str">
        <x:v>https://www.google.com/maps/search/?api=1&amp;query=Lake+Brownwood+SP%2C+Texas</x:v>
      </x:c>
      <x:c r="AQ58" s="96" t="n">
        <x:v>0</x:v>
      </x:c>
      <x:c r="AR58" s="2" t="str">
        <x:v>Standard Hastings ranking</x:v>
      </x:c>
    </x:row>
    <x:row r="59">
      <x:c r="A59" s="4" t="str">
        <x:v>No</x:v>
      </x:c>
      <x:c r="B59" s="4" t="str">
        <x:v>A</x:v>
      </x:c>
      <x:c r="C59" s="4" t="str">
        <x:v>Whitetail Deer</x:v>
      </x:c>
      <x:c r="D59" s="4" t="str">
        <x:v>Lake McClellan Recreation Area</x:v>
      </x:c>
      <x:c r="E59" s="4" t="str">
        <x:v>Panhandle / Rolling Plains</x:v>
      </x:c>
      <x:c r="F59" s="4" t="str">
        <x:v>Youth Gun Deer - Either Sex</x:v>
      </x:c>
      <x:c r="G59" s="4" t="str">
        <x:v>No</x:v>
      </x:c>
      <x:c r="H59" s="4" t="str">
        <x:v>Yes</x:v>
      </x:c>
      <x:c r="I59" s="24" t="str">
        <x:v>2026-09-01</x:v>
      </x:c>
      <x:c r="J59" s="4" t="str">
        <x:v>See TPWD category page</x:v>
      </x:c>
      <x:c r="K59" s="110" t="n">
        <x:v>0</x:v>
      </x:c>
      <x:c r="L59" s="110" t="n">
        <x:v>0</x:v>
      </x:c>
      <x:c r="M59" s="4"/>
      <x:c r="N59" s="4"/>
      <x:c r="O59" s="112"/>
      <x:c r="P59" s="4" t="n">
        <x:v>130</x:v>
      </x:c>
      <x:c r="Q59" s="4" t="str">
        <x:v>Core</x:v>
      </x:c>
      <x:c r="R59" s="4" t="str">
        <x:v>Research before draw; property brochure linked from TPWD</x:v>
      </x:c>
      <x:c r="S59" s="4" t="str">
        <x:v>High</x:v>
      </x:c>
      <x:c r="T59" s="4" t="str">
        <x:v>No</x:v>
      </x:c>
      <x:c r="U59" s="4" t="str">
        <x:v>Verified in TPWD 2026-2027 statewide deer category catalog.</x:v>
      </x:c>
      <x:c r="V59" s="4" t="str">
        <x:v>https://tpwd.texas.gov/huntwild/hunt/public/public_hunt_drawing/hunt-category-details.phtml?OCat=YDE</x:v>
      </x:c>
      <x:c r="W59" s="4" t="n">
        <x:v>2</x:v>
      </x:c>
      <x:c r="X59" s="4" t="n">
        <x:v>5</x:v>
      </x:c>
      <x:c r="Y59" s="4" t="n">
        <x:v>5</x:v>
      </x:c>
      <x:c r="Z59" s="4" t="n">
        <x:v>3</x:v>
      </x:c>
      <x:c r="AA59" s="4" t="n">
        <x:v>4</x:v>
      </x:c>
      <x:c r="AB59" s="4" t="n">
        <x:v>0</x:v>
      </x:c>
      <x:c r="AC59" s="30" t="n">
        <x:v>3.2</x:v>
      </x:c>
      <x:c r="AD59" s="4" t="n">
        <x:v>0</x:v>
      </x:c>
      <x:c r="AE59" s="4" t="str">
        <x:v>2026-09-01</x:v>
      </x:c>
      <x:c r="AF59" s="2"/>
      <x:c r="AG59" s="97"/>
      <x:c r="AH59" s="2"/>
      <x:c r="AI59" s="2"/>
      <x:c r="AJ59" s="97"/>
      <x:c r="AK59" s="2"/>
      <x:c r="AL59" s="2"/>
      <x:c r="AM59" s="2" t="str">
        <x:v>https://tpwd.texas.gov/huntwild/hunt/public/public_hunt_drawing/hunt-category-details.phtml?OCat=YDE</x:v>
      </x:c>
      <x:c r="AN59" s="2" t="str">
        <x:v>https://tpwd.texas.gov/search/?q=Lake+McClellan+Recreation+Area+public+hunting+brochure</x:v>
      </x:c>
      <x:c r="AO59" s="2" t="str">
        <x:v>https://apps.tpwd.state.tx.us/huntwild/hunt/public/public_hunt_drawing/</x:v>
      </x:c>
      <x:c r="AP59" s="2" t="str">
        <x:v>https://www.google.com/maps/search/?api=1&amp;query=Lake+McClellan+Recreation+Area%2C+Texas</x:v>
      </x:c>
      <x:c r="AQ59" s="96" t="n">
        <x:v>0</x:v>
      </x:c>
      <x:c r="AR59" s="2" t="str">
        <x:v>Standard Hastings ranking</x:v>
      </x:c>
    </x:row>
    <x:row r="60">
      <x:c r="A60" s="4" t="str">
        <x:v>No</x:v>
      </x:c>
      <x:c r="B60" s="4" t="str">
        <x:v>A</x:v>
      </x:c>
      <x:c r="C60" s="4" t="str">
        <x:v>Whitetail Deer</x:v>
      </x:c>
      <x:c r="D60" s="4" t="str">
        <x:v>Lake Mineral Wells SP</x:v>
      </x:c>
      <x:c r="E60" s="4" t="str">
        <x:v>North Texas / DFW</x:v>
      </x:c>
      <x:c r="F60" s="4" t="str">
        <x:v>Youth Gun Deer - Either Sex</x:v>
      </x:c>
      <x:c r="G60" s="4" t="str">
        <x:v>No</x:v>
      </x:c>
      <x:c r="H60" s="4" t="str">
        <x:v>Yes</x:v>
      </x:c>
      <x:c r="I60" s="24" t="str">
        <x:v>2026-09-01</x:v>
      </x:c>
      <x:c r="J60" s="4" t="str">
        <x:v>See TPWD category page</x:v>
      </x:c>
      <x:c r="K60" s="110" t="n">
        <x:v>0</x:v>
      </x:c>
      <x:c r="L60" s="110" t="n">
        <x:v>0</x:v>
      </x:c>
      <x:c r="M60" s="4"/>
      <x:c r="N60" s="4"/>
      <x:c r="O60" s="112"/>
      <x:c r="P60" s="4" t="n">
        <x:v>360</x:v>
      </x:c>
      <x:c r="Q60" s="4" t="str">
        <x:v>Extended</x:v>
      </x:c>
      <x:c r="R60" s="4" t="str">
        <x:v>Research before draw; property brochure linked from TPWD</x:v>
      </x:c>
      <x:c r="S60" s="4" t="str">
        <x:v>Low</x:v>
      </x:c>
      <x:c r="T60" s="4" t="str">
        <x:v>No</x:v>
      </x:c>
      <x:c r="U60" s="4" t="str">
        <x:v>Verified in TPWD 2026-2027 statewide deer category catalog.</x:v>
      </x:c>
      <x:c r="V60" s="4" t="str">
        <x:v>https://tpwd.texas.gov/huntwild/hunt/public/public_hunt_drawing/hunt-category-details.phtml?OCat=YDE</x:v>
      </x:c>
      <x:c r="W60" s="4" t="n">
        <x:v>2</x:v>
      </x:c>
      <x:c r="X60" s="4" t="n">
        <x:v>3</x:v>
      </x:c>
      <x:c r="Y60" s="4" t="n">
        <x:v>5</x:v>
      </x:c>
      <x:c r="Z60" s="4" t="n">
        <x:v>3</x:v>
      </x:c>
      <x:c r="AA60" s="4" t="n">
        <x:v>2</x:v>
      </x:c>
      <x:c r="AB60" s="4" t="n">
        <x:v>0</x:v>
      </x:c>
      <x:c r="AC60" s="30" t="n">
        <x:v>2.7</x:v>
      </x:c>
      <x:c r="AD60" s="4" t="n">
        <x:v>0</x:v>
      </x:c>
      <x:c r="AE60" s="4" t="str">
        <x:v>2026-09-01</x:v>
      </x:c>
      <x:c r="AF60" s="2"/>
      <x:c r="AG60" s="97"/>
      <x:c r="AH60" s="2"/>
      <x:c r="AI60" s="2"/>
      <x:c r="AJ60" s="97"/>
      <x:c r="AK60" s="2"/>
      <x:c r="AL60" s="2"/>
      <x:c r="AM60" s="2" t="str">
        <x:v>https://tpwd.texas.gov/huntwild/hunt/public/public_hunt_drawing/hunt-category-details.phtml?OCat=YDE</x:v>
      </x:c>
      <x:c r="AN60" s="2" t="str">
        <x:v>https://tpwd.texas.gov/search/?q=Lake+Mineral+Wells+SP+public+hunting+brochure</x:v>
      </x:c>
      <x:c r="AO60" s="2" t="str">
        <x:v>https://apps.tpwd.state.tx.us/huntwild/hunt/public/public_hunt_drawing/</x:v>
      </x:c>
      <x:c r="AP60" s="2" t="str">
        <x:v>https://www.google.com/maps/search/?api=1&amp;query=Lake+Mineral+Wells+SP%2C+Texas</x:v>
      </x:c>
      <x:c r="AQ60" s="96" t="n">
        <x:v>0</x:v>
      </x:c>
      <x:c r="AR60" s="2" t="str">
        <x:v>Standard Hastings ranking</x:v>
      </x:c>
    </x:row>
    <x:row r="61">
      <x:c r="A61" s="4" t="str">
        <x:v>No</x:v>
      </x:c>
      <x:c r="B61" s="4" t="str">
        <x:v>A</x:v>
      </x:c>
      <x:c r="C61" s="4" t="str">
        <x:v>Whitetail Deer</x:v>
      </x:c>
      <x:c r="D61" s="4" t="str">
        <x:v>Lake Somerville SP - Nails Creek Unit</x:v>
      </x:c>
      <x:c r="E61" s="4" t="str">
        <x:v>Central Texas / Austin</x:v>
      </x:c>
      <x:c r="F61" s="4" t="str">
        <x:v>Youth Gun Deer - Either Sex</x:v>
      </x:c>
      <x:c r="G61" s="4" t="str">
        <x:v>No</x:v>
      </x:c>
      <x:c r="H61" s="4" t="str">
        <x:v>Yes</x:v>
      </x:c>
      <x:c r="I61" s="24" t="str">
        <x:v>2026-09-01</x:v>
      </x:c>
      <x:c r="J61" s="4" t="str">
        <x:v>See TPWD category page</x:v>
      </x:c>
      <x:c r="K61" s="110" t="n">
        <x:v>0</x:v>
      </x:c>
      <x:c r="L61" s="110" t="n">
        <x:v>0</x:v>
      </x:c>
      <x:c r="M61" s="4"/>
      <x:c r="N61" s="4"/>
      <x:c r="O61" s="112"/>
      <x:c r="P61" s="4" t="n">
        <x:v>490</x:v>
      </x:c>
      <x:c r="Q61" s="4" t="str">
        <x:v>Statewide</x:v>
      </x:c>
      <x:c r="R61" s="4" t="str">
        <x:v>Research before draw; property brochure linked from TPWD</x:v>
      </x:c>
      <x:c r="S61" s="4" t="str">
        <x:v>Low</x:v>
      </x:c>
      <x:c r="T61" s="4" t="str">
        <x:v>No</x:v>
      </x:c>
      <x:c r="U61" s="4" t="str">
        <x:v>Verified in TPWD 2026-2027 statewide deer category catalog.</x:v>
      </x:c>
      <x:c r="V61" s="4" t="str">
        <x:v>https://tpwd.texas.gov/huntwild/hunt/public/public_hunt_drawing/hunt-category-details.phtml?OCat=YDE</x:v>
      </x:c>
      <x:c r="W61" s="4" t="n">
        <x:v>2</x:v>
      </x:c>
      <x:c r="X61" s="4" t="n">
        <x:v>2</x:v>
      </x:c>
      <x:c r="Y61" s="4" t="n">
        <x:v>5</x:v>
      </x:c>
      <x:c r="Z61" s="4" t="n">
        <x:v>3</x:v>
      </x:c>
      <x:c r="AA61" s="4" t="n">
        <x:v>2</x:v>
      </x:c>
      <x:c r="AB61" s="4" t="n">
        <x:v>0</x:v>
      </x:c>
      <x:c r="AC61" s="30" t="n">
        <x:v>2.5</x:v>
      </x:c>
      <x:c r="AD61" s="4" t="n">
        <x:v>0</x:v>
      </x:c>
      <x:c r="AE61" s="4" t="str">
        <x:v>2026-09-01</x:v>
      </x:c>
      <x:c r="AF61" s="2"/>
      <x:c r="AG61" s="97"/>
      <x:c r="AH61" s="2"/>
      <x:c r="AI61" s="2"/>
      <x:c r="AJ61" s="97"/>
      <x:c r="AK61" s="2"/>
      <x:c r="AL61" s="2"/>
      <x:c r="AM61" s="2" t="str">
        <x:v>https://tpwd.texas.gov/huntwild/hunt/public/public_hunt_drawing/hunt-category-details.phtml?OCat=YDE</x:v>
      </x:c>
      <x:c r="AN61" s="2" t="str">
        <x:v>https://tpwd.texas.gov/search/?q=Lake+Somerville+SP+-+Nails+Creek+Unit+public+hunting+brochure</x:v>
      </x:c>
      <x:c r="AO61" s="2" t="str">
        <x:v>https://apps.tpwd.state.tx.us/huntwild/hunt/public/public_hunt_drawing/</x:v>
      </x:c>
      <x:c r="AP61" s="2" t="str">
        <x:v>https://www.google.com/maps/search/?api=1&amp;query=Lake+Somerville+SP+-+Nails+Creek+Unit%2C+Texas</x:v>
      </x:c>
      <x:c r="AQ61" s="96" t="n">
        <x:v>0</x:v>
      </x:c>
      <x:c r="AR61" s="2" t="str">
        <x:v>Standard Hastings ranking</x:v>
      </x:c>
    </x:row>
    <x:row r="62">
      <x:c r="A62" s="4" t="str">
        <x:v>No</x:v>
      </x:c>
      <x:c r="B62" s="4" t="str">
        <x:v>B</x:v>
      </x:c>
      <x:c r="C62" s="4" t="str">
        <x:v>Whitetail Deer</x:v>
      </x:c>
      <x:c r="D62" s="4" t="str">
        <x:v>Lake Whitney SP</x:v>
      </x:c>
      <x:c r="E62" s="4" t="str">
        <x:v>Central Texas / Austin</x:v>
      </x:c>
      <x:c r="F62" s="4" t="str">
        <x:v>E-Postcard Youth Archery Deer</x:v>
      </x:c>
      <x:c r="G62" s="4" t="str">
        <x:v>No</x:v>
      </x:c>
      <x:c r="H62" s="4" t="str">
        <x:v>Yes</x:v>
      </x:c>
      <x:c r="I62" s="24" t="str">
        <x:v>2026-09-01</x:v>
      </x:c>
      <x:c r="J62" s="4" t="str">
        <x:v>See TPWD category page</x:v>
      </x:c>
      <x:c r="K62" s="110" t="n">
        <x:v>0</x:v>
      </x:c>
      <x:c r="L62" s="110" t="n">
        <x:v>0</x:v>
      </x:c>
      <x:c r="M62" s="4"/>
      <x:c r="N62" s="4"/>
      <x:c r="O62" s="112"/>
      <x:c r="P62" s="4" t="n">
        <x:v>490</x:v>
      </x:c>
      <x:c r="Q62" s="4" t="str">
        <x:v>Statewide</x:v>
      </x:c>
      <x:c r="R62" s="4" t="str">
        <x:v>Research before draw; property brochure linked from TPWD</x:v>
      </x:c>
      <x:c r="S62" s="4" t="str">
        <x:v>Low</x:v>
      </x:c>
      <x:c r="T62" s="4" t="str">
        <x:v>No</x:v>
      </x:c>
      <x:c r="U62" s="4" t="str">
        <x:v>Verified in TPWD 2026-2027 statewide deer category catalog. APH/eligibility rules apply; confirm account and permit requirements. V5 preference rule: Lower priority: archery whitetail is more than 200 miles from Amarillo.</x:v>
      </x:c>
      <x:c r="V62" s="4" t="str">
        <x:v>https://tpwd.texas.gov/huntwild/hunt/public/public_hunt_drawing/hunt-category-details.phtml?OCat=EYA</x:v>
      </x:c>
      <x:c r="W62" s="4" t="n">
        <x:v>2</x:v>
      </x:c>
      <x:c r="X62" s="4" t="n">
        <x:v>2</x:v>
      </x:c>
      <x:c r="Y62" s="4" t="n">
        <x:v>5</x:v>
      </x:c>
      <x:c r="Z62" s="4" t="n">
        <x:v>3</x:v>
      </x:c>
      <x:c r="AA62" s="4" t="n">
        <x:v>2</x:v>
      </x:c>
      <x:c r="AB62" s="4" t="n">
        <x:v>0</x:v>
      </x:c>
      <x:c r="AC62" s="30" t="n">
        <x:v>1.5</x:v>
      </x:c>
      <x:c r="AD62" s="4" t="n">
        <x:v>0</x:v>
      </x:c>
      <x:c r="AE62" s="4" t="str">
        <x:v>2026-09-01</x:v>
      </x:c>
      <x:c r="AF62" s="2"/>
      <x:c r="AG62" s="97"/>
      <x:c r="AH62" s="2"/>
      <x:c r="AI62" s="2"/>
      <x:c r="AJ62" s="97"/>
      <x:c r="AK62" s="2"/>
      <x:c r="AL62" s="2"/>
      <x:c r="AM62" s="2" t="str">
        <x:v>https://tpwd.texas.gov/huntwild/hunt/public/public_hunt_drawing/hunt-category-details.phtml?OCat=EYA</x:v>
      </x:c>
      <x:c r="AN62" s="2" t="str">
        <x:v>https://tpwd.texas.gov/search/?q=Lake+Whitney+SP+public+hunting+brochure</x:v>
      </x:c>
      <x:c r="AO62" s="2" t="str">
        <x:v>https://apps.tpwd.state.tx.us/huntwild/hunt/public/public_hunt_drawing/</x:v>
      </x:c>
      <x:c r="AP62" s="2" t="str">
        <x:v>https://www.google.com/maps/search/?api=1&amp;query=Lake+Whitney+SP%2C+Texas</x:v>
      </x:c>
      <x:c r="AQ62" s="96" t="n">
        <x:v>-1</x:v>
      </x:c>
      <x:c r="AR62" s="2" t="str">
        <x:v>Lower priority: archery whitetail is more than 200 miles from Amarillo</x:v>
      </x:c>
    </x:row>
    <x:row r="63">
      <x:c r="A63" s="4" t="str">
        <x:v>No</x:v>
      </x:c>
      <x:c r="B63" s="4" t="str">
        <x:v>B</x:v>
      </x:c>
      <x:c r="C63" s="4" t="str">
        <x:v>Whitetail Deer</x:v>
      </x:c>
      <x:c r="D63" s="4" t="str">
        <x:v>Mad Island WMA</x:v>
      </x:c>
      <x:c r="E63" s="4" t="str">
        <x:v>Houston / Gulf Coast</x:v>
      </x:c>
      <x:c r="F63" s="4" t="str">
        <x:v>E-Postcard Youth Archery Deer</x:v>
      </x:c>
      <x:c r="G63" s="4" t="str">
        <x:v>No</x:v>
      </x:c>
      <x:c r="H63" s="4" t="str">
        <x:v>Yes</x:v>
      </x:c>
      <x:c r="I63" s="24" t="str">
        <x:v>2026-09-01</x:v>
      </x:c>
      <x:c r="J63" s="4" t="str">
        <x:v>See TPWD category page</x:v>
      </x:c>
      <x:c r="K63" s="110" t="n">
        <x:v>0</x:v>
      </x:c>
      <x:c r="L63" s="110" t="n">
        <x:v>0</x:v>
      </x:c>
      <x:c r="M63" s="4"/>
      <x:c r="N63" s="4"/>
      <x:c r="O63" s="112"/>
      <x:c r="P63" s="4" t="n">
        <x:v>610</x:v>
      </x:c>
      <x:c r="Q63" s="4" t="str">
        <x:v>Long Haul</x:v>
      </x:c>
      <x:c r="R63" s="4" t="str">
        <x:v>Research before draw; property brochure linked from TPWD</x:v>
      </x:c>
      <x:c r="S63" s="4" t="str">
        <x:v>Low</x:v>
      </x:c>
      <x:c r="T63" s="4" t="str">
        <x:v>No</x:v>
      </x:c>
      <x:c r="U63" s="4" t="str">
        <x:v>Verified in TPWD 2026-2027 statewide deer category catalog. APH/eligibility rules apply; confirm account and permit requirements. V5 preference rule: Lower priority: archery whitetail is more than 200 miles from Amarillo.</x:v>
      </x:c>
      <x:c r="V63" s="4" t="str">
        <x:v>https://tpwd.texas.gov/huntwild/hunt/public/public_hunt_drawing/hunt-category-details.phtml?OCat=EYA</x:v>
      </x:c>
      <x:c r="W63" s="4" t="n">
        <x:v>2</x:v>
      </x:c>
      <x:c r="X63" s="4" t="n">
        <x:v>1</x:v>
      </x:c>
      <x:c r="Y63" s="4" t="n">
        <x:v>5</x:v>
      </x:c>
      <x:c r="Z63" s="4" t="n">
        <x:v>3</x:v>
      </x:c>
      <x:c r="AA63" s="4" t="n">
        <x:v>2</x:v>
      </x:c>
      <x:c r="AB63" s="4" t="n">
        <x:v>0</x:v>
      </x:c>
      <x:c r="AC63" s="30" t="n">
        <x:v>1.4</x:v>
      </x:c>
      <x:c r="AD63" s="4" t="n">
        <x:v>0</x:v>
      </x:c>
      <x:c r="AE63" s="4" t="str">
        <x:v>2026-09-01</x:v>
      </x:c>
      <x:c r="AF63" s="2"/>
      <x:c r="AG63" s="97"/>
      <x:c r="AH63" s="2"/>
      <x:c r="AI63" s="2"/>
      <x:c r="AJ63" s="97"/>
      <x:c r="AK63" s="2"/>
      <x:c r="AL63" s="2"/>
      <x:c r="AM63" s="2" t="str">
        <x:v>https://tpwd.texas.gov/huntwild/hunt/public/public_hunt_drawing/hunt-category-details.phtml?OCat=EYA</x:v>
      </x:c>
      <x:c r="AN63" s="2" t="str">
        <x:v>https://tpwd.texas.gov/search/?q=Mad+Island+WMA+public+hunting+brochure</x:v>
      </x:c>
      <x:c r="AO63" s="2" t="str">
        <x:v>https://apps.tpwd.state.tx.us/huntwild/hunt/public/public_hunt_drawing/</x:v>
      </x:c>
      <x:c r="AP63" s="2" t="str">
        <x:v>https://www.google.com/maps/search/?api=1&amp;query=Mad+Island+WMA%2C+Texas</x:v>
      </x:c>
      <x:c r="AQ63" s="96" t="n">
        <x:v>-1</x:v>
      </x:c>
      <x:c r="AR63" s="2" t="str">
        <x:v>Lower priority: archery whitetail is more than 200 miles from Amarillo</x:v>
      </x:c>
    </x:row>
    <x:row r="64">
      <x:c r="A64" s="4" t="str">
        <x:v>No</x:v>
      </x:c>
      <x:c r="B64" s="4" t="str">
        <x:v>A</x:v>
      </x:c>
      <x:c r="C64" s="4" t="str">
        <x:v>Whitetail Deer</x:v>
      </x:c>
      <x:c r="D64" s="4" t="str">
        <x:v>Masterson State Forest</x:v>
      </x:c>
      <x:c r="E64" s="4" t="str">
        <x:v>East Texas / Pineywoods</x:v>
      </x:c>
      <x:c r="F64" s="4" t="str">
        <x:v>Youth Gun Deer - Either Sex</x:v>
      </x:c>
      <x:c r="G64" s="4" t="str">
        <x:v>No</x:v>
      </x:c>
      <x:c r="H64" s="4" t="str">
        <x:v>Yes</x:v>
      </x:c>
      <x:c r="I64" s="24" t="str">
        <x:v>2026-09-01</x:v>
      </x:c>
      <x:c r="J64" s="4" t="str">
        <x:v>See TPWD category page</x:v>
      </x:c>
      <x:c r="K64" s="110" t="n">
        <x:v>0</x:v>
      </x:c>
      <x:c r="L64" s="110" t="n">
        <x:v>0</x:v>
      </x:c>
      <x:c r="M64" s="4"/>
      <x:c r="N64" s="4"/>
      <x:c r="O64" s="112"/>
      <x:c r="P64" s="4" t="n">
        <x:v>570</x:v>
      </x:c>
      <x:c r="Q64" s="4" t="str">
        <x:v>Statewide</x:v>
      </x:c>
      <x:c r="R64" s="4" t="str">
        <x:v>Research before draw; property brochure linked from TPWD</x:v>
      </x:c>
      <x:c r="S64" s="4" t="str">
        <x:v>Low</x:v>
      </x:c>
      <x:c r="T64" s="4" t="str">
        <x:v>No</x:v>
      </x:c>
      <x:c r="U64" s="4" t="str">
        <x:v>Verified in TPWD 2026-2027 statewide deer category catalog.</x:v>
      </x:c>
      <x:c r="V64" s="4" t="str">
        <x:v>https://tpwd.texas.gov/huntwild/hunt/public/public_hunt_drawing/hunt-category-details.phtml?OCat=YDE</x:v>
      </x:c>
      <x:c r="W64" s="4" t="n">
        <x:v>2</x:v>
      </x:c>
      <x:c r="X64" s="4" t="n">
        <x:v>2</x:v>
      </x:c>
      <x:c r="Y64" s="4" t="n">
        <x:v>5</x:v>
      </x:c>
      <x:c r="Z64" s="4" t="n">
        <x:v>3</x:v>
      </x:c>
      <x:c r="AA64" s="4" t="n">
        <x:v>2</x:v>
      </x:c>
      <x:c r="AB64" s="4" t="n">
        <x:v>0</x:v>
      </x:c>
      <x:c r="AC64" s="30" t="n">
        <x:v>2.5</x:v>
      </x:c>
      <x:c r="AD64" s="4" t="n">
        <x:v>0</x:v>
      </x:c>
      <x:c r="AE64" s="4" t="str">
        <x:v>2026-09-01</x:v>
      </x:c>
      <x:c r="AF64" s="2"/>
      <x:c r="AG64" s="97"/>
      <x:c r="AH64" s="2"/>
      <x:c r="AI64" s="2"/>
      <x:c r="AJ64" s="97"/>
      <x:c r="AK64" s="2"/>
      <x:c r="AL64" s="2"/>
      <x:c r="AM64" s="2" t="str">
        <x:v>https://tpwd.texas.gov/huntwild/hunt/public/public_hunt_drawing/hunt-category-details.phtml?OCat=YDE</x:v>
      </x:c>
      <x:c r="AN64" s="2" t="str">
        <x:v>https://tpwd.texas.gov/search/?q=Masterson+State+Forest+public+hunting+brochure</x:v>
      </x:c>
      <x:c r="AO64" s="2" t="str">
        <x:v>https://apps.tpwd.state.tx.us/huntwild/hunt/public/public_hunt_drawing/</x:v>
      </x:c>
      <x:c r="AP64" s="2" t="str">
        <x:v>https://www.google.com/maps/search/?api=1&amp;query=Masterson+State+Forest%2C+Texas</x:v>
      </x:c>
      <x:c r="AQ64" s="96" t="n">
        <x:v>0</x:v>
      </x:c>
      <x:c r="AR64" s="2" t="str">
        <x:v>Standard Hastings ranking</x:v>
      </x:c>
    </x:row>
    <x:row r="65">
      <x:c r="A65" s="4" t="str">
        <x:v>No</x:v>
      </x:c>
      <x:c r="B65" s="4" t="str">
        <x:v>A</x:v>
      </x:c>
      <x:c r="C65" s="4" t="str">
        <x:v>Whitetail Deer</x:v>
      </x:c>
      <x:c r="D65" s="4" t="str">
        <x:v>Matagorda Island WMA</x:v>
      </x:c>
      <x:c r="E65" s="4" t="str">
        <x:v>Houston / Gulf Coast</x:v>
      </x:c>
      <x:c r="F65" s="4" t="str">
        <x:v>Youth Gun Deer - Either Sex</x:v>
      </x:c>
      <x:c r="G65" s="4" t="str">
        <x:v>No</x:v>
      </x:c>
      <x:c r="H65" s="4" t="str">
        <x:v>Yes</x:v>
      </x:c>
      <x:c r="I65" s="24" t="str">
        <x:v>2026-09-01</x:v>
      </x:c>
      <x:c r="J65" s="4" t="str">
        <x:v>See TPWD category page</x:v>
      </x:c>
      <x:c r="K65" s="110" t="n">
        <x:v>0</x:v>
      </x:c>
      <x:c r="L65" s="110" t="n">
        <x:v>0</x:v>
      </x:c>
      <x:c r="M65" s="4"/>
      <x:c r="N65" s="4"/>
      <x:c r="O65" s="112"/>
      <x:c r="P65" s="4" t="n">
        <x:v>610</x:v>
      </x:c>
      <x:c r="Q65" s="4" t="str">
        <x:v>Long Haul</x:v>
      </x:c>
      <x:c r="R65" s="4" t="str">
        <x:v>Research before draw; property brochure linked from TPWD</x:v>
      </x:c>
      <x:c r="S65" s="4" t="str">
        <x:v>Low</x:v>
      </x:c>
      <x:c r="T65" s="4" t="str">
        <x:v>No</x:v>
      </x:c>
      <x:c r="U65" s="4" t="str">
        <x:v>Verified in TPWD 2026-2027 statewide deer category catalog.</x:v>
      </x:c>
      <x:c r="V65" s="4" t="str">
        <x:v>https://tpwd.texas.gov/huntwild/hunt/public/public_hunt_drawing/hunt-category-details.phtml?OCat=YDE</x:v>
      </x:c>
      <x:c r="W65" s="4" t="n">
        <x:v>2</x:v>
      </x:c>
      <x:c r="X65" s="4" t="n">
        <x:v>1</x:v>
      </x:c>
      <x:c r="Y65" s="4" t="n">
        <x:v>5</x:v>
      </x:c>
      <x:c r="Z65" s="4" t="n">
        <x:v>3</x:v>
      </x:c>
      <x:c r="AA65" s="4" t="n">
        <x:v>2</x:v>
      </x:c>
      <x:c r="AB65" s="4" t="n">
        <x:v>0</x:v>
      </x:c>
      <x:c r="AC65" s="30" t="n">
        <x:v>2.4</x:v>
      </x:c>
      <x:c r="AD65" s="4" t="n">
        <x:v>0</x:v>
      </x:c>
      <x:c r="AE65" s="4" t="str">
        <x:v>2026-09-01</x:v>
      </x:c>
      <x:c r="AF65" s="2"/>
      <x:c r="AG65" s="97"/>
      <x:c r="AH65" s="2"/>
      <x:c r="AI65" s="2"/>
      <x:c r="AJ65" s="97"/>
      <x:c r="AK65" s="2"/>
      <x:c r="AL65" s="2"/>
      <x:c r="AM65" s="2" t="str">
        <x:v>https://tpwd.texas.gov/huntwild/hunt/public/public_hunt_drawing/hunt-category-details.phtml?OCat=YDE</x:v>
      </x:c>
      <x:c r="AN65" s="2" t="str">
        <x:v>https://tpwd.texas.gov/search/?q=Matagorda+Island+WMA+public+hunting+brochure</x:v>
      </x:c>
      <x:c r="AO65" s="2" t="str">
        <x:v>https://apps.tpwd.state.tx.us/huntwild/hunt/public/public_hunt_drawing/</x:v>
      </x:c>
      <x:c r="AP65" s="2" t="str">
        <x:v>https://www.google.com/maps/search/?api=1&amp;query=Matagorda+Island+WMA%2C+Texas</x:v>
      </x:c>
      <x:c r="AQ65" s="96" t="n">
        <x:v>0</x:v>
      </x:c>
      <x:c r="AR65" s="2" t="str">
        <x:v>Standard Hastings ranking</x:v>
      </x:c>
    </x:row>
    <x:row r="66">
      <x:c r="A66" s="4" t="str">
        <x:v>No</x:v>
      </x:c>
      <x:c r="B66" s="4" t="str">
        <x:v>A</x:v>
      </x:c>
      <x:c r="C66" s="4" t="str">
        <x:v>Whitetail Deer</x:v>
      </x:c>
      <x:c r="D66" s="4" t="str">
        <x:v>Nannie Stringfellow WMA</x:v>
      </x:c>
      <x:c r="E66" s="4" t="str">
        <x:v>Houston / Gulf Coast</x:v>
      </x:c>
      <x:c r="F66" s="4" t="str">
        <x:v>Youth Gun Deer - Either Sex</x:v>
      </x:c>
      <x:c r="G66" s="4" t="str">
        <x:v>No</x:v>
      </x:c>
      <x:c r="H66" s="4" t="str">
        <x:v>Yes</x:v>
      </x:c>
      <x:c r="I66" s="24" t="str">
        <x:v>2026-09-01</x:v>
      </x:c>
      <x:c r="J66" s="4" t="str">
        <x:v>See TPWD category page</x:v>
      </x:c>
      <x:c r="K66" s="110" t="n">
        <x:v>0</x:v>
      </x:c>
      <x:c r="L66" s="110" t="n">
        <x:v>0</x:v>
      </x:c>
      <x:c r="M66" s="4"/>
      <x:c r="N66" s="4"/>
      <x:c r="O66" s="112"/>
      <x:c r="P66" s="4" t="n">
        <x:v>610</x:v>
      </x:c>
      <x:c r="Q66" s="4" t="str">
        <x:v>Long Haul</x:v>
      </x:c>
      <x:c r="R66" s="4" t="str">
        <x:v>Research before draw; property brochure linked from TPWD</x:v>
      </x:c>
      <x:c r="S66" s="4" t="str">
        <x:v>Low</x:v>
      </x:c>
      <x:c r="T66" s="4" t="str">
        <x:v>No</x:v>
      </x:c>
      <x:c r="U66" s="4" t="str">
        <x:v>Verified in TPWD 2026-2027 statewide deer category catalog.</x:v>
      </x:c>
      <x:c r="V66" s="4" t="str">
        <x:v>https://tpwd.texas.gov/huntwild/hunt/public/public_hunt_drawing/hunt-category-details.phtml?OCat=YDE</x:v>
      </x:c>
      <x:c r="W66" s="4" t="n">
        <x:v>2</x:v>
      </x:c>
      <x:c r="X66" s="4" t="n">
        <x:v>1</x:v>
      </x:c>
      <x:c r="Y66" s="4" t="n">
        <x:v>5</x:v>
      </x:c>
      <x:c r="Z66" s="4" t="n">
        <x:v>3</x:v>
      </x:c>
      <x:c r="AA66" s="4" t="n">
        <x:v>2</x:v>
      </x:c>
      <x:c r="AB66" s="4" t="n">
        <x:v>0</x:v>
      </x:c>
      <x:c r="AC66" s="30" t="n">
        <x:v>2.4</x:v>
      </x:c>
      <x:c r="AD66" s="4" t="n">
        <x:v>0</x:v>
      </x:c>
      <x:c r="AE66" s="4" t="str">
        <x:v>2026-09-01</x:v>
      </x:c>
      <x:c r="AF66" s="2"/>
      <x:c r="AG66" s="97"/>
      <x:c r="AH66" s="2"/>
      <x:c r="AI66" s="2"/>
      <x:c r="AJ66" s="97"/>
      <x:c r="AK66" s="2"/>
      <x:c r="AL66" s="2"/>
      <x:c r="AM66" s="2" t="str">
        <x:v>https://tpwd.texas.gov/huntwild/hunt/public/public_hunt_drawing/hunt-category-details.phtml?OCat=YDE</x:v>
      </x:c>
      <x:c r="AN66" s="2" t="str">
        <x:v>https://tpwd.texas.gov/search/?q=Nannie+Stringfellow+WMA+public+hunting+brochure</x:v>
      </x:c>
      <x:c r="AO66" s="2" t="str">
        <x:v>https://apps.tpwd.state.tx.us/huntwild/hunt/public/public_hunt_drawing/</x:v>
      </x:c>
      <x:c r="AP66" s="2" t="str">
        <x:v>https://www.google.com/maps/search/?api=1&amp;query=Nannie+Stringfellow+WMA%2C+Texas</x:v>
      </x:c>
      <x:c r="AQ66" s="96" t="n">
        <x:v>0</x:v>
      </x:c>
      <x:c r="AR66" s="2" t="str">
        <x:v>Standard Hastings ranking</x:v>
      </x:c>
    </x:row>
    <x:row r="67">
      <x:c r="A67" s="4" t="str">
        <x:v>No</x:v>
      </x:c>
      <x:c r="B67" s="4" t="str">
        <x:v>A</x:v>
      </x:c>
      <x:c r="C67" s="4" t="str">
        <x:v>Whitetail Deer</x:v>
      </x:c>
      <x:c r="D67" s="4" t="str">
        <x:v>Old Sabine Bottom WMA</x:v>
      </x:c>
      <x:c r="E67" s="4" t="str">
        <x:v>East Texas / Pineywoods</x:v>
      </x:c>
      <x:c r="F67" s="4" t="str">
        <x:v>Youth Gun Deer - Either Sex</x:v>
      </x:c>
      <x:c r="G67" s="4" t="str">
        <x:v>No</x:v>
      </x:c>
      <x:c r="H67" s="4" t="str">
        <x:v>Yes</x:v>
      </x:c>
      <x:c r="I67" s="24" t="str">
        <x:v>2026-09-01</x:v>
      </x:c>
      <x:c r="J67" s="4" t="str">
        <x:v>See TPWD category page</x:v>
      </x:c>
      <x:c r="K67" s="110" t="n">
        <x:v>0</x:v>
      </x:c>
      <x:c r="L67" s="110" t="n">
        <x:v>0</x:v>
      </x:c>
      <x:c r="M67" s="4"/>
      <x:c r="N67" s="4"/>
      <x:c r="O67" s="112"/>
      <x:c r="P67" s="4" t="n">
        <x:v>570</x:v>
      </x:c>
      <x:c r="Q67" s="4" t="str">
        <x:v>Statewide</x:v>
      </x:c>
      <x:c r="R67" s="4" t="str">
        <x:v>Research before draw; property brochure linked from TPWD</x:v>
      </x:c>
      <x:c r="S67" s="4" t="str">
        <x:v>Low</x:v>
      </x:c>
      <x:c r="T67" s="4" t="str">
        <x:v>No</x:v>
      </x:c>
      <x:c r="U67" s="4" t="str">
        <x:v>Verified in TPWD 2026-2027 statewide deer category catalog.</x:v>
      </x:c>
      <x:c r="V67" s="4" t="str">
        <x:v>https://tpwd.texas.gov/huntwild/hunt/public/public_hunt_drawing/hunt-category-details.phtml?OCat=YDE</x:v>
      </x:c>
      <x:c r="W67" s="4" t="n">
        <x:v>2</x:v>
      </x:c>
      <x:c r="X67" s="4" t="n">
        <x:v>2</x:v>
      </x:c>
      <x:c r="Y67" s="4" t="n">
        <x:v>5</x:v>
      </x:c>
      <x:c r="Z67" s="4" t="n">
        <x:v>3</x:v>
      </x:c>
      <x:c r="AA67" s="4" t="n">
        <x:v>2</x:v>
      </x:c>
      <x:c r="AB67" s="4" t="n">
        <x:v>0</x:v>
      </x:c>
      <x:c r="AC67" s="30" t="n">
        <x:v>2.5</x:v>
      </x:c>
      <x:c r="AD67" s="4" t="n">
        <x:v>0</x:v>
      </x:c>
      <x:c r="AE67" s="4" t="str">
        <x:v>2026-09-01</x:v>
      </x:c>
      <x:c r="AF67" s="2"/>
      <x:c r="AG67" s="97"/>
      <x:c r="AH67" s="2"/>
      <x:c r="AI67" s="2"/>
      <x:c r="AJ67" s="97"/>
      <x:c r="AK67" s="2"/>
      <x:c r="AL67" s="2"/>
      <x:c r="AM67" s="2" t="str">
        <x:v>https://tpwd.texas.gov/huntwild/hunt/public/public_hunt_drawing/hunt-category-details.phtml?OCat=YDE</x:v>
      </x:c>
      <x:c r="AN67" s="2" t="str">
        <x:v>https://tpwd.texas.gov/search/?q=Old+Sabine+Bottom+WMA+public+hunting+brochure</x:v>
      </x:c>
      <x:c r="AO67" s="2" t="str">
        <x:v>https://apps.tpwd.state.tx.us/huntwild/hunt/public/public_hunt_drawing/</x:v>
      </x:c>
      <x:c r="AP67" s="2" t="str">
        <x:v>https://www.google.com/maps/search/?api=1&amp;query=Old+Sabine+Bottom+WMA%2C+Texas</x:v>
      </x:c>
      <x:c r="AQ67" s="96" t="n">
        <x:v>0</x:v>
      </x:c>
      <x:c r="AR67" s="2" t="str">
        <x:v>Standard Hastings ranking</x:v>
      </x:c>
    </x:row>
    <x:row r="68">
      <x:c r="A68" s="4" t="str">
        <x:v>No</x:v>
      </x:c>
      <x:c r="B68" s="4" t="str">
        <x:v>A</x:v>
      </x:c>
      <x:c r="C68" s="4" t="str">
        <x:v>Whitetail Deer</x:v>
      </x:c>
      <x:c r="D68" s="4" t="str">
        <x:v>Pedernales Falls SP</x:v>
      </x:c>
      <x:c r="E68" s="4" t="str">
        <x:v>Hill Country / San Antonio</x:v>
      </x:c>
      <x:c r="F68" s="4" t="str">
        <x:v>Youth Gun Deer - Either Sex</x:v>
      </x:c>
      <x:c r="G68" s="4" t="str">
        <x:v>No</x:v>
      </x:c>
      <x:c r="H68" s="4" t="str">
        <x:v>Yes</x:v>
      </x:c>
      <x:c r="I68" s="24" t="str">
        <x:v>2026-09-01</x:v>
      </x:c>
      <x:c r="J68" s="4" t="str">
        <x:v>See TPWD category page</x:v>
      </x:c>
      <x:c r="K68" s="110" t="n">
        <x:v>0</x:v>
      </x:c>
      <x:c r="L68" s="110" t="n">
        <x:v>0</x:v>
      </x:c>
      <x:c r="M68" s="4"/>
      <x:c r="N68" s="4"/>
      <x:c r="O68" s="112"/>
      <x:c r="P68" s="4" t="n">
        <x:v>520</x:v>
      </x:c>
      <x:c r="Q68" s="4" t="str">
        <x:v>Statewide</x:v>
      </x:c>
      <x:c r="R68" s="4" t="str">
        <x:v>Research before draw; property brochure linked from TPWD</x:v>
      </x:c>
      <x:c r="S68" s="4" t="str">
        <x:v>Low</x:v>
      </x:c>
      <x:c r="T68" s="4" t="str">
        <x:v>No</x:v>
      </x:c>
      <x:c r="U68" s="4" t="str">
        <x:v>Verified in TPWD 2026-2027 statewide deer category catalog.</x:v>
      </x:c>
      <x:c r="V68" s="4" t="str">
        <x:v>https://tpwd.texas.gov/huntwild/hunt/public/public_hunt_drawing/hunt-category-details.phtml?OCat=YDE</x:v>
      </x:c>
      <x:c r="W68" s="4" t="n">
        <x:v>2</x:v>
      </x:c>
      <x:c r="X68" s="4" t="n">
        <x:v>2</x:v>
      </x:c>
      <x:c r="Y68" s="4" t="n">
        <x:v>5</x:v>
      </x:c>
      <x:c r="Z68" s="4" t="n">
        <x:v>3</x:v>
      </x:c>
      <x:c r="AA68" s="4" t="n">
        <x:v>2</x:v>
      </x:c>
      <x:c r="AB68" s="4" t="n">
        <x:v>0</x:v>
      </x:c>
      <x:c r="AC68" s="30" t="n">
        <x:v>2.5</x:v>
      </x:c>
      <x:c r="AD68" s="4" t="n">
        <x:v>0</x:v>
      </x:c>
      <x:c r="AE68" s="4" t="str">
        <x:v>2026-09-01</x:v>
      </x:c>
      <x:c r="AF68" s="2"/>
      <x:c r="AG68" s="97"/>
      <x:c r="AH68" s="2"/>
      <x:c r="AI68" s="2"/>
      <x:c r="AJ68" s="97"/>
      <x:c r="AK68" s="2"/>
      <x:c r="AL68" s="2"/>
      <x:c r="AM68" s="2" t="str">
        <x:v>https://tpwd.texas.gov/huntwild/hunt/public/public_hunt_drawing/hunt-category-details.phtml?OCat=YDE</x:v>
      </x:c>
      <x:c r="AN68" s="2" t="str">
        <x:v>https://tpwd.texas.gov/search/?q=Pedernales+Falls+SP+public+hunting+brochure</x:v>
      </x:c>
      <x:c r="AO68" s="2" t="str">
        <x:v>https://apps.tpwd.state.tx.us/huntwild/hunt/public/public_hunt_drawing/</x:v>
      </x:c>
      <x:c r="AP68" s="2" t="str">
        <x:v>https://www.google.com/maps/search/?api=1&amp;query=Pedernales+Falls+SP%2C+Texas</x:v>
      </x:c>
      <x:c r="AQ68" s="96" t="n">
        <x:v>0</x:v>
      </x:c>
      <x:c r="AR68" s="2" t="str">
        <x:v>Standard Hastings ranking</x:v>
      </x:c>
    </x:row>
    <x:row r="69">
      <x:c r="A69" s="4" t="str">
        <x:v>No</x:v>
      </x:c>
      <x:c r="B69" s="4" t="str">
        <x:v>A</x:v>
      </x:c>
      <x:c r="C69" s="4" t="str">
        <x:v>Whitetail Deer</x:v>
      </x:c>
      <x:c r="D69" s="4" t="str">
        <x:v>Post Oak Ridge State Park</x:v>
      </x:c>
      <x:c r="E69" s="4" t="str">
        <x:v>Statewide / Other</x:v>
      </x:c>
      <x:c r="F69" s="4" t="str">
        <x:v>Youth Gun Deer - Either Sex</x:v>
      </x:c>
      <x:c r="G69" s="4" t="str">
        <x:v>No</x:v>
      </x:c>
      <x:c r="H69" s="4" t="str">
        <x:v>Yes</x:v>
      </x:c>
      <x:c r="I69" s="24" t="str">
        <x:v>2026-09-01</x:v>
      </x:c>
      <x:c r="J69" s="4" t="str">
        <x:v>See TPWD category page</x:v>
      </x:c>
      <x:c r="K69" s="110" t="n">
        <x:v>0</x:v>
      </x:c>
      <x:c r="L69" s="110" t="n">
        <x:v>0</x:v>
      </x:c>
      <x:c r="M69" s="4"/>
      <x:c r="N69" s="4"/>
      <x:c r="O69" s="112"/>
      <x:c r="P69" s="4" t="n">
        <x:v>500</x:v>
      </x:c>
      <x:c r="Q69" s="4" t="str">
        <x:v>Statewide</x:v>
      </x:c>
      <x:c r="R69" s="4" t="str">
        <x:v>Research before draw; property brochure linked from TPWD</x:v>
      </x:c>
      <x:c r="S69" s="4" t="str">
        <x:v>Low</x:v>
      </x:c>
      <x:c r="T69" s="4" t="str">
        <x:v>No</x:v>
      </x:c>
      <x:c r="U69" s="4" t="str">
        <x:v>Verified in TPWD 2026-2027 statewide deer category catalog.</x:v>
      </x:c>
      <x:c r="V69" s="4" t="str">
        <x:v>https://tpwd.texas.gov/huntwild/hunt/public/public_hunt_drawing/hunt-category-details.phtml?OCat=YDE</x:v>
      </x:c>
      <x:c r="W69" s="4" t="n">
        <x:v>2</x:v>
      </x:c>
      <x:c r="X69" s="4" t="n">
        <x:v>2</x:v>
      </x:c>
      <x:c r="Y69" s="4" t="n">
        <x:v>5</x:v>
      </x:c>
      <x:c r="Z69" s="4" t="n">
        <x:v>3</x:v>
      </x:c>
      <x:c r="AA69" s="4" t="n">
        <x:v>2</x:v>
      </x:c>
      <x:c r="AB69" s="4" t="n">
        <x:v>0</x:v>
      </x:c>
      <x:c r="AC69" s="30" t="n">
        <x:v>2.5</x:v>
      </x:c>
      <x:c r="AD69" s="4" t="n">
        <x:v>0</x:v>
      </x:c>
      <x:c r="AE69" s="4" t="str">
        <x:v>2026-09-01</x:v>
      </x:c>
      <x:c r="AF69" s="2"/>
      <x:c r="AG69" s="97"/>
      <x:c r="AH69" s="2"/>
      <x:c r="AI69" s="2"/>
      <x:c r="AJ69" s="97"/>
      <x:c r="AK69" s="2"/>
      <x:c r="AL69" s="2"/>
      <x:c r="AM69" s="2" t="str">
        <x:v>https://tpwd.texas.gov/huntwild/hunt/public/public_hunt_drawing/hunt-category-details.phtml?OCat=YDE</x:v>
      </x:c>
      <x:c r="AN69" s="2" t="str">
        <x:v>https://tpwd.texas.gov/search/?q=Post+Oak+Ridge+State+Park+public+hunting+brochure</x:v>
      </x:c>
      <x:c r="AO69" s="2" t="str">
        <x:v>https://apps.tpwd.state.tx.us/huntwild/hunt/public/public_hunt_drawing/</x:v>
      </x:c>
      <x:c r="AP69" s="2" t="str">
        <x:v>https://www.google.com/maps/search/?api=1&amp;query=Post+Oak+Ridge+State+Park%2C+Texas</x:v>
      </x:c>
      <x:c r="AQ69" s="96" t="n">
        <x:v>0</x:v>
      </x:c>
      <x:c r="AR69" s="2" t="str">
        <x:v>Standard Hastings ranking</x:v>
      </x:c>
    </x:row>
    <x:row r="70">
      <x:c r="A70" s="4" t="str">
        <x:v>No</x:v>
      </x:c>
      <x:c r="B70" s="4" t="str">
        <x:v>A</x:v>
      </x:c>
      <x:c r="C70" s="4" t="str">
        <x:v>Whitetail Deer</x:v>
      </x:c>
      <x:c r="D70" s="4" t="str">
        <x:v>Powderhorn State Park</x:v>
      </x:c>
      <x:c r="E70" s="4" t="str">
        <x:v>Houston / Gulf Coast</x:v>
      </x:c>
      <x:c r="F70" s="4" t="str">
        <x:v>Youth Gun Deer - Either Sex</x:v>
      </x:c>
      <x:c r="G70" s="4" t="str">
        <x:v>No</x:v>
      </x:c>
      <x:c r="H70" s="4" t="str">
        <x:v>Yes</x:v>
      </x:c>
      <x:c r="I70" s="24" t="str">
        <x:v>2026-09-01</x:v>
      </x:c>
      <x:c r="J70" s="4" t="str">
        <x:v>See TPWD category page</x:v>
      </x:c>
      <x:c r="K70" s="110" t="n">
        <x:v>0</x:v>
      </x:c>
      <x:c r="L70" s="110" t="n">
        <x:v>0</x:v>
      </x:c>
      <x:c r="M70" s="4"/>
      <x:c r="N70" s="4"/>
      <x:c r="O70" s="112"/>
      <x:c r="P70" s="4" t="n">
        <x:v>610</x:v>
      </x:c>
      <x:c r="Q70" s="4" t="str">
        <x:v>Long Haul</x:v>
      </x:c>
      <x:c r="R70" s="4" t="str">
        <x:v>Research before draw; property brochure linked from TPWD</x:v>
      </x:c>
      <x:c r="S70" s="4" t="str">
        <x:v>Low</x:v>
      </x:c>
      <x:c r="T70" s="4" t="str">
        <x:v>No</x:v>
      </x:c>
      <x:c r="U70" s="4" t="str">
        <x:v>Verified in TPWD 2026-2027 statewide deer category catalog.</x:v>
      </x:c>
      <x:c r="V70" s="4" t="str">
        <x:v>https://tpwd.texas.gov/huntwild/hunt/public/public_hunt_drawing/hunt-category-details.phtml?OCat=YDE</x:v>
      </x:c>
      <x:c r="W70" s="4" t="n">
        <x:v>2</x:v>
      </x:c>
      <x:c r="X70" s="4" t="n">
        <x:v>1</x:v>
      </x:c>
      <x:c r="Y70" s="4" t="n">
        <x:v>5</x:v>
      </x:c>
      <x:c r="Z70" s="4" t="n">
        <x:v>3</x:v>
      </x:c>
      <x:c r="AA70" s="4" t="n">
        <x:v>2</x:v>
      </x:c>
      <x:c r="AB70" s="4" t="n">
        <x:v>0</x:v>
      </x:c>
      <x:c r="AC70" s="30" t="n">
        <x:v>2.4</x:v>
      </x:c>
      <x:c r="AD70" s="4" t="n">
        <x:v>0</x:v>
      </x:c>
      <x:c r="AE70" s="4" t="str">
        <x:v>2026-09-01</x:v>
      </x:c>
      <x:c r="AF70" s="2"/>
      <x:c r="AG70" s="97"/>
      <x:c r="AH70" s="2"/>
      <x:c r="AI70" s="2"/>
      <x:c r="AJ70" s="97"/>
      <x:c r="AK70" s="2"/>
      <x:c r="AL70" s="2"/>
      <x:c r="AM70" s="2" t="str">
        <x:v>https://tpwd.texas.gov/huntwild/hunt/public/public_hunt_drawing/hunt-category-details.phtml?OCat=YDE</x:v>
      </x:c>
      <x:c r="AN70" s="2" t="str">
        <x:v>https://tpwd.texas.gov/search/?q=Powderhorn+State+Park+public+hunting+brochure</x:v>
      </x:c>
      <x:c r="AO70" s="2" t="str">
        <x:v>https://apps.tpwd.state.tx.us/huntwild/hunt/public/public_hunt_drawing/</x:v>
      </x:c>
      <x:c r="AP70" s="2" t="str">
        <x:v>https://www.google.com/maps/search/?api=1&amp;query=Powderhorn+State+Park%2C+Texas</x:v>
      </x:c>
      <x:c r="AQ70" s="96" t="n">
        <x:v>0</x:v>
      </x:c>
      <x:c r="AR70" s="2" t="str">
        <x:v>Standard Hastings ranking</x:v>
      </x:c>
    </x:row>
    <x:row r="71">
      <x:c r="A71" s="4" t="str">
        <x:v>No</x:v>
      </x:c>
      <x:c r="B71" s="4" t="str">
        <x:v>A</x:v>
      </x:c>
      <x:c r="C71" s="4" t="str">
        <x:v>Whitetail Deer</x:v>
      </x:c>
      <x:c r="D71" s="4" t="str">
        <x:v>Powderhorn WMA</x:v>
      </x:c>
      <x:c r="E71" s="4" t="str">
        <x:v>Houston / Gulf Coast</x:v>
      </x:c>
      <x:c r="F71" s="4" t="str">
        <x:v>Youth Gun Deer - Either Sex</x:v>
      </x:c>
      <x:c r="G71" s="4" t="str">
        <x:v>No</x:v>
      </x:c>
      <x:c r="H71" s="4" t="str">
        <x:v>Yes</x:v>
      </x:c>
      <x:c r="I71" s="24" t="str">
        <x:v>2026-09-01</x:v>
      </x:c>
      <x:c r="J71" s="4" t="str">
        <x:v>See TPWD category page</x:v>
      </x:c>
      <x:c r="K71" s="110" t="n">
        <x:v>0</x:v>
      </x:c>
      <x:c r="L71" s="110" t="n">
        <x:v>0</x:v>
      </x:c>
      <x:c r="M71" s="4"/>
      <x:c r="N71" s="4"/>
      <x:c r="O71" s="112"/>
      <x:c r="P71" s="4" t="n">
        <x:v>610</x:v>
      </x:c>
      <x:c r="Q71" s="4" t="str">
        <x:v>Long Haul</x:v>
      </x:c>
      <x:c r="R71" s="4" t="str">
        <x:v>Research before draw; property brochure linked from TPWD</x:v>
      </x:c>
      <x:c r="S71" s="4" t="str">
        <x:v>Low</x:v>
      </x:c>
      <x:c r="T71" s="4" t="str">
        <x:v>No</x:v>
      </x:c>
      <x:c r="U71" s="4" t="str">
        <x:v>Verified in TPWD 2026-2027 statewide deer category catalog.</x:v>
      </x:c>
      <x:c r="V71" s="4" t="str">
        <x:v>https://tpwd.texas.gov/huntwild/hunt/public/public_hunt_drawing/hunt-category-details.phtml?OCat=YDE</x:v>
      </x:c>
      <x:c r="W71" s="4" t="n">
        <x:v>2</x:v>
      </x:c>
      <x:c r="X71" s="4" t="n">
        <x:v>1</x:v>
      </x:c>
      <x:c r="Y71" s="4" t="n">
        <x:v>5</x:v>
      </x:c>
      <x:c r="Z71" s="4" t="n">
        <x:v>3</x:v>
      </x:c>
      <x:c r="AA71" s="4" t="n">
        <x:v>2</x:v>
      </x:c>
      <x:c r="AB71" s="4" t="n">
        <x:v>0</x:v>
      </x:c>
      <x:c r="AC71" s="30" t="n">
        <x:v>2.4</x:v>
      </x:c>
      <x:c r="AD71" s="4" t="n">
        <x:v>0</x:v>
      </x:c>
      <x:c r="AE71" s="4" t="str">
        <x:v>2026-09-01</x:v>
      </x:c>
      <x:c r="AF71" s="2"/>
      <x:c r="AG71" s="97"/>
      <x:c r="AH71" s="2"/>
      <x:c r="AI71" s="2"/>
      <x:c r="AJ71" s="97"/>
      <x:c r="AK71" s="2"/>
      <x:c r="AL71" s="2"/>
      <x:c r="AM71" s="2" t="str">
        <x:v>https://tpwd.texas.gov/huntwild/hunt/public/public_hunt_drawing/hunt-category-details.phtml?OCat=YDE</x:v>
      </x:c>
      <x:c r="AN71" s="2" t="str">
        <x:v>https://tpwd.texas.gov/search/?q=Powderhorn+WMA+public+hunting+brochure</x:v>
      </x:c>
      <x:c r="AO71" s="2" t="str">
        <x:v>https://apps.tpwd.state.tx.us/huntwild/hunt/public/public_hunt_drawing/</x:v>
      </x:c>
      <x:c r="AP71" s="2" t="str">
        <x:v>https://www.google.com/maps/search/?api=1&amp;query=Powderhorn+WMA%2C+Texas</x:v>
      </x:c>
      <x:c r="AQ71" s="96" t="n">
        <x:v>0</x:v>
      </x:c>
      <x:c r="AR71" s="2" t="str">
        <x:v>Standard Hastings ranking</x:v>
      </x:c>
    </x:row>
    <x:row r="72">
      <x:c r="A72" s="4" t="str">
        <x:v>No</x:v>
      </x:c>
      <x:c r="B72" s="4" t="str">
        <x:v>A</x:v>
      </x:c>
      <x:c r="C72" s="4" t="str">
        <x:v>Whitetail Deer</x:v>
      </x:c>
      <x:c r="D72" s="4" t="str">
        <x:v>Richland Creek WMA - Carl Frentress Unit</x:v>
      </x:c>
      <x:c r="E72" s="4" t="str">
        <x:v>Statewide / Other</x:v>
      </x:c>
      <x:c r="F72" s="4" t="str">
        <x:v>Youth Gun Deer - Either Sex</x:v>
      </x:c>
      <x:c r="G72" s="4" t="str">
        <x:v>No</x:v>
      </x:c>
      <x:c r="H72" s="4" t="str">
        <x:v>Yes</x:v>
      </x:c>
      <x:c r="I72" s="24" t="str">
        <x:v>2026-09-01</x:v>
      </x:c>
      <x:c r="J72" s="4" t="str">
        <x:v>See TPWD category page</x:v>
      </x:c>
      <x:c r="K72" s="110" t="n">
        <x:v>0</x:v>
      </x:c>
      <x:c r="L72" s="110" t="n">
        <x:v>0</x:v>
      </x:c>
      <x:c r="M72" s="4"/>
      <x:c r="N72" s="4"/>
      <x:c r="O72" s="112"/>
      <x:c r="P72" s="4" t="n">
        <x:v>500</x:v>
      </x:c>
      <x:c r="Q72" s="4" t="str">
        <x:v>Statewide</x:v>
      </x:c>
      <x:c r="R72" s="4" t="str">
        <x:v>Research before draw; property brochure linked from TPWD</x:v>
      </x:c>
      <x:c r="S72" s="4" t="str">
        <x:v>Low</x:v>
      </x:c>
      <x:c r="T72" s="4" t="str">
        <x:v>No</x:v>
      </x:c>
      <x:c r="U72" s="4" t="str">
        <x:v>Verified in TPWD 2026-2027 statewide deer category catalog.</x:v>
      </x:c>
      <x:c r="V72" s="4" t="str">
        <x:v>https://tpwd.texas.gov/huntwild/hunt/public/public_hunt_drawing/hunt-category-details.phtml?OCat=YDE</x:v>
      </x:c>
      <x:c r="W72" s="4" t="n">
        <x:v>2</x:v>
      </x:c>
      <x:c r="X72" s="4" t="n">
        <x:v>2</x:v>
      </x:c>
      <x:c r="Y72" s="4" t="n">
        <x:v>5</x:v>
      </x:c>
      <x:c r="Z72" s="4" t="n">
        <x:v>3</x:v>
      </x:c>
      <x:c r="AA72" s="4" t="n">
        <x:v>2</x:v>
      </x:c>
      <x:c r="AB72" s="4" t="n">
        <x:v>0</x:v>
      </x:c>
      <x:c r="AC72" s="30" t="n">
        <x:v>2.5</x:v>
      </x:c>
      <x:c r="AD72" s="4" t="n">
        <x:v>0</x:v>
      </x:c>
      <x:c r="AE72" s="4" t="str">
        <x:v>2026-09-01</x:v>
      </x:c>
      <x:c r="AF72" s="2"/>
      <x:c r="AG72" s="97"/>
      <x:c r="AH72" s="2"/>
      <x:c r="AI72" s="2"/>
      <x:c r="AJ72" s="97"/>
      <x:c r="AK72" s="2"/>
      <x:c r="AL72" s="2"/>
      <x:c r="AM72" s="2" t="str">
        <x:v>https://tpwd.texas.gov/huntwild/hunt/public/public_hunt_drawing/hunt-category-details.phtml?OCat=YDE</x:v>
      </x:c>
      <x:c r="AN72" s="2" t="str">
        <x:v>https://tpwd.texas.gov/search/?q=Richland+Creek+WMA+-+Carl+Frentress+Unit+public+hunting+brochure</x:v>
      </x:c>
      <x:c r="AO72" s="2" t="str">
        <x:v>https://apps.tpwd.state.tx.us/huntwild/hunt/public/public_hunt_drawing/</x:v>
      </x:c>
      <x:c r="AP72" s="2" t="str">
        <x:v>https://www.google.com/maps/search/?api=1&amp;query=Richland+Creek+WMA+-+Carl+Frentress+Unit%2C+Texas</x:v>
      </x:c>
      <x:c r="AQ72" s="96" t="n">
        <x:v>0</x:v>
      </x:c>
      <x:c r="AR72" s="2" t="str">
        <x:v>Standard Hastings ranking</x:v>
      </x:c>
    </x:row>
    <x:row r="73">
      <x:c r="A73" s="4" t="str">
        <x:v>No</x:v>
      </x:c>
      <x:c r="B73" s="4" t="str">
        <x:v>A</x:v>
      </x:c>
      <x:c r="C73" s="4" t="str">
        <x:v>Whitetail Deer</x:v>
      </x:c>
      <x:c r="D73" s="4" t="str">
        <x:v>Richland Creek WMA - South Unit</x:v>
      </x:c>
      <x:c r="E73" s="4" t="str">
        <x:v>Statewide / Other</x:v>
      </x:c>
      <x:c r="F73" s="4" t="str">
        <x:v>Youth Gun Deer - Either Sex</x:v>
      </x:c>
      <x:c r="G73" s="4" t="str">
        <x:v>No</x:v>
      </x:c>
      <x:c r="H73" s="4" t="str">
        <x:v>Yes</x:v>
      </x:c>
      <x:c r="I73" s="24" t="str">
        <x:v>2026-09-01</x:v>
      </x:c>
      <x:c r="J73" s="4" t="str">
        <x:v>See TPWD category page</x:v>
      </x:c>
      <x:c r="K73" s="110" t="n">
        <x:v>0</x:v>
      </x:c>
      <x:c r="L73" s="110" t="n">
        <x:v>0</x:v>
      </x:c>
      <x:c r="M73" s="4"/>
      <x:c r="N73" s="4"/>
      <x:c r="O73" s="112"/>
      <x:c r="P73" s="4" t="n">
        <x:v>500</x:v>
      </x:c>
      <x:c r="Q73" s="4" t="str">
        <x:v>Statewide</x:v>
      </x:c>
      <x:c r="R73" s="4" t="str">
        <x:v>Research before draw; property brochure linked from TPWD</x:v>
      </x:c>
      <x:c r="S73" s="4" t="str">
        <x:v>Low</x:v>
      </x:c>
      <x:c r="T73" s="4" t="str">
        <x:v>No</x:v>
      </x:c>
      <x:c r="U73" s="4" t="str">
        <x:v>Verified in TPWD 2026-2027 statewide deer category catalog.</x:v>
      </x:c>
      <x:c r="V73" s="4" t="str">
        <x:v>https://tpwd.texas.gov/huntwild/hunt/public/public_hunt_drawing/hunt-category-details.phtml?OCat=YDE</x:v>
      </x:c>
      <x:c r="W73" s="4" t="n">
        <x:v>2</x:v>
      </x:c>
      <x:c r="X73" s="4" t="n">
        <x:v>2</x:v>
      </x:c>
      <x:c r="Y73" s="4" t="n">
        <x:v>5</x:v>
      </x:c>
      <x:c r="Z73" s="4" t="n">
        <x:v>3</x:v>
      </x:c>
      <x:c r="AA73" s="4" t="n">
        <x:v>2</x:v>
      </x:c>
      <x:c r="AB73" s="4" t="n">
        <x:v>0</x:v>
      </x:c>
      <x:c r="AC73" s="30" t="n">
        <x:v>2.5</x:v>
      </x:c>
      <x:c r="AD73" s="4" t="n">
        <x:v>0</x:v>
      </x:c>
      <x:c r="AE73" s="4" t="str">
        <x:v>2026-09-01</x:v>
      </x:c>
      <x:c r="AF73" s="2"/>
      <x:c r="AG73" s="97"/>
      <x:c r="AH73" s="2"/>
      <x:c r="AI73" s="2"/>
      <x:c r="AJ73" s="97"/>
      <x:c r="AK73" s="2"/>
      <x:c r="AL73" s="2"/>
      <x:c r="AM73" s="2" t="str">
        <x:v>https://tpwd.texas.gov/huntwild/hunt/public/public_hunt_drawing/hunt-category-details.phtml?OCat=YDE</x:v>
      </x:c>
      <x:c r="AN73" s="2" t="str">
        <x:v>https://tpwd.texas.gov/search/?q=Richland+Creek+WMA+-+South+Unit+public+hunting+brochure</x:v>
      </x:c>
      <x:c r="AO73" s="2" t="str">
        <x:v>https://apps.tpwd.state.tx.us/huntwild/hunt/public/public_hunt_drawing/</x:v>
      </x:c>
      <x:c r="AP73" s="2" t="str">
        <x:v>https://www.google.com/maps/search/?api=1&amp;query=Richland+Creek+WMA+-+South+Unit%2C+Texas</x:v>
      </x:c>
      <x:c r="AQ73" s="96" t="n">
        <x:v>0</x:v>
      </x:c>
      <x:c r="AR73" s="2" t="str">
        <x:v>Standard Hastings ranking</x:v>
      </x:c>
    </x:row>
    <x:row r="74">
      <x:c r="A74" s="4" t="str">
        <x:v>No</x:v>
      </x:c>
      <x:c r="B74" s="4" t="str">
        <x:v>A</x:v>
      </x:c>
      <x:c r="C74" s="4" t="str">
        <x:v>Whitetail Deer</x:v>
      </x:c>
      <x:c r="D74" s="4" t="str">
        <x:v>San Angelo SP</x:v>
      </x:c>
      <x:c r="E74" s="4" t="str">
        <x:v>West-Central Texas</x:v>
      </x:c>
      <x:c r="F74" s="4" t="str">
        <x:v>Youth Gun Deer - Either Sex</x:v>
      </x:c>
      <x:c r="G74" s="4" t="str">
        <x:v>No</x:v>
      </x:c>
      <x:c r="H74" s="4" t="str">
        <x:v>Yes</x:v>
      </x:c>
      <x:c r="I74" s="24" t="str">
        <x:v>2026-09-01</x:v>
      </x:c>
      <x:c r="J74" s="4" t="str">
        <x:v>See TPWD category page</x:v>
      </x:c>
      <x:c r="K74" s="110" t="n">
        <x:v>0</x:v>
      </x:c>
      <x:c r="L74" s="110" t="n">
        <x:v>0</x:v>
      </x:c>
      <x:c r="M74" s="4"/>
      <x:c r="N74" s="4"/>
      <x:c r="O74" s="112"/>
      <x:c r="P74" s="4" t="n">
        <x:v>300</x:v>
      </x:c>
      <x:c r="Q74" s="4" t="str">
        <x:v>Extended</x:v>
      </x:c>
      <x:c r="R74" s="4" t="str">
        <x:v>Research before draw; property brochure linked from TPWD</x:v>
      </x:c>
      <x:c r="S74" s="4" t="str">
        <x:v>Low</x:v>
      </x:c>
      <x:c r="T74" s="4" t="str">
        <x:v>No</x:v>
      </x:c>
      <x:c r="U74" s="4" t="str">
        <x:v>Verified in TPWD 2026-2027 statewide deer category catalog.</x:v>
      </x:c>
      <x:c r="V74" s="4" t="str">
        <x:v>https://tpwd.texas.gov/huntwild/hunt/public/public_hunt_drawing/hunt-category-details.phtml?OCat=YDE</x:v>
      </x:c>
      <x:c r="W74" s="4" t="n">
        <x:v>2</x:v>
      </x:c>
      <x:c r="X74" s="4" t="n">
        <x:v>4</x:v>
      </x:c>
      <x:c r="Y74" s="4" t="n">
        <x:v>5</x:v>
      </x:c>
      <x:c r="Z74" s="4" t="n">
        <x:v>3</x:v>
      </x:c>
      <x:c r="AA74" s="4" t="n">
        <x:v>2</x:v>
      </x:c>
      <x:c r="AB74" s="4" t="n">
        <x:v>0</x:v>
      </x:c>
      <x:c r="AC74" s="30" t="n">
        <x:v>2.9</x:v>
      </x:c>
      <x:c r="AD74" s="4" t="n">
        <x:v>0</x:v>
      </x:c>
      <x:c r="AE74" s="4" t="str">
        <x:v>2026-09-01</x:v>
      </x:c>
      <x:c r="AF74" s="2"/>
      <x:c r="AG74" s="97"/>
      <x:c r="AH74" s="2"/>
      <x:c r="AI74" s="2"/>
      <x:c r="AJ74" s="97"/>
      <x:c r="AK74" s="2"/>
      <x:c r="AL74" s="2"/>
      <x:c r="AM74" s="2" t="str">
        <x:v>https://tpwd.texas.gov/huntwild/hunt/public/public_hunt_drawing/hunt-category-details.phtml?OCat=YDE</x:v>
      </x:c>
      <x:c r="AN74" s="2" t="str">
        <x:v>https://tpwd.texas.gov/search/?q=San+Angelo+SP+public+hunting+brochure</x:v>
      </x:c>
      <x:c r="AO74" s="2" t="str">
        <x:v>https://apps.tpwd.state.tx.us/huntwild/hunt/public/public_hunt_drawing/</x:v>
      </x:c>
      <x:c r="AP74" s="2" t="str">
        <x:v>https://www.google.com/maps/search/?api=1&amp;query=San+Angelo+SP%2C+Texas</x:v>
      </x:c>
      <x:c r="AQ74" s="96" t="n">
        <x:v>0</x:v>
      </x:c>
      <x:c r="AR74" s="2" t="str">
        <x:v>Standard Hastings ranking</x:v>
      </x:c>
    </x:row>
    <x:row r="75">
      <x:c r="A75" s="4" t="str">
        <x:v>No</x:v>
      </x:c>
      <x:c r="B75" s="4" t="str">
        <x:v>A</x:v>
      </x:c>
      <x:c r="C75" s="4" t="str">
        <x:v>Whitetail Deer</x:v>
      </x:c>
      <x:c r="D75" s="4" t="str">
        <x:v>South Llano River SP</x:v>
      </x:c>
      <x:c r="E75" s="4" t="str">
        <x:v>Hill Country / San Antonio</x:v>
      </x:c>
      <x:c r="F75" s="4" t="str">
        <x:v>Youth Gun Deer - Either Sex</x:v>
      </x:c>
      <x:c r="G75" s="4" t="str">
        <x:v>No</x:v>
      </x:c>
      <x:c r="H75" s="4" t="str">
        <x:v>Yes</x:v>
      </x:c>
      <x:c r="I75" s="24" t="str">
        <x:v>2026-09-01</x:v>
      </x:c>
      <x:c r="J75" s="4" t="str">
        <x:v>See TPWD category page</x:v>
      </x:c>
      <x:c r="K75" s="110" t="n">
        <x:v>0</x:v>
      </x:c>
      <x:c r="L75" s="110" t="n">
        <x:v>0</x:v>
      </x:c>
      <x:c r="M75" s="4"/>
      <x:c r="N75" s="4"/>
      <x:c r="O75" s="112"/>
      <x:c r="P75" s="4" t="n">
        <x:v>520</x:v>
      </x:c>
      <x:c r="Q75" s="4" t="str">
        <x:v>Statewide</x:v>
      </x:c>
      <x:c r="R75" s="4" t="str">
        <x:v>Research before draw; property brochure linked from TPWD</x:v>
      </x:c>
      <x:c r="S75" s="4" t="str">
        <x:v>Low</x:v>
      </x:c>
      <x:c r="T75" s="4" t="str">
        <x:v>No</x:v>
      </x:c>
      <x:c r="U75" s="4" t="str">
        <x:v>Verified in TPWD 2026-2027 statewide deer category catalog.</x:v>
      </x:c>
      <x:c r="V75" s="4" t="str">
        <x:v>https://tpwd.texas.gov/huntwild/hunt/public/public_hunt_drawing/hunt-category-details.phtml?OCat=YDE</x:v>
      </x:c>
      <x:c r="W75" s="4" t="n">
        <x:v>2</x:v>
      </x:c>
      <x:c r="X75" s="4" t="n">
        <x:v>2</x:v>
      </x:c>
      <x:c r="Y75" s="4" t="n">
        <x:v>5</x:v>
      </x:c>
      <x:c r="Z75" s="4" t="n">
        <x:v>3</x:v>
      </x:c>
      <x:c r="AA75" s="4" t="n">
        <x:v>2</x:v>
      </x:c>
      <x:c r="AB75" s="4" t="n">
        <x:v>0</x:v>
      </x:c>
      <x:c r="AC75" s="30" t="n">
        <x:v>2.5</x:v>
      </x:c>
      <x:c r="AD75" s="4" t="n">
        <x:v>0</x:v>
      </x:c>
      <x:c r="AE75" s="4" t="str">
        <x:v>2026-09-01</x:v>
      </x:c>
      <x:c r="AF75" s="2"/>
      <x:c r="AG75" s="97"/>
      <x:c r="AH75" s="2"/>
      <x:c r="AI75" s="2"/>
      <x:c r="AJ75" s="97"/>
      <x:c r="AK75" s="2"/>
      <x:c r="AL75" s="2"/>
      <x:c r="AM75" s="2" t="str">
        <x:v>https://tpwd.texas.gov/huntwild/hunt/public/public_hunt_drawing/hunt-category-details.phtml?OCat=YDE</x:v>
      </x:c>
      <x:c r="AN75" s="2" t="str">
        <x:v>https://tpwd.texas.gov/search/?q=South+Llano+River+SP+public+hunting+brochure</x:v>
      </x:c>
      <x:c r="AO75" s="2" t="str">
        <x:v>https://apps.tpwd.state.tx.us/huntwild/hunt/public/public_hunt_drawing/</x:v>
      </x:c>
      <x:c r="AP75" s="2" t="str">
        <x:v>https://www.google.com/maps/search/?api=1&amp;query=South+Llano+River+SP%2C+Texas</x:v>
      </x:c>
      <x:c r="AQ75" s="96" t="n">
        <x:v>0</x:v>
      </x:c>
      <x:c r="AR75" s="2" t="str">
        <x:v>Standard Hastings ranking</x:v>
      </x:c>
    </x:row>
    <x:row r="76">
      <x:c r="A76" s="4" t="str">
        <x:v>No</x:v>
      </x:c>
      <x:c r="B76" s="4" t="str">
        <x:v>A</x:v>
      </x:c>
      <x:c r="C76" s="4" t="str">
        <x:v>Whitetail Deer</x:v>
      </x:c>
      <x:c r="D76" s="4" t="str">
        <x:v>Taylor Lakes, Playa Lakes WMA</x:v>
      </x:c>
      <x:c r="E76" s="4" t="str">
        <x:v>Panhandle / Rolling Plains</x:v>
      </x:c>
      <x:c r="F76" s="4" t="str">
        <x:v>Youth Gun Deer - Either Sex</x:v>
      </x:c>
      <x:c r="G76" s="4" t="str">
        <x:v>No</x:v>
      </x:c>
      <x:c r="H76" s="4" t="str">
        <x:v>Yes</x:v>
      </x:c>
      <x:c r="I76" s="24" t="str">
        <x:v>2026-09-01</x:v>
      </x:c>
      <x:c r="J76" s="4" t="str">
        <x:v>See TPWD category page</x:v>
      </x:c>
      <x:c r="K76" s="110" t="n">
        <x:v>0</x:v>
      </x:c>
      <x:c r="L76" s="110" t="n">
        <x:v>0</x:v>
      </x:c>
      <x:c r="M76" s="4"/>
      <x:c r="N76" s="4"/>
      <x:c r="O76" s="112"/>
      <x:c r="P76" s="4" t="n">
        <x:v>130</x:v>
      </x:c>
      <x:c r="Q76" s="4" t="str">
        <x:v>Core</x:v>
      </x:c>
      <x:c r="R76" s="4" t="str">
        <x:v>Research before draw; property brochure linked from TPWD</x:v>
      </x:c>
      <x:c r="S76" s="4" t="str">
        <x:v>High</x:v>
      </x:c>
      <x:c r="T76" s="4" t="str">
        <x:v>No</x:v>
      </x:c>
      <x:c r="U76" s="4" t="str">
        <x:v>Verified in TPWD 2026-2027 statewide deer category catalog.</x:v>
      </x:c>
      <x:c r="V76" s="4" t="str">
        <x:v>https://tpwd.texas.gov/huntwild/hunt/public/public_hunt_drawing/hunt-category-details.phtml?OCat=YDE</x:v>
      </x:c>
      <x:c r="W76" s="4" t="n">
        <x:v>2</x:v>
      </x:c>
      <x:c r="X76" s="4" t="n">
        <x:v>5</x:v>
      </x:c>
      <x:c r="Y76" s="4" t="n">
        <x:v>5</x:v>
      </x:c>
      <x:c r="Z76" s="4" t="n">
        <x:v>3</x:v>
      </x:c>
      <x:c r="AA76" s="4" t="n">
        <x:v>4</x:v>
      </x:c>
      <x:c r="AB76" s="4" t="n">
        <x:v>0</x:v>
      </x:c>
      <x:c r="AC76" s="30" t="n">
        <x:v>3.2</x:v>
      </x:c>
      <x:c r="AD76" s="4" t="n">
        <x:v>0</x:v>
      </x:c>
      <x:c r="AE76" s="4" t="str">
        <x:v>2026-09-01</x:v>
      </x:c>
      <x:c r="AF76" s="2"/>
      <x:c r="AG76" s="97"/>
      <x:c r="AH76" s="2"/>
      <x:c r="AI76" s="2"/>
      <x:c r="AJ76" s="97"/>
      <x:c r="AK76" s="2"/>
      <x:c r="AL76" s="2"/>
      <x:c r="AM76" s="2" t="str">
        <x:v>https://tpwd.texas.gov/huntwild/hunt/public/public_hunt_drawing/hunt-category-details.phtml?OCat=YDE</x:v>
      </x:c>
      <x:c r="AN76" s="2" t="str">
        <x:v>https://tpwd.texas.gov/search/?q=Taylor+Lakes%2C+Playa+Lakes+WMA+public+hunting+brochure</x:v>
      </x:c>
      <x:c r="AO76" s="2" t="str">
        <x:v>https://apps.tpwd.state.tx.us/huntwild/hunt/public/public_hunt_drawing/</x:v>
      </x:c>
      <x:c r="AP76" s="2" t="str">
        <x:v>https://www.google.com/maps/search/?api=1&amp;query=Taylor+Lakes%2C+Playa+Lakes+WMA%2C+Texas</x:v>
      </x:c>
      <x:c r="AQ76" s="96" t="n">
        <x:v>0</x:v>
      </x:c>
      <x:c r="AR76" s="2" t="str">
        <x:v>Standard Hastings ranking</x:v>
      </x:c>
    </x:row>
    <x:row r="77">
      <x:c r="A77" s="4" t="str">
        <x:v>No</x:v>
      </x:c>
      <x:c r="B77" s="4" t="str">
        <x:v>A</x:v>
      </x:c>
      <x:c r="C77" s="4" t="str">
        <x:v>Whitetail Deer</x:v>
      </x:c>
      <x:c r="D77" s="4" t="str">
        <x:v>Trinity River WMA</x:v>
      </x:c>
      <x:c r="E77" s="4" t="str">
        <x:v>East Texas / Pineywoods</x:v>
      </x:c>
      <x:c r="F77" s="4" t="str">
        <x:v>Youth Gun Deer - Either Sex</x:v>
      </x:c>
      <x:c r="G77" s="4" t="str">
        <x:v>No</x:v>
      </x:c>
      <x:c r="H77" s="4" t="str">
        <x:v>Yes</x:v>
      </x:c>
      <x:c r="I77" s="24" t="str">
        <x:v>2026-09-01</x:v>
      </x:c>
      <x:c r="J77" s="4" t="str">
        <x:v>See TPWD category page</x:v>
      </x:c>
      <x:c r="K77" s="110" t="n">
        <x:v>0</x:v>
      </x:c>
      <x:c r="L77" s="110" t="n">
        <x:v>0</x:v>
      </x:c>
      <x:c r="M77" s="4"/>
      <x:c r="N77" s="4"/>
      <x:c r="O77" s="112"/>
      <x:c r="P77" s="4" t="n">
        <x:v>570</x:v>
      </x:c>
      <x:c r="Q77" s="4" t="str">
        <x:v>Statewide</x:v>
      </x:c>
      <x:c r="R77" s="4" t="str">
        <x:v>Research before draw; property brochure linked from TPWD</x:v>
      </x:c>
      <x:c r="S77" s="4" t="str">
        <x:v>Low</x:v>
      </x:c>
      <x:c r="T77" s="4" t="str">
        <x:v>No</x:v>
      </x:c>
      <x:c r="U77" s="4" t="str">
        <x:v>Verified in TPWD 2026-2027 statewide deer category catalog.</x:v>
      </x:c>
      <x:c r="V77" s="4" t="str">
        <x:v>https://tpwd.texas.gov/huntwild/hunt/public/public_hunt_drawing/hunt-category-details.phtml?OCat=YDE</x:v>
      </x:c>
      <x:c r="W77" s="4" t="n">
        <x:v>2</x:v>
      </x:c>
      <x:c r="X77" s="4" t="n">
        <x:v>2</x:v>
      </x:c>
      <x:c r="Y77" s="4" t="n">
        <x:v>5</x:v>
      </x:c>
      <x:c r="Z77" s="4" t="n">
        <x:v>3</x:v>
      </x:c>
      <x:c r="AA77" s="4" t="n">
        <x:v>2</x:v>
      </x:c>
      <x:c r="AB77" s="4" t="n">
        <x:v>0</x:v>
      </x:c>
      <x:c r="AC77" s="30" t="n">
        <x:v>2.5</x:v>
      </x:c>
      <x:c r="AD77" s="4" t="n">
        <x:v>0</x:v>
      </x:c>
      <x:c r="AE77" s="4" t="str">
        <x:v>2026-09-01</x:v>
      </x:c>
      <x:c r="AF77" s="2"/>
      <x:c r="AG77" s="97"/>
      <x:c r="AH77" s="2"/>
      <x:c r="AI77" s="2"/>
      <x:c r="AJ77" s="97"/>
      <x:c r="AK77" s="2"/>
      <x:c r="AL77" s="2"/>
      <x:c r="AM77" s="2" t="str">
        <x:v>https://tpwd.texas.gov/huntwild/hunt/public/public_hunt_drawing/hunt-category-details.phtml?OCat=YDE</x:v>
      </x:c>
      <x:c r="AN77" s="2" t="str">
        <x:v>https://tpwd.texas.gov/search/?q=Trinity+River+WMA+public+hunting+brochure</x:v>
      </x:c>
      <x:c r="AO77" s="2" t="str">
        <x:v>https://apps.tpwd.state.tx.us/huntwild/hunt/public/public_hunt_drawing/</x:v>
      </x:c>
      <x:c r="AP77" s="2" t="str">
        <x:v>https://www.google.com/maps/search/?api=1&amp;query=Trinity+River+WMA%2C+Texas</x:v>
      </x:c>
      <x:c r="AQ77" s="96" t="n">
        <x:v>0</x:v>
      </x:c>
      <x:c r="AR77" s="2" t="str">
        <x:v>Standard Hastings ranking</x:v>
      </x:c>
    </x:row>
    <x:row r="78">
      <x:c r="A78" s="4" t="str">
        <x:v>No</x:v>
      </x:c>
      <x:c r="B78" s="4" t="str">
        <x:v>A</x:v>
      </x:c>
      <x:c r="C78" s="4" t="str">
        <x:v>Whitetail Deer</x:v>
      </x:c>
      <x:c r="D78" s="4" t="str">
        <x:v>Village Creek SP</x:v>
      </x:c>
      <x:c r="E78" s="4" t="str">
        <x:v>East Texas / Pineywoods</x:v>
      </x:c>
      <x:c r="F78" s="4" t="str">
        <x:v>Youth Gun Deer - Either Sex</x:v>
      </x:c>
      <x:c r="G78" s="4" t="str">
        <x:v>No</x:v>
      </x:c>
      <x:c r="H78" s="4" t="str">
        <x:v>Yes</x:v>
      </x:c>
      <x:c r="I78" s="24" t="str">
        <x:v>2026-09-01</x:v>
      </x:c>
      <x:c r="J78" s="4" t="str">
        <x:v>See TPWD category page</x:v>
      </x:c>
      <x:c r="K78" s="110" t="n">
        <x:v>0</x:v>
      </x:c>
      <x:c r="L78" s="110" t="n">
        <x:v>0</x:v>
      </x:c>
      <x:c r="M78" s="4"/>
      <x:c r="N78" s="4"/>
      <x:c r="O78" s="112"/>
      <x:c r="P78" s="4" t="n">
        <x:v>570</x:v>
      </x:c>
      <x:c r="Q78" s="4" t="str">
        <x:v>Statewide</x:v>
      </x:c>
      <x:c r="R78" s="4" t="str">
        <x:v>Research before draw; property brochure linked from TPWD</x:v>
      </x:c>
      <x:c r="S78" s="4" t="str">
        <x:v>Low</x:v>
      </x:c>
      <x:c r="T78" s="4" t="str">
        <x:v>No</x:v>
      </x:c>
      <x:c r="U78" s="4" t="str">
        <x:v>Verified in TPWD 2026-2027 statewide deer category catalog.</x:v>
      </x:c>
      <x:c r="V78" s="4" t="str">
        <x:v>https://tpwd.texas.gov/huntwild/hunt/public/public_hunt_drawing/hunt-category-details.phtml?OCat=YDE</x:v>
      </x:c>
      <x:c r="W78" s="4" t="n">
        <x:v>2</x:v>
      </x:c>
      <x:c r="X78" s="4" t="n">
        <x:v>2</x:v>
      </x:c>
      <x:c r="Y78" s="4" t="n">
        <x:v>5</x:v>
      </x:c>
      <x:c r="Z78" s="4" t="n">
        <x:v>3</x:v>
      </x:c>
      <x:c r="AA78" s="4" t="n">
        <x:v>2</x:v>
      </x:c>
      <x:c r="AB78" s="4" t="n">
        <x:v>0</x:v>
      </x:c>
      <x:c r="AC78" s="30" t="n">
        <x:v>2.5</x:v>
      </x:c>
      <x:c r="AD78" s="4" t="n">
        <x:v>0</x:v>
      </x:c>
      <x:c r="AE78" s="4" t="str">
        <x:v>2026-09-01</x:v>
      </x:c>
      <x:c r="AF78" s="2"/>
      <x:c r="AG78" s="97"/>
      <x:c r="AH78" s="2"/>
      <x:c r="AI78" s="2"/>
      <x:c r="AJ78" s="97"/>
      <x:c r="AK78" s="2"/>
      <x:c r="AL78" s="2"/>
      <x:c r="AM78" s="2" t="str">
        <x:v>https://tpwd.texas.gov/huntwild/hunt/public/public_hunt_drawing/hunt-category-details.phtml?OCat=YDE</x:v>
      </x:c>
      <x:c r="AN78" s="2" t="str">
        <x:v>https://tpwd.texas.gov/search/?q=Village+Creek+SP+public+hunting+brochure</x:v>
      </x:c>
      <x:c r="AO78" s="2" t="str">
        <x:v>https://apps.tpwd.state.tx.us/huntwild/hunt/public/public_hunt_drawing/</x:v>
      </x:c>
      <x:c r="AP78" s="2" t="str">
        <x:v>https://www.google.com/maps/search/?api=1&amp;query=Village+Creek+SP%2C+Texas</x:v>
      </x:c>
      <x:c r="AQ78" s="96" t="n">
        <x:v>0</x:v>
      </x:c>
      <x:c r="AR78" s="2" t="str">
        <x:v>Standard Hastings ranking</x:v>
      </x:c>
    </x:row>
    <x:row r="79">
      <x:c r="A79" s="4" t="str">
        <x:v>No</x:v>
      </x:c>
      <x:c r="B79" s="4" t="str">
        <x:v>A</x:v>
      </x:c>
      <x:c r="C79" s="4" t="str">
        <x:v>Whitetail Deer</x:v>
      </x:c>
      <x:c r="D79" s="4" t="str">
        <x:v>White Oak Creek WMA</x:v>
      </x:c>
      <x:c r="E79" s="4" t="str">
        <x:v>East Texas / Pineywoods</x:v>
      </x:c>
      <x:c r="F79" s="4" t="str">
        <x:v>Youth Gun Deer - Either Sex</x:v>
      </x:c>
      <x:c r="G79" s="4" t="str">
        <x:v>No</x:v>
      </x:c>
      <x:c r="H79" s="4" t="str">
        <x:v>Yes</x:v>
      </x:c>
      <x:c r="I79" s="24" t="str">
        <x:v>2026-09-01</x:v>
      </x:c>
      <x:c r="J79" s="4" t="str">
        <x:v>See TPWD category page</x:v>
      </x:c>
      <x:c r="K79" s="110" t="n">
        <x:v>0</x:v>
      </x:c>
      <x:c r="L79" s="110" t="n">
        <x:v>0</x:v>
      </x:c>
      <x:c r="M79" s="4"/>
      <x:c r="N79" s="4"/>
      <x:c r="O79" s="112"/>
      <x:c r="P79" s="4" t="n">
        <x:v>570</x:v>
      </x:c>
      <x:c r="Q79" s="4" t="str">
        <x:v>Statewide</x:v>
      </x:c>
      <x:c r="R79" s="4" t="str">
        <x:v>Research before draw; property brochure linked from TPWD</x:v>
      </x:c>
      <x:c r="S79" s="4" t="str">
        <x:v>Low</x:v>
      </x:c>
      <x:c r="T79" s="4" t="str">
        <x:v>No</x:v>
      </x:c>
      <x:c r="U79" s="4" t="str">
        <x:v>Verified in TPWD 2026-2027 statewide deer category catalog.</x:v>
      </x:c>
      <x:c r="V79" s="4" t="str">
        <x:v>https://tpwd.texas.gov/huntwild/hunt/public/public_hunt_drawing/hunt-category-details.phtml?OCat=YDE</x:v>
      </x:c>
      <x:c r="W79" s="4" t="n">
        <x:v>2</x:v>
      </x:c>
      <x:c r="X79" s="4" t="n">
        <x:v>2</x:v>
      </x:c>
      <x:c r="Y79" s="4" t="n">
        <x:v>5</x:v>
      </x:c>
      <x:c r="Z79" s="4" t="n">
        <x:v>3</x:v>
      </x:c>
      <x:c r="AA79" s="4" t="n">
        <x:v>2</x:v>
      </x:c>
      <x:c r="AB79" s="4" t="n">
        <x:v>0</x:v>
      </x:c>
      <x:c r="AC79" s="30" t="n">
        <x:v>2.5</x:v>
      </x:c>
      <x:c r="AD79" s="4" t="n">
        <x:v>0</x:v>
      </x:c>
      <x:c r="AE79" s="4" t="str">
        <x:v>2026-09-01</x:v>
      </x:c>
      <x:c r="AF79" s="2"/>
      <x:c r="AG79" s="97"/>
      <x:c r="AH79" s="2"/>
      <x:c r="AI79" s="2"/>
      <x:c r="AJ79" s="97"/>
      <x:c r="AK79" s="2"/>
      <x:c r="AL79" s="2"/>
      <x:c r="AM79" s="2" t="str">
        <x:v>https://tpwd.texas.gov/huntwild/hunt/public/public_hunt_drawing/hunt-category-details.phtml?OCat=YDE</x:v>
      </x:c>
      <x:c r="AN79" s="2" t="str">
        <x:v>https://tpwd.texas.gov/search/?q=White+Oak+Creek+WMA+public+hunting+brochure</x:v>
      </x:c>
      <x:c r="AO79" s="2" t="str">
        <x:v>https://apps.tpwd.state.tx.us/huntwild/hunt/public/public_hunt_drawing/</x:v>
      </x:c>
      <x:c r="AP79" s="2" t="str">
        <x:v>https://www.google.com/maps/search/?api=1&amp;query=White+Oak+Creek+WMA%2C+Texas</x:v>
      </x:c>
      <x:c r="AQ79" s="96" t="n">
        <x:v>0</x:v>
      </x:c>
      <x:c r="AR79" s="2" t="str">
        <x:v>Standard Hastings ranking</x:v>
      </x:c>
    </x:row>
    <x:row r="80">
      <x:c r="A80" s="4" t="str">
        <x:v>No</x:v>
      </x:c>
      <x:c r="B80" s="4" t="str">
        <x:v>B</x:v>
      </x:c>
      <x:c r="C80" s="4" t="str">
        <x:v>Whitetail Deer</x:v>
      </x:c>
      <x:c r="D80" s="4" t="str">
        <x:v>Aransas NWR</x:v>
      </x:c>
      <x:c r="E80" s="4" t="str">
        <x:v>Houston / Gulf Coast</x:v>
      </x:c>
      <x:c r="F80" s="4" t="str">
        <x:v>National Refuge Archery Deer</x:v>
      </x:c>
      <x:c r="G80" s="4" t="str">
        <x:v>Yes</x:v>
      </x:c>
      <x:c r="H80" s="4" t="str">
        <x:v>Yes</x:v>
      </x:c>
      <x:c r="I80" s="24" t="str">
        <x:v>2026-09-01</x:v>
      </x:c>
      <x:c r="J80" s="4" t="str">
        <x:v>See TPWD category page</x:v>
      </x:c>
      <x:c r="K80" s="110" t="n">
        <x:v>3</x:v>
      </x:c>
      <x:c r="L80" s="110"/>
      <x:c r="M80" s="4"/>
      <x:c r="N80" s="4"/>
      <x:c r="O80" s="112"/>
      <x:c r="P80" s="4" t="n">
        <x:v>610</x:v>
      </x:c>
      <x:c r="Q80" s="4" t="str">
        <x:v>Long Haul</x:v>
      </x:c>
      <x:c r="R80" s="4" t="str">
        <x:v>Research before draw; property brochure linked from TPWD</x:v>
      </x:c>
      <x:c r="S80" s="4" t="str">
        <x:v>Low</x:v>
      </x:c>
      <x:c r="T80" s="4" t="str">
        <x:v>No</x:v>
      </x:c>
      <x:c r="U80" s="4" t="str">
        <x:v>Verified in TPWD 2026-2027 statewide deer category catalog. Refuge-specific rules and permit fees may apply. V5 preference rule: Lower priority: archery whitetail is more than 200 miles from Amarillo.</x:v>
      </x:c>
      <x:c r="V80" s="4" t="str">
        <x:v>https://tpwd.texas.gov/huntwild/hunt/public/public_hunt_drawing/hunt-category-details.phtml?OCat=NAD</x:v>
      </x:c>
      <x:c r="W80" s="4" t="n">
        <x:v>2</x:v>
      </x:c>
      <x:c r="X80" s="4" t="n">
        <x:v>1</x:v>
      </x:c>
      <x:c r="Y80" s="4" t="n">
        <x:v>4</x:v>
      </x:c>
      <x:c r="Z80" s="4" t="n">
        <x:v>3</x:v>
      </x:c>
      <x:c r="AA80" s="4" t="n">
        <x:v>2</x:v>
      </x:c>
      <x:c r="AB80" s="4" t="n">
        <x:v>0</x:v>
      </x:c>
      <x:c r="AC80" s="30" t="n">
        <x:v>1.1</x:v>
      </x:c>
      <x:c r="AD80" s="4"/>
      <x:c r="AE80" s="4" t="str">
        <x:v>2026-09-01</x:v>
      </x:c>
      <x:c r="AF80" s="2"/>
      <x:c r="AG80" s="97"/>
      <x:c r="AH80" s="2"/>
      <x:c r="AI80" s="2"/>
      <x:c r="AJ80" s="97"/>
      <x:c r="AK80" s="2"/>
      <x:c r="AL80" s="2"/>
      <x:c r="AM80" s="2" t="str">
        <x:v>https://tpwd.texas.gov/huntwild/hunt/public/public_hunt_drawing/hunt-category-details.phtml?OCat=NAD</x:v>
      </x:c>
      <x:c r="AN80" s="2" t="str">
        <x:v>https://tpwd.texas.gov/search/?q=Aransas+NWR+public+hunting+brochure</x:v>
      </x:c>
      <x:c r="AO80" s="2" t="str">
        <x:v>https://apps.tpwd.state.tx.us/huntwild/hunt/public/public_hunt_drawing/</x:v>
      </x:c>
      <x:c r="AP80" s="2" t="str">
        <x:v>https://www.google.com/maps/search/?api=1&amp;query=Aransas+NWR%2C+Texas</x:v>
      </x:c>
      <x:c r="AQ80" s="96" t="n">
        <x:v>-1</x:v>
      </x:c>
      <x:c r="AR80" s="2" t="str">
        <x:v>Lower priority: archery whitetail is more than 200 miles from Amarillo</x:v>
      </x:c>
    </x:row>
    <x:row r="81">
      <x:c r="A81" s="4" t="str">
        <x:v>No</x:v>
      </x:c>
      <x:c r="B81" s="4" t="str">
        <x:v>B</x:v>
      </x:c>
      <x:c r="C81" s="4" t="str">
        <x:v>Whitetail Deer</x:v>
      </x:c>
      <x:c r="D81" s="4" t="str">
        <x:v>Balcones Canyonlands NWR</x:v>
      </x:c>
      <x:c r="E81" s="4" t="str">
        <x:v>Statewide / Other</x:v>
      </x:c>
      <x:c r="F81" s="4" t="str">
        <x:v>E-Postcard Archery Deer</x:v>
      </x:c>
      <x:c r="G81" s="4" t="str">
        <x:v>Yes</x:v>
      </x:c>
      <x:c r="H81" s="4" t="str">
        <x:v>Yes</x:v>
      </x:c>
      <x:c r="I81" s="24" t="str">
        <x:v>2026-09-01</x:v>
      </x:c>
      <x:c r="J81" s="4" t="str">
        <x:v>See TPWD category page</x:v>
      </x:c>
      <x:c r="K81" s="110" t="n">
        <x:v>0</x:v>
      </x:c>
      <x:c r="L81" s="110" t="n">
        <x:v>0</x:v>
      </x:c>
      <x:c r="M81" s="4"/>
      <x:c r="N81" s="4"/>
      <x:c r="O81" s="112"/>
      <x:c r="P81" s="4" t="n">
        <x:v>500</x:v>
      </x:c>
      <x:c r="Q81" s="4" t="str">
        <x:v>Statewide</x:v>
      </x:c>
      <x:c r="R81" s="4" t="str">
        <x:v>Research before draw; property brochure linked from TPWD</x:v>
      </x:c>
      <x:c r="S81" s="4" t="str">
        <x:v>Low</x:v>
      </x:c>
      <x:c r="T81" s="4" t="str">
        <x:v>No</x:v>
      </x:c>
      <x:c r="U81" s="4" t="str">
        <x:v>Verified in TPWD 2026-2027 statewide deer category catalog. APH/eligibility rules apply; confirm account and permit requirements. V5 preference rule: Lower priority: archery whitetail is more than 200 miles from Amarillo.</x:v>
      </x:c>
      <x:c r="V81" s="4" t="str">
        <x:v>https://tpwd.texas.gov/huntwild/hunt/public/public_hunt_drawing/hunt-category-details.phtml?OCat=EAD</x:v>
      </x:c>
      <x:c r="W81" s="4" t="n">
        <x:v>2</x:v>
      </x:c>
      <x:c r="X81" s="4" t="n">
        <x:v>2</x:v>
      </x:c>
      <x:c r="Y81" s="4" t="n">
        <x:v>4</x:v>
      </x:c>
      <x:c r="Z81" s="4" t="n">
        <x:v>3</x:v>
      </x:c>
      <x:c r="AA81" s="4" t="n">
        <x:v>2</x:v>
      </x:c>
      <x:c r="AB81" s="4" t="n">
        <x:v>0</x:v>
      </x:c>
      <x:c r="AC81" s="30" t="n">
        <x:v>1.3</x:v>
      </x:c>
      <x:c r="AD81" s="4" t="n">
        <x:v>0</x:v>
      </x:c>
      <x:c r="AE81" s="4" t="str">
        <x:v>2026-09-01</x:v>
      </x:c>
      <x:c r="AF81" s="2"/>
      <x:c r="AG81" s="97"/>
      <x:c r="AH81" s="2"/>
      <x:c r="AI81" s="2"/>
      <x:c r="AJ81" s="97"/>
      <x:c r="AK81" s="2"/>
      <x:c r="AL81" s="2"/>
      <x:c r="AM81" s="2" t="str">
        <x:v>https://tpwd.texas.gov/huntwild/hunt/public/public_hunt_drawing/hunt-category-details.phtml?OCat=EAD</x:v>
      </x:c>
      <x:c r="AN81" s="2" t="str">
        <x:v>https://tpwd.texas.gov/search/?q=Balcones+Canyonlands+NWR+public+hunting+brochure</x:v>
      </x:c>
      <x:c r="AO81" s="2" t="str">
        <x:v>https://apps.tpwd.state.tx.us/huntwild/hunt/public/public_hunt_drawing/</x:v>
      </x:c>
      <x:c r="AP81" s="2" t="str">
        <x:v>https://www.google.com/maps/search/?api=1&amp;query=Balcones+Canyonlands+NWR%2C+Texas</x:v>
      </x:c>
      <x:c r="AQ81" s="96" t="n">
        <x:v>-1</x:v>
      </x:c>
      <x:c r="AR81" s="2" t="str">
        <x:v>Lower priority: archery whitetail is more than 200 miles from Amarillo</x:v>
      </x:c>
    </x:row>
    <x:row r="82">
      <x:c r="A82" s="4" t="str">
        <x:v>No</x:v>
      </x:c>
      <x:c r="B82" s="4" t="str">
        <x:v>A</x:v>
      </x:c>
      <x:c r="C82" s="4" t="str">
        <x:v>Whitetail Deer</x:v>
      </x:c>
      <x:c r="D82" s="4" t="str">
        <x:v>Bandera County - The Nature Conservancy</x:v>
      </x:c>
      <x:c r="E82" s="4" t="str">
        <x:v>Hill Country / San Antonio</x:v>
      </x:c>
      <x:c r="F82" s="4" t="str">
        <x:v>Private Lands - Antlerless/Spike</x:v>
      </x:c>
      <x:c r="G82" s="4" t="str">
        <x:v>Yes</x:v>
      </x:c>
      <x:c r="H82" s="4" t="str">
        <x:v>Yes</x:v>
      </x:c>
      <x:c r="I82" s="24" t="str">
        <x:v>2026-09-01</x:v>
      </x:c>
      <x:c r="J82" s="4" t="str">
        <x:v>See TPWD category page</x:v>
      </x:c>
      <x:c r="K82" s="110" t="n">
        <x:v>10</x:v>
      </x:c>
      <x:c r="L82" s="110"/>
      <x:c r="M82" s="4"/>
      <x:c r="N82" s="4"/>
      <x:c r="O82" s="112"/>
      <x:c r="P82" s="4" t="n">
        <x:v>520</x:v>
      </x:c>
      <x:c r="Q82" s="4" t="str">
        <x:v>Statewide</x:v>
      </x:c>
      <x:c r="R82" s="4" t="str">
        <x:v>Research before draw; property brochure linked from TPWD</x:v>
      </x:c>
      <x:c r="S82" s="4" t="str">
        <x:v>Low</x:v>
      </x:c>
      <x:c r="T82" s="4" t="str">
        <x:v>No</x:v>
      </x:c>
      <x:c r="U82" s="4" t="str">
        <x:v>Verified in TPWD 2026-2027 statewide deer category catalog.</x:v>
      </x:c>
      <x:c r="V82" s="4" t="str">
        <x:v>https://tpwd.texas.gov/huntwild/hunt/public/public_hunt_drawing/hunt-category-details.phtml?OCat=PLA</x:v>
      </x:c>
      <x:c r="W82" s="4" t="n">
        <x:v>2</x:v>
      </x:c>
      <x:c r="X82" s="4" t="n">
        <x:v>2</x:v>
      </x:c>
      <x:c r="Y82" s="4" t="n">
        <x:v>4</x:v>
      </x:c>
      <x:c r="Z82" s="4" t="n">
        <x:v>3</x:v>
      </x:c>
      <x:c r="AA82" s="4" t="n">
        <x:v>2</x:v>
      </x:c>
      <x:c r="AB82" s="4" t="n">
        <x:v>0</x:v>
      </x:c>
      <x:c r="AC82" s="30" t="n">
        <x:v>2.3</x:v>
      </x:c>
      <x:c r="AD82" s="4"/>
      <x:c r="AE82" s="4" t="str">
        <x:v>2026-09-01</x:v>
      </x:c>
      <x:c r="AF82" s="2"/>
      <x:c r="AG82" s="97"/>
      <x:c r="AH82" s="2"/>
      <x:c r="AI82" s="2"/>
      <x:c r="AJ82" s="97"/>
      <x:c r="AK82" s="2"/>
      <x:c r="AL82" s="2"/>
      <x:c r="AM82" s="2" t="str">
        <x:v>https://tpwd.texas.gov/huntwild/hunt/public/public_hunt_drawing/hunt-category-details.phtml?OCat=PLA</x:v>
      </x:c>
      <x:c r="AN82" s="2" t="str">
        <x:v>https://tpwd.texas.gov/search/?q=Bandera+County+-+The+Nature+Conservancy+public+hunting+brochure</x:v>
      </x:c>
      <x:c r="AO82" s="2" t="str">
        <x:v>https://apps.tpwd.state.tx.us/huntwild/hunt/public/public_hunt_drawing/</x:v>
      </x:c>
      <x:c r="AP82" s="2" t="str">
        <x:v>https://www.google.com/maps/search/?api=1&amp;query=Bandera+County+-+The+Nature+Conservancy%2C+Texas</x:v>
      </x:c>
      <x:c r="AQ82" s="96" t="n">
        <x:v>0</x:v>
      </x:c>
      <x:c r="AR82" s="2" t="str">
        <x:v>Standard Hastings ranking</x:v>
      </x:c>
    </x:row>
    <x:row r="83">
      <x:c r="A83" s="4" t="str">
        <x:v>No</x:v>
      </x:c>
      <x:c r="B83" s="4" t="str">
        <x:v>A</x:v>
      </x:c>
      <x:c r="C83" s="4" t="str">
        <x:v>Whitetail Deer</x:v>
      </x:c>
      <x:c r="D83" s="4" t="str">
        <x:v>Bandera County - The Nature Conservancy</x:v>
      </x:c>
      <x:c r="E83" s="4" t="str">
        <x:v>Hill Country / San Antonio</x:v>
      </x:c>
      <x:c r="F83" s="4" t="str">
        <x:v>Private Lands - Either Sex</x:v>
      </x:c>
      <x:c r="G83" s="4" t="str">
        <x:v>Yes</x:v>
      </x:c>
      <x:c r="H83" s="4" t="str">
        <x:v>Yes</x:v>
      </x:c>
      <x:c r="I83" s="24" t="str">
        <x:v>2026-09-01</x:v>
      </x:c>
      <x:c r="J83" s="4" t="str">
        <x:v>See TPWD category page</x:v>
      </x:c>
      <x:c r="K83" s="110" t="n">
        <x:v>10</x:v>
      </x:c>
      <x:c r="L83" s="110"/>
      <x:c r="M83" s="4"/>
      <x:c r="N83" s="4"/>
      <x:c r="O83" s="112"/>
      <x:c r="P83" s="4" t="n">
        <x:v>520</x:v>
      </x:c>
      <x:c r="Q83" s="4" t="str">
        <x:v>Statewide</x:v>
      </x:c>
      <x:c r="R83" s="4" t="str">
        <x:v>Research before draw; property brochure linked from TPWD</x:v>
      </x:c>
      <x:c r="S83" s="4" t="str">
        <x:v>Low</x:v>
      </x:c>
      <x:c r="T83" s="4" t="str">
        <x:v>No</x:v>
      </x:c>
      <x:c r="U83" s="4" t="str">
        <x:v>Verified in TPWD 2026-2027 statewide deer category catalog.</x:v>
      </x:c>
      <x:c r="V83" s="4" t="str">
        <x:v>https://tpwd.texas.gov/huntwild/hunt/public/public_hunt_drawing/hunt-category-details.phtml?OCat=PLE</x:v>
      </x:c>
      <x:c r="W83" s="4" t="n">
        <x:v>2</x:v>
      </x:c>
      <x:c r="X83" s="4" t="n">
        <x:v>2</x:v>
      </x:c>
      <x:c r="Y83" s="4" t="n">
        <x:v>4</x:v>
      </x:c>
      <x:c r="Z83" s="4" t="n">
        <x:v>3</x:v>
      </x:c>
      <x:c r="AA83" s="4" t="n">
        <x:v>2</x:v>
      </x:c>
      <x:c r="AB83" s="4" t="n">
        <x:v>0</x:v>
      </x:c>
      <x:c r="AC83" s="30" t="n">
        <x:v>2.3</x:v>
      </x:c>
      <x:c r="AD83" s="4"/>
      <x:c r="AE83" s="4" t="str">
        <x:v>2026-09-01</x:v>
      </x:c>
      <x:c r="AF83" s="2"/>
      <x:c r="AG83" s="97"/>
      <x:c r="AH83" s="2"/>
      <x:c r="AI83" s="2"/>
      <x:c r="AJ83" s="97"/>
      <x:c r="AK83" s="2"/>
      <x:c r="AL83" s="2"/>
      <x:c r="AM83" s="2" t="str">
        <x:v>https://tpwd.texas.gov/huntwild/hunt/public/public_hunt_drawing/hunt-category-details.phtml?OCat=PLE</x:v>
      </x:c>
      <x:c r="AN83" s="2" t="str">
        <x:v>https://tpwd.texas.gov/search/?q=Bandera+County+-+The+Nature+Conservancy+public+hunting+brochure</x:v>
      </x:c>
      <x:c r="AO83" s="2" t="str">
        <x:v>https://apps.tpwd.state.tx.us/huntwild/hunt/public/public_hunt_drawing/</x:v>
      </x:c>
      <x:c r="AP83" s="2" t="str">
        <x:v>https://www.google.com/maps/search/?api=1&amp;query=Bandera+County+-+The+Nature+Conservancy%2C+Texas</x:v>
      </x:c>
      <x:c r="AQ83" s="96" t="n">
        <x:v>0</x:v>
      </x:c>
      <x:c r="AR83" s="2" t="str">
        <x:v>Standard Hastings ranking</x:v>
      </x:c>
    </x:row>
    <x:row r="84">
      <x:c r="A84" s="4" t="str">
        <x:v>No</x:v>
      </x:c>
      <x:c r="B84" s="4" t="str">
        <x:v>B</x:v>
      </x:c>
      <x:c r="C84" s="4" t="str">
        <x:v>Whitetail Deer</x:v>
      </x:c>
      <x:c r="D84" s="4" t="str">
        <x:v>Big Lake Bottom WMA</x:v>
      </x:c>
      <x:c r="E84" s="4" t="str">
        <x:v>Statewide / Other</x:v>
      </x:c>
      <x:c r="F84" s="4" t="str">
        <x:v>E-Postcard Archery Deer</x:v>
      </x:c>
      <x:c r="G84" s="4" t="str">
        <x:v>Yes</x:v>
      </x:c>
      <x:c r="H84" s="4" t="str">
        <x:v>Yes</x:v>
      </x:c>
      <x:c r="I84" s="24" t="str">
        <x:v>2026-09-01</x:v>
      </x:c>
      <x:c r="J84" s="4" t="str">
        <x:v>See TPWD category page</x:v>
      </x:c>
      <x:c r="K84" s="110" t="n">
        <x:v>0</x:v>
      </x:c>
      <x:c r="L84" s="110" t="n">
        <x:v>0</x:v>
      </x:c>
      <x:c r="M84" s="4"/>
      <x:c r="N84" s="4"/>
      <x:c r="O84" s="112"/>
      <x:c r="P84" s="4" t="n">
        <x:v>500</x:v>
      </x:c>
      <x:c r="Q84" s="4" t="str">
        <x:v>Statewide</x:v>
      </x:c>
      <x:c r="R84" s="4" t="str">
        <x:v>Research before draw; property brochure linked from TPWD</x:v>
      </x:c>
      <x:c r="S84" s="4" t="str">
        <x:v>Low</x:v>
      </x:c>
      <x:c r="T84" s="4" t="str">
        <x:v>No</x:v>
      </x:c>
      <x:c r="U84" s="4" t="str">
        <x:v>Verified in TPWD 2026-2027 statewide deer category catalog. APH/eligibility rules apply; confirm account and permit requirements. V5 preference rule: Lower priority: archery whitetail is more than 200 miles from Amarillo.</x:v>
      </x:c>
      <x:c r="V84" s="4" t="str">
        <x:v>https://tpwd.texas.gov/huntwild/hunt/public/public_hunt_drawing/hunt-category-details.phtml?OCat=EAD</x:v>
      </x:c>
      <x:c r="W84" s="4" t="n">
        <x:v>2</x:v>
      </x:c>
      <x:c r="X84" s="4" t="n">
        <x:v>2</x:v>
      </x:c>
      <x:c r="Y84" s="4" t="n">
        <x:v>4</x:v>
      </x:c>
      <x:c r="Z84" s="4" t="n">
        <x:v>3</x:v>
      </x:c>
      <x:c r="AA84" s="4" t="n">
        <x:v>2</x:v>
      </x:c>
      <x:c r="AB84" s="4" t="n">
        <x:v>0</x:v>
      </x:c>
      <x:c r="AC84" s="30" t="n">
        <x:v>1.3</x:v>
      </x:c>
      <x:c r="AD84" s="4" t="n">
        <x:v>0</x:v>
      </x:c>
      <x:c r="AE84" s="4" t="str">
        <x:v>2026-09-01</x:v>
      </x:c>
      <x:c r="AF84" s="2"/>
      <x:c r="AG84" s="97"/>
      <x:c r="AH84" s="2"/>
      <x:c r="AI84" s="2"/>
      <x:c r="AJ84" s="97"/>
      <x:c r="AK84" s="2"/>
      <x:c r="AL84" s="2"/>
      <x:c r="AM84" s="2" t="str">
        <x:v>https://tpwd.texas.gov/huntwild/hunt/public/public_hunt_drawing/hunt-category-details.phtml?OCat=EAD</x:v>
      </x:c>
      <x:c r="AN84" s="2" t="str">
        <x:v>https://tpwd.texas.gov/search/?q=Big+Lake+Bottom+WMA+public+hunting+brochure</x:v>
      </x:c>
      <x:c r="AO84" s="2" t="str">
        <x:v>https://apps.tpwd.state.tx.us/huntwild/hunt/public/public_hunt_drawing/</x:v>
      </x:c>
      <x:c r="AP84" s="2" t="str">
        <x:v>https://www.google.com/maps/search/?api=1&amp;query=Big+Lake+Bottom+WMA%2C+Texas</x:v>
      </x:c>
      <x:c r="AQ84" s="96" t="n">
        <x:v>-1</x:v>
      </x:c>
      <x:c r="AR84" s="2" t="str">
        <x:v>Lower priority: archery whitetail is more than 200 miles from Amarillo</x:v>
      </x:c>
    </x:row>
    <x:row r="85">
      <x:c r="A85" s="4" t="str">
        <x:v>No</x:v>
      </x:c>
      <x:c r="B85" s="4" t="str">
        <x:v>A</x:v>
      </x:c>
      <x:c r="C85" s="4" t="str">
        <x:v>Whitetail Deer</x:v>
      </x:c>
      <x:c r="D85" s="4" t="str">
        <x:v>Buffalo Lake NWR</x:v>
      </x:c>
      <x:c r="E85" s="4" t="str">
        <x:v>Panhandle / Rolling Plains</x:v>
      </x:c>
      <x:c r="F85" s="4" t="str">
        <x:v>National Refuge Archery Deer</x:v>
      </x:c>
      <x:c r="G85" s="4" t="str">
        <x:v>Yes</x:v>
      </x:c>
      <x:c r="H85" s="4" t="str">
        <x:v>Yes</x:v>
      </x:c>
      <x:c r="I85" s="24" t="str">
        <x:v>2026-09-01</x:v>
      </x:c>
      <x:c r="J85" s="4" t="str">
        <x:v>See TPWD category page</x:v>
      </x:c>
      <x:c r="K85" s="110" t="n">
        <x:v>3</x:v>
      </x:c>
      <x:c r="L85" s="110"/>
      <x:c r="M85" s="4"/>
      <x:c r="N85" s="4"/>
      <x:c r="O85" s="112"/>
      <x:c r="P85" s="4" t="n">
        <x:v>130</x:v>
      </x:c>
      <x:c r="Q85" s="4" t="str">
        <x:v>Core</x:v>
      </x:c>
      <x:c r="R85" s="4" t="str">
        <x:v>Research before draw; property brochure linked from TPWD</x:v>
      </x:c>
      <x:c r="S85" s="4" t="str">
        <x:v>High</x:v>
      </x:c>
      <x:c r="T85" s="4" t="str">
        <x:v>No</x:v>
      </x:c>
      <x:c r="U85" s="4" t="str">
        <x:v>Verified in TPWD 2026-2027 statewide deer category catalog. Refuge-specific rules and permit fees may apply.</x:v>
      </x:c>
      <x:c r="V85" s="4" t="str">
        <x:v>https://tpwd.texas.gov/huntwild/hunt/public/public_hunt_drawing/hunt-category-details.phtml?OCat=NAD</x:v>
      </x:c>
      <x:c r="W85" s="4" t="n">
        <x:v>2</x:v>
      </x:c>
      <x:c r="X85" s="4" t="n">
        <x:v>5</x:v>
      </x:c>
      <x:c r="Y85" s="4" t="n">
        <x:v>4</x:v>
      </x:c>
      <x:c r="Z85" s="4" t="n">
        <x:v>3</x:v>
      </x:c>
      <x:c r="AA85" s="4" t="n">
        <x:v>4</x:v>
      </x:c>
      <x:c r="AB85" s="4" t="n">
        <x:v>0</x:v>
      </x:c>
      <x:c r="AC85" s="30" t="n">
        <x:v>2.9</x:v>
      </x:c>
      <x:c r="AD85" s="4"/>
      <x:c r="AE85" s="4" t="str">
        <x:v>2026-09-01</x:v>
      </x:c>
      <x:c r="AF85" s="2"/>
      <x:c r="AG85" s="97"/>
      <x:c r="AH85" s="2"/>
      <x:c r="AI85" s="2"/>
      <x:c r="AJ85" s="97"/>
      <x:c r="AK85" s="2"/>
      <x:c r="AL85" s="2"/>
      <x:c r="AM85" s="2" t="str">
        <x:v>https://tpwd.texas.gov/huntwild/hunt/public/public_hunt_drawing/hunt-category-details.phtml?OCat=NAD</x:v>
      </x:c>
      <x:c r="AN85" s="2" t="str">
        <x:v>https://tpwd.texas.gov/search/?q=Buffalo+Lake+NWR+public+hunting+brochure</x:v>
      </x:c>
      <x:c r="AO85" s="2" t="str">
        <x:v>https://apps.tpwd.state.tx.us/huntwild/hunt/public/public_hunt_drawing/</x:v>
      </x:c>
      <x:c r="AP85" s="2" t="str">
        <x:v>https://www.google.com/maps/search/?api=1&amp;query=Buffalo+Lake+NWR%2C+Texas</x:v>
      </x:c>
      <x:c r="AQ85" s="96" t="n">
        <x:v>0</x:v>
      </x:c>
      <x:c r="AR85" s="2" t="str">
        <x:v>Standard Hastings ranking</x:v>
      </x:c>
    </x:row>
    <x:row r="86">
      <x:c r="A86" s="4" t="str">
        <x:v>No</x:v>
      </x:c>
      <x:c r="B86" s="4" t="str">
        <x:v>A</x:v>
      </x:c>
      <x:c r="C86" s="4" t="str">
        <x:v>Whitetail Deer</x:v>
      </x:c>
      <x:c r="D86" s="4" t="str">
        <x:v>Comal County Ranch - The Nature Conservancy</x:v>
      </x:c>
      <x:c r="E86" s="4" t="str">
        <x:v>Hill Country / San Antonio</x:v>
      </x:c>
      <x:c r="F86" s="4" t="str">
        <x:v>Private Lands - Antlerless/Spike</x:v>
      </x:c>
      <x:c r="G86" s="4" t="str">
        <x:v>Yes</x:v>
      </x:c>
      <x:c r="H86" s="4" t="str">
        <x:v>Yes</x:v>
      </x:c>
      <x:c r="I86" s="24" t="str">
        <x:v>2026-09-01</x:v>
      </x:c>
      <x:c r="J86" s="4" t="str">
        <x:v>See TPWD category page</x:v>
      </x:c>
      <x:c r="K86" s="110" t="n">
        <x:v>10</x:v>
      </x:c>
      <x:c r="L86" s="110"/>
      <x:c r="M86" s="4"/>
      <x:c r="N86" s="4"/>
      <x:c r="O86" s="112"/>
      <x:c r="P86" s="4" t="n">
        <x:v>520</x:v>
      </x:c>
      <x:c r="Q86" s="4" t="str">
        <x:v>Statewide</x:v>
      </x:c>
      <x:c r="R86" s="4" t="str">
        <x:v>Research before draw; property brochure linked from TPWD</x:v>
      </x:c>
      <x:c r="S86" s="4" t="str">
        <x:v>Low</x:v>
      </x:c>
      <x:c r="T86" s="4" t="str">
        <x:v>No</x:v>
      </x:c>
      <x:c r="U86" s="4" t="str">
        <x:v>Verified in TPWD 2026-2027 statewide deer category catalog.</x:v>
      </x:c>
      <x:c r="V86" s="4" t="str">
        <x:v>https://tpwd.texas.gov/huntwild/hunt/public/public_hunt_drawing/hunt-category-details.phtml?OCat=PLA</x:v>
      </x:c>
      <x:c r="W86" s="4" t="n">
        <x:v>2</x:v>
      </x:c>
      <x:c r="X86" s="4" t="n">
        <x:v>2</x:v>
      </x:c>
      <x:c r="Y86" s="4" t="n">
        <x:v>4</x:v>
      </x:c>
      <x:c r="Z86" s="4" t="n">
        <x:v>3</x:v>
      </x:c>
      <x:c r="AA86" s="4" t="n">
        <x:v>2</x:v>
      </x:c>
      <x:c r="AB86" s="4" t="n">
        <x:v>0</x:v>
      </x:c>
      <x:c r="AC86" s="30" t="n">
        <x:v>2.3</x:v>
      </x:c>
      <x:c r="AD86" s="4"/>
      <x:c r="AE86" s="4" t="str">
        <x:v>2026-09-01</x:v>
      </x:c>
      <x:c r="AF86" s="2"/>
      <x:c r="AG86" s="97"/>
      <x:c r="AH86" s="2"/>
      <x:c r="AI86" s="2"/>
      <x:c r="AJ86" s="97"/>
      <x:c r="AK86" s="2"/>
      <x:c r="AL86" s="2"/>
      <x:c r="AM86" s="2" t="str">
        <x:v>https://tpwd.texas.gov/huntwild/hunt/public/public_hunt_drawing/hunt-category-details.phtml?OCat=PLA</x:v>
      </x:c>
      <x:c r="AN86" s="2" t="str">
        <x:v>https://tpwd.texas.gov/search/?q=Comal+County+Ranch+-+The+Nature+Conservancy+public+hunting+brochure</x:v>
      </x:c>
      <x:c r="AO86" s="2" t="str">
        <x:v>https://apps.tpwd.state.tx.us/huntwild/hunt/public/public_hunt_drawing/</x:v>
      </x:c>
      <x:c r="AP86" s="2" t="str">
        <x:v>https://www.google.com/maps/search/?api=1&amp;query=Comal+County+Ranch+-+The+Nature+Conservancy%2C+Texas</x:v>
      </x:c>
      <x:c r="AQ86" s="96" t="n">
        <x:v>0</x:v>
      </x:c>
      <x:c r="AR86" s="2" t="str">
        <x:v>Standard Hastings ranking</x:v>
      </x:c>
    </x:row>
    <x:row r="87">
      <x:c r="A87" s="4" t="str">
        <x:v>No</x:v>
      </x:c>
      <x:c r="B87" s="4" t="str">
        <x:v>A</x:v>
      </x:c>
      <x:c r="C87" s="4" t="str">
        <x:v>Whitetail Deer</x:v>
      </x:c>
      <x:c r="D87" s="4" t="str">
        <x:v>Comal County Ranch - The Nature Conservancy</x:v>
      </x:c>
      <x:c r="E87" s="4" t="str">
        <x:v>Hill Country / San Antonio</x:v>
      </x:c>
      <x:c r="F87" s="4" t="str">
        <x:v>Private Lands - Either Sex</x:v>
      </x:c>
      <x:c r="G87" s="4" t="str">
        <x:v>Yes</x:v>
      </x:c>
      <x:c r="H87" s="4" t="str">
        <x:v>Yes</x:v>
      </x:c>
      <x:c r="I87" s="24" t="str">
        <x:v>2026-09-01</x:v>
      </x:c>
      <x:c r="J87" s="4" t="str">
        <x:v>See TPWD category page</x:v>
      </x:c>
      <x:c r="K87" s="110" t="n">
        <x:v>10</x:v>
      </x:c>
      <x:c r="L87" s="110"/>
      <x:c r="M87" s="4"/>
      <x:c r="N87" s="4"/>
      <x:c r="O87" s="112"/>
      <x:c r="P87" s="4" t="n">
        <x:v>520</x:v>
      </x:c>
      <x:c r="Q87" s="4" t="str">
        <x:v>Statewide</x:v>
      </x:c>
      <x:c r="R87" s="4" t="str">
        <x:v>Research before draw; property brochure linked from TPWD</x:v>
      </x:c>
      <x:c r="S87" s="4" t="str">
        <x:v>Low</x:v>
      </x:c>
      <x:c r="T87" s="4" t="str">
        <x:v>No</x:v>
      </x:c>
      <x:c r="U87" s="4" t="str">
        <x:v>Verified in TPWD 2026-2027 statewide deer category catalog.</x:v>
      </x:c>
      <x:c r="V87" s="4" t="str">
        <x:v>https://tpwd.texas.gov/huntwild/hunt/public/public_hunt_drawing/hunt-category-details.phtml?OCat=PLE</x:v>
      </x:c>
      <x:c r="W87" s="4" t="n">
        <x:v>2</x:v>
      </x:c>
      <x:c r="X87" s="4" t="n">
        <x:v>2</x:v>
      </x:c>
      <x:c r="Y87" s="4" t="n">
        <x:v>4</x:v>
      </x:c>
      <x:c r="Z87" s="4" t="n">
        <x:v>3</x:v>
      </x:c>
      <x:c r="AA87" s="4" t="n">
        <x:v>2</x:v>
      </x:c>
      <x:c r="AB87" s="4" t="n">
        <x:v>0</x:v>
      </x:c>
      <x:c r="AC87" s="30" t="n">
        <x:v>2.3</x:v>
      </x:c>
      <x:c r="AD87" s="4"/>
      <x:c r="AE87" s="4" t="str">
        <x:v>2026-09-01</x:v>
      </x:c>
      <x:c r="AF87" s="2"/>
      <x:c r="AG87" s="97"/>
      <x:c r="AH87" s="2"/>
      <x:c r="AI87" s="2"/>
      <x:c r="AJ87" s="97"/>
      <x:c r="AK87" s="2"/>
      <x:c r="AL87" s="2"/>
      <x:c r="AM87" s="2" t="str">
        <x:v>https://tpwd.texas.gov/huntwild/hunt/public/public_hunt_drawing/hunt-category-details.phtml?OCat=PLE</x:v>
      </x:c>
      <x:c r="AN87" s="2" t="str">
        <x:v>https://tpwd.texas.gov/search/?q=Comal+County+Ranch+-+The+Nature+Conservancy+public+hunting+brochure</x:v>
      </x:c>
      <x:c r="AO87" s="2" t="str">
        <x:v>https://apps.tpwd.state.tx.us/huntwild/hunt/public/public_hunt_drawing/</x:v>
      </x:c>
      <x:c r="AP87" s="2" t="str">
        <x:v>https://www.google.com/maps/search/?api=1&amp;query=Comal+County+Ranch+-+The+Nature+Conservancy%2C+Texas</x:v>
      </x:c>
      <x:c r="AQ87" s="96" t="n">
        <x:v>0</x:v>
      </x:c>
      <x:c r="AR87" s="2" t="str">
        <x:v>Standard Hastings ranking</x:v>
      </x:c>
    </x:row>
    <x:row r="88">
      <x:c r="A88" s="4" t="str">
        <x:v>No</x:v>
      </x:c>
      <x:c r="B88" s="4" t="str">
        <x:v>A</x:v>
      </x:c>
      <x:c r="C88" s="4" t="str">
        <x:v>Whitetail Deer</x:v>
      </x:c>
      <x:c r="D88" s="4" t="str">
        <x:v>DeWitt County Ranch</x:v>
      </x:c>
      <x:c r="E88" s="4" t="str">
        <x:v>Houston / Gulf Coast</x:v>
      </x:c>
      <x:c r="F88" s="4" t="str">
        <x:v>Private Lands - Antlerless/Spike</x:v>
      </x:c>
      <x:c r="G88" s="4" t="str">
        <x:v>Yes</x:v>
      </x:c>
      <x:c r="H88" s="4" t="str">
        <x:v>Yes</x:v>
      </x:c>
      <x:c r="I88" s="24" t="str">
        <x:v>2026-09-01</x:v>
      </x:c>
      <x:c r="J88" s="4" t="str">
        <x:v>See TPWD category page</x:v>
      </x:c>
      <x:c r="K88" s="110" t="n">
        <x:v>10</x:v>
      </x:c>
      <x:c r="L88" s="110"/>
      <x:c r="M88" s="4"/>
      <x:c r="N88" s="4"/>
      <x:c r="O88" s="112"/>
      <x:c r="P88" s="4" t="n">
        <x:v>610</x:v>
      </x:c>
      <x:c r="Q88" s="4" t="str">
        <x:v>Long Haul</x:v>
      </x:c>
      <x:c r="R88" s="4" t="str">
        <x:v>Research before draw; property brochure linked from TPWD</x:v>
      </x:c>
      <x:c r="S88" s="4" t="str">
        <x:v>Low</x:v>
      </x:c>
      <x:c r="T88" s="4" t="str">
        <x:v>No</x:v>
      </x:c>
      <x:c r="U88" s="4" t="str">
        <x:v>Verified in TPWD 2026-2027 statewide deer category catalog.</x:v>
      </x:c>
      <x:c r="V88" s="4" t="str">
        <x:v>https://tpwd.texas.gov/huntwild/hunt/public/public_hunt_drawing/hunt-category-details.phtml?OCat=PLA</x:v>
      </x:c>
      <x:c r="W88" s="4" t="n">
        <x:v>2</x:v>
      </x:c>
      <x:c r="X88" s="4" t="n">
        <x:v>1</x:v>
      </x:c>
      <x:c r="Y88" s="4" t="n">
        <x:v>4</x:v>
      </x:c>
      <x:c r="Z88" s="4" t="n">
        <x:v>3</x:v>
      </x:c>
      <x:c r="AA88" s="4" t="n">
        <x:v>2</x:v>
      </x:c>
      <x:c r="AB88" s="4" t="n">
        <x:v>0</x:v>
      </x:c>
      <x:c r="AC88" s="30" t="n">
        <x:v>2.1</x:v>
      </x:c>
      <x:c r="AD88" s="4"/>
      <x:c r="AE88" s="4" t="str">
        <x:v>2026-09-01</x:v>
      </x:c>
      <x:c r="AF88" s="2"/>
      <x:c r="AG88" s="97"/>
      <x:c r="AH88" s="2"/>
      <x:c r="AI88" s="2"/>
      <x:c r="AJ88" s="97"/>
      <x:c r="AK88" s="2"/>
      <x:c r="AL88" s="2"/>
      <x:c r="AM88" s="2" t="str">
        <x:v>https://tpwd.texas.gov/huntwild/hunt/public/public_hunt_drawing/hunt-category-details.phtml?OCat=PLA</x:v>
      </x:c>
      <x:c r="AN88" s="2" t="str">
        <x:v>https://tpwd.texas.gov/search/?q=DeWitt+County+Ranch+public+hunting+brochure</x:v>
      </x:c>
      <x:c r="AO88" s="2" t="str">
        <x:v>https://apps.tpwd.state.tx.us/huntwild/hunt/public/public_hunt_drawing/</x:v>
      </x:c>
      <x:c r="AP88" s="2" t="str">
        <x:v>https://www.google.com/maps/search/?api=1&amp;query=DeWitt+County+Ranch%2C+Texas</x:v>
      </x:c>
      <x:c r="AQ88" s="96" t="n">
        <x:v>0</x:v>
      </x:c>
      <x:c r="AR88" s="2" t="str">
        <x:v>Standard Hastings ranking</x:v>
      </x:c>
    </x:row>
    <x:row r="89">
      <x:c r="A89" s="4" t="str">
        <x:v>No</x:v>
      </x:c>
      <x:c r="B89" s="4" t="str">
        <x:v>A</x:v>
      </x:c>
      <x:c r="C89" s="4" t="str">
        <x:v>Whitetail Deer</x:v>
      </x:c>
      <x:c r="D89" s="4" t="str">
        <x:v>DeWitt County Ranch</x:v>
      </x:c>
      <x:c r="E89" s="4" t="str">
        <x:v>Houston / Gulf Coast</x:v>
      </x:c>
      <x:c r="F89" s="4" t="str">
        <x:v>Private Lands - Either Sex</x:v>
      </x:c>
      <x:c r="G89" s="4" t="str">
        <x:v>Yes</x:v>
      </x:c>
      <x:c r="H89" s="4" t="str">
        <x:v>Yes</x:v>
      </x:c>
      <x:c r="I89" s="24" t="str">
        <x:v>2026-09-01</x:v>
      </x:c>
      <x:c r="J89" s="4" t="str">
        <x:v>See TPWD category page</x:v>
      </x:c>
      <x:c r="K89" s="110" t="n">
        <x:v>10</x:v>
      </x:c>
      <x:c r="L89" s="110"/>
      <x:c r="M89" s="4"/>
      <x:c r="N89" s="4"/>
      <x:c r="O89" s="112"/>
      <x:c r="P89" s="4" t="n">
        <x:v>610</x:v>
      </x:c>
      <x:c r="Q89" s="4" t="str">
        <x:v>Long Haul</x:v>
      </x:c>
      <x:c r="R89" s="4" t="str">
        <x:v>Research before draw; property brochure linked from TPWD</x:v>
      </x:c>
      <x:c r="S89" s="4" t="str">
        <x:v>Low</x:v>
      </x:c>
      <x:c r="T89" s="4" t="str">
        <x:v>No</x:v>
      </x:c>
      <x:c r="U89" s="4" t="str">
        <x:v>Verified in TPWD 2026-2027 statewide deer category catalog.</x:v>
      </x:c>
      <x:c r="V89" s="4" t="str">
        <x:v>https://tpwd.texas.gov/huntwild/hunt/public/public_hunt_drawing/hunt-category-details.phtml?OCat=PLE</x:v>
      </x:c>
      <x:c r="W89" s="4" t="n">
        <x:v>2</x:v>
      </x:c>
      <x:c r="X89" s="4" t="n">
        <x:v>1</x:v>
      </x:c>
      <x:c r="Y89" s="4" t="n">
        <x:v>4</x:v>
      </x:c>
      <x:c r="Z89" s="4" t="n">
        <x:v>3</x:v>
      </x:c>
      <x:c r="AA89" s="4" t="n">
        <x:v>2</x:v>
      </x:c>
      <x:c r="AB89" s="4" t="n">
        <x:v>0</x:v>
      </x:c>
      <x:c r="AC89" s="30" t="n">
        <x:v>2.1</x:v>
      </x:c>
      <x:c r="AD89" s="4"/>
      <x:c r="AE89" s="4" t="str">
        <x:v>2026-09-01</x:v>
      </x:c>
      <x:c r="AF89" s="2"/>
      <x:c r="AG89" s="97"/>
      <x:c r="AH89" s="2"/>
      <x:c r="AI89" s="2"/>
      <x:c r="AJ89" s="97"/>
      <x:c r="AK89" s="2"/>
      <x:c r="AL89" s="2"/>
      <x:c r="AM89" s="2" t="str">
        <x:v>https://tpwd.texas.gov/huntwild/hunt/public/public_hunt_drawing/hunt-category-details.phtml?OCat=PLE</x:v>
      </x:c>
      <x:c r="AN89" s="2" t="str">
        <x:v>https://tpwd.texas.gov/search/?q=DeWitt+County+Ranch+public+hunting+brochure</x:v>
      </x:c>
      <x:c r="AO89" s="2" t="str">
        <x:v>https://apps.tpwd.state.tx.us/huntwild/hunt/public/public_hunt_drawing/</x:v>
      </x:c>
      <x:c r="AP89" s="2" t="str">
        <x:v>https://www.google.com/maps/search/?api=1&amp;query=DeWitt+County+Ranch%2C+Texas</x:v>
      </x:c>
      <x:c r="AQ89" s="96" t="n">
        <x:v>0</x:v>
      </x:c>
      <x:c r="AR89" s="2" t="str">
        <x:v>Standard Hastings ranking</x:v>
      </x:c>
    </x:row>
    <x:row r="90">
      <x:c r="A90" s="4" t="str">
        <x:v>No</x:v>
      </x:c>
      <x:c r="B90" s="4" t="str">
        <x:v>B</x:v>
      </x:c>
      <x:c r="C90" s="4" t="str">
        <x:v>Whitetail Deer</x:v>
      </x:c>
      <x:c r="D90" s="4" t="str">
        <x:v>Granger PHL</x:v>
      </x:c>
      <x:c r="E90" s="4" t="str">
        <x:v>Central Texas / Austin</x:v>
      </x:c>
      <x:c r="F90" s="4" t="str">
        <x:v>E-Postcard Archery Deer</x:v>
      </x:c>
      <x:c r="G90" s="4" t="str">
        <x:v>Yes</x:v>
      </x:c>
      <x:c r="H90" s="4" t="str">
        <x:v>Yes</x:v>
      </x:c>
      <x:c r="I90" s="24" t="str">
        <x:v>2026-09-01</x:v>
      </x:c>
      <x:c r="J90" s="4" t="str">
        <x:v>See TPWD category page</x:v>
      </x:c>
      <x:c r="K90" s="110" t="n">
        <x:v>0</x:v>
      </x:c>
      <x:c r="L90" s="110" t="n">
        <x:v>0</x:v>
      </x:c>
      <x:c r="M90" s="4"/>
      <x:c r="N90" s="4"/>
      <x:c r="O90" s="112"/>
      <x:c r="P90" s="4" t="n">
        <x:v>490</x:v>
      </x:c>
      <x:c r="Q90" s="4" t="str">
        <x:v>Statewide</x:v>
      </x:c>
      <x:c r="R90" s="4" t="str">
        <x:v>Research before draw; property brochure linked from TPWD</x:v>
      </x:c>
      <x:c r="S90" s="4" t="str">
        <x:v>Low</x:v>
      </x:c>
      <x:c r="T90" s="4" t="str">
        <x:v>No</x:v>
      </x:c>
      <x:c r="U90" s="4" t="str">
        <x:v>Verified in TPWD 2026-2027 statewide deer category catalog. APH/eligibility rules apply; confirm account and permit requirements. V5 preference rule: Lower priority: archery whitetail is more than 200 miles from Amarillo.</x:v>
      </x:c>
      <x:c r="V90" s="4" t="str">
        <x:v>https://tpwd.texas.gov/huntwild/hunt/public/public_hunt_drawing/hunt-category-details.phtml?OCat=EAD</x:v>
      </x:c>
      <x:c r="W90" s="4" t="n">
        <x:v>2</x:v>
      </x:c>
      <x:c r="X90" s="4" t="n">
        <x:v>2</x:v>
      </x:c>
      <x:c r="Y90" s="4" t="n">
        <x:v>4</x:v>
      </x:c>
      <x:c r="Z90" s="4" t="n">
        <x:v>3</x:v>
      </x:c>
      <x:c r="AA90" s="4" t="n">
        <x:v>2</x:v>
      </x:c>
      <x:c r="AB90" s="4" t="n">
        <x:v>0</x:v>
      </x:c>
      <x:c r="AC90" s="30" t="n">
        <x:v>1.3</x:v>
      </x:c>
      <x:c r="AD90" s="4" t="n">
        <x:v>0</x:v>
      </x:c>
      <x:c r="AE90" s="4" t="str">
        <x:v>2026-09-01</x:v>
      </x:c>
      <x:c r="AF90" s="2"/>
      <x:c r="AG90" s="97"/>
      <x:c r="AH90" s="2"/>
      <x:c r="AI90" s="2"/>
      <x:c r="AJ90" s="97"/>
      <x:c r="AK90" s="2"/>
      <x:c r="AL90" s="2"/>
      <x:c r="AM90" s="2" t="str">
        <x:v>https://tpwd.texas.gov/huntwild/hunt/public/public_hunt_drawing/hunt-category-details.phtml?OCat=EAD</x:v>
      </x:c>
      <x:c r="AN90" s="2" t="str">
        <x:v>https://tpwd.texas.gov/search/?q=Granger+PHL+public+hunting+brochure</x:v>
      </x:c>
      <x:c r="AO90" s="2" t="str">
        <x:v>https://apps.tpwd.state.tx.us/huntwild/hunt/public/public_hunt_drawing/</x:v>
      </x:c>
      <x:c r="AP90" s="2" t="str">
        <x:v>https://www.google.com/maps/search/?api=1&amp;query=Granger+PHL%2C+Texas</x:v>
      </x:c>
      <x:c r="AQ90" s="96" t="n">
        <x:v>-1</x:v>
      </x:c>
      <x:c r="AR90" s="2" t="str">
        <x:v>Lower priority: archery whitetail is more than 200 miles from Amarillo</x:v>
      </x:c>
    </x:row>
    <x:row r="91">
      <x:c r="A91" s="4" t="str">
        <x:v>No</x:v>
      </x:c>
      <x:c r="B91" s="4" t="str">
        <x:v>B</x:v>
      </x:c>
      <x:c r="C91" s="4" t="str">
        <x:v>Whitetail Deer</x:v>
      </x:c>
      <x:c r="D91" s="4" t="str">
        <x:v>Hagerman NWR</x:v>
      </x:c>
      <x:c r="E91" s="4" t="str">
        <x:v>North Texas / DFW</x:v>
      </x:c>
      <x:c r="F91" s="4" t="str">
        <x:v>National Refuge Archery Deer</x:v>
      </x:c>
      <x:c r="G91" s="4" t="str">
        <x:v>Yes</x:v>
      </x:c>
      <x:c r="H91" s="4" t="str">
        <x:v>Yes</x:v>
      </x:c>
      <x:c r="I91" s="24" t="str">
        <x:v>2026-09-01</x:v>
      </x:c>
      <x:c r="J91" s="4" t="str">
        <x:v>See TPWD category page</x:v>
      </x:c>
      <x:c r="K91" s="110" t="n">
        <x:v>3</x:v>
      </x:c>
      <x:c r="L91" s="110"/>
      <x:c r="M91" s="4"/>
      <x:c r="N91" s="4"/>
      <x:c r="O91" s="112"/>
      <x:c r="P91" s="4" t="n">
        <x:v>360</x:v>
      </x:c>
      <x:c r="Q91" s="4" t="str">
        <x:v>Extended</x:v>
      </x:c>
      <x:c r="R91" s="4" t="str">
        <x:v>Research before draw; property brochure linked from TPWD</x:v>
      </x:c>
      <x:c r="S91" s="4" t="str">
        <x:v>Low</x:v>
      </x:c>
      <x:c r="T91" s="4" t="str">
        <x:v>No</x:v>
      </x:c>
      <x:c r="U91" s="4" t="str">
        <x:v>Verified in TPWD 2026-2027 statewide deer category catalog. Refuge-specific rules and permit fees may apply. V5 preference rule: Lower priority: archery whitetail is more than 200 miles from Amarillo.</x:v>
      </x:c>
      <x:c r="V91" s="4" t="str">
        <x:v>https://tpwd.texas.gov/huntwild/hunt/public/public_hunt_drawing/hunt-category-details.phtml?OCat=NAD</x:v>
      </x:c>
      <x:c r="W91" s="4" t="n">
        <x:v>2</x:v>
      </x:c>
      <x:c r="X91" s="4" t="n">
        <x:v>3</x:v>
      </x:c>
      <x:c r="Y91" s="4" t="n">
        <x:v>4</x:v>
      </x:c>
      <x:c r="Z91" s="4" t="n">
        <x:v>3</x:v>
      </x:c>
      <x:c r="AA91" s="4" t="n">
        <x:v>2</x:v>
      </x:c>
      <x:c r="AB91" s="4" t="n">
        <x:v>0</x:v>
      </x:c>
      <x:c r="AC91" s="30" t="n">
        <x:v>1.5</x:v>
      </x:c>
      <x:c r="AD91" s="4"/>
      <x:c r="AE91" s="4" t="str">
        <x:v>2026-09-01</x:v>
      </x:c>
      <x:c r="AF91" s="2"/>
      <x:c r="AG91" s="97"/>
      <x:c r="AH91" s="2"/>
      <x:c r="AI91" s="2"/>
      <x:c r="AJ91" s="97"/>
      <x:c r="AK91" s="2"/>
      <x:c r="AL91" s="2"/>
      <x:c r="AM91" s="2" t="str">
        <x:v>https://tpwd.texas.gov/huntwild/hunt/public/public_hunt_drawing/hunt-category-details.phtml?OCat=NAD</x:v>
      </x:c>
      <x:c r="AN91" s="2" t="str">
        <x:v>https://tpwd.texas.gov/search/?q=Hagerman+NWR+public+hunting+brochure</x:v>
      </x:c>
      <x:c r="AO91" s="2" t="str">
        <x:v>https://apps.tpwd.state.tx.us/huntwild/hunt/public/public_hunt_drawing/</x:v>
      </x:c>
      <x:c r="AP91" s="2" t="str">
        <x:v>https://www.google.com/maps/search/?api=1&amp;query=Hagerman+NWR%2C+Texas</x:v>
      </x:c>
      <x:c r="AQ91" s="96" t="n">
        <x:v>-1</x:v>
      </x:c>
      <x:c r="AR91" s="2" t="str">
        <x:v>Lower priority: archery whitetail is more than 200 miles from Amarillo</x:v>
      </x:c>
    </x:row>
    <x:row r="92">
      <x:c r="A92" s="4" t="str">
        <x:v>No</x:v>
      </x:c>
      <x:c r="B92" s="4" t="str">
        <x:v>B</x:v>
      </x:c>
      <x:c r="C92" s="4" t="str">
        <x:v>Whitetail Deer</x:v>
      </x:c>
      <x:c r="D92" s="4" t="str">
        <x:v>Keechi Creek WMA</x:v>
      </x:c>
      <x:c r="E92" s="4" t="str">
        <x:v>Statewide / Other</x:v>
      </x:c>
      <x:c r="F92" s="4" t="str">
        <x:v>E-Postcard Archery Deer</x:v>
      </x:c>
      <x:c r="G92" s="4" t="str">
        <x:v>Yes</x:v>
      </x:c>
      <x:c r="H92" s="4" t="str">
        <x:v>Yes</x:v>
      </x:c>
      <x:c r="I92" s="24" t="str">
        <x:v>2026-09-01</x:v>
      </x:c>
      <x:c r="J92" s="4" t="str">
        <x:v>See TPWD category page</x:v>
      </x:c>
      <x:c r="K92" s="110" t="n">
        <x:v>0</x:v>
      </x:c>
      <x:c r="L92" s="110" t="n">
        <x:v>0</x:v>
      </x:c>
      <x:c r="M92" s="4"/>
      <x:c r="N92" s="4"/>
      <x:c r="O92" s="112"/>
      <x:c r="P92" s="4" t="n">
        <x:v>500</x:v>
      </x:c>
      <x:c r="Q92" s="4" t="str">
        <x:v>Statewide</x:v>
      </x:c>
      <x:c r="R92" s="4" t="str">
        <x:v>Research before draw; property brochure linked from TPWD</x:v>
      </x:c>
      <x:c r="S92" s="4" t="str">
        <x:v>Low</x:v>
      </x:c>
      <x:c r="T92" s="4" t="str">
        <x:v>No</x:v>
      </x:c>
      <x:c r="U92" s="4" t="str">
        <x:v>Verified in TPWD 2026-2027 statewide deer category catalog. APH/eligibility rules apply; confirm account and permit requirements. V5 preference rule: Lower priority: archery whitetail is more than 200 miles from Amarillo.</x:v>
      </x:c>
      <x:c r="V92" s="4" t="str">
        <x:v>https://tpwd.texas.gov/huntwild/hunt/public/public_hunt_drawing/hunt-category-details.phtml?OCat=EAD</x:v>
      </x:c>
      <x:c r="W92" s="4" t="n">
        <x:v>2</x:v>
      </x:c>
      <x:c r="X92" s="4" t="n">
        <x:v>2</x:v>
      </x:c>
      <x:c r="Y92" s="4" t="n">
        <x:v>4</x:v>
      </x:c>
      <x:c r="Z92" s="4" t="n">
        <x:v>3</x:v>
      </x:c>
      <x:c r="AA92" s="4" t="n">
        <x:v>2</x:v>
      </x:c>
      <x:c r="AB92" s="4" t="n">
        <x:v>0</x:v>
      </x:c>
      <x:c r="AC92" s="30" t="n">
        <x:v>1.3</x:v>
      </x:c>
      <x:c r="AD92" s="4" t="n">
        <x:v>0</x:v>
      </x:c>
      <x:c r="AE92" s="4" t="str">
        <x:v>2026-09-01</x:v>
      </x:c>
      <x:c r="AF92" s="2"/>
      <x:c r="AG92" s="97"/>
      <x:c r="AH92" s="2"/>
      <x:c r="AI92" s="2"/>
      <x:c r="AJ92" s="97"/>
      <x:c r="AK92" s="2"/>
      <x:c r="AL92" s="2"/>
      <x:c r="AM92" s="2" t="str">
        <x:v>https://tpwd.texas.gov/huntwild/hunt/public/public_hunt_drawing/hunt-category-details.phtml?OCat=EAD</x:v>
      </x:c>
      <x:c r="AN92" s="2" t="str">
        <x:v>https://tpwd.texas.gov/search/?q=Keechi+Creek+WMA+public+hunting+brochure</x:v>
      </x:c>
      <x:c r="AO92" s="2" t="str">
        <x:v>https://apps.tpwd.state.tx.us/huntwild/hunt/public/public_hunt_drawing/</x:v>
      </x:c>
      <x:c r="AP92" s="2" t="str">
        <x:v>https://www.google.com/maps/search/?api=1&amp;query=Keechi+Creek+WMA%2C+Texas</x:v>
      </x:c>
      <x:c r="AQ92" s="96" t="n">
        <x:v>-1</x:v>
      </x:c>
      <x:c r="AR92" s="2" t="str">
        <x:v>Lower priority: archery whitetail is more than 200 miles from Amarillo</x:v>
      </x:c>
    </x:row>
    <x:row r="93">
      <x:c r="A93" s="4" t="str">
        <x:v>No</x:v>
      </x:c>
      <x:c r="B93" s="4" t="str">
        <x:v>A</x:v>
      </x:c>
      <x:c r="C93" s="4" t="str">
        <x:v>Whitetail Deer</x:v>
      </x:c>
      <x:c r="D93" s="4" t="str">
        <x:v>La Salle County Ranch</x:v>
      </x:c>
      <x:c r="E93" s="4" t="str">
        <x:v>South Texas / Rio Grande Valley</x:v>
      </x:c>
      <x:c r="F93" s="4" t="str">
        <x:v>Private Lands - Either Sex</x:v>
      </x:c>
      <x:c r="G93" s="4" t="str">
        <x:v>Yes</x:v>
      </x:c>
      <x:c r="H93" s="4" t="str">
        <x:v>Yes</x:v>
      </x:c>
      <x:c r="I93" s="24" t="str">
        <x:v>2026-09-01</x:v>
      </x:c>
      <x:c r="J93" s="4" t="str">
        <x:v>See TPWD category page</x:v>
      </x:c>
      <x:c r="K93" s="110" t="n">
        <x:v>10</x:v>
      </x:c>
      <x:c r="L93" s="110"/>
      <x:c r="M93" s="4"/>
      <x:c r="N93" s="4"/>
      <x:c r="O93" s="112"/>
      <x:c r="P93" s="4" t="n">
        <x:v>700</x:v>
      </x:c>
      <x:c r="Q93" s="4" t="str">
        <x:v>Long Haul</x:v>
      </x:c>
      <x:c r="R93" s="4" t="str">
        <x:v>Research before draw; property brochure linked from TPWD</x:v>
      </x:c>
      <x:c r="S93" s="4" t="str">
        <x:v>Low</x:v>
      </x:c>
      <x:c r="T93" s="4" t="str">
        <x:v>No</x:v>
      </x:c>
      <x:c r="U93" s="4" t="str">
        <x:v>Verified in TPWD 2026-2027 statewide deer category catalog.</x:v>
      </x:c>
      <x:c r="V93" s="4" t="str">
        <x:v>https://tpwd.texas.gov/huntwild/hunt/public/public_hunt_drawing/hunt-category-details.phtml?OCat=PLE</x:v>
      </x:c>
      <x:c r="W93" s="4" t="n">
        <x:v>2</x:v>
      </x:c>
      <x:c r="X93" s="4" t="n">
        <x:v>1</x:v>
      </x:c>
      <x:c r="Y93" s="4" t="n">
        <x:v>4</x:v>
      </x:c>
      <x:c r="Z93" s="4" t="n">
        <x:v>3</x:v>
      </x:c>
      <x:c r="AA93" s="4" t="n">
        <x:v>2</x:v>
      </x:c>
      <x:c r="AB93" s="4" t="n">
        <x:v>0</x:v>
      </x:c>
      <x:c r="AC93" s="30" t="n">
        <x:v>2.1</x:v>
      </x:c>
      <x:c r="AD93" s="4"/>
      <x:c r="AE93" s="4" t="str">
        <x:v>2026-09-01</x:v>
      </x:c>
      <x:c r="AF93" s="2"/>
      <x:c r="AG93" s="97"/>
      <x:c r="AH93" s="2"/>
      <x:c r="AI93" s="2"/>
      <x:c r="AJ93" s="97"/>
      <x:c r="AK93" s="2"/>
      <x:c r="AL93" s="2"/>
      <x:c r="AM93" s="2" t="str">
        <x:v>https://tpwd.texas.gov/huntwild/hunt/public/public_hunt_drawing/hunt-category-details.phtml?OCat=PLE</x:v>
      </x:c>
      <x:c r="AN93" s="2" t="str">
        <x:v>https://tpwd.texas.gov/search/?q=La+Salle+County+Ranch+public+hunting+brochure</x:v>
      </x:c>
      <x:c r="AO93" s="2" t="str">
        <x:v>https://apps.tpwd.state.tx.us/huntwild/hunt/public/public_hunt_drawing/</x:v>
      </x:c>
      <x:c r="AP93" s="2" t="str">
        <x:v>https://www.google.com/maps/search/?api=1&amp;query=La+Salle+County+Ranch%2C+Texas</x:v>
      </x:c>
      <x:c r="AQ93" s="96" t="n">
        <x:v>0</x:v>
      </x:c>
      <x:c r="AR93" s="2" t="str">
        <x:v>Standard Hastings ranking</x:v>
      </x:c>
    </x:row>
    <x:row r="94">
      <x:c r="A94" s="4" t="str">
        <x:v>No</x:v>
      </x:c>
      <x:c r="B94" s="4" t="str">
        <x:v>B</x:v>
      </x:c>
      <x:c r="C94" s="4" t="str">
        <x:v>Whitetail Deer</x:v>
      </x:c>
      <x:c r="D94" s="4" t="str">
        <x:v>Laguna Atascosa NWR</x:v>
      </x:c>
      <x:c r="E94" s="4" t="str">
        <x:v>South Texas / Rio Grande Valley</x:v>
      </x:c>
      <x:c r="F94" s="4" t="str">
        <x:v>National Refuge Archery Deer</x:v>
      </x:c>
      <x:c r="G94" s="4" t="str">
        <x:v>Yes</x:v>
      </x:c>
      <x:c r="H94" s="4" t="str">
        <x:v>Yes</x:v>
      </x:c>
      <x:c r="I94" s="24" t="str">
        <x:v>2026-09-01</x:v>
      </x:c>
      <x:c r="J94" s="4" t="str">
        <x:v>See TPWD category page</x:v>
      </x:c>
      <x:c r="K94" s="110" t="n">
        <x:v>3</x:v>
      </x:c>
      <x:c r="L94" s="110"/>
      <x:c r="M94" s="4"/>
      <x:c r="N94" s="4"/>
      <x:c r="O94" s="112"/>
      <x:c r="P94" s="4" t="n">
        <x:v>700</x:v>
      </x:c>
      <x:c r="Q94" s="4" t="str">
        <x:v>Long Haul</x:v>
      </x:c>
      <x:c r="R94" s="4" t="str">
        <x:v>Research before draw; property brochure linked from TPWD</x:v>
      </x:c>
      <x:c r="S94" s="4" t="str">
        <x:v>Low</x:v>
      </x:c>
      <x:c r="T94" s="4" t="str">
        <x:v>No</x:v>
      </x:c>
      <x:c r="U94" s="4" t="str">
        <x:v>Verified in TPWD 2026-2027 statewide deer category catalog. Refuge-specific rules and permit fees may apply. V5 preference rule: Lower priority: archery whitetail is more than 200 miles from Amarillo.</x:v>
      </x:c>
      <x:c r="V94" s="4" t="str">
        <x:v>https://tpwd.texas.gov/huntwild/hunt/public/public_hunt_drawing/hunt-category-details.phtml?OCat=NAD</x:v>
      </x:c>
      <x:c r="W94" s="4" t="n">
        <x:v>2</x:v>
      </x:c>
      <x:c r="X94" s="4" t="n">
        <x:v>1</x:v>
      </x:c>
      <x:c r="Y94" s="4" t="n">
        <x:v>4</x:v>
      </x:c>
      <x:c r="Z94" s="4" t="n">
        <x:v>3</x:v>
      </x:c>
      <x:c r="AA94" s="4" t="n">
        <x:v>2</x:v>
      </x:c>
      <x:c r="AB94" s="4" t="n">
        <x:v>0</x:v>
      </x:c>
      <x:c r="AC94" s="30" t="n">
        <x:v>1.1</x:v>
      </x:c>
      <x:c r="AD94" s="4"/>
      <x:c r="AE94" s="4" t="str">
        <x:v>2026-09-01</x:v>
      </x:c>
      <x:c r="AF94" s="2"/>
      <x:c r="AG94" s="97"/>
      <x:c r="AH94" s="2"/>
      <x:c r="AI94" s="2"/>
      <x:c r="AJ94" s="97"/>
      <x:c r="AK94" s="2"/>
      <x:c r="AL94" s="2"/>
      <x:c r="AM94" s="2" t="str">
        <x:v>https://tpwd.texas.gov/huntwild/hunt/public/public_hunt_drawing/hunt-category-details.phtml?OCat=NAD</x:v>
      </x:c>
      <x:c r="AN94" s="2" t="str">
        <x:v>https://tpwd.texas.gov/search/?q=Laguna+Atascosa+NWR+public+hunting+brochure</x:v>
      </x:c>
      <x:c r="AO94" s="2" t="str">
        <x:v>https://apps.tpwd.state.tx.us/huntwild/hunt/public/public_hunt_drawing/</x:v>
      </x:c>
      <x:c r="AP94" s="2" t="str">
        <x:v>https://www.google.com/maps/search/?api=1&amp;query=Laguna+Atascosa+NWR%2C+Texas</x:v>
      </x:c>
      <x:c r="AQ94" s="96" t="n">
        <x:v>-1</x:v>
      </x:c>
      <x:c r="AR94" s="2" t="str">
        <x:v>Lower priority: archery whitetail is more than 200 miles from Amarillo</x:v>
      </x:c>
    </x:row>
    <x:row r="95">
      <x:c r="A95" s="4" t="str">
        <x:v>No</x:v>
      </x:c>
      <x:c r="B95" s="4" t="str">
        <x:v>B</x:v>
      </x:c>
      <x:c r="C95" s="4" t="str">
        <x:v>Whitetail Deer</x:v>
      </x:c>
      <x:c r="D95" s="4" t="str">
        <x:v>Lake Somerville SP - Nails Creek Unit</x:v>
      </x:c>
      <x:c r="E95" s="4" t="str">
        <x:v>Central Texas / Austin</x:v>
      </x:c>
      <x:c r="F95" s="4" t="str">
        <x:v>E-Postcard Archery Deer</x:v>
      </x:c>
      <x:c r="G95" s="4" t="str">
        <x:v>Yes</x:v>
      </x:c>
      <x:c r="H95" s="4" t="str">
        <x:v>Yes</x:v>
      </x:c>
      <x:c r="I95" s="24" t="str">
        <x:v>2026-09-01</x:v>
      </x:c>
      <x:c r="J95" s="4" t="str">
        <x:v>See TPWD category page</x:v>
      </x:c>
      <x:c r="K95" s="110" t="n">
        <x:v>0</x:v>
      </x:c>
      <x:c r="L95" s="110" t="n">
        <x:v>0</x:v>
      </x:c>
      <x:c r="M95" s="4"/>
      <x:c r="N95" s="4"/>
      <x:c r="O95" s="112"/>
      <x:c r="P95" s="4" t="n">
        <x:v>490</x:v>
      </x:c>
      <x:c r="Q95" s="4" t="str">
        <x:v>Statewide</x:v>
      </x:c>
      <x:c r="R95" s="4" t="str">
        <x:v>Research before draw; property brochure linked from TPWD</x:v>
      </x:c>
      <x:c r="S95" s="4" t="str">
        <x:v>Low</x:v>
      </x:c>
      <x:c r="T95" s="4" t="str">
        <x:v>No</x:v>
      </x:c>
      <x:c r="U95" s="4" t="str">
        <x:v>Verified in TPWD 2026-2027 statewide deer category catalog. APH/eligibility rules apply; confirm account and permit requirements. V5 preference rule: Lower priority: archery whitetail is more than 200 miles from Amarillo.</x:v>
      </x:c>
      <x:c r="V95" s="4" t="str">
        <x:v>https://tpwd.texas.gov/huntwild/hunt/public/public_hunt_drawing/hunt-category-details.phtml?OCat=EAD</x:v>
      </x:c>
      <x:c r="W95" s="4" t="n">
        <x:v>2</x:v>
      </x:c>
      <x:c r="X95" s="4" t="n">
        <x:v>2</x:v>
      </x:c>
      <x:c r="Y95" s="4" t="n">
        <x:v>4</x:v>
      </x:c>
      <x:c r="Z95" s="4" t="n">
        <x:v>3</x:v>
      </x:c>
      <x:c r="AA95" s="4" t="n">
        <x:v>2</x:v>
      </x:c>
      <x:c r="AB95" s="4" t="n">
        <x:v>0</x:v>
      </x:c>
      <x:c r="AC95" s="30" t="n">
        <x:v>1.3</x:v>
      </x:c>
      <x:c r="AD95" s="4" t="n">
        <x:v>0</x:v>
      </x:c>
      <x:c r="AE95" s="4" t="str">
        <x:v>2026-09-01</x:v>
      </x:c>
      <x:c r="AF95" s="2"/>
      <x:c r="AG95" s="97"/>
      <x:c r="AH95" s="2"/>
      <x:c r="AI95" s="2"/>
      <x:c r="AJ95" s="97"/>
      <x:c r="AK95" s="2"/>
      <x:c r="AL95" s="2"/>
      <x:c r="AM95" s="2" t="str">
        <x:v>https://tpwd.texas.gov/huntwild/hunt/public/public_hunt_drawing/hunt-category-details.phtml?OCat=EAD</x:v>
      </x:c>
      <x:c r="AN95" s="2" t="str">
        <x:v>https://tpwd.texas.gov/search/?q=Lake+Somerville+SP+-+Nails+Creek+Unit+public+hunting+brochure</x:v>
      </x:c>
      <x:c r="AO95" s="2" t="str">
        <x:v>https://apps.tpwd.state.tx.us/huntwild/hunt/public/public_hunt_drawing/</x:v>
      </x:c>
      <x:c r="AP95" s="2" t="str">
        <x:v>https://www.google.com/maps/search/?api=1&amp;query=Lake+Somerville+SP+-+Nails+Creek+Unit%2C+Texas</x:v>
      </x:c>
      <x:c r="AQ95" s="96" t="n">
        <x:v>-1</x:v>
      </x:c>
      <x:c r="AR95" s="2" t="str">
        <x:v>Lower priority: archery whitetail is more than 200 miles from Amarillo</x:v>
      </x:c>
    </x:row>
    <x:row r="96">
      <x:c r="A96" s="4" t="str">
        <x:v>No</x:v>
      </x:c>
      <x:c r="B96" s="4" t="str">
        <x:v>A</x:v>
      </x:c>
      <x:c r="C96" s="4" t="str">
        <x:v>Whitetail Deer</x:v>
      </x:c>
      <x:c r="D96" s="4" t="str">
        <x:v>Lipscomb County Ranch</x:v>
      </x:c>
      <x:c r="E96" s="4" t="str">
        <x:v>Panhandle / Rolling Plains</x:v>
      </x:c>
      <x:c r="F96" s="4" t="str">
        <x:v>Private Lands - Either Sex</x:v>
      </x:c>
      <x:c r="G96" s="4" t="str">
        <x:v>Yes</x:v>
      </x:c>
      <x:c r="H96" s="4" t="str">
        <x:v>Yes</x:v>
      </x:c>
      <x:c r="I96" s="24" t="str">
        <x:v>2026-09-01</x:v>
      </x:c>
      <x:c r="J96" s="4" t="str">
        <x:v>See TPWD category page</x:v>
      </x:c>
      <x:c r="K96" s="110" t="n">
        <x:v>10</x:v>
      </x:c>
      <x:c r="L96" s="110"/>
      <x:c r="M96" s="4"/>
      <x:c r="N96" s="4"/>
      <x:c r="O96" s="112"/>
      <x:c r="P96" s="4" t="n">
        <x:v>130</x:v>
      </x:c>
      <x:c r="Q96" s="4" t="str">
        <x:v>Core</x:v>
      </x:c>
      <x:c r="R96" s="4" t="str">
        <x:v>Research before draw; property brochure linked from TPWD</x:v>
      </x:c>
      <x:c r="S96" s="4" t="str">
        <x:v>High</x:v>
      </x:c>
      <x:c r="T96" s="4" t="str">
        <x:v>No</x:v>
      </x:c>
      <x:c r="U96" s="4" t="str">
        <x:v>Verified in TPWD 2026-2027 statewide deer category catalog.</x:v>
      </x:c>
      <x:c r="V96" s="4" t="str">
        <x:v>https://tpwd.texas.gov/huntwild/hunt/public/public_hunt_drawing/hunt-category-details.phtml?OCat=PLE</x:v>
      </x:c>
      <x:c r="W96" s="4" t="n">
        <x:v>2</x:v>
      </x:c>
      <x:c r="X96" s="4" t="n">
        <x:v>5</x:v>
      </x:c>
      <x:c r="Y96" s="4" t="n">
        <x:v>4</x:v>
      </x:c>
      <x:c r="Z96" s="4" t="n">
        <x:v>3</x:v>
      </x:c>
      <x:c r="AA96" s="4" t="n">
        <x:v>4</x:v>
      </x:c>
      <x:c r="AB96" s="4" t="n">
        <x:v>0</x:v>
      </x:c>
      <x:c r="AC96" s="30" t="n">
        <x:v>2.9</x:v>
      </x:c>
      <x:c r="AD96" s="4"/>
      <x:c r="AE96" s="4" t="str">
        <x:v>2026-09-01</x:v>
      </x:c>
      <x:c r="AF96" s="2"/>
      <x:c r="AG96" s="97"/>
      <x:c r="AH96" s="2"/>
      <x:c r="AI96" s="2"/>
      <x:c r="AJ96" s="97"/>
      <x:c r="AK96" s="2"/>
      <x:c r="AL96" s="2"/>
      <x:c r="AM96" s="2" t="str">
        <x:v>https://tpwd.texas.gov/huntwild/hunt/public/public_hunt_drawing/hunt-category-details.phtml?OCat=PLE</x:v>
      </x:c>
      <x:c r="AN96" s="2" t="str">
        <x:v>https://tpwd.texas.gov/search/?q=Lipscomb+County+Ranch+public+hunting+brochure</x:v>
      </x:c>
      <x:c r="AO96" s="2" t="str">
        <x:v>https://apps.tpwd.state.tx.us/huntwild/hunt/public/public_hunt_drawing/</x:v>
      </x:c>
      <x:c r="AP96" s="2" t="str">
        <x:v>https://www.google.com/maps/search/?api=1&amp;query=Lipscomb+County+Ranch%2C+Texas</x:v>
      </x:c>
      <x:c r="AQ96" s="96" t="n">
        <x:v>0</x:v>
      </x:c>
      <x:c r="AR96" s="2" t="str">
        <x:v>Standard Hastings ranking</x:v>
      </x:c>
    </x:row>
    <x:row r="97">
      <x:c r="A97" s="4" t="str">
        <x:v>No</x:v>
      </x:c>
      <x:c r="B97" s="4" t="str">
        <x:v>B</x:v>
      </x:c>
      <x:c r="C97" s="4" t="str">
        <x:v>Whitetail Deer</x:v>
      </x:c>
      <x:c r="D97" s="4" t="str">
        <x:v>Lower Rio Grande NWR - Schaleben</x:v>
      </x:c>
      <x:c r="E97" s="4" t="str">
        <x:v>South Texas / Rio Grande Valley</x:v>
      </x:c>
      <x:c r="F97" s="4" t="str">
        <x:v>National Refuge Archery Deer</x:v>
      </x:c>
      <x:c r="G97" s="4" t="str">
        <x:v>Yes</x:v>
      </x:c>
      <x:c r="H97" s="4" t="str">
        <x:v>Yes</x:v>
      </x:c>
      <x:c r="I97" s="24" t="str">
        <x:v>2026-09-01</x:v>
      </x:c>
      <x:c r="J97" s="4" t="str">
        <x:v>See TPWD category page</x:v>
      </x:c>
      <x:c r="K97" s="110" t="n">
        <x:v>3</x:v>
      </x:c>
      <x:c r="L97" s="110"/>
      <x:c r="M97" s="4"/>
      <x:c r="N97" s="4"/>
      <x:c r="O97" s="112"/>
      <x:c r="P97" s="4" t="n">
        <x:v>700</x:v>
      </x:c>
      <x:c r="Q97" s="4" t="str">
        <x:v>Long Haul</x:v>
      </x:c>
      <x:c r="R97" s="4" t="str">
        <x:v>Research before draw; property brochure linked from TPWD</x:v>
      </x:c>
      <x:c r="S97" s="4" t="str">
        <x:v>Low</x:v>
      </x:c>
      <x:c r="T97" s="4" t="str">
        <x:v>No</x:v>
      </x:c>
      <x:c r="U97" s="4" t="str">
        <x:v>Verified in TPWD 2026-2027 statewide deer category catalog. Refuge-specific rules and permit fees may apply. V5 preference rule: Lower priority: archery whitetail is more than 200 miles from Amarillo.</x:v>
      </x:c>
      <x:c r="V97" s="4" t="str">
        <x:v>https://tpwd.texas.gov/huntwild/hunt/public/public_hunt_drawing/hunt-category-details.phtml?OCat=NAD</x:v>
      </x:c>
      <x:c r="W97" s="4" t="n">
        <x:v>2</x:v>
      </x:c>
      <x:c r="X97" s="4" t="n">
        <x:v>1</x:v>
      </x:c>
      <x:c r="Y97" s="4" t="n">
        <x:v>4</x:v>
      </x:c>
      <x:c r="Z97" s="4" t="n">
        <x:v>3</x:v>
      </x:c>
      <x:c r="AA97" s="4" t="n">
        <x:v>2</x:v>
      </x:c>
      <x:c r="AB97" s="4" t="n">
        <x:v>0</x:v>
      </x:c>
      <x:c r="AC97" s="30" t="n">
        <x:v>1.1</x:v>
      </x:c>
      <x:c r="AD97" s="4"/>
      <x:c r="AE97" s="4" t="str">
        <x:v>2026-09-01</x:v>
      </x:c>
      <x:c r="AF97" s="2"/>
      <x:c r="AG97" s="97"/>
      <x:c r="AH97" s="2"/>
      <x:c r="AI97" s="2"/>
      <x:c r="AJ97" s="97"/>
      <x:c r="AK97" s="2"/>
      <x:c r="AL97" s="2"/>
      <x:c r="AM97" s="2" t="str">
        <x:v>https://tpwd.texas.gov/huntwild/hunt/public/public_hunt_drawing/hunt-category-details.phtml?OCat=NAD</x:v>
      </x:c>
      <x:c r="AN97" s="2" t="str">
        <x:v>https://tpwd.texas.gov/search/?q=Lower+Rio+Grande+NWR+-+Schaleben+public+hunting+brochure</x:v>
      </x:c>
      <x:c r="AO97" s="2" t="str">
        <x:v>https://apps.tpwd.state.tx.us/huntwild/hunt/public/public_hunt_drawing/</x:v>
      </x:c>
      <x:c r="AP97" s="2" t="str">
        <x:v>https://www.google.com/maps/search/?api=1&amp;query=Lower+Rio+Grande+NWR+-+Schaleben%2C+Texas</x:v>
      </x:c>
      <x:c r="AQ97" s="96" t="n">
        <x:v>-1</x:v>
      </x:c>
      <x:c r="AR97" s="2" t="str">
        <x:v>Lower priority: archery whitetail is more than 200 miles from Amarillo</x:v>
      </x:c>
    </x:row>
    <x:row r="98">
      <x:c r="A98" s="4" t="str">
        <x:v>No</x:v>
      </x:c>
      <x:c r="B98" s="4" t="str">
        <x:v>B</x:v>
      </x:c>
      <x:c r="C98" s="4" t="str">
        <x:v>Whitetail Deer</x:v>
      </x:c>
      <x:c r="D98" s="4" t="str">
        <x:v>Lower Rio Grande Valley NWR - Teniente</x:v>
      </x:c>
      <x:c r="E98" s="4" t="str">
        <x:v>South Texas / Rio Grande Valley</x:v>
      </x:c>
      <x:c r="F98" s="4" t="str">
        <x:v>National Refuge Archery Deer</x:v>
      </x:c>
      <x:c r="G98" s="4" t="str">
        <x:v>Yes</x:v>
      </x:c>
      <x:c r="H98" s="4" t="str">
        <x:v>Yes</x:v>
      </x:c>
      <x:c r="I98" s="24" t="str">
        <x:v>2026-09-01</x:v>
      </x:c>
      <x:c r="J98" s="4" t="str">
        <x:v>See TPWD category page</x:v>
      </x:c>
      <x:c r="K98" s="110" t="n">
        <x:v>3</x:v>
      </x:c>
      <x:c r="L98" s="110"/>
      <x:c r="M98" s="4"/>
      <x:c r="N98" s="4"/>
      <x:c r="O98" s="112"/>
      <x:c r="P98" s="4" t="n">
        <x:v>700</x:v>
      </x:c>
      <x:c r="Q98" s="4" t="str">
        <x:v>Long Haul</x:v>
      </x:c>
      <x:c r="R98" s="4" t="str">
        <x:v>Research before draw; property brochure linked from TPWD</x:v>
      </x:c>
      <x:c r="S98" s="4" t="str">
        <x:v>Low</x:v>
      </x:c>
      <x:c r="T98" s="4" t="str">
        <x:v>No</x:v>
      </x:c>
      <x:c r="U98" s="4" t="str">
        <x:v>Verified in TPWD 2026-2027 statewide deer category catalog. Refuge-specific rules and permit fees may apply. V5 preference rule: Lower priority: archery whitetail is more than 200 miles from Amarillo.</x:v>
      </x:c>
      <x:c r="V98" s="4" t="str">
        <x:v>https://tpwd.texas.gov/huntwild/hunt/public/public_hunt_drawing/hunt-category-details.phtml?OCat=NAD</x:v>
      </x:c>
      <x:c r="W98" s="4" t="n">
        <x:v>2</x:v>
      </x:c>
      <x:c r="X98" s="4" t="n">
        <x:v>1</x:v>
      </x:c>
      <x:c r="Y98" s="4" t="n">
        <x:v>4</x:v>
      </x:c>
      <x:c r="Z98" s="4" t="n">
        <x:v>3</x:v>
      </x:c>
      <x:c r="AA98" s="4" t="n">
        <x:v>2</x:v>
      </x:c>
      <x:c r="AB98" s="4" t="n">
        <x:v>0</x:v>
      </x:c>
      <x:c r="AC98" s="30" t="n">
        <x:v>1.1</x:v>
      </x:c>
      <x:c r="AD98" s="4"/>
      <x:c r="AE98" s="4" t="str">
        <x:v>2026-09-01</x:v>
      </x:c>
      <x:c r="AF98" s="2"/>
      <x:c r="AG98" s="97"/>
      <x:c r="AH98" s="2"/>
      <x:c r="AI98" s="2"/>
      <x:c r="AJ98" s="97"/>
      <x:c r="AK98" s="2"/>
      <x:c r="AL98" s="2"/>
      <x:c r="AM98" s="2" t="str">
        <x:v>https://tpwd.texas.gov/huntwild/hunt/public/public_hunt_drawing/hunt-category-details.phtml?OCat=NAD</x:v>
      </x:c>
      <x:c r="AN98" s="2" t="str">
        <x:v>https://tpwd.texas.gov/search/?q=Lower+Rio+Grande+Valley+NWR+-+Teniente+public+hunting+brochure</x:v>
      </x:c>
      <x:c r="AO98" s="2" t="str">
        <x:v>https://apps.tpwd.state.tx.us/huntwild/hunt/public/public_hunt_drawing/</x:v>
      </x:c>
      <x:c r="AP98" s="2" t="str">
        <x:v>https://www.google.com/maps/search/?api=1&amp;query=Lower+Rio+Grande+Valley+NWR+-+Teniente%2C+Texas</x:v>
      </x:c>
      <x:c r="AQ98" s="96" t="n">
        <x:v>-1</x:v>
      </x:c>
      <x:c r="AR98" s="2" t="str">
        <x:v>Lower priority: archery whitetail is more than 200 miles from Amarillo</x:v>
      </x:c>
    </x:row>
    <x:row r="99">
      <x:c r="A99" s="4" t="str">
        <x:v>No</x:v>
      </x:c>
      <x:c r="B99" s="4" t="str">
        <x:v>A</x:v>
      </x:c>
      <x:c r="C99" s="4" t="str">
        <x:v>Whitetail Deer</x:v>
      </x:c>
      <x:c r="D99" s="4" t="str">
        <x:v>Muleshoe NWR</x:v>
      </x:c>
      <x:c r="E99" s="4" t="str">
        <x:v>Panhandle / Rolling Plains</x:v>
      </x:c>
      <x:c r="F99" s="4" t="str">
        <x:v>National Refuge Archery Deer</x:v>
      </x:c>
      <x:c r="G99" s="4" t="str">
        <x:v>Yes</x:v>
      </x:c>
      <x:c r="H99" s="4" t="str">
        <x:v>Yes</x:v>
      </x:c>
      <x:c r="I99" s="24" t="str">
        <x:v>2026-09-01</x:v>
      </x:c>
      <x:c r="J99" s="4" t="str">
        <x:v>See TPWD category page</x:v>
      </x:c>
      <x:c r="K99" s="110" t="n">
        <x:v>3</x:v>
      </x:c>
      <x:c r="L99" s="110"/>
      <x:c r="M99" s="4"/>
      <x:c r="N99" s="4"/>
      <x:c r="O99" s="112"/>
      <x:c r="P99" s="4" t="n">
        <x:v>130</x:v>
      </x:c>
      <x:c r="Q99" s="4" t="str">
        <x:v>Core</x:v>
      </x:c>
      <x:c r="R99" s="4" t="str">
        <x:v>Research before draw; property brochure linked from TPWD</x:v>
      </x:c>
      <x:c r="S99" s="4" t="str">
        <x:v>High</x:v>
      </x:c>
      <x:c r="T99" s="4" t="str">
        <x:v>No</x:v>
      </x:c>
      <x:c r="U99" s="4" t="str">
        <x:v>Verified in TPWD 2026-2027 statewide deer category catalog. Refuge-specific rules and permit fees may apply.</x:v>
      </x:c>
      <x:c r="V99" s="4" t="str">
        <x:v>https://tpwd.texas.gov/huntwild/hunt/public/public_hunt_drawing/hunt-category-details.phtml?OCat=NAD</x:v>
      </x:c>
      <x:c r="W99" s="4" t="n">
        <x:v>2</x:v>
      </x:c>
      <x:c r="X99" s="4" t="n">
        <x:v>5</x:v>
      </x:c>
      <x:c r="Y99" s="4" t="n">
        <x:v>4</x:v>
      </x:c>
      <x:c r="Z99" s="4" t="n">
        <x:v>3</x:v>
      </x:c>
      <x:c r="AA99" s="4" t="n">
        <x:v>4</x:v>
      </x:c>
      <x:c r="AB99" s="4" t="n">
        <x:v>0</x:v>
      </x:c>
      <x:c r="AC99" s="30" t="n">
        <x:v>2.9</x:v>
      </x:c>
      <x:c r="AD99" s="4"/>
      <x:c r="AE99" s="4" t="str">
        <x:v>2026-09-01</x:v>
      </x:c>
      <x:c r="AF99" s="2"/>
      <x:c r="AG99" s="97"/>
      <x:c r="AH99" s="2"/>
      <x:c r="AI99" s="2"/>
      <x:c r="AJ99" s="97"/>
      <x:c r="AK99" s="2"/>
      <x:c r="AL99" s="2"/>
      <x:c r="AM99" s="2" t="str">
        <x:v>https://tpwd.texas.gov/huntwild/hunt/public/public_hunt_drawing/hunt-category-details.phtml?OCat=NAD</x:v>
      </x:c>
      <x:c r="AN99" s="2" t="str">
        <x:v>https://tpwd.texas.gov/search/?q=Muleshoe+NWR+public+hunting+brochure</x:v>
      </x:c>
      <x:c r="AO99" s="2" t="str">
        <x:v>https://apps.tpwd.state.tx.us/huntwild/hunt/public/public_hunt_drawing/</x:v>
      </x:c>
      <x:c r="AP99" s="2" t="str">
        <x:v>https://www.google.com/maps/search/?api=1&amp;query=Muleshoe+NWR%2C+Texas</x:v>
      </x:c>
      <x:c r="AQ99" s="96" t="n">
        <x:v>0</x:v>
      </x:c>
      <x:c r="AR99" s="2" t="str">
        <x:v>Standard Hastings ranking</x:v>
      </x:c>
    </x:row>
    <x:row r="100">
      <x:c r="A100" s="4" t="str">
        <x:v>No</x:v>
      </x:c>
      <x:c r="B100" s="4" t="str">
        <x:v>B</x:v>
      </x:c>
      <x:c r="C100" s="4" t="str">
        <x:v>Whitetail Deer</x:v>
      </x:c>
      <x:c r="D100" s="4" t="str">
        <x:v>Neches River NWR - Dead Water Unit</x:v>
      </x:c>
      <x:c r="E100" s="4" t="str">
        <x:v>East Texas / Pineywoods</x:v>
      </x:c>
      <x:c r="F100" s="4" t="str">
        <x:v>National Refuge Archery Deer</x:v>
      </x:c>
      <x:c r="G100" s="4" t="str">
        <x:v>Yes</x:v>
      </x:c>
      <x:c r="H100" s="4" t="str">
        <x:v>Yes</x:v>
      </x:c>
      <x:c r="I100" s="24" t="str">
        <x:v>2026-09-01</x:v>
      </x:c>
      <x:c r="J100" s="4" t="str">
        <x:v>See TPWD category page</x:v>
      </x:c>
      <x:c r="K100" s="110" t="n">
        <x:v>3</x:v>
      </x:c>
      <x:c r="L100" s="110"/>
      <x:c r="M100" s="4"/>
      <x:c r="N100" s="4"/>
      <x:c r="O100" s="112"/>
      <x:c r="P100" s="4" t="n">
        <x:v>570</x:v>
      </x:c>
      <x:c r="Q100" s="4" t="str">
        <x:v>Statewide</x:v>
      </x:c>
      <x:c r="R100" s="4" t="str">
        <x:v>Research before draw; property brochure linked from TPWD</x:v>
      </x:c>
      <x:c r="S100" s="4" t="str">
        <x:v>Low</x:v>
      </x:c>
      <x:c r="T100" s="4" t="str">
        <x:v>No</x:v>
      </x:c>
      <x:c r="U100" s="4" t="str">
        <x:v>Verified in TPWD 2026-2027 statewide deer category catalog. Refuge-specific rules and permit fees may apply. V5 preference rule: Lower priority: archery whitetail is more than 200 miles from Amarillo.</x:v>
      </x:c>
      <x:c r="V100" s="4" t="str">
        <x:v>https://tpwd.texas.gov/huntwild/hunt/public/public_hunt_drawing/hunt-category-details.phtml?OCat=NAD</x:v>
      </x:c>
      <x:c r="W100" s="4" t="n">
        <x:v>2</x:v>
      </x:c>
      <x:c r="X100" s="4" t="n">
        <x:v>2</x:v>
      </x:c>
      <x:c r="Y100" s="4" t="n">
        <x:v>4</x:v>
      </x:c>
      <x:c r="Z100" s="4" t="n">
        <x:v>3</x:v>
      </x:c>
      <x:c r="AA100" s="4" t="n">
        <x:v>2</x:v>
      </x:c>
      <x:c r="AB100" s="4" t="n">
        <x:v>0</x:v>
      </x:c>
      <x:c r="AC100" s="30" t="n">
        <x:v>1.3</x:v>
      </x:c>
      <x:c r="AD100" s="4"/>
      <x:c r="AE100" s="4" t="str">
        <x:v>2026-09-01</x:v>
      </x:c>
      <x:c r="AF100" s="2"/>
      <x:c r="AG100" s="97"/>
      <x:c r="AH100" s="2"/>
      <x:c r="AI100" s="2"/>
      <x:c r="AJ100" s="97"/>
      <x:c r="AK100" s="2"/>
      <x:c r="AL100" s="2"/>
      <x:c r="AM100" s="2" t="str">
        <x:v>https://tpwd.texas.gov/huntwild/hunt/public/public_hunt_drawing/hunt-category-details.phtml?OCat=NAD</x:v>
      </x:c>
      <x:c r="AN100" s="2" t="str">
        <x:v>https://tpwd.texas.gov/search/?q=Neches+River+NWR+-+Dead+Water+Unit+public+hunting+brochure</x:v>
      </x:c>
      <x:c r="AO100" s="2" t="str">
        <x:v>https://apps.tpwd.state.tx.us/huntwild/hunt/public/public_hunt_drawing/</x:v>
      </x:c>
      <x:c r="AP100" s="2" t="str">
        <x:v>https://www.google.com/maps/search/?api=1&amp;query=Neches+River+NWR+-+Dead+Water+Unit%2C+Texas</x:v>
      </x:c>
      <x:c r="AQ100" s="96" t="n">
        <x:v>-1</x:v>
      </x:c>
      <x:c r="AR100" s="2" t="str">
        <x:v>Lower priority: archery whitetail is more than 200 miles from Amarillo</x:v>
      </x:c>
    </x:row>
    <x:row r="101">
      <x:c r="A101" s="4" t="str">
        <x:v>No</x:v>
      </x:c>
      <x:c r="B101" s="4" t="str">
        <x:v>B</x:v>
      </x:c>
      <x:c r="C101" s="4" t="str">
        <x:v>Whitetail Deer</x:v>
      </x:c>
      <x:c r="D101" s="4" t="str">
        <x:v>Neches River NWR - Rocky Point Unit</x:v>
      </x:c>
      <x:c r="E101" s="4" t="str">
        <x:v>East Texas / Pineywoods</x:v>
      </x:c>
      <x:c r="F101" s="4" t="str">
        <x:v>National Refuge Archery Deer</x:v>
      </x:c>
      <x:c r="G101" s="4" t="str">
        <x:v>Yes</x:v>
      </x:c>
      <x:c r="H101" s="4" t="str">
        <x:v>Yes</x:v>
      </x:c>
      <x:c r="I101" s="24" t="str">
        <x:v>2026-09-01</x:v>
      </x:c>
      <x:c r="J101" s="4" t="str">
        <x:v>See TPWD category page</x:v>
      </x:c>
      <x:c r="K101" s="110" t="n">
        <x:v>3</x:v>
      </x:c>
      <x:c r="L101" s="110"/>
      <x:c r="M101" s="4"/>
      <x:c r="N101" s="4"/>
      <x:c r="O101" s="112"/>
      <x:c r="P101" s="4" t="n">
        <x:v>570</x:v>
      </x:c>
      <x:c r="Q101" s="4" t="str">
        <x:v>Statewide</x:v>
      </x:c>
      <x:c r="R101" s="4" t="str">
        <x:v>Research before draw; property brochure linked from TPWD</x:v>
      </x:c>
      <x:c r="S101" s="4" t="str">
        <x:v>Low</x:v>
      </x:c>
      <x:c r="T101" s="4" t="str">
        <x:v>No</x:v>
      </x:c>
      <x:c r="U101" s="4" t="str">
        <x:v>Verified in TPWD 2026-2027 statewide deer category catalog. Refuge-specific rules and permit fees may apply. V5 preference rule: Lower priority: archery whitetail is more than 200 miles from Amarillo.</x:v>
      </x:c>
      <x:c r="V101" s="4" t="str">
        <x:v>https://tpwd.texas.gov/huntwild/hunt/public/public_hunt_drawing/hunt-category-details.phtml?OCat=NAD</x:v>
      </x:c>
      <x:c r="W101" s="4" t="n">
        <x:v>2</x:v>
      </x:c>
      <x:c r="X101" s="4" t="n">
        <x:v>2</x:v>
      </x:c>
      <x:c r="Y101" s="4" t="n">
        <x:v>4</x:v>
      </x:c>
      <x:c r="Z101" s="4" t="n">
        <x:v>3</x:v>
      </x:c>
      <x:c r="AA101" s="4" t="n">
        <x:v>2</x:v>
      </x:c>
      <x:c r="AB101" s="4" t="n">
        <x:v>0</x:v>
      </x:c>
      <x:c r="AC101" s="30" t="n">
        <x:v>1.3</x:v>
      </x:c>
      <x:c r="AD101" s="4"/>
      <x:c r="AE101" s="4" t="str">
        <x:v>2026-09-01</x:v>
      </x:c>
      <x:c r="AF101" s="2"/>
      <x:c r="AG101" s="97"/>
      <x:c r="AH101" s="2"/>
      <x:c r="AI101" s="2"/>
      <x:c r="AJ101" s="97"/>
      <x:c r="AK101" s="2"/>
      <x:c r="AL101" s="2"/>
      <x:c r="AM101" s="2" t="str">
        <x:v>https://tpwd.texas.gov/huntwild/hunt/public/public_hunt_drawing/hunt-category-details.phtml?OCat=NAD</x:v>
      </x:c>
      <x:c r="AN101" s="2" t="str">
        <x:v>https://tpwd.texas.gov/search/?q=Neches+River+NWR+-+Rocky+Point+Unit+public+hunting+brochure</x:v>
      </x:c>
      <x:c r="AO101" s="2" t="str">
        <x:v>https://apps.tpwd.state.tx.us/huntwild/hunt/public/public_hunt_drawing/</x:v>
      </x:c>
      <x:c r="AP101" s="2" t="str">
        <x:v>https://www.google.com/maps/search/?api=1&amp;query=Neches+River+NWR+-+Rocky+Point+Unit%2C+Texas</x:v>
      </x:c>
      <x:c r="AQ101" s="96" t="n">
        <x:v>-1</x:v>
      </x:c>
      <x:c r="AR101" s="2" t="str">
        <x:v>Lower priority: archery whitetail is more than 200 miles from Amarillo</x:v>
      </x:c>
    </x:row>
    <x:row r="102">
      <x:c r="A102" s="4" t="str">
        <x:v>No</x:v>
      </x:c>
      <x:c r="B102" s="4" t="str">
        <x:v>B</x:v>
      </x:c>
      <x:c r="C102" s="4" t="str">
        <x:v>Whitetail Deer</x:v>
      </x:c>
      <x:c r="D102" s="4" t="str">
        <x:v>Neches River NWR - Sandy Bluff Unit</x:v>
      </x:c>
      <x:c r="E102" s="4" t="str">
        <x:v>East Texas / Pineywoods</x:v>
      </x:c>
      <x:c r="F102" s="4" t="str">
        <x:v>National Refuge Archery Deer</x:v>
      </x:c>
      <x:c r="G102" s="4" t="str">
        <x:v>Yes</x:v>
      </x:c>
      <x:c r="H102" s="4" t="str">
        <x:v>Yes</x:v>
      </x:c>
      <x:c r="I102" s="24" t="str">
        <x:v>2026-09-01</x:v>
      </x:c>
      <x:c r="J102" s="4" t="str">
        <x:v>See TPWD category page</x:v>
      </x:c>
      <x:c r="K102" s="110" t="n">
        <x:v>3</x:v>
      </x:c>
      <x:c r="L102" s="110"/>
      <x:c r="M102" s="4"/>
      <x:c r="N102" s="4"/>
      <x:c r="O102" s="112"/>
      <x:c r="P102" s="4" t="n">
        <x:v>570</x:v>
      </x:c>
      <x:c r="Q102" s="4" t="str">
        <x:v>Statewide</x:v>
      </x:c>
      <x:c r="R102" s="4" t="str">
        <x:v>Research before draw; property brochure linked from TPWD</x:v>
      </x:c>
      <x:c r="S102" s="4" t="str">
        <x:v>Low</x:v>
      </x:c>
      <x:c r="T102" s="4" t="str">
        <x:v>No</x:v>
      </x:c>
      <x:c r="U102" s="4" t="str">
        <x:v>Verified in TPWD 2026-2027 statewide deer category catalog. Refuge-specific rules and permit fees may apply. V5 preference rule: Lower priority: archery whitetail is more than 200 miles from Amarillo.</x:v>
      </x:c>
      <x:c r="V102" s="4" t="str">
        <x:v>https://tpwd.texas.gov/huntwild/hunt/public/public_hunt_drawing/hunt-category-details.phtml?OCat=NAD</x:v>
      </x:c>
      <x:c r="W102" s="4" t="n">
        <x:v>2</x:v>
      </x:c>
      <x:c r="X102" s="4" t="n">
        <x:v>2</x:v>
      </x:c>
      <x:c r="Y102" s="4" t="n">
        <x:v>4</x:v>
      </x:c>
      <x:c r="Z102" s="4" t="n">
        <x:v>3</x:v>
      </x:c>
      <x:c r="AA102" s="4" t="n">
        <x:v>2</x:v>
      </x:c>
      <x:c r="AB102" s="4" t="n">
        <x:v>0</x:v>
      </x:c>
      <x:c r="AC102" s="30" t="n">
        <x:v>1.3</x:v>
      </x:c>
      <x:c r="AD102" s="4"/>
      <x:c r="AE102" s="4" t="str">
        <x:v>2026-09-01</x:v>
      </x:c>
      <x:c r="AF102" s="2"/>
      <x:c r="AG102" s="97"/>
      <x:c r="AH102" s="2"/>
      <x:c r="AI102" s="2"/>
      <x:c r="AJ102" s="97"/>
      <x:c r="AK102" s="2"/>
      <x:c r="AL102" s="2"/>
      <x:c r="AM102" s="2" t="str">
        <x:v>https://tpwd.texas.gov/huntwild/hunt/public/public_hunt_drawing/hunt-category-details.phtml?OCat=NAD</x:v>
      </x:c>
      <x:c r="AN102" s="2" t="str">
        <x:v>https://tpwd.texas.gov/search/?q=Neches+River+NWR+-+Sandy+Bluff+Unit+public+hunting+brochure</x:v>
      </x:c>
      <x:c r="AO102" s="2" t="str">
        <x:v>https://apps.tpwd.state.tx.us/huntwild/hunt/public/public_hunt_drawing/</x:v>
      </x:c>
      <x:c r="AP102" s="2" t="str">
        <x:v>https://www.google.com/maps/search/?api=1&amp;query=Neches+River+NWR+-+Sandy+Bluff+Unit%2C+Texas</x:v>
      </x:c>
      <x:c r="AQ102" s="96" t="n">
        <x:v>-1</x:v>
      </x:c>
      <x:c r="AR102" s="2" t="str">
        <x:v>Lower priority: archery whitetail is more than 200 miles from Amarillo</x:v>
      </x:c>
    </x:row>
    <x:row r="103">
      <x:c r="A103" s="4" t="str">
        <x:v>No</x:v>
      </x:c>
      <x:c r="B103" s="4" t="str">
        <x:v>B</x:v>
      </x:c>
      <x:c r="C103" s="4" t="str">
        <x:v>Whitetail Deer</x:v>
      </x:c>
      <x:c r="D103" s="4" t="str">
        <x:v>Neches River NWR - Walnut Branch Unit</x:v>
      </x:c>
      <x:c r="E103" s="4" t="str">
        <x:v>East Texas / Pineywoods</x:v>
      </x:c>
      <x:c r="F103" s="4" t="str">
        <x:v>National Refuge Archery Deer</x:v>
      </x:c>
      <x:c r="G103" s="4" t="str">
        <x:v>Yes</x:v>
      </x:c>
      <x:c r="H103" s="4" t="str">
        <x:v>Yes</x:v>
      </x:c>
      <x:c r="I103" s="24" t="str">
        <x:v>2026-09-01</x:v>
      </x:c>
      <x:c r="J103" s="4" t="str">
        <x:v>See TPWD category page</x:v>
      </x:c>
      <x:c r="K103" s="110" t="n">
        <x:v>3</x:v>
      </x:c>
      <x:c r="L103" s="110"/>
      <x:c r="M103" s="4"/>
      <x:c r="N103" s="4"/>
      <x:c r="O103" s="112"/>
      <x:c r="P103" s="4" t="n">
        <x:v>570</x:v>
      </x:c>
      <x:c r="Q103" s="4" t="str">
        <x:v>Statewide</x:v>
      </x:c>
      <x:c r="R103" s="4" t="str">
        <x:v>Research before draw; property brochure linked from TPWD</x:v>
      </x:c>
      <x:c r="S103" s="4" t="str">
        <x:v>Low</x:v>
      </x:c>
      <x:c r="T103" s="4" t="str">
        <x:v>No</x:v>
      </x:c>
      <x:c r="U103" s="4" t="str">
        <x:v>Verified in TPWD 2026-2027 statewide deer category catalog. Refuge-specific rules and permit fees may apply. V5 preference rule: Lower priority: archery whitetail is more than 200 miles from Amarillo.</x:v>
      </x:c>
      <x:c r="V103" s="4" t="str">
        <x:v>https://tpwd.texas.gov/huntwild/hunt/public/public_hunt_drawing/hunt-category-details.phtml?OCat=NAD</x:v>
      </x:c>
      <x:c r="W103" s="4" t="n">
        <x:v>2</x:v>
      </x:c>
      <x:c r="X103" s="4" t="n">
        <x:v>2</x:v>
      </x:c>
      <x:c r="Y103" s="4" t="n">
        <x:v>4</x:v>
      </x:c>
      <x:c r="Z103" s="4" t="n">
        <x:v>3</x:v>
      </x:c>
      <x:c r="AA103" s="4" t="n">
        <x:v>2</x:v>
      </x:c>
      <x:c r="AB103" s="4" t="n">
        <x:v>0</x:v>
      </x:c>
      <x:c r="AC103" s="30" t="n">
        <x:v>1.3</x:v>
      </x:c>
      <x:c r="AD103" s="4"/>
      <x:c r="AE103" s="4" t="str">
        <x:v>2026-09-01</x:v>
      </x:c>
      <x:c r="AF103" s="2"/>
      <x:c r="AG103" s="97"/>
      <x:c r="AH103" s="2"/>
      <x:c r="AI103" s="2"/>
      <x:c r="AJ103" s="97"/>
      <x:c r="AK103" s="2"/>
      <x:c r="AL103" s="2"/>
      <x:c r="AM103" s="2" t="str">
        <x:v>https://tpwd.texas.gov/huntwild/hunt/public/public_hunt_drawing/hunt-category-details.phtml?OCat=NAD</x:v>
      </x:c>
      <x:c r="AN103" s="2" t="str">
        <x:v>https://tpwd.texas.gov/search/?q=Neches+River+NWR+-+Walnut+Branch+Unit+public+hunting+brochure</x:v>
      </x:c>
      <x:c r="AO103" s="2" t="str">
        <x:v>https://apps.tpwd.state.tx.us/huntwild/hunt/public/public_hunt_drawing/</x:v>
      </x:c>
      <x:c r="AP103" s="2" t="str">
        <x:v>https://www.google.com/maps/search/?api=1&amp;query=Neches+River+NWR+-+Walnut+Branch+Unit%2C+Texas</x:v>
      </x:c>
      <x:c r="AQ103" s="96" t="n">
        <x:v>-1</x:v>
      </x:c>
      <x:c r="AR103" s="2" t="str">
        <x:v>Lower priority: archery whitetail is more than 200 miles from Amarillo</x:v>
      </x:c>
    </x:row>
    <x:row r="104">
      <x:c r="A104" s="4" t="str">
        <x:v>No</x:v>
      </x:c>
      <x:c r="B104" s="4" t="str">
        <x:v>A</x:v>
      </x:c>
      <x:c r="C104" s="4" t="str">
        <x:v>Whitetail Deer</x:v>
      </x:c>
      <x:c r="D104" s="4" t="str">
        <x:v>Pecos County Ranch</x:v>
      </x:c>
      <x:c r="E104" s="4" t="str">
        <x:v>Trans-Pecos / West Texas</x:v>
      </x:c>
      <x:c r="F104" s="4" t="str">
        <x:v>Private Lands - Either Sex</x:v>
      </x:c>
      <x:c r="G104" s="4" t="str">
        <x:v>Yes</x:v>
      </x:c>
      <x:c r="H104" s="4" t="str">
        <x:v>Yes</x:v>
      </x:c>
      <x:c r="I104" s="24" t="str">
        <x:v>2026-09-01</x:v>
      </x:c>
      <x:c r="J104" s="4" t="str">
        <x:v>See TPWD category page</x:v>
      </x:c>
      <x:c r="K104" s="110" t="n">
        <x:v>10</x:v>
      </x:c>
      <x:c r="L104" s="110"/>
      <x:c r="M104" s="4"/>
      <x:c r="N104" s="4"/>
      <x:c r="O104" s="112"/>
      <x:c r="P104" s="4" t="n">
        <x:v>520</x:v>
      </x:c>
      <x:c r="Q104" s="4" t="str">
        <x:v>Statewide</x:v>
      </x:c>
      <x:c r="R104" s="4" t="str">
        <x:v>Research before draw; property brochure linked from TPWD</x:v>
      </x:c>
      <x:c r="S104" s="4" t="str">
        <x:v>High</x:v>
      </x:c>
      <x:c r="T104" s="4" t="str">
        <x:v>No</x:v>
      </x:c>
      <x:c r="U104" s="4" t="str">
        <x:v>Verified in TPWD 2026-2027 statewide deer category catalog. West Texas/El Paso-region opportunity; prioritize for mule deer adventure value.</x:v>
      </x:c>
      <x:c r="V104" s="4" t="str">
        <x:v>https://tpwd.texas.gov/huntwild/hunt/public/public_hunt_drawing/hunt-category-details.phtml?OCat=PLE</x:v>
      </x:c>
      <x:c r="W104" s="4" t="n">
        <x:v>2</x:v>
      </x:c>
      <x:c r="X104" s="4" t="n">
        <x:v>2</x:v>
      </x:c>
      <x:c r="Y104" s="4" t="n">
        <x:v>4</x:v>
      </x:c>
      <x:c r="Z104" s="4" t="n">
        <x:v>3</x:v>
      </x:c>
      <x:c r="AA104" s="4" t="n">
        <x:v>4</x:v>
      </x:c>
      <x:c r="AB104" s="4" t="n">
        <x:v>0</x:v>
      </x:c>
      <x:c r="AC104" s="30" t="n">
        <x:v>2.5</x:v>
      </x:c>
      <x:c r="AD104" s="4"/>
      <x:c r="AE104" s="4" t="str">
        <x:v>2026-09-01</x:v>
      </x:c>
      <x:c r="AF104" s="2"/>
      <x:c r="AG104" s="97"/>
      <x:c r="AH104" s="2"/>
      <x:c r="AI104" s="2"/>
      <x:c r="AJ104" s="97"/>
      <x:c r="AK104" s="2"/>
      <x:c r="AL104" s="2"/>
      <x:c r="AM104" s="2" t="str">
        <x:v>https://tpwd.texas.gov/huntwild/hunt/public/public_hunt_drawing/hunt-category-details.phtml?OCat=PLE</x:v>
      </x:c>
      <x:c r="AN104" s="2" t="str">
        <x:v>https://tpwd.texas.gov/search/?q=Pecos+County+Ranch+public+hunting+brochure</x:v>
      </x:c>
      <x:c r="AO104" s="2" t="str">
        <x:v>https://apps.tpwd.state.tx.us/huntwild/hunt/public/public_hunt_drawing/</x:v>
      </x:c>
      <x:c r="AP104" s="2" t="str">
        <x:v>https://www.google.com/maps/search/?api=1&amp;query=Pecos+County+Ranch%2C+Texas</x:v>
      </x:c>
      <x:c r="AQ104" s="96" t="n">
        <x:v>0</x:v>
      </x:c>
      <x:c r="AR104" s="2" t="str">
        <x:v>Standard Hastings ranking</x:v>
      </x:c>
    </x:row>
    <x:row r="105">
      <x:c r="A105" s="4" t="str">
        <x:v>No</x:v>
      </x:c>
      <x:c r="B105" s="4" t="str">
        <x:v>A</x:v>
      </x:c>
      <x:c r="C105" s="4" t="str">
        <x:v>Whitetail Deer</x:v>
      </x:c>
      <x:c r="D105" s="4" t="str">
        <x:v>Travis County Ranch</x:v>
      </x:c>
      <x:c r="E105" s="4" t="str">
        <x:v>Central Texas / Austin</x:v>
      </x:c>
      <x:c r="F105" s="4" t="str">
        <x:v>Private Lands - Antlerless/Spike</x:v>
      </x:c>
      <x:c r="G105" s="4" t="str">
        <x:v>Yes</x:v>
      </x:c>
      <x:c r="H105" s="4" t="str">
        <x:v>Yes</x:v>
      </x:c>
      <x:c r="I105" s="24" t="str">
        <x:v>2026-09-01</x:v>
      </x:c>
      <x:c r="J105" s="4" t="str">
        <x:v>See TPWD category page</x:v>
      </x:c>
      <x:c r="K105" s="110" t="n">
        <x:v>10</x:v>
      </x:c>
      <x:c r="L105" s="110"/>
      <x:c r="M105" s="4"/>
      <x:c r="N105" s="4"/>
      <x:c r="O105" s="112"/>
      <x:c r="P105" s="4" t="n">
        <x:v>490</x:v>
      </x:c>
      <x:c r="Q105" s="4" t="str">
        <x:v>Statewide</x:v>
      </x:c>
      <x:c r="R105" s="4" t="str">
        <x:v>Research before draw; property brochure linked from TPWD</x:v>
      </x:c>
      <x:c r="S105" s="4" t="str">
        <x:v>Low</x:v>
      </x:c>
      <x:c r="T105" s="4" t="str">
        <x:v>No</x:v>
      </x:c>
      <x:c r="U105" s="4" t="str">
        <x:v>Verified in TPWD 2026-2027 statewide deer category catalog.</x:v>
      </x:c>
      <x:c r="V105" s="4" t="str">
        <x:v>https://tpwd.texas.gov/huntwild/hunt/public/public_hunt_drawing/hunt-category-details.phtml?OCat=PLA</x:v>
      </x:c>
      <x:c r="W105" s="4" t="n">
        <x:v>2</x:v>
      </x:c>
      <x:c r="X105" s="4" t="n">
        <x:v>2</x:v>
      </x:c>
      <x:c r="Y105" s="4" t="n">
        <x:v>4</x:v>
      </x:c>
      <x:c r="Z105" s="4" t="n">
        <x:v>3</x:v>
      </x:c>
      <x:c r="AA105" s="4" t="n">
        <x:v>2</x:v>
      </x:c>
      <x:c r="AB105" s="4" t="n">
        <x:v>0</x:v>
      </x:c>
      <x:c r="AC105" s="30" t="n">
        <x:v>2.3</x:v>
      </x:c>
      <x:c r="AD105" s="4"/>
      <x:c r="AE105" s="4" t="str">
        <x:v>2026-09-01</x:v>
      </x:c>
      <x:c r="AF105" s="2"/>
      <x:c r="AG105" s="97"/>
      <x:c r="AH105" s="2"/>
      <x:c r="AI105" s="2"/>
      <x:c r="AJ105" s="97"/>
      <x:c r="AK105" s="2"/>
      <x:c r="AL105" s="2"/>
      <x:c r="AM105" s="2" t="str">
        <x:v>https://tpwd.texas.gov/huntwild/hunt/public/public_hunt_drawing/hunt-category-details.phtml?OCat=PLA</x:v>
      </x:c>
      <x:c r="AN105" s="2" t="str">
        <x:v>https://tpwd.texas.gov/search/?q=Travis+County+Ranch+public+hunting+brochure</x:v>
      </x:c>
      <x:c r="AO105" s="2" t="str">
        <x:v>https://apps.tpwd.state.tx.us/huntwild/hunt/public/public_hunt_drawing/</x:v>
      </x:c>
      <x:c r="AP105" s="2" t="str">
        <x:v>https://www.google.com/maps/search/?api=1&amp;query=Travis+County+Ranch%2C+Texas</x:v>
      </x:c>
      <x:c r="AQ105" s="96" t="n">
        <x:v>0</x:v>
      </x:c>
      <x:c r="AR105" s="2" t="str">
        <x:v>Standard Hastings ranking</x:v>
      </x:c>
    </x:row>
    <x:row r="106">
      <x:c r="A106" s="4" t="str">
        <x:v>No</x:v>
      </x:c>
      <x:c r="B106" s="4" t="str">
        <x:v>A</x:v>
      </x:c>
      <x:c r="C106" s="4" t="str">
        <x:v>Whitetail Deer</x:v>
      </x:c>
      <x:c r="D106" s="4" t="str">
        <x:v>Travis County Ranch</x:v>
      </x:c>
      <x:c r="E106" s="4" t="str">
        <x:v>Central Texas / Austin</x:v>
      </x:c>
      <x:c r="F106" s="4" t="str">
        <x:v>Private Lands - Either Sex</x:v>
      </x:c>
      <x:c r="G106" s="4" t="str">
        <x:v>Yes</x:v>
      </x:c>
      <x:c r="H106" s="4" t="str">
        <x:v>Yes</x:v>
      </x:c>
      <x:c r="I106" s="24" t="str">
        <x:v>2026-09-01</x:v>
      </x:c>
      <x:c r="J106" s="4" t="str">
        <x:v>See TPWD category page</x:v>
      </x:c>
      <x:c r="K106" s="110" t="n">
        <x:v>10</x:v>
      </x:c>
      <x:c r="L106" s="110"/>
      <x:c r="M106" s="4"/>
      <x:c r="N106" s="4"/>
      <x:c r="O106" s="112"/>
      <x:c r="P106" s="4" t="n">
        <x:v>490</x:v>
      </x:c>
      <x:c r="Q106" s="4" t="str">
        <x:v>Statewide</x:v>
      </x:c>
      <x:c r="R106" s="4" t="str">
        <x:v>Research before draw; property brochure linked from TPWD</x:v>
      </x:c>
      <x:c r="S106" s="4" t="str">
        <x:v>Low</x:v>
      </x:c>
      <x:c r="T106" s="4" t="str">
        <x:v>No</x:v>
      </x:c>
      <x:c r="U106" s="4" t="str">
        <x:v>Verified in TPWD 2026-2027 statewide deer category catalog.</x:v>
      </x:c>
      <x:c r="V106" s="4" t="str">
        <x:v>https://tpwd.texas.gov/huntwild/hunt/public/public_hunt_drawing/hunt-category-details.phtml?OCat=PLE</x:v>
      </x:c>
      <x:c r="W106" s="4" t="n">
        <x:v>2</x:v>
      </x:c>
      <x:c r="X106" s="4" t="n">
        <x:v>2</x:v>
      </x:c>
      <x:c r="Y106" s="4" t="n">
        <x:v>4</x:v>
      </x:c>
      <x:c r="Z106" s="4" t="n">
        <x:v>3</x:v>
      </x:c>
      <x:c r="AA106" s="4" t="n">
        <x:v>2</x:v>
      </x:c>
      <x:c r="AB106" s="4" t="n">
        <x:v>0</x:v>
      </x:c>
      <x:c r="AC106" s="30" t="n">
        <x:v>2.3</x:v>
      </x:c>
      <x:c r="AD106" s="4"/>
      <x:c r="AE106" s="4" t="str">
        <x:v>2026-09-01</x:v>
      </x:c>
      <x:c r="AF106" s="2"/>
      <x:c r="AG106" s="97"/>
      <x:c r="AH106" s="2"/>
      <x:c r="AI106" s="2"/>
      <x:c r="AJ106" s="97"/>
      <x:c r="AK106" s="2"/>
      <x:c r="AL106" s="2"/>
      <x:c r="AM106" s="2" t="str">
        <x:v>https://tpwd.texas.gov/huntwild/hunt/public/public_hunt_drawing/hunt-category-details.phtml?OCat=PLE</x:v>
      </x:c>
      <x:c r="AN106" s="2" t="str">
        <x:v>https://tpwd.texas.gov/search/?q=Travis+County+Ranch+public+hunting+brochure</x:v>
      </x:c>
      <x:c r="AO106" s="2" t="str">
        <x:v>https://apps.tpwd.state.tx.us/huntwild/hunt/public/public_hunt_drawing/</x:v>
      </x:c>
      <x:c r="AP106" s="2" t="str">
        <x:v>https://www.google.com/maps/search/?api=1&amp;query=Travis+County+Ranch%2C+Texas</x:v>
      </x:c>
      <x:c r="AQ106" s="96" t="n">
        <x:v>0</x:v>
      </x:c>
      <x:c r="AR106" s="2" t="str">
        <x:v>Standard Hastings ranking</x:v>
      </x:c>
    </x:row>
    <x:row r="107">
      <x:c r="A107" s="4" t="str">
        <x:v>No</x:v>
      </x:c>
      <x:c r="B107" s="4" t="str">
        <x:v>B</x:v>
      </x:c>
      <x:c r="C107" s="4" t="str">
        <x:v>Whitetail Deer</x:v>
      </x:c>
      <x:c r="D107" s="4" t="str">
        <x:v>Trinity River NWR - Brierwood</x:v>
      </x:c>
      <x:c r="E107" s="4" t="str">
        <x:v>East Texas / Pineywoods</x:v>
      </x:c>
      <x:c r="F107" s="4" t="str">
        <x:v>National Refuge Archery Deer</x:v>
      </x:c>
      <x:c r="G107" s="4" t="str">
        <x:v>Yes</x:v>
      </x:c>
      <x:c r="H107" s="4" t="str">
        <x:v>Yes</x:v>
      </x:c>
      <x:c r="I107" s="24" t="str">
        <x:v>2026-09-01</x:v>
      </x:c>
      <x:c r="J107" s="4" t="str">
        <x:v>See TPWD category page</x:v>
      </x:c>
      <x:c r="K107" s="110" t="n">
        <x:v>3</x:v>
      </x:c>
      <x:c r="L107" s="110"/>
      <x:c r="M107" s="4"/>
      <x:c r="N107" s="4"/>
      <x:c r="O107" s="112"/>
      <x:c r="P107" s="4" t="n">
        <x:v>570</x:v>
      </x:c>
      <x:c r="Q107" s="4" t="str">
        <x:v>Statewide</x:v>
      </x:c>
      <x:c r="R107" s="4" t="str">
        <x:v>Research before draw; property brochure linked from TPWD</x:v>
      </x:c>
      <x:c r="S107" s="4" t="str">
        <x:v>Low</x:v>
      </x:c>
      <x:c r="T107" s="4" t="str">
        <x:v>No</x:v>
      </x:c>
      <x:c r="U107" s="4" t="str">
        <x:v>Verified in TPWD 2026-2027 statewide deer category catalog. Refuge-specific rules and permit fees may apply. V5 preference rule: Lower priority: archery whitetail is more than 200 miles from Amarillo.</x:v>
      </x:c>
      <x:c r="V107" s="4" t="str">
        <x:v>https://tpwd.texas.gov/huntwild/hunt/public/public_hunt_drawing/hunt-category-details.phtml?OCat=NAD</x:v>
      </x:c>
      <x:c r="W107" s="4" t="n">
        <x:v>2</x:v>
      </x:c>
      <x:c r="X107" s="4" t="n">
        <x:v>2</x:v>
      </x:c>
      <x:c r="Y107" s="4" t="n">
        <x:v>4</x:v>
      </x:c>
      <x:c r="Z107" s="4" t="n">
        <x:v>3</x:v>
      </x:c>
      <x:c r="AA107" s="4" t="n">
        <x:v>2</x:v>
      </x:c>
      <x:c r="AB107" s="4" t="n">
        <x:v>0</x:v>
      </x:c>
      <x:c r="AC107" s="30" t="n">
        <x:v>1.3</x:v>
      </x:c>
      <x:c r="AD107" s="4"/>
      <x:c r="AE107" s="4" t="str">
        <x:v>2026-09-01</x:v>
      </x:c>
      <x:c r="AF107" s="2"/>
      <x:c r="AG107" s="97"/>
      <x:c r="AH107" s="2"/>
      <x:c r="AI107" s="2"/>
      <x:c r="AJ107" s="97"/>
      <x:c r="AK107" s="2"/>
      <x:c r="AL107" s="2"/>
      <x:c r="AM107" s="2" t="str">
        <x:v>https://tpwd.texas.gov/huntwild/hunt/public/public_hunt_drawing/hunt-category-details.phtml?OCat=NAD</x:v>
      </x:c>
      <x:c r="AN107" s="2" t="str">
        <x:v>https://tpwd.texas.gov/search/?q=Trinity+River+NWR+-+Brierwood+public+hunting+brochure</x:v>
      </x:c>
      <x:c r="AO107" s="2" t="str">
        <x:v>https://apps.tpwd.state.tx.us/huntwild/hunt/public/public_hunt_drawing/</x:v>
      </x:c>
      <x:c r="AP107" s="2" t="str">
        <x:v>https://www.google.com/maps/search/?api=1&amp;query=Trinity+River+NWR+-+Brierwood%2C+Texas</x:v>
      </x:c>
      <x:c r="AQ107" s="96" t="n">
        <x:v>-1</x:v>
      </x:c>
      <x:c r="AR107" s="2" t="str">
        <x:v>Lower priority: archery whitetail is more than 200 miles from Amarillo</x:v>
      </x:c>
    </x:row>
    <x:row r="108">
      <x:c r="A108" s="4" t="str">
        <x:v>No</x:v>
      </x:c>
      <x:c r="B108" s="4" t="str">
        <x:v>B</x:v>
      </x:c>
      <x:c r="C108" s="4" t="str">
        <x:v>Whitetail Deer</x:v>
      </x:c>
      <x:c r="D108" s="4" t="str">
        <x:v>Trinity River NWR - Hirsch</x:v>
      </x:c>
      <x:c r="E108" s="4" t="str">
        <x:v>East Texas / Pineywoods</x:v>
      </x:c>
      <x:c r="F108" s="4" t="str">
        <x:v>National Refuge Archery Deer</x:v>
      </x:c>
      <x:c r="G108" s="4" t="str">
        <x:v>Yes</x:v>
      </x:c>
      <x:c r="H108" s="4" t="str">
        <x:v>Yes</x:v>
      </x:c>
      <x:c r="I108" s="24" t="str">
        <x:v>2026-09-01</x:v>
      </x:c>
      <x:c r="J108" s="4" t="str">
        <x:v>See TPWD category page</x:v>
      </x:c>
      <x:c r="K108" s="110" t="n">
        <x:v>3</x:v>
      </x:c>
      <x:c r="L108" s="110"/>
      <x:c r="M108" s="4"/>
      <x:c r="N108" s="4"/>
      <x:c r="O108" s="112"/>
      <x:c r="P108" s="4" t="n">
        <x:v>570</x:v>
      </x:c>
      <x:c r="Q108" s="4" t="str">
        <x:v>Statewide</x:v>
      </x:c>
      <x:c r="R108" s="4" t="str">
        <x:v>Research before draw; property brochure linked from TPWD</x:v>
      </x:c>
      <x:c r="S108" s="4" t="str">
        <x:v>Low</x:v>
      </x:c>
      <x:c r="T108" s="4" t="str">
        <x:v>No</x:v>
      </x:c>
      <x:c r="U108" s="4" t="str">
        <x:v>Verified in TPWD 2026-2027 statewide deer category catalog. Refuge-specific rules and permit fees may apply. V5 preference rule: Lower priority: archery whitetail is more than 200 miles from Amarillo.</x:v>
      </x:c>
      <x:c r="V108" s="4" t="str">
        <x:v>https://tpwd.texas.gov/huntwild/hunt/public/public_hunt_drawing/hunt-category-details.phtml?OCat=NAD</x:v>
      </x:c>
      <x:c r="W108" s="4" t="n">
        <x:v>2</x:v>
      </x:c>
      <x:c r="X108" s="4" t="n">
        <x:v>2</x:v>
      </x:c>
      <x:c r="Y108" s="4" t="n">
        <x:v>4</x:v>
      </x:c>
      <x:c r="Z108" s="4" t="n">
        <x:v>3</x:v>
      </x:c>
      <x:c r="AA108" s="4" t="n">
        <x:v>2</x:v>
      </x:c>
      <x:c r="AB108" s="4" t="n">
        <x:v>0</x:v>
      </x:c>
      <x:c r="AC108" s="30" t="n">
        <x:v>1.3</x:v>
      </x:c>
      <x:c r="AD108" s="4"/>
      <x:c r="AE108" s="4" t="str">
        <x:v>2026-09-01</x:v>
      </x:c>
      <x:c r="AF108" s="2"/>
      <x:c r="AG108" s="97"/>
      <x:c r="AH108" s="2"/>
      <x:c r="AI108" s="2"/>
      <x:c r="AJ108" s="97"/>
      <x:c r="AK108" s="2"/>
      <x:c r="AL108" s="2"/>
      <x:c r="AM108" s="2" t="str">
        <x:v>https://tpwd.texas.gov/huntwild/hunt/public/public_hunt_drawing/hunt-category-details.phtml?OCat=NAD</x:v>
      </x:c>
      <x:c r="AN108" s="2" t="str">
        <x:v>https://tpwd.texas.gov/search/?q=Trinity+River+NWR+-+Hirsch+public+hunting+brochure</x:v>
      </x:c>
      <x:c r="AO108" s="2" t="str">
        <x:v>https://apps.tpwd.state.tx.us/huntwild/hunt/public/public_hunt_drawing/</x:v>
      </x:c>
      <x:c r="AP108" s="2" t="str">
        <x:v>https://www.google.com/maps/search/?api=1&amp;query=Trinity+River+NWR+-+Hirsch%2C+Texas</x:v>
      </x:c>
      <x:c r="AQ108" s="96" t="n">
        <x:v>-1</x:v>
      </x:c>
      <x:c r="AR108" s="2" t="str">
        <x:v>Lower priority: archery whitetail is more than 200 miles from Amarillo</x:v>
      </x:c>
    </x:row>
    <x:row r="109">
      <x:c r="A109" s="4" t="str">
        <x:v>No</x:v>
      </x:c>
      <x:c r="B109" s="4" t="str">
        <x:v>A</x:v>
      </x:c>
      <x:c r="C109" s="4" t="str">
        <x:v>Mule Deer</x:v>
      </x:c>
      <x:c r="D109" s="4" t="str">
        <x:v>Elephant Mountain WMA</x:v>
      </x:c>
      <x:c r="E109" s="4" t="str">
        <x:v>Trans-Pecos / West Texas</x:v>
      </x:c>
      <x:c r="F109" s="4" t="str">
        <x:v>Youth Gun Deer - Management</x:v>
      </x:c>
      <x:c r="G109" s="4" t="str">
        <x:v>No</x:v>
      </x:c>
      <x:c r="H109" s="4" t="str">
        <x:v>Yes</x:v>
      </x:c>
      <x:c r="I109" s="24" t="str">
        <x:v>2026-09-15</x:v>
      </x:c>
      <x:c r="J109" s="4" t="str">
        <x:v>See TPWD category page</x:v>
      </x:c>
      <x:c r="K109" s="110" t="n">
        <x:v>0</x:v>
      </x:c>
      <x:c r="L109" s="110" t="n">
        <x:v>0</x:v>
      </x:c>
      <x:c r="M109" s="4"/>
      <x:c r="N109" s="4"/>
      <x:c r="O109" s="112"/>
      <x:c r="P109" s="4" t="n">
        <x:v>520</x:v>
      </x:c>
      <x:c r="Q109" s="4" t="str">
        <x:v>Statewide</x:v>
      </x:c>
      <x:c r="R109" s="4" t="str">
        <x:v>Research before draw; property brochure linked from TPWD</x:v>
      </x:c>
      <x:c r="S109" s="4" t="str">
        <x:v>High</x:v>
      </x:c>
      <x:c r="T109" s="4" t="str">
        <x:v>No</x:v>
      </x:c>
      <x:c r="U109" s="4" t="str">
        <x:v>Verified in TPWD 2026-2027 statewide deer category catalog. West Texas/El Paso-region opportunity; prioritize for mule deer adventure value.</x:v>
      </x:c>
      <x:c r="V109" s="4" t="str">
        <x:v>https://tpwd.texas.gov/huntwild/hunt/public/public_hunt_drawing/hunt-category-details.phtml?OCat=YDM</x:v>
      </x:c>
      <x:c r="W109" s="4" t="n">
        <x:v>2</x:v>
      </x:c>
      <x:c r="X109" s="4" t="n">
        <x:v>2</x:v>
      </x:c>
      <x:c r="Y109" s="4" t="n">
        <x:v>5</x:v>
      </x:c>
      <x:c r="Z109" s="4" t="n">
        <x:v>3</x:v>
      </x:c>
      <x:c r="AA109" s="4" t="n">
        <x:v>4</x:v>
      </x:c>
      <x:c r="AB109" s="4" t="n">
        <x:v>0</x:v>
      </x:c>
      <x:c r="AC109" s="30" t="n">
        <x:v>2.7</x:v>
      </x:c>
      <x:c r="AD109" s="4" t="n">
        <x:v>0</x:v>
      </x:c>
      <x:c r="AE109" s="4" t="str">
        <x:v>2026-09-15</x:v>
      </x:c>
      <x:c r="AF109" s="2"/>
      <x:c r="AG109" s="97"/>
      <x:c r="AH109" s="2"/>
      <x:c r="AI109" s="2"/>
      <x:c r="AJ109" s="97"/>
      <x:c r="AK109" s="2"/>
      <x:c r="AL109" s="2"/>
      <x:c r="AM109" s="2" t="str">
        <x:v>https://tpwd.texas.gov/huntwild/hunt/public/public_hunt_drawing/hunt-category-details.phtml?OCat=YDM</x:v>
      </x:c>
      <x:c r="AN109" s="2" t="str">
        <x:v>https://tpwd.texas.gov/search/?q=Elephant+Mountain+WMA+public+hunting+brochure</x:v>
      </x:c>
      <x:c r="AO109" s="2" t="str">
        <x:v>https://apps.tpwd.state.tx.us/huntwild/hunt/public/public_hunt_drawing/</x:v>
      </x:c>
      <x:c r="AP109" s="2" t="str">
        <x:v>https://www.google.com/maps/search/?api=1&amp;query=Elephant+Mountain+WMA%2C+Texas</x:v>
      </x:c>
      <x:c r="AQ109" s="96" t="n">
        <x:v>0</x:v>
      </x:c>
      <x:c r="AR109" s="2" t="str">
        <x:v>Standard Hastings ranking</x:v>
      </x:c>
    </x:row>
    <x:row r="110">
      <x:c r="A110" s="4" t="str">
        <x:v>No</x:v>
      </x:c>
      <x:c r="B110" s="4" t="str">
        <x:v>A</x:v>
      </x:c>
      <x:c r="C110" s="4" t="str">
        <x:v>Mule Deer</x:v>
      </x:c>
      <x:c r="D110" s="4" t="str">
        <x:v>Sierra Diablo WMA</x:v>
      </x:c>
      <x:c r="E110" s="4" t="str">
        <x:v>Trans-Pecos / West Texas</x:v>
      </x:c>
      <x:c r="F110" s="4" t="str">
        <x:v>Youth Gun Deer - Management</x:v>
      </x:c>
      <x:c r="G110" s="4" t="str">
        <x:v>No</x:v>
      </x:c>
      <x:c r="H110" s="4" t="str">
        <x:v>Yes</x:v>
      </x:c>
      <x:c r="I110" s="24" t="str">
        <x:v>2026-09-15</x:v>
      </x:c>
      <x:c r="J110" s="4" t="str">
        <x:v>See TPWD category page</x:v>
      </x:c>
      <x:c r="K110" s="110" t="n">
        <x:v>0</x:v>
      </x:c>
      <x:c r="L110" s="110" t="n">
        <x:v>0</x:v>
      </x:c>
      <x:c r="M110" s="4"/>
      <x:c r="N110" s="4"/>
      <x:c r="O110" s="112"/>
      <x:c r="P110" s="4" t="n">
        <x:v>520</x:v>
      </x:c>
      <x:c r="Q110" s="4" t="str">
        <x:v>Statewide</x:v>
      </x:c>
      <x:c r="R110" s="4" t="str">
        <x:v>Research before draw; property brochure linked from TPWD</x:v>
      </x:c>
      <x:c r="S110" s="4" t="str">
        <x:v>High</x:v>
      </x:c>
      <x:c r="T110" s="4" t="str">
        <x:v>No</x:v>
      </x:c>
      <x:c r="U110" s="4" t="str">
        <x:v>Verified in TPWD 2026-2027 statewide deer category catalog. West Texas/El Paso-region opportunity; prioritize for mule deer adventure value.</x:v>
      </x:c>
      <x:c r="V110" s="4" t="str">
        <x:v>https://tpwd.texas.gov/huntwild/hunt/public/public_hunt_drawing/hunt-category-details.phtml?OCat=YDM</x:v>
      </x:c>
      <x:c r="W110" s="4" t="n">
        <x:v>2</x:v>
      </x:c>
      <x:c r="X110" s="4" t="n">
        <x:v>2</x:v>
      </x:c>
      <x:c r="Y110" s="4" t="n">
        <x:v>5</x:v>
      </x:c>
      <x:c r="Z110" s="4" t="n">
        <x:v>3</x:v>
      </x:c>
      <x:c r="AA110" s="4" t="n">
        <x:v>4</x:v>
      </x:c>
      <x:c r="AB110" s="4" t="n">
        <x:v>0</x:v>
      </x:c>
      <x:c r="AC110" s="30" t="n">
        <x:v>2.7</x:v>
      </x:c>
      <x:c r="AD110" s="4" t="n">
        <x:v>0</x:v>
      </x:c>
      <x:c r="AE110" s="4" t="str">
        <x:v>2026-09-15</x:v>
      </x:c>
      <x:c r="AF110" s="2"/>
      <x:c r="AG110" s="97"/>
      <x:c r="AH110" s="2"/>
      <x:c r="AI110" s="2"/>
      <x:c r="AJ110" s="97"/>
      <x:c r="AK110" s="2"/>
      <x:c r="AL110" s="2"/>
      <x:c r="AM110" s="2" t="str">
        <x:v>https://tpwd.texas.gov/huntwild/hunt/public/public_hunt_drawing/hunt-category-details.phtml?OCat=YDM</x:v>
      </x:c>
      <x:c r="AN110" s="2" t="str">
        <x:v>https://tpwd.texas.gov/search/?q=Sierra+Diablo+WMA+public+hunting+brochure</x:v>
      </x:c>
      <x:c r="AO110" s="2" t="str">
        <x:v>https://apps.tpwd.state.tx.us/huntwild/hunt/public/public_hunt_drawing/</x:v>
      </x:c>
      <x:c r="AP110" s="2" t="str">
        <x:v>https://www.google.com/maps/search/?api=1&amp;query=Sierra+Diablo+WMA%2C+Texas</x:v>
      </x:c>
      <x:c r="AQ110" s="96" t="n">
        <x:v>0</x:v>
      </x:c>
      <x:c r="AR110" s="2" t="str">
        <x:v>Standard Hastings ranking</x:v>
      </x:c>
    </x:row>
    <x:row r="111">
      <x:c r="A111" s="4" t="str">
        <x:v>No</x:v>
      </x:c>
      <x:c r="B111" s="4" t="str">
        <x:v>A</x:v>
      </x:c>
      <x:c r="C111" s="4" t="str">
        <x:v>Mule Deer</x:v>
      </x:c>
      <x:c r="D111" s="4" t="str">
        <x:v>Yoakum Dunes WMA</x:v>
      </x:c>
      <x:c r="E111" s="4" t="str">
        <x:v>Panhandle / Rolling Plains</x:v>
      </x:c>
      <x:c r="F111" s="4" t="str">
        <x:v>Youth Gun Deer - Management</x:v>
      </x:c>
      <x:c r="G111" s="4" t="str">
        <x:v>No</x:v>
      </x:c>
      <x:c r="H111" s="4" t="str">
        <x:v>Yes</x:v>
      </x:c>
      <x:c r="I111" s="24" t="str">
        <x:v>2026-09-15</x:v>
      </x:c>
      <x:c r="J111" s="4" t="str">
        <x:v>See TPWD category page</x:v>
      </x:c>
      <x:c r="K111" s="110" t="n">
        <x:v>0</x:v>
      </x:c>
      <x:c r="L111" s="110" t="n">
        <x:v>0</x:v>
      </x:c>
      <x:c r="M111" s="4"/>
      <x:c r="N111" s="4"/>
      <x:c r="O111" s="112"/>
      <x:c r="P111" s="4" t="n">
        <x:v>130</x:v>
      </x:c>
      <x:c r="Q111" s="4" t="str">
        <x:v>Core</x:v>
      </x:c>
      <x:c r="R111" s="4" t="str">
        <x:v>Research before draw; property brochure linked from TPWD</x:v>
      </x:c>
      <x:c r="S111" s="4" t="str">
        <x:v>High</x:v>
      </x:c>
      <x:c r="T111" s="4" t="str">
        <x:v>No</x:v>
      </x:c>
      <x:c r="U111" s="4" t="str">
        <x:v>Verified in TPWD 2026-2027 statewide deer category catalog.</x:v>
      </x:c>
      <x:c r="V111" s="4" t="str">
        <x:v>https://tpwd.texas.gov/huntwild/hunt/public/public_hunt_drawing/hunt-category-details.phtml?OCat=YDM</x:v>
      </x:c>
      <x:c r="W111" s="4" t="n">
        <x:v>2</x:v>
      </x:c>
      <x:c r="X111" s="4" t="n">
        <x:v>5</x:v>
      </x:c>
      <x:c r="Y111" s="4" t="n">
        <x:v>5</x:v>
      </x:c>
      <x:c r="Z111" s="4" t="n">
        <x:v>3</x:v>
      </x:c>
      <x:c r="AA111" s="4" t="n">
        <x:v>4</x:v>
      </x:c>
      <x:c r="AB111" s="4" t="n">
        <x:v>0</x:v>
      </x:c>
      <x:c r="AC111" s="30" t="n">
        <x:v>3.2</x:v>
      </x:c>
      <x:c r="AD111" s="4" t="n">
        <x:v>0</x:v>
      </x:c>
      <x:c r="AE111" s="4" t="str">
        <x:v>2026-09-15</x:v>
      </x:c>
      <x:c r="AF111" s="2"/>
      <x:c r="AG111" s="97"/>
      <x:c r="AH111" s="2"/>
      <x:c r="AI111" s="2"/>
      <x:c r="AJ111" s="97"/>
      <x:c r="AK111" s="2"/>
      <x:c r="AL111" s="2"/>
      <x:c r="AM111" s="2" t="str">
        <x:v>https://tpwd.texas.gov/huntwild/hunt/public/public_hunt_drawing/hunt-category-details.phtml?OCat=YDM</x:v>
      </x:c>
      <x:c r="AN111" s="2" t="str">
        <x:v>https://tpwd.texas.gov/search/?q=Yoakum+Dunes+WMA+public+hunting+brochure</x:v>
      </x:c>
      <x:c r="AO111" s="2" t="str">
        <x:v>https://apps.tpwd.state.tx.us/huntwild/hunt/public/public_hunt_drawing/</x:v>
      </x:c>
      <x:c r="AP111" s="2" t="str">
        <x:v>https://www.google.com/maps/search/?api=1&amp;query=Yoakum+Dunes+WMA%2C+Texas</x:v>
      </x:c>
      <x:c r="AQ111" s="96" t="n">
        <x:v>0</x:v>
      </x:c>
      <x:c r="AR111" s="2" t="str">
        <x:v>Standard Hastings ranking</x:v>
      </x:c>
    </x:row>
    <x:row r="112">
      <x:c r="A112" s="4" t="str">
        <x:v>No</x:v>
      </x:c>
      <x:c r="B112" s="4" t="str">
        <x:v>A</x:v>
      </x:c>
      <x:c r="C112" s="4" t="str">
        <x:v>Whitetail Deer</x:v>
      </x:c>
      <x:c r="D112" s="4" t="str">
        <x:v>Alabama Creek WMA</x:v>
      </x:c>
      <x:c r="E112" s="4" t="str">
        <x:v>East Texas / Pineywoods</x:v>
      </x:c>
      <x:c r="F112" s="4" t="str">
        <x:v>USFS Antlerless Deer Permit - Youth</x:v>
      </x:c>
      <x:c r="G112" s="4" t="str">
        <x:v>No</x:v>
      </x:c>
      <x:c r="H112" s="4" t="str">
        <x:v>Yes</x:v>
      </x:c>
      <x:c r="I112" s="24" t="str">
        <x:v>2026-09-15</x:v>
      </x:c>
      <x:c r="J112" s="4" t="str">
        <x:v>See TPWD category page</x:v>
      </x:c>
      <x:c r="K112" s="110" t="n">
        <x:v>0</x:v>
      </x:c>
      <x:c r="L112" s="110" t="n">
        <x:v>0</x:v>
      </x:c>
      <x:c r="M112" s="4"/>
      <x:c r="N112" s="4"/>
      <x:c r="O112" s="112"/>
      <x:c r="P112" s="4" t="n">
        <x:v>570</x:v>
      </x:c>
      <x:c r="Q112" s="4" t="str">
        <x:v>Statewide</x:v>
      </x:c>
      <x:c r="R112" s="4" t="str">
        <x:v>Research before draw; property brochure linked from TPWD</x:v>
      </x:c>
      <x:c r="S112" s="4" t="str">
        <x:v>Low</x:v>
      </x:c>
      <x:c r="T112" s="4" t="str">
        <x:v>No</x:v>
      </x:c>
      <x:c r="U112" s="4" t="str">
        <x:v>Verified in TPWD 2026-2027 statewide deer category catalog. APH/eligibility rules apply; confirm account and permit requirements.</x:v>
      </x:c>
      <x:c r="V112" s="4" t="str">
        <x:v>https://tpwd.texas.gov/huntwild/hunt/public/public_hunt_drawing/hunt-category-details.phtml?OCat=FSY</x:v>
      </x:c>
      <x:c r="W112" s="4" t="n">
        <x:v>2</x:v>
      </x:c>
      <x:c r="X112" s="4" t="n">
        <x:v>2</x:v>
      </x:c>
      <x:c r="Y112" s="4" t="n">
        <x:v>5</x:v>
      </x:c>
      <x:c r="Z112" s="4" t="n">
        <x:v>3</x:v>
      </x:c>
      <x:c r="AA112" s="4" t="n">
        <x:v>2</x:v>
      </x:c>
      <x:c r="AB112" s="4" t="n">
        <x:v>0</x:v>
      </x:c>
      <x:c r="AC112" s="30" t="n">
        <x:v>2.5</x:v>
      </x:c>
      <x:c r="AD112" s="4" t="n">
        <x:v>0</x:v>
      </x:c>
      <x:c r="AE112" s="4" t="str">
        <x:v>2026-09-15</x:v>
      </x:c>
      <x:c r="AF112" s="2"/>
      <x:c r="AG112" s="97"/>
      <x:c r="AH112" s="2"/>
      <x:c r="AI112" s="2"/>
      <x:c r="AJ112" s="97"/>
      <x:c r="AK112" s="2"/>
      <x:c r="AL112" s="2"/>
      <x:c r="AM112" s="2" t="str">
        <x:v>https://tpwd.texas.gov/huntwild/hunt/public/public_hunt_drawing/hunt-category-details.phtml?OCat=FSY</x:v>
      </x:c>
      <x:c r="AN112" s="2" t="str">
        <x:v>https://tpwd.texas.gov/search/?q=Alabama+Creek+WMA+public+hunting+brochure</x:v>
      </x:c>
      <x:c r="AO112" s="2" t="str">
        <x:v>https://apps.tpwd.state.tx.us/huntwild/hunt/public/public_hunt_drawing/</x:v>
      </x:c>
      <x:c r="AP112" s="2" t="str">
        <x:v>https://www.google.com/maps/search/?api=1&amp;query=Alabama+Creek+WMA%2C+Texas</x:v>
      </x:c>
      <x:c r="AQ112" s="96" t="n">
        <x:v>0</x:v>
      </x:c>
      <x:c r="AR112" s="2" t="str">
        <x:v>Standard Hastings ranking</x:v>
      </x:c>
    </x:row>
    <x:row r="113">
      <x:c r="A113" s="4" t="str">
        <x:v>No</x:v>
      </x:c>
      <x:c r="B113" s="4" t="str">
        <x:v>A</x:v>
      </x:c>
      <x:c r="C113" s="4" t="str">
        <x:v>Whitetail Deer</x:v>
      </x:c>
      <x:c r="D113" s="4" t="str">
        <x:v>Alabama Creek WMA</x:v>
      </x:c>
      <x:c r="E113" s="4" t="str">
        <x:v>East Texas / Pineywoods</x:v>
      </x:c>
      <x:c r="F113" s="4" t="str">
        <x:v>USFS Buck Deer Permit - Youth</x:v>
      </x:c>
      <x:c r="G113" s="4" t="str">
        <x:v>No</x:v>
      </x:c>
      <x:c r="H113" s="4" t="str">
        <x:v>Yes</x:v>
      </x:c>
      <x:c r="I113" s="24" t="str">
        <x:v>2026-09-15</x:v>
      </x:c>
      <x:c r="J113" s="4" t="str">
        <x:v>See TPWD category page</x:v>
      </x:c>
      <x:c r="K113" s="110" t="n">
        <x:v>0</x:v>
      </x:c>
      <x:c r="L113" s="110" t="n">
        <x:v>0</x:v>
      </x:c>
      <x:c r="M113" s="4"/>
      <x:c r="N113" s="4"/>
      <x:c r="O113" s="112"/>
      <x:c r="P113" s="4" t="n">
        <x:v>570</x:v>
      </x:c>
      <x:c r="Q113" s="4" t="str">
        <x:v>Statewide</x:v>
      </x:c>
      <x:c r="R113" s="4" t="str">
        <x:v>Research before draw; property brochure linked from TPWD</x:v>
      </x:c>
      <x:c r="S113" s="4" t="str">
        <x:v>Low</x:v>
      </x:c>
      <x:c r="T113" s="4" t="str">
        <x:v>No</x:v>
      </x:c>
      <x:c r="U113" s="4" t="str">
        <x:v>Verified in TPWD 2026-2027 statewide deer category catalog. APH/eligibility rules apply; confirm account and permit requirements.</x:v>
      </x:c>
      <x:c r="V113" s="4" t="str">
        <x:v>https://tpwd.texas.gov/huntwild/hunt/public/public_hunt_drawing/hunt-category-details.phtml?OCat=FBY</x:v>
      </x:c>
      <x:c r="W113" s="4" t="n">
        <x:v>2</x:v>
      </x:c>
      <x:c r="X113" s="4" t="n">
        <x:v>2</x:v>
      </x:c>
      <x:c r="Y113" s="4" t="n">
        <x:v>5</x:v>
      </x:c>
      <x:c r="Z113" s="4" t="n">
        <x:v>3</x:v>
      </x:c>
      <x:c r="AA113" s="4" t="n">
        <x:v>2</x:v>
      </x:c>
      <x:c r="AB113" s="4" t="n">
        <x:v>0</x:v>
      </x:c>
      <x:c r="AC113" s="30" t="n">
        <x:v>2.5</x:v>
      </x:c>
      <x:c r="AD113" s="4" t="n">
        <x:v>0</x:v>
      </x:c>
      <x:c r="AE113" s="4" t="str">
        <x:v>2026-09-15</x:v>
      </x:c>
      <x:c r="AF113" s="2"/>
      <x:c r="AG113" s="97"/>
      <x:c r="AH113" s="2"/>
      <x:c r="AI113" s="2"/>
      <x:c r="AJ113" s="97"/>
      <x:c r="AK113" s="2"/>
      <x:c r="AL113" s="2"/>
      <x:c r="AM113" s="2" t="str">
        <x:v>https://tpwd.texas.gov/huntwild/hunt/public/public_hunt_drawing/hunt-category-details.phtml?OCat=FBY</x:v>
      </x:c>
      <x:c r="AN113" s="2" t="str">
        <x:v>https://tpwd.texas.gov/search/?q=Alabama+Creek+WMA+public+hunting+brochure</x:v>
      </x:c>
      <x:c r="AO113" s="2" t="str">
        <x:v>https://apps.tpwd.state.tx.us/huntwild/hunt/public/public_hunt_drawing/</x:v>
      </x:c>
      <x:c r="AP113" s="2" t="str">
        <x:v>https://www.google.com/maps/search/?api=1&amp;query=Alabama+Creek+WMA%2C+Texas</x:v>
      </x:c>
      <x:c r="AQ113" s="96" t="n">
        <x:v>0</x:v>
      </x:c>
      <x:c r="AR113" s="2" t="str">
        <x:v>Standard Hastings ranking</x:v>
      </x:c>
    </x:row>
    <x:row r="114">
      <x:c r="A114" s="4" t="str">
        <x:v>No</x:v>
      </x:c>
      <x:c r="B114" s="4" t="str">
        <x:v>A</x:v>
      </x:c>
      <x:c r="C114" s="4" t="str">
        <x:v>Whitetail Deer</x:v>
      </x:c>
      <x:c r="D114" s="4" t="str">
        <x:v>Bannister WMA</x:v>
      </x:c>
      <x:c r="E114" s="4" t="str">
        <x:v>East Texas / Pineywoods</x:v>
      </x:c>
      <x:c r="F114" s="4" t="str">
        <x:v>USFS Antlerless Deer Permit - Youth</x:v>
      </x:c>
      <x:c r="G114" s="4" t="str">
        <x:v>No</x:v>
      </x:c>
      <x:c r="H114" s="4" t="str">
        <x:v>Yes</x:v>
      </x:c>
      <x:c r="I114" s="24" t="str">
        <x:v>2026-09-15</x:v>
      </x:c>
      <x:c r="J114" s="4" t="str">
        <x:v>See TPWD category page</x:v>
      </x:c>
      <x:c r="K114" s="110" t="n">
        <x:v>0</x:v>
      </x:c>
      <x:c r="L114" s="110" t="n">
        <x:v>0</x:v>
      </x:c>
      <x:c r="M114" s="4"/>
      <x:c r="N114" s="4"/>
      <x:c r="O114" s="112"/>
      <x:c r="P114" s="4" t="n">
        <x:v>570</x:v>
      </x:c>
      <x:c r="Q114" s="4" t="str">
        <x:v>Statewide</x:v>
      </x:c>
      <x:c r="R114" s="4" t="str">
        <x:v>Research before draw; property brochure linked from TPWD</x:v>
      </x:c>
      <x:c r="S114" s="4" t="str">
        <x:v>Low</x:v>
      </x:c>
      <x:c r="T114" s="4" t="str">
        <x:v>No</x:v>
      </x:c>
      <x:c r="U114" s="4" t="str">
        <x:v>Verified in TPWD 2026-2027 statewide deer category catalog. APH/eligibility rules apply; confirm account and permit requirements.</x:v>
      </x:c>
      <x:c r="V114" s="4" t="str">
        <x:v>https://tpwd.texas.gov/huntwild/hunt/public/public_hunt_drawing/hunt-category-details.phtml?OCat=FSY</x:v>
      </x:c>
      <x:c r="W114" s="4" t="n">
        <x:v>2</x:v>
      </x:c>
      <x:c r="X114" s="4" t="n">
        <x:v>2</x:v>
      </x:c>
      <x:c r="Y114" s="4" t="n">
        <x:v>5</x:v>
      </x:c>
      <x:c r="Z114" s="4" t="n">
        <x:v>3</x:v>
      </x:c>
      <x:c r="AA114" s="4" t="n">
        <x:v>2</x:v>
      </x:c>
      <x:c r="AB114" s="4" t="n">
        <x:v>0</x:v>
      </x:c>
      <x:c r="AC114" s="30" t="n">
        <x:v>2.5</x:v>
      </x:c>
      <x:c r="AD114" s="4" t="n">
        <x:v>0</x:v>
      </x:c>
      <x:c r="AE114" s="4" t="str">
        <x:v>2026-09-15</x:v>
      </x:c>
      <x:c r="AF114" s="2"/>
      <x:c r="AG114" s="97"/>
      <x:c r="AH114" s="2"/>
      <x:c r="AI114" s="2"/>
      <x:c r="AJ114" s="97"/>
      <x:c r="AK114" s="2"/>
      <x:c r="AL114" s="2"/>
      <x:c r="AM114" s="2" t="str">
        <x:v>https://tpwd.texas.gov/huntwild/hunt/public/public_hunt_drawing/hunt-category-details.phtml?OCat=FSY</x:v>
      </x:c>
      <x:c r="AN114" s="2" t="str">
        <x:v>https://tpwd.texas.gov/search/?q=Bannister+WMA+public+hunting+brochure</x:v>
      </x:c>
      <x:c r="AO114" s="2" t="str">
        <x:v>https://apps.tpwd.state.tx.us/huntwild/hunt/public/public_hunt_drawing/</x:v>
      </x:c>
      <x:c r="AP114" s="2" t="str">
        <x:v>https://www.google.com/maps/search/?api=1&amp;query=Bannister+WMA%2C+Texas</x:v>
      </x:c>
      <x:c r="AQ114" s="96" t="n">
        <x:v>0</x:v>
      </x:c>
      <x:c r="AR114" s="2" t="str">
        <x:v>Standard Hastings ranking</x:v>
      </x:c>
    </x:row>
    <x:row r="115">
      <x:c r="A115" s="4" t="str">
        <x:v>No</x:v>
      </x:c>
      <x:c r="B115" s="4" t="str">
        <x:v>A</x:v>
      </x:c>
      <x:c r="C115" s="4" t="str">
        <x:v>Whitetail Deer</x:v>
      </x:c>
      <x:c r="D115" s="4" t="str">
        <x:v>Big Lake Bottom WMA</x:v>
      </x:c>
      <x:c r="E115" s="4" t="str">
        <x:v>Statewide / Other</x:v>
      </x:c>
      <x:c r="F115" s="4" t="str">
        <x:v>E-Postcard Youth Deer</x:v>
      </x:c>
      <x:c r="G115" s="4" t="str">
        <x:v>No</x:v>
      </x:c>
      <x:c r="H115" s="4" t="str">
        <x:v>Yes</x:v>
      </x:c>
      <x:c r="I115" s="24" t="str">
        <x:v>2026-09-15</x:v>
      </x:c>
      <x:c r="J115" s="4" t="str">
        <x:v>See TPWD category page</x:v>
      </x:c>
      <x:c r="K115" s="110" t="n">
        <x:v>0</x:v>
      </x:c>
      <x:c r="L115" s="110" t="n">
        <x:v>0</x:v>
      </x:c>
      <x:c r="M115" s="4"/>
      <x:c r="N115" s="4"/>
      <x:c r="O115" s="112"/>
      <x:c r="P115" s="4" t="n">
        <x:v>500</x:v>
      </x:c>
      <x:c r="Q115" s="4" t="str">
        <x:v>Statewide</x:v>
      </x:c>
      <x:c r="R115" s="4" t="str">
        <x:v>Research before draw; property brochure linked from TPWD</x:v>
      </x:c>
      <x:c r="S115" s="4" t="str">
        <x:v>Low</x:v>
      </x:c>
      <x:c r="T115" s="4" t="str">
        <x:v>No</x:v>
      </x:c>
      <x:c r="U115" s="4" t="str">
        <x:v>Verified in TPWD 2026-2027 statewide deer category catalog. APH/eligibility rules apply; confirm account and permit requirements.</x:v>
      </x:c>
      <x:c r="V115" s="4" t="str">
        <x:v>https://tpwd.texas.gov/huntwild/hunt/public/public_hunt_drawing/hunt-category-details.phtml?OCat=EYD</x:v>
      </x:c>
      <x:c r="W115" s="4" t="n">
        <x:v>2</x:v>
      </x:c>
      <x:c r="X115" s="4" t="n">
        <x:v>2</x:v>
      </x:c>
      <x:c r="Y115" s="4" t="n">
        <x:v>5</x:v>
      </x:c>
      <x:c r="Z115" s="4" t="n">
        <x:v>3</x:v>
      </x:c>
      <x:c r="AA115" s="4" t="n">
        <x:v>2</x:v>
      </x:c>
      <x:c r="AB115" s="4" t="n">
        <x:v>0</x:v>
      </x:c>
      <x:c r="AC115" s="30" t="n">
        <x:v>2.5</x:v>
      </x:c>
      <x:c r="AD115" s="4" t="n">
        <x:v>0</x:v>
      </x:c>
      <x:c r="AE115" s="4" t="str">
        <x:v>2026-09-15</x:v>
      </x:c>
      <x:c r="AF115" s="2"/>
      <x:c r="AG115" s="97"/>
      <x:c r="AH115" s="2"/>
      <x:c r="AI115" s="2"/>
      <x:c r="AJ115" s="97"/>
      <x:c r="AK115" s="2"/>
      <x:c r="AL115" s="2"/>
      <x:c r="AM115" s="2" t="str">
        <x:v>https://tpwd.texas.gov/huntwild/hunt/public/public_hunt_drawing/hunt-category-details.phtml?OCat=EYD</x:v>
      </x:c>
      <x:c r="AN115" s="2" t="str">
        <x:v>https://tpwd.texas.gov/search/?q=Big+Lake+Bottom+WMA+public+hunting+brochure</x:v>
      </x:c>
      <x:c r="AO115" s="2" t="str">
        <x:v>https://apps.tpwd.state.tx.us/huntwild/hunt/public/public_hunt_drawing/</x:v>
      </x:c>
      <x:c r="AP115" s="2" t="str">
        <x:v>https://www.google.com/maps/search/?api=1&amp;query=Big+Lake+Bottom+WMA%2C+Texas</x:v>
      </x:c>
      <x:c r="AQ115" s="96" t="n">
        <x:v>0</x:v>
      </x:c>
      <x:c r="AR115" s="2" t="str">
        <x:v>Standard Hastings ranking</x:v>
      </x:c>
    </x:row>
    <x:row r="116">
      <x:c r="A116" s="4" t="str">
        <x:v>No</x:v>
      </x:c>
      <x:c r="B116" s="4" t="str">
        <x:v>A</x:v>
      </x:c>
      <x:c r="C116" s="4" t="str">
        <x:v>Whitetail Deer</x:v>
      </x:c>
      <x:c r="D116" s="4" t="str">
        <x:v>Brazos Bend SP</x:v>
      </x:c>
      <x:c r="E116" s="4" t="str">
        <x:v>Houston / Gulf Coast</x:v>
      </x:c>
      <x:c r="F116" s="4" t="str">
        <x:v>Youth Gun Deer - Antlerless/Spike</x:v>
      </x:c>
      <x:c r="G116" s="4" t="str">
        <x:v>No</x:v>
      </x:c>
      <x:c r="H116" s="4" t="str">
        <x:v>Yes</x:v>
      </x:c>
      <x:c r="I116" s="24" t="str">
        <x:v>2026-09-15</x:v>
      </x:c>
      <x:c r="J116" s="4" t="str">
        <x:v>See TPWD category page</x:v>
      </x:c>
      <x:c r="K116" s="110" t="n">
        <x:v>0</x:v>
      </x:c>
      <x:c r="L116" s="110" t="n">
        <x:v>0</x:v>
      </x:c>
      <x:c r="M116" s="4"/>
      <x:c r="N116" s="4"/>
      <x:c r="O116" s="112"/>
      <x:c r="P116" s="4" t="n">
        <x:v>610</x:v>
      </x:c>
      <x:c r="Q116" s="4" t="str">
        <x:v>Long Haul</x:v>
      </x:c>
      <x:c r="R116" s="4" t="str">
        <x:v>Research before draw; property brochure linked from TPWD</x:v>
      </x:c>
      <x:c r="S116" s="4" t="str">
        <x:v>Low</x:v>
      </x:c>
      <x:c r="T116" s="4" t="str">
        <x:v>No</x:v>
      </x:c>
      <x:c r="U116" s="4" t="str">
        <x:v>Verified in TPWD 2026-2027 statewide deer category catalog.</x:v>
      </x:c>
      <x:c r="V116" s="4" t="str">
        <x:v>https://tpwd.texas.gov/huntwild/hunt/public/public_hunt_drawing/hunt-category-details.phtml?OCat=YDA</x:v>
      </x:c>
      <x:c r="W116" s="4" t="n">
        <x:v>2</x:v>
      </x:c>
      <x:c r="X116" s="4" t="n">
        <x:v>1</x:v>
      </x:c>
      <x:c r="Y116" s="4" t="n">
        <x:v>5</x:v>
      </x:c>
      <x:c r="Z116" s="4" t="n">
        <x:v>3</x:v>
      </x:c>
      <x:c r="AA116" s="4" t="n">
        <x:v>2</x:v>
      </x:c>
      <x:c r="AB116" s="4" t="n">
        <x:v>0</x:v>
      </x:c>
      <x:c r="AC116" s="30" t="n">
        <x:v>2.4</x:v>
      </x:c>
      <x:c r="AD116" s="4" t="n">
        <x:v>0</x:v>
      </x:c>
      <x:c r="AE116" s="4" t="str">
        <x:v>2026-09-15</x:v>
      </x:c>
      <x:c r="AF116" s="2"/>
      <x:c r="AG116" s="97"/>
      <x:c r="AH116" s="2"/>
      <x:c r="AI116" s="2"/>
      <x:c r="AJ116" s="97"/>
      <x:c r="AK116" s="2"/>
      <x:c r="AL116" s="2"/>
      <x:c r="AM116" s="2" t="str">
        <x:v>https://tpwd.texas.gov/huntwild/hunt/public/public_hunt_drawing/hunt-category-details.phtml?OCat=YDA</x:v>
      </x:c>
      <x:c r="AN116" s="2" t="str">
        <x:v>https://tpwd.texas.gov/search/?q=Brazos+Bend+SP+public+hunting+brochure</x:v>
      </x:c>
      <x:c r="AO116" s="2" t="str">
        <x:v>https://apps.tpwd.state.tx.us/huntwild/hunt/public/public_hunt_drawing/</x:v>
      </x:c>
      <x:c r="AP116" s="2" t="str">
        <x:v>https://www.google.com/maps/search/?api=1&amp;query=Brazos+Bend+SP%2C+Texas</x:v>
      </x:c>
      <x:c r="AQ116" s="96" t="n">
        <x:v>0</x:v>
      </x:c>
      <x:c r="AR116" s="2" t="str">
        <x:v>Standard Hastings ranking</x:v>
      </x:c>
    </x:row>
    <x:row r="117">
      <x:c r="A117" s="4" t="str">
        <x:v>No</x:v>
      </x:c>
      <x:c r="B117" s="4" t="str">
        <x:v>A</x:v>
      </x:c>
      <x:c r="C117" s="4" t="str">
        <x:v>Whitetail Deer</x:v>
      </x:c>
      <x:c r="D117" s="4" t="str">
        <x:v>Caddo Lake WMA</x:v>
      </x:c>
      <x:c r="E117" s="4" t="str">
        <x:v>East Texas / Pineywoods</x:v>
      </x:c>
      <x:c r="F117" s="4" t="str">
        <x:v>E-Postcard Youth Deer</x:v>
      </x:c>
      <x:c r="G117" s="4" t="str">
        <x:v>No</x:v>
      </x:c>
      <x:c r="H117" s="4" t="str">
        <x:v>Yes</x:v>
      </x:c>
      <x:c r="I117" s="24" t="str">
        <x:v>2026-09-15</x:v>
      </x:c>
      <x:c r="J117" s="4" t="str">
        <x:v>See TPWD category page</x:v>
      </x:c>
      <x:c r="K117" s="110" t="n">
        <x:v>0</x:v>
      </x:c>
      <x:c r="L117" s="110" t="n">
        <x:v>0</x:v>
      </x:c>
      <x:c r="M117" s="4"/>
      <x:c r="N117" s="4"/>
      <x:c r="O117" s="112"/>
      <x:c r="P117" s="4" t="n">
        <x:v>570</x:v>
      </x:c>
      <x:c r="Q117" s="4" t="str">
        <x:v>Statewide</x:v>
      </x:c>
      <x:c r="R117" s="4" t="str">
        <x:v>Research before draw; property brochure linked from TPWD</x:v>
      </x:c>
      <x:c r="S117" s="4" t="str">
        <x:v>Low</x:v>
      </x:c>
      <x:c r="T117" s="4" t="str">
        <x:v>No</x:v>
      </x:c>
      <x:c r="U117" s="4" t="str">
        <x:v>Verified in TPWD 2026-2027 statewide deer category catalog. APH/eligibility rules apply; confirm account and permit requirements.</x:v>
      </x:c>
      <x:c r="V117" s="4" t="str">
        <x:v>https://tpwd.texas.gov/huntwild/hunt/public/public_hunt_drawing/hunt-category-details.phtml?OCat=EYD</x:v>
      </x:c>
      <x:c r="W117" s="4" t="n">
        <x:v>2</x:v>
      </x:c>
      <x:c r="X117" s="4" t="n">
        <x:v>2</x:v>
      </x:c>
      <x:c r="Y117" s="4" t="n">
        <x:v>5</x:v>
      </x:c>
      <x:c r="Z117" s="4" t="n">
        <x:v>3</x:v>
      </x:c>
      <x:c r="AA117" s="4" t="n">
        <x:v>2</x:v>
      </x:c>
      <x:c r="AB117" s="4" t="n">
        <x:v>0</x:v>
      </x:c>
      <x:c r="AC117" s="30" t="n">
        <x:v>2.5</x:v>
      </x:c>
      <x:c r="AD117" s="4" t="n">
        <x:v>0</x:v>
      </x:c>
      <x:c r="AE117" s="4" t="str">
        <x:v>2026-09-15</x:v>
      </x:c>
      <x:c r="AF117" s="2"/>
      <x:c r="AG117" s="97"/>
      <x:c r="AH117" s="2"/>
      <x:c r="AI117" s="2"/>
      <x:c r="AJ117" s="97"/>
      <x:c r="AK117" s="2"/>
      <x:c r="AL117" s="2"/>
      <x:c r="AM117" s="2" t="str">
        <x:v>https://tpwd.texas.gov/huntwild/hunt/public/public_hunt_drawing/hunt-category-details.phtml?OCat=EYD</x:v>
      </x:c>
      <x:c r="AN117" s="2" t="str">
        <x:v>https://tpwd.texas.gov/search/?q=Caddo+Lake+WMA+public+hunting+brochure</x:v>
      </x:c>
      <x:c r="AO117" s="2" t="str">
        <x:v>https://apps.tpwd.state.tx.us/huntwild/hunt/public/public_hunt_drawing/</x:v>
      </x:c>
      <x:c r="AP117" s="2" t="str">
        <x:v>https://www.google.com/maps/search/?api=1&amp;query=Caddo+Lake+WMA%2C+Texas</x:v>
      </x:c>
      <x:c r="AQ117" s="96" t="n">
        <x:v>0</x:v>
      </x:c>
      <x:c r="AR117" s="2" t="str">
        <x:v>Standard Hastings ranking</x:v>
      </x:c>
    </x:row>
    <x:row r="118">
      <x:c r="A118" s="4" t="str">
        <x:v>No</x:v>
      </x:c>
      <x:c r="B118" s="4" t="str">
        <x:v>A</x:v>
      </x:c>
      <x:c r="C118" s="4" t="str">
        <x:v>Whitetail Deer</x:v>
      </x:c>
      <x:c r="D118" s="4" t="str">
        <x:v>Caddo National Grasslands WMA - Bois d'Arc Unit</x:v>
      </x:c>
      <x:c r="E118" s="4" t="str">
        <x:v>North Texas / DFW</x:v>
      </x:c>
      <x:c r="F118" s="4" t="str">
        <x:v>USFS Antlerless Deer Permit - Youth</x:v>
      </x:c>
      <x:c r="G118" s="4" t="str">
        <x:v>No</x:v>
      </x:c>
      <x:c r="H118" s="4" t="str">
        <x:v>Yes</x:v>
      </x:c>
      <x:c r="I118" s="24" t="str">
        <x:v>2026-09-15</x:v>
      </x:c>
      <x:c r="J118" s="4" t="str">
        <x:v>See TPWD category page</x:v>
      </x:c>
      <x:c r="K118" s="110" t="n">
        <x:v>0</x:v>
      </x:c>
      <x:c r="L118" s="110" t="n">
        <x:v>0</x:v>
      </x:c>
      <x:c r="M118" s="4"/>
      <x:c r="N118" s="4"/>
      <x:c r="O118" s="112"/>
      <x:c r="P118" s="4" t="n">
        <x:v>360</x:v>
      </x:c>
      <x:c r="Q118" s="4" t="str">
        <x:v>Extended</x:v>
      </x:c>
      <x:c r="R118" s="4" t="str">
        <x:v>Research before draw; property brochure linked from TPWD</x:v>
      </x:c>
      <x:c r="S118" s="4" t="str">
        <x:v>Low</x:v>
      </x:c>
      <x:c r="T118" s="4" t="str">
        <x:v>No</x:v>
      </x:c>
      <x:c r="U118" s="4" t="str">
        <x:v>Verified in TPWD 2026-2027 statewide deer category catalog. APH/eligibility rules apply; confirm account and permit requirements.</x:v>
      </x:c>
      <x:c r="V118" s="4" t="str">
        <x:v>https://tpwd.texas.gov/huntwild/hunt/public/public_hunt_drawing/hunt-category-details.phtml?OCat=FSY</x:v>
      </x:c>
      <x:c r="W118" s="4" t="n">
        <x:v>2</x:v>
      </x:c>
      <x:c r="X118" s="4" t="n">
        <x:v>3</x:v>
      </x:c>
      <x:c r="Y118" s="4" t="n">
        <x:v>5</x:v>
      </x:c>
      <x:c r="Z118" s="4" t="n">
        <x:v>3</x:v>
      </x:c>
      <x:c r="AA118" s="4" t="n">
        <x:v>2</x:v>
      </x:c>
      <x:c r="AB118" s="4" t="n">
        <x:v>0</x:v>
      </x:c>
      <x:c r="AC118" s="30" t="n">
        <x:v>2.7</x:v>
      </x:c>
      <x:c r="AD118" s="4" t="n">
        <x:v>0</x:v>
      </x:c>
      <x:c r="AE118" s="4" t="str">
        <x:v>2026-09-15</x:v>
      </x:c>
      <x:c r="AF118" s="2"/>
      <x:c r="AG118" s="97"/>
      <x:c r="AH118" s="2"/>
      <x:c r="AI118" s="2"/>
      <x:c r="AJ118" s="97"/>
      <x:c r="AK118" s="2"/>
      <x:c r="AL118" s="2"/>
      <x:c r="AM118" s="2" t="str">
        <x:v>https://tpwd.texas.gov/huntwild/hunt/public/public_hunt_drawing/hunt-category-details.phtml?OCat=FSY</x:v>
      </x:c>
      <x:c r="AN118" s="2" t="str">
        <x:v>https://tpwd.texas.gov/search/?q=Caddo+National+Grasslands+WMA+-+Bois+d%27Arc+Unit+public+hunting+brochure</x:v>
      </x:c>
      <x:c r="AO118" s="2" t="str">
        <x:v>https://apps.tpwd.state.tx.us/huntwild/hunt/public/public_hunt_drawing/</x:v>
      </x:c>
      <x:c r="AP118" s="2" t="str">
        <x:v>https://www.google.com/maps/search/?api=1&amp;query=Caddo+National+Grasslands+WMA+-+Bois+d%27Arc+Unit%2C+Texas</x:v>
      </x:c>
      <x:c r="AQ118" s="96" t="n">
        <x:v>0</x:v>
      </x:c>
      <x:c r="AR118" s="2" t="str">
        <x:v>Standard Hastings ranking</x:v>
      </x:c>
    </x:row>
    <x:row r="119">
      <x:c r="A119" s="4" t="str">
        <x:v>No</x:v>
      </x:c>
      <x:c r="B119" s="4" t="str">
        <x:v>A</x:v>
      </x:c>
      <x:c r="C119" s="4" t="str">
        <x:v>Whitetail Deer</x:v>
      </x:c>
      <x:c r="D119" s="4" t="str">
        <x:v>Caddo National Grasslands WMA - Ladonia Unit</x:v>
      </x:c>
      <x:c r="E119" s="4" t="str">
        <x:v>North Texas / DFW</x:v>
      </x:c>
      <x:c r="F119" s="4" t="str">
        <x:v>USFS Antlerless Deer Permit - Youth</x:v>
      </x:c>
      <x:c r="G119" s="4" t="str">
        <x:v>No</x:v>
      </x:c>
      <x:c r="H119" s="4" t="str">
        <x:v>Yes</x:v>
      </x:c>
      <x:c r="I119" s="24" t="str">
        <x:v>2026-09-15</x:v>
      </x:c>
      <x:c r="J119" s="4" t="str">
        <x:v>See TPWD category page</x:v>
      </x:c>
      <x:c r="K119" s="110" t="n">
        <x:v>0</x:v>
      </x:c>
      <x:c r="L119" s="110" t="n">
        <x:v>0</x:v>
      </x:c>
      <x:c r="M119" s="4"/>
      <x:c r="N119" s="4"/>
      <x:c r="O119" s="112"/>
      <x:c r="P119" s="4" t="n">
        <x:v>360</x:v>
      </x:c>
      <x:c r="Q119" s="4" t="str">
        <x:v>Extended</x:v>
      </x:c>
      <x:c r="R119" s="4" t="str">
        <x:v>Research before draw; property brochure linked from TPWD</x:v>
      </x:c>
      <x:c r="S119" s="4" t="str">
        <x:v>Low</x:v>
      </x:c>
      <x:c r="T119" s="4" t="str">
        <x:v>No</x:v>
      </x:c>
      <x:c r="U119" s="4" t="str">
        <x:v>Verified in TPWD 2026-2027 statewide deer category catalog. APH/eligibility rules apply; confirm account and permit requirements.</x:v>
      </x:c>
      <x:c r="V119" s="4" t="str">
        <x:v>https://tpwd.texas.gov/huntwild/hunt/public/public_hunt_drawing/hunt-category-details.phtml?OCat=FSY</x:v>
      </x:c>
      <x:c r="W119" s="4" t="n">
        <x:v>2</x:v>
      </x:c>
      <x:c r="X119" s="4" t="n">
        <x:v>3</x:v>
      </x:c>
      <x:c r="Y119" s="4" t="n">
        <x:v>5</x:v>
      </x:c>
      <x:c r="Z119" s="4" t="n">
        <x:v>3</x:v>
      </x:c>
      <x:c r="AA119" s="4" t="n">
        <x:v>2</x:v>
      </x:c>
      <x:c r="AB119" s="4" t="n">
        <x:v>0</x:v>
      </x:c>
      <x:c r="AC119" s="30" t="n">
        <x:v>2.7</x:v>
      </x:c>
      <x:c r="AD119" s="4" t="n">
        <x:v>0</x:v>
      </x:c>
      <x:c r="AE119" s="4" t="str">
        <x:v>2026-09-15</x:v>
      </x:c>
      <x:c r="AF119" s="2"/>
      <x:c r="AG119" s="97"/>
      <x:c r="AH119" s="2"/>
      <x:c r="AI119" s="2"/>
      <x:c r="AJ119" s="97"/>
      <x:c r="AK119" s="2"/>
      <x:c r="AL119" s="2"/>
      <x:c r="AM119" s="2" t="str">
        <x:v>https://tpwd.texas.gov/huntwild/hunt/public/public_hunt_drawing/hunt-category-details.phtml?OCat=FSY</x:v>
      </x:c>
      <x:c r="AN119" s="2" t="str">
        <x:v>https://tpwd.texas.gov/search/?q=Caddo+National+Grasslands+WMA+-+Ladonia+Unit+public+hunting+brochure</x:v>
      </x:c>
      <x:c r="AO119" s="2" t="str">
        <x:v>https://apps.tpwd.state.tx.us/huntwild/hunt/public/public_hunt_drawing/</x:v>
      </x:c>
      <x:c r="AP119" s="2" t="str">
        <x:v>https://www.google.com/maps/search/?api=1&amp;query=Caddo+National+Grasslands+WMA+-+Ladonia+Unit%2C+Texas</x:v>
      </x:c>
      <x:c r="AQ119" s="96" t="n">
        <x:v>0</x:v>
      </x:c>
      <x:c r="AR119" s="2" t="str">
        <x:v>Standard Hastings ranking</x:v>
      </x:c>
    </x:row>
    <x:row r="120">
      <x:c r="A120" s="4" t="str">
        <x:v>No</x:v>
      </x:c>
      <x:c r="B120" s="4" t="str">
        <x:v>A</x:v>
      </x:c>
      <x:c r="C120" s="4" t="str">
        <x:v>Whitetail Deer</x:v>
      </x:c>
      <x:c r="D120" s="4" t="str">
        <x:v>Chaparral WMA</x:v>
      </x:c>
      <x:c r="E120" s="4" t="str">
        <x:v>South Texas / Rio Grande Valley</x:v>
      </x:c>
      <x:c r="F120" s="4" t="str">
        <x:v>Youth Gun Deer - Antlerless/Spike</x:v>
      </x:c>
      <x:c r="G120" s="4" t="str">
        <x:v>No</x:v>
      </x:c>
      <x:c r="H120" s="4" t="str">
        <x:v>Yes</x:v>
      </x:c>
      <x:c r="I120" s="24" t="str">
        <x:v>2026-09-15</x:v>
      </x:c>
      <x:c r="J120" s="4" t="str">
        <x:v>See TPWD category page</x:v>
      </x:c>
      <x:c r="K120" s="110" t="n">
        <x:v>0</x:v>
      </x:c>
      <x:c r="L120" s="110" t="n">
        <x:v>0</x:v>
      </x:c>
      <x:c r="M120" s="4"/>
      <x:c r="N120" s="4"/>
      <x:c r="O120" s="112"/>
      <x:c r="P120" s="4" t="n">
        <x:v>700</x:v>
      </x:c>
      <x:c r="Q120" s="4" t="str">
        <x:v>Long Haul</x:v>
      </x:c>
      <x:c r="R120" s="4" t="str">
        <x:v>Research before draw; property brochure linked from TPWD</x:v>
      </x:c>
      <x:c r="S120" s="4" t="str">
        <x:v>Low</x:v>
      </x:c>
      <x:c r="T120" s="4" t="str">
        <x:v>No</x:v>
      </x:c>
      <x:c r="U120" s="4" t="str">
        <x:v>Verified in TPWD 2026-2027 statewide deer category catalog.</x:v>
      </x:c>
      <x:c r="V120" s="4" t="str">
        <x:v>https://tpwd.texas.gov/huntwild/hunt/public/public_hunt_drawing/hunt-category-details.phtml?OCat=YDA</x:v>
      </x:c>
      <x:c r="W120" s="4" t="n">
        <x:v>2</x:v>
      </x:c>
      <x:c r="X120" s="4" t="n">
        <x:v>1</x:v>
      </x:c>
      <x:c r="Y120" s="4" t="n">
        <x:v>5</x:v>
      </x:c>
      <x:c r="Z120" s="4" t="n">
        <x:v>3</x:v>
      </x:c>
      <x:c r="AA120" s="4" t="n">
        <x:v>2</x:v>
      </x:c>
      <x:c r="AB120" s="4" t="n">
        <x:v>0</x:v>
      </x:c>
      <x:c r="AC120" s="30" t="n">
        <x:v>2.4</x:v>
      </x:c>
      <x:c r="AD120" s="4" t="n">
        <x:v>0</x:v>
      </x:c>
      <x:c r="AE120" s="4" t="str">
        <x:v>2026-09-15</x:v>
      </x:c>
      <x:c r="AF120" s="2"/>
      <x:c r="AG120" s="97"/>
      <x:c r="AH120" s="2"/>
      <x:c r="AI120" s="2"/>
      <x:c r="AJ120" s="97"/>
      <x:c r="AK120" s="2"/>
      <x:c r="AL120" s="2"/>
      <x:c r="AM120" s="2" t="str">
        <x:v>https://tpwd.texas.gov/huntwild/hunt/public/public_hunt_drawing/hunt-category-details.phtml?OCat=YDA</x:v>
      </x:c>
      <x:c r="AN120" s="2" t="str">
        <x:v>https://tpwd.texas.gov/search/?q=Chaparral+WMA+public+hunting+brochure</x:v>
      </x:c>
      <x:c r="AO120" s="2" t="str">
        <x:v>https://apps.tpwd.state.tx.us/huntwild/hunt/public/public_hunt_drawing/</x:v>
      </x:c>
      <x:c r="AP120" s="2" t="str">
        <x:v>https://www.google.com/maps/search/?api=1&amp;query=Chaparral+WMA%2C+Texas</x:v>
      </x:c>
      <x:c r="AQ120" s="96" t="n">
        <x:v>0</x:v>
      </x:c>
      <x:c r="AR120" s="2" t="str">
        <x:v>Standard Hastings ranking</x:v>
      </x:c>
    </x:row>
    <x:row r="121">
      <x:c r="A121" s="4" t="str">
        <x:v>No</x:v>
      </x:c>
      <x:c r="B121" s="4" t="str">
        <x:v>A</x:v>
      </x:c>
      <x:c r="C121" s="4" t="str">
        <x:v>Whitetail Deer</x:v>
      </x:c>
      <x:c r="D121" s="4" t="str">
        <x:v>Choke Canyon SP - North Shore Unit</x:v>
      </x:c>
      <x:c r="E121" s="4" t="str">
        <x:v>South Texas / Rio Grande Valley</x:v>
      </x:c>
      <x:c r="F121" s="4" t="str">
        <x:v>Youth Gun Deer - Antlerless/Spike</x:v>
      </x:c>
      <x:c r="G121" s="4" t="str">
        <x:v>No</x:v>
      </x:c>
      <x:c r="H121" s="4" t="str">
        <x:v>Yes</x:v>
      </x:c>
      <x:c r="I121" s="24" t="str">
        <x:v>2026-09-15</x:v>
      </x:c>
      <x:c r="J121" s="4" t="str">
        <x:v>See TPWD category page</x:v>
      </x:c>
      <x:c r="K121" s="110" t="n">
        <x:v>0</x:v>
      </x:c>
      <x:c r="L121" s="110" t="n">
        <x:v>0</x:v>
      </x:c>
      <x:c r="M121" s="4"/>
      <x:c r="N121" s="4"/>
      <x:c r="O121" s="112"/>
      <x:c r="P121" s="4" t="n">
        <x:v>700</x:v>
      </x:c>
      <x:c r="Q121" s="4" t="str">
        <x:v>Long Haul</x:v>
      </x:c>
      <x:c r="R121" s="4" t="str">
        <x:v>Research before draw; property brochure linked from TPWD</x:v>
      </x:c>
      <x:c r="S121" s="4" t="str">
        <x:v>Low</x:v>
      </x:c>
      <x:c r="T121" s="4" t="str">
        <x:v>No</x:v>
      </x:c>
      <x:c r="U121" s="4" t="str">
        <x:v>Verified in TPWD 2026-2027 statewide deer category catalog.</x:v>
      </x:c>
      <x:c r="V121" s="4" t="str">
        <x:v>https://tpwd.texas.gov/huntwild/hunt/public/public_hunt_drawing/hunt-category-details.phtml?OCat=YDA</x:v>
      </x:c>
      <x:c r="W121" s="4" t="n">
        <x:v>2</x:v>
      </x:c>
      <x:c r="X121" s="4" t="n">
        <x:v>1</x:v>
      </x:c>
      <x:c r="Y121" s="4" t="n">
        <x:v>5</x:v>
      </x:c>
      <x:c r="Z121" s="4" t="n">
        <x:v>3</x:v>
      </x:c>
      <x:c r="AA121" s="4" t="n">
        <x:v>2</x:v>
      </x:c>
      <x:c r="AB121" s="4" t="n">
        <x:v>0</x:v>
      </x:c>
      <x:c r="AC121" s="30" t="n">
        <x:v>2.4</x:v>
      </x:c>
      <x:c r="AD121" s="4" t="n">
        <x:v>0</x:v>
      </x:c>
      <x:c r="AE121" s="4" t="str">
        <x:v>2026-09-15</x:v>
      </x:c>
      <x:c r="AF121" s="2"/>
      <x:c r="AG121" s="97"/>
      <x:c r="AH121" s="2"/>
      <x:c r="AI121" s="2"/>
      <x:c r="AJ121" s="97"/>
      <x:c r="AK121" s="2"/>
      <x:c r="AL121" s="2"/>
      <x:c r="AM121" s="2" t="str">
        <x:v>https://tpwd.texas.gov/huntwild/hunt/public/public_hunt_drawing/hunt-category-details.phtml?OCat=YDA</x:v>
      </x:c>
      <x:c r="AN121" s="2" t="str">
        <x:v>https://tpwd.texas.gov/search/?q=Choke+Canyon+SP+-+North+Shore+Unit+public+hunting+brochure</x:v>
      </x:c>
      <x:c r="AO121" s="2" t="str">
        <x:v>https://apps.tpwd.state.tx.us/huntwild/hunt/public/public_hunt_drawing/</x:v>
      </x:c>
      <x:c r="AP121" s="2" t="str">
        <x:v>https://www.google.com/maps/search/?api=1&amp;query=Choke+Canyon+SP+-+North+Shore+Unit%2C+Texas</x:v>
      </x:c>
      <x:c r="AQ121" s="96" t="n">
        <x:v>0</x:v>
      </x:c>
      <x:c r="AR121" s="2" t="str">
        <x:v>Standard Hastings ranking</x:v>
      </x:c>
    </x:row>
    <x:row r="122">
      <x:c r="A122" s="4" t="str">
        <x:v>No</x:v>
      </x:c>
      <x:c r="B122" s="4" t="str">
        <x:v>A</x:v>
      </x:c>
      <x:c r="C122" s="4" t="str">
        <x:v>Whitetail Deer</x:v>
      </x:c>
      <x:c r="D122" s="4" t="str">
        <x:v>Choke Canyon SP - North Shore Unit</x:v>
      </x:c>
      <x:c r="E122" s="4" t="str">
        <x:v>South Texas / Rio Grande Valley</x:v>
      </x:c>
      <x:c r="F122" s="4" t="str">
        <x:v>Youth Gun Deer - Management</x:v>
      </x:c>
      <x:c r="G122" s="4" t="str">
        <x:v>No</x:v>
      </x:c>
      <x:c r="H122" s="4" t="str">
        <x:v>Yes</x:v>
      </x:c>
      <x:c r="I122" s="24" t="str">
        <x:v>2026-09-15</x:v>
      </x:c>
      <x:c r="J122" s="4" t="str">
        <x:v>See TPWD category page</x:v>
      </x:c>
      <x:c r="K122" s="110" t="n">
        <x:v>0</x:v>
      </x:c>
      <x:c r="L122" s="110" t="n">
        <x:v>0</x:v>
      </x:c>
      <x:c r="M122" s="4"/>
      <x:c r="N122" s="4"/>
      <x:c r="O122" s="112"/>
      <x:c r="P122" s="4" t="n">
        <x:v>700</x:v>
      </x:c>
      <x:c r="Q122" s="4" t="str">
        <x:v>Long Haul</x:v>
      </x:c>
      <x:c r="R122" s="4" t="str">
        <x:v>Research before draw; property brochure linked from TPWD</x:v>
      </x:c>
      <x:c r="S122" s="4" t="str">
        <x:v>Low</x:v>
      </x:c>
      <x:c r="T122" s="4" t="str">
        <x:v>No</x:v>
      </x:c>
      <x:c r="U122" s="4" t="str">
        <x:v>Verified in TPWD 2026-2027 statewide deer category catalog.</x:v>
      </x:c>
      <x:c r="V122" s="4" t="str">
        <x:v>https://tpwd.texas.gov/huntwild/hunt/public/public_hunt_drawing/hunt-category-details.phtml?OCat=YDM</x:v>
      </x:c>
      <x:c r="W122" s="4" t="n">
        <x:v>2</x:v>
      </x:c>
      <x:c r="X122" s="4" t="n">
        <x:v>1</x:v>
      </x:c>
      <x:c r="Y122" s="4" t="n">
        <x:v>5</x:v>
      </x:c>
      <x:c r="Z122" s="4" t="n">
        <x:v>3</x:v>
      </x:c>
      <x:c r="AA122" s="4" t="n">
        <x:v>2</x:v>
      </x:c>
      <x:c r="AB122" s="4" t="n">
        <x:v>0</x:v>
      </x:c>
      <x:c r="AC122" s="30" t="n">
        <x:v>2.4</x:v>
      </x:c>
      <x:c r="AD122" s="4" t="n">
        <x:v>0</x:v>
      </x:c>
      <x:c r="AE122" s="4" t="str">
        <x:v>2026-09-15</x:v>
      </x:c>
      <x:c r="AF122" s="2"/>
      <x:c r="AG122" s="97"/>
      <x:c r="AH122" s="2"/>
      <x:c r="AI122" s="2"/>
      <x:c r="AJ122" s="97"/>
      <x:c r="AK122" s="2"/>
      <x:c r="AL122" s="2"/>
      <x:c r="AM122" s="2" t="str">
        <x:v>https://tpwd.texas.gov/huntwild/hunt/public/public_hunt_drawing/hunt-category-details.phtml?OCat=YDM</x:v>
      </x:c>
      <x:c r="AN122" s="2" t="str">
        <x:v>https://tpwd.texas.gov/search/?q=Choke+Canyon+SP+-+North+Shore+Unit+public+hunting+brochure</x:v>
      </x:c>
      <x:c r="AO122" s="2" t="str">
        <x:v>https://apps.tpwd.state.tx.us/huntwild/hunt/public/public_hunt_drawing/</x:v>
      </x:c>
      <x:c r="AP122" s="2" t="str">
        <x:v>https://www.google.com/maps/search/?api=1&amp;query=Choke+Canyon+SP+-+North+Shore+Unit%2C+Texas</x:v>
      </x:c>
      <x:c r="AQ122" s="96" t="n">
        <x:v>0</x:v>
      </x:c>
      <x:c r="AR122" s="2" t="str">
        <x:v>Standard Hastings ranking</x:v>
      </x:c>
    </x:row>
    <x:row r="123">
      <x:c r="A123" s="4" t="str">
        <x:v>No</x:v>
      </x:c>
      <x:c r="B123" s="4" t="str">
        <x:v>A</x:v>
      </x:c>
      <x:c r="C123" s="4" t="str">
        <x:v>Whitetail Deer</x:v>
      </x:c>
      <x:c r="D123" s="4" t="str">
        <x:v>Cooper Lake State Park</x:v>
      </x:c>
      <x:c r="E123" s="4" t="str">
        <x:v>North Texas / DFW</x:v>
      </x:c>
      <x:c r="F123" s="4" t="str">
        <x:v>Youth Gun Deer - Antlerless/Spike</x:v>
      </x:c>
      <x:c r="G123" s="4" t="str">
        <x:v>No</x:v>
      </x:c>
      <x:c r="H123" s="4" t="str">
        <x:v>Yes</x:v>
      </x:c>
      <x:c r="I123" s="24" t="str">
        <x:v>2026-09-15</x:v>
      </x:c>
      <x:c r="J123" s="4" t="str">
        <x:v>See TPWD category page</x:v>
      </x:c>
      <x:c r="K123" s="110" t="n">
        <x:v>0</x:v>
      </x:c>
      <x:c r="L123" s="110" t="n">
        <x:v>0</x:v>
      </x:c>
      <x:c r="M123" s="4"/>
      <x:c r="N123" s="4"/>
      <x:c r="O123" s="112"/>
      <x:c r="P123" s="4" t="n">
        <x:v>360</x:v>
      </x:c>
      <x:c r="Q123" s="4" t="str">
        <x:v>Extended</x:v>
      </x:c>
      <x:c r="R123" s="4" t="str">
        <x:v>Research before draw; property brochure linked from TPWD</x:v>
      </x:c>
      <x:c r="S123" s="4" t="str">
        <x:v>Low</x:v>
      </x:c>
      <x:c r="T123" s="4" t="str">
        <x:v>No</x:v>
      </x:c>
      <x:c r="U123" s="4" t="str">
        <x:v>Verified in TPWD 2026-2027 statewide deer category catalog.</x:v>
      </x:c>
      <x:c r="V123" s="4" t="str">
        <x:v>https://tpwd.texas.gov/huntwild/hunt/public/public_hunt_drawing/hunt-category-details.phtml?OCat=YDA</x:v>
      </x:c>
      <x:c r="W123" s="4" t="n">
        <x:v>2</x:v>
      </x:c>
      <x:c r="X123" s="4" t="n">
        <x:v>3</x:v>
      </x:c>
      <x:c r="Y123" s="4" t="n">
        <x:v>5</x:v>
      </x:c>
      <x:c r="Z123" s="4" t="n">
        <x:v>3</x:v>
      </x:c>
      <x:c r="AA123" s="4" t="n">
        <x:v>2</x:v>
      </x:c>
      <x:c r="AB123" s="4" t="n">
        <x:v>0</x:v>
      </x:c>
      <x:c r="AC123" s="30" t="n">
        <x:v>2.7</x:v>
      </x:c>
      <x:c r="AD123" s="4" t="n">
        <x:v>0</x:v>
      </x:c>
      <x:c r="AE123" s="4" t="str">
        <x:v>2026-09-15</x:v>
      </x:c>
      <x:c r="AF123" s="2"/>
      <x:c r="AG123" s="97"/>
      <x:c r="AH123" s="2"/>
      <x:c r="AI123" s="2"/>
      <x:c r="AJ123" s="97"/>
      <x:c r="AK123" s="2"/>
      <x:c r="AL123" s="2"/>
      <x:c r="AM123" s="2" t="str">
        <x:v>https://tpwd.texas.gov/huntwild/hunt/public/public_hunt_drawing/hunt-category-details.phtml?OCat=YDA</x:v>
      </x:c>
      <x:c r="AN123" s="2" t="str">
        <x:v>https://tpwd.texas.gov/search/?q=Cooper+Lake+State+Park+public+hunting+brochure</x:v>
      </x:c>
      <x:c r="AO123" s="2" t="str">
        <x:v>https://apps.tpwd.state.tx.us/huntwild/hunt/public/public_hunt_drawing/</x:v>
      </x:c>
      <x:c r="AP123" s="2" t="str">
        <x:v>https://www.google.com/maps/search/?api=1&amp;query=Cooper+Lake+State+Park%2C+Texas</x:v>
      </x:c>
      <x:c r="AQ123" s="96" t="n">
        <x:v>0</x:v>
      </x:c>
      <x:c r="AR123" s="2" t="str">
        <x:v>Standard Hastings ranking</x:v>
      </x:c>
    </x:row>
    <x:row r="124">
      <x:c r="A124" s="4" t="str">
        <x:v>No</x:v>
      </x:c>
      <x:c r="B124" s="4" t="str">
        <x:v>A</x:v>
      </x:c>
      <x:c r="C124" s="4" t="str">
        <x:v>Whitetail Deer</x:v>
      </x:c>
      <x:c r="D124" s="4" t="str">
        <x:v>Gene Howe WMA</x:v>
      </x:c>
      <x:c r="E124" s="4" t="str">
        <x:v>Panhandle / Rolling Plains</x:v>
      </x:c>
      <x:c r="F124" s="4" t="str">
        <x:v>Youth Gun Deer - Antlerless/Spike</x:v>
      </x:c>
      <x:c r="G124" s="4" t="str">
        <x:v>No</x:v>
      </x:c>
      <x:c r="H124" s="4" t="str">
        <x:v>Yes</x:v>
      </x:c>
      <x:c r="I124" s="24" t="str">
        <x:v>2026-09-15</x:v>
      </x:c>
      <x:c r="J124" s="4" t="str">
        <x:v>See TPWD category page</x:v>
      </x:c>
      <x:c r="K124" s="110" t="n">
        <x:v>0</x:v>
      </x:c>
      <x:c r="L124" s="110" t="n">
        <x:v>0</x:v>
      </x:c>
      <x:c r="M124" s="4"/>
      <x:c r="N124" s="4"/>
      <x:c r="O124" s="112"/>
      <x:c r="P124" s="4" t="n">
        <x:v>130</x:v>
      </x:c>
      <x:c r="Q124" s="4" t="str">
        <x:v>Core</x:v>
      </x:c>
      <x:c r="R124" s="4" t="str">
        <x:v>Research before draw; property brochure linked from TPWD</x:v>
      </x:c>
      <x:c r="S124" s="4" t="str">
        <x:v>High</x:v>
      </x:c>
      <x:c r="T124" s="4" t="str">
        <x:v>No</x:v>
      </x:c>
      <x:c r="U124" s="4" t="str">
        <x:v>Verified in TPWD 2026-2027 statewide deer category catalog.</x:v>
      </x:c>
      <x:c r="V124" s="4" t="str">
        <x:v>https://tpwd.texas.gov/huntwild/hunt/public/public_hunt_drawing/hunt-category-details.phtml?OCat=YDA</x:v>
      </x:c>
      <x:c r="W124" s="4" t="n">
        <x:v>2</x:v>
      </x:c>
      <x:c r="X124" s="4" t="n">
        <x:v>5</x:v>
      </x:c>
      <x:c r="Y124" s="4" t="n">
        <x:v>5</x:v>
      </x:c>
      <x:c r="Z124" s="4" t="n">
        <x:v>3</x:v>
      </x:c>
      <x:c r="AA124" s="4" t="n">
        <x:v>4</x:v>
      </x:c>
      <x:c r="AB124" s="4" t="n">
        <x:v>0</x:v>
      </x:c>
      <x:c r="AC124" s="30" t="n">
        <x:v>3.2</x:v>
      </x:c>
      <x:c r="AD124" s="4" t="n">
        <x:v>0</x:v>
      </x:c>
      <x:c r="AE124" s="4" t="str">
        <x:v>2026-09-15</x:v>
      </x:c>
      <x:c r="AF124" s="2"/>
      <x:c r="AG124" s="97"/>
      <x:c r="AH124" s="2"/>
      <x:c r="AI124" s="2"/>
      <x:c r="AJ124" s="97"/>
      <x:c r="AK124" s="2"/>
      <x:c r="AL124" s="2"/>
      <x:c r="AM124" s="2" t="str">
        <x:v>https://tpwd.texas.gov/huntwild/hunt/public/public_hunt_drawing/hunt-category-details.phtml?OCat=YDA</x:v>
      </x:c>
      <x:c r="AN124" s="2" t="str">
        <x:v>https://tpwd.texas.gov/search/?q=Gene+Howe+WMA+public+hunting+brochure</x:v>
      </x:c>
      <x:c r="AO124" s="2" t="str">
        <x:v>https://apps.tpwd.state.tx.us/huntwild/hunt/public/public_hunt_drawing/</x:v>
      </x:c>
      <x:c r="AP124" s="2" t="str">
        <x:v>https://www.google.com/maps/search/?api=1&amp;query=Gene+Howe+WMA%2C+Texas</x:v>
      </x:c>
      <x:c r="AQ124" s="96" t="n">
        <x:v>0</x:v>
      </x:c>
      <x:c r="AR124" s="2" t="str">
        <x:v>Standard Hastings ranking</x:v>
      </x:c>
    </x:row>
    <x:row r="125">
      <x:c r="A125" s="4" t="str">
        <x:v>No</x:v>
      </x:c>
      <x:c r="B125" s="4" t="str">
        <x:v>A</x:v>
      </x:c>
      <x:c r="C125" s="4" t="str">
        <x:v>Whitetail Deer</x:v>
      </x:c>
      <x:c r="D125" s="4" t="str">
        <x:v>Granger PHL</x:v>
      </x:c>
      <x:c r="E125" s="4" t="str">
        <x:v>Central Texas / Austin</x:v>
      </x:c>
      <x:c r="F125" s="4" t="str">
        <x:v>Youth Gun Deer - Antlerless/Spike</x:v>
      </x:c>
      <x:c r="G125" s="4" t="str">
        <x:v>No</x:v>
      </x:c>
      <x:c r="H125" s="4" t="str">
        <x:v>Yes</x:v>
      </x:c>
      <x:c r="I125" s="24" t="str">
        <x:v>2026-09-15</x:v>
      </x:c>
      <x:c r="J125" s="4" t="str">
        <x:v>See TPWD category page</x:v>
      </x:c>
      <x:c r="K125" s="110" t="n">
        <x:v>0</x:v>
      </x:c>
      <x:c r="L125" s="110" t="n">
        <x:v>0</x:v>
      </x:c>
      <x:c r="M125" s="4"/>
      <x:c r="N125" s="4"/>
      <x:c r="O125" s="112"/>
      <x:c r="P125" s="4" t="n">
        <x:v>490</x:v>
      </x:c>
      <x:c r="Q125" s="4" t="str">
        <x:v>Statewide</x:v>
      </x:c>
      <x:c r="R125" s="4" t="str">
        <x:v>Research before draw; property brochure linked from TPWD</x:v>
      </x:c>
      <x:c r="S125" s="4" t="str">
        <x:v>Low</x:v>
      </x:c>
      <x:c r="T125" s="4" t="str">
        <x:v>No</x:v>
      </x:c>
      <x:c r="U125" s="4" t="str">
        <x:v>Verified in TPWD 2026-2027 statewide deer category catalog.</x:v>
      </x:c>
      <x:c r="V125" s="4" t="str">
        <x:v>https://tpwd.texas.gov/huntwild/hunt/public/public_hunt_drawing/hunt-category-details.phtml?OCat=YDA</x:v>
      </x:c>
      <x:c r="W125" s="4" t="n">
        <x:v>2</x:v>
      </x:c>
      <x:c r="X125" s="4" t="n">
        <x:v>2</x:v>
      </x:c>
      <x:c r="Y125" s="4" t="n">
        <x:v>5</x:v>
      </x:c>
      <x:c r="Z125" s="4" t="n">
        <x:v>3</x:v>
      </x:c>
      <x:c r="AA125" s="4" t="n">
        <x:v>2</x:v>
      </x:c>
      <x:c r="AB125" s="4" t="n">
        <x:v>0</x:v>
      </x:c>
      <x:c r="AC125" s="30" t="n">
        <x:v>2.5</x:v>
      </x:c>
      <x:c r="AD125" s="4" t="n">
        <x:v>0</x:v>
      </x:c>
      <x:c r="AE125" s="4" t="str">
        <x:v>2026-09-15</x:v>
      </x:c>
      <x:c r="AF125" s="2"/>
      <x:c r="AG125" s="97"/>
      <x:c r="AH125" s="2"/>
      <x:c r="AI125" s="2"/>
      <x:c r="AJ125" s="97"/>
      <x:c r="AK125" s="2"/>
      <x:c r="AL125" s="2"/>
      <x:c r="AM125" s="2" t="str">
        <x:v>https://tpwd.texas.gov/huntwild/hunt/public/public_hunt_drawing/hunt-category-details.phtml?OCat=YDA</x:v>
      </x:c>
      <x:c r="AN125" s="2" t="str">
        <x:v>https://tpwd.texas.gov/search/?q=Granger+PHL+public+hunting+brochure</x:v>
      </x:c>
      <x:c r="AO125" s="2" t="str">
        <x:v>https://apps.tpwd.state.tx.us/huntwild/hunt/public/public_hunt_drawing/</x:v>
      </x:c>
      <x:c r="AP125" s="2" t="str">
        <x:v>https://www.google.com/maps/search/?api=1&amp;query=Granger+PHL%2C+Texas</x:v>
      </x:c>
      <x:c r="AQ125" s="96" t="n">
        <x:v>0</x:v>
      </x:c>
      <x:c r="AR125" s="2" t="str">
        <x:v>Standard Hastings ranking</x:v>
      </x:c>
    </x:row>
    <x:row r="126">
      <x:c r="A126" s="4" t="str">
        <x:v>No</x:v>
      </x:c>
      <x:c r="B126" s="4" t="str">
        <x:v>A</x:v>
      </x:c>
      <x:c r="C126" s="4" t="str">
        <x:v>Whitetail Deer</x:v>
      </x:c>
      <x:c r="D126" s="4" t="str">
        <x:v>Granger PHL</x:v>
      </x:c>
      <x:c r="E126" s="4" t="str">
        <x:v>Central Texas / Austin</x:v>
      </x:c>
      <x:c r="F126" s="4" t="str">
        <x:v>Youth Gun Deer - Management</x:v>
      </x:c>
      <x:c r="G126" s="4" t="str">
        <x:v>No</x:v>
      </x:c>
      <x:c r="H126" s="4" t="str">
        <x:v>Yes</x:v>
      </x:c>
      <x:c r="I126" s="24" t="str">
        <x:v>2026-09-15</x:v>
      </x:c>
      <x:c r="J126" s="4" t="str">
        <x:v>See TPWD category page</x:v>
      </x:c>
      <x:c r="K126" s="110" t="n">
        <x:v>0</x:v>
      </x:c>
      <x:c r="L126" s="110" t="n">
        <x:v>0</x:v>
      </x:c>
      <x:c r="M126" s="4"/>
      <x:c r="N126" s="4"/>
      <x:c r="O126" s="112"/>
      <x:c r="P126" s="4" t="n">
        <x:v>490</x:v>
      </x:c>
      <x:c r="Q126" s="4" t="str">
        <x:v>Statewide</x:v>
      </x:c>
      <x:c r="R126" s="4" t="str">
        <x:v>Research before draw; property brochure linked from TPWD</x:v>
      </x:c>
      <x:c r="S126" s="4" t="str">
        <x:v>Low</x:v>
      </x:c>
      <x:c r="T126" s="4" t="str">
        <x:v>No</x:v>
      </x:c>
      <x:c r="U126" s="4" t="str">
        <x:v>Verified in TPWD 2026-2027 statewide deer category catalog.</x:v>
      </x:c>
      <x:c r="V126" s="4" t="str">
        <x:v>https://tpwd.texas.gov/huntwild/hunt/public/public_hunt_drawing/hunt-category-details.phtml?OCat=YDM</x:v>
      </x:c>
      <x:c r="W126" s="4" t="n">
        <x:v>2</x:v>
      </x:c>
      <x:c r="X126" s="4" t="n">
        <x:v>2</x:v>
      </x:c>
      <x:c r="Y126" s="4" t="n">
        <x:v>5</x:v>
      </x:c>
      <x:c r="Z126" s="4" t="n">
        <x:v>3</x:v>
      </x:c>
      <x:c r="AA126" s="4" t="n">
        <x:v>2</x:v>
      </x:c>
      <x:c r="AB126" s="4" t="n">
        <x:v>0</x:v>
      </x:c>
      <x:c r="AC126" s="30" t="n">
        <x:v>2.5</x:v>
      </x:c>
      <x:c r="AD126" s="4" t="n">
        <x:v>0</x:v>
      </x:c>
      <x:c r="AE126" s="4" t="str">
        <x:v>2026-09-15</x:v>
      </x:c>
      <x:c r="AF126" s="2"/>
      <x:c r="AG126" s="97"/>
      <x:c r="AH126" s="2"/>
      <x:c r="AI126" s="2"/>
      <x:c r="AJ126" s="97"/>
      <x:c r="AK126" s="2"/>
      <x:c r="AL126" s="2"/>
      <x:c r="AM126" s="2" t="str">
        <x:v>https://tpwd.texas.gov/huntwild/hunt/public/public_hunt_drawing/hunt-category-details.phtml?OCat=YDM</x:v>
      </x:c>
      <x:c r="AN126" s="2" t="str">
        <x:v>https://tpwd.texas.gov/search/?q=Granger+PHL+public+hunting+brochure</x:v>
      </x:c>
      <x:c r="AO126" s="2" t="str">
        <x:v>https://apps.tpwd.state.tx.us/huntwild/hunt/public/public_hunt_drawing/</x:v>
      </x:c>
      <x:c r="AP126" s="2" t="str">
        <x:v>https://www.google.com/maps/search/?api=1&amp;query=Granger+PHL%2C+Texas</x:v>
      </x:c>
      <x:c r="AQ126" s="96" t="n">
        <x:v>0</x:v>
      </x:c>
      <x:c r="AR126" s="2" t="str">
        <x:v>Standard Hastings ranking</x:v>
      </x:c>
    </x:row>
    <x:row r="127">
      <x:c r="A127" s="4" t="str">
        <x:v>No</x:v>
      </x:c>
      <x:c r="B127" s="4" t="str">
        <x:v>A</x:v>
      </x:c>
      <x:c r="C127" s="4" t="str">
        <x:v>Whitetail Deer</x:v>
      </x:c>
      <x:c r="D127" s="4" t="str">
        <x:v>Gus Engeling WMA</x:v>
      </x:c>
      <x:c r="E127" s="4" t="str">
        <x:v>Statewide / Other</x:v>
      </x:c>
      <x:c r="F127" s="4" t="str">
        <x:v>Youth Gun Deer - Antlerless/Spike</x:v>
      </x:c>
      <x:c r="G127" s="4" t="str">
        <x:v>No</x:v>
      </x:c>
      <x:c r="H127" s="4" t="str">
        <x:v>Yes</x:v>
      </x:c>
      <x:c r="I127" s="24" t="str">
        <x:v>2026-09-15</x:v>
      </x:c>
      <x:c r="J127" s="4" t="str">
        <x:v>See TPWD category page</x:v>
      </x:c>
      <x:c r="K127" s="110" t="n">
        <x:v>0</x:v>
      </x:c>
      <x:c r="L127" s="110" t="n">
        <x:v>0</x:v>
      </x:c>
      <x:c r="M127" s="4"/>
      <x:c r="N127" s="4"/>
      <x:c r="O127" s="112"/>
      <x:c r="P127" s="4" t="n">
        <x:v>500</x:v>
      </x:c>
      <x:c r="Q127" s="4" t="str">
        <x:v>Statewide</x:v>
      </x:c>
      <x:c r="R127" s="4" t="str">
        <x:v>Research before draw; property brochure linked from TPWD</x:v>
      </x:c>
      <x:c r="S127" s="4" t="str">
        <x:v>Low</x:v>
      </x:c>
      <x:c r="T127" s="4" t="str">
        <x:v>No</x:v>
      </x:c>
      <x:c r="U127" s="4" t="str">
        <x:v>Verified in TPWD 2026-2027 statewide deer category catalog.</x:v>
      </x:c>
      <x:c r="V127" s="4" t="str">
        <x:v>https://tpwd.texas.gov/huntwild/hunt/public/public_hunt_drawing/hunt-category-details.phtml?OCat=YDA</x:v>
      </x:c>
      <x:c r="W127" s="4" t="n">
        <x:v>2</x:v>
      </x:c>
      <x:c r="X127" s="4" t="n">
        <x:v>2</x:v>
      </x:c>
      <x:c r="Y127" s="4" t="n">
        <x:v>5</x:v>
      </x:c>
      <x:c r="Z127" s="4" t="n">
        <x:v>3</x:v>
      </x:c>
      <x:c r="AA127" s="4" t="n">
        <x:v>2</x:v>
      </x:c>
      <x:c r="AB127" s="4" t="n">
        <x:v>0</x:v>
      </x:c>
      <x:c r="AC127" s="30" t="n">
        <x:v>2.5</x:v>
      </x:c>
      <x:c r="AD127" s="4" t="n">
        <x:v>0</x:v>
      </x:c>
      <x:c r="AE127" s="4" t="str">
        <x:v>2026-09-15</x:v>
      </x:c>
      <x:c r="AF127" s="2"/>
      <x:c r="AG127" s="97"/>
      <x:c r="AH127" s="2"/>
      <x:c r="AI127" s="2"/>
      <x:c r="AJ127" s="97"/>
      <x:c r="AK127" s="2"/>
      <x:c r="AL127" s="2"/>
      <x:c r="AM127" s="2" t="str">
        <x:v>https://tpwd.texas.gov/huntwild/hunt/public/public_hunt_drawing/hunt-category-details.phtml?OCat=YDA</x:v>
      </x:c>
      <x:c r="AN127" s="2" t="str">
        <x:v>https://tpwd.texas.gov/search/?q=Gus+Engeling+WMA+public+hunting+brochure</x:v>
      </x:c>
      <x:c r="AO127" s="2" t="str">
        <x:v>https://apps.tpwd.state.tx.us/huntwild/hunt/public/public_hunt_drawing/</x:v>
      </x:c>
      <x:c r="AP127" s="2" t="str">
        <x:v>https://www.google.com/maps/search/?api=1&amp;query=Gus+Engeling+WMA%2C+Texas</x:v>
      </x:c>
      <x:c r="AQ127" s="96" t="n">
        <x:v>0</x:v>
      </x:c>
      <x:c r="AR127" s="2" t="str">
        <x:v>Standard Hastings ranking</x:v>
      </x:c>
    </x:row>
    <x:row r="128">
      <x:c r="A128" s="4" t="str">
        <x:v>No</x:v>
      </x:c>
      <x:c r="B128" s="4" t="str">
        <x:v>A</x:v>
      </x:c>
      <x:c r="C128" s="4" t="str">
        <x:v>Whitetail Deer</x:v>
      </x:c>
      <x:c r="D128" s="4" t="str">
        <x:v>James Daughtrey WMA</x:v>
      </x:c>
      <x:c r="E128" s="4" t="str">
        <x:v>South Texas / Rio Grande Valley</x:v>
      </x:c>
      <x:c r="F128" s="4" t="str">
        <x:v>Youth Gun Deer - Antlerless/Spike</x:v>
      </x:c>
      <x:c r="G128" s="4" t="str">
        <x:v>No</x:v>
      </x:c>
      <x:c r="H128" s="4" t="str">
        <x:v>Yes</x:v>
      </x:c>
      <x:c r="I128" s="24" t="str">
        <x:v>2026-09-15</x:v>
      </x:c>
      <x:c r="J128" s="4" t="str">
        <x:v>See TPWD category page</x:v>
      </x:c>
      <x:c r="K128" s="110" t="n">
        <x:v>0</x:v>
      </x:c>
      <x:c r="L128" s="110" t="n">
        <x:v>0</x:v>
      </x:c>
      <x:c r="M128" s="4"/>
      <x:c r="N128" s="4"/>
      <x:c r="O128" s="112"/>
      <x:c r="P128" s="4" t="n">
        <x:v>700</x:v>
      </x:c>
      <x:c r="Q128" s="4" t="str">
        <x:v>Long Haul</x:v>
      </x:c>
      <x:c r="R128" s="4" t="str">
        <x:v>Research before draw; property brochure linked from TPWD</x:v>
      </x:c>
      <x:c r="S128" s="4" t="str">
        <x:v>Low</x:v>
      </x:c>
      <x:c r="T128" s="4" t="str">
        <x:v>No</x:v>
      </x:c>
      <x:c r="U128" s="4" t="str">
        <x:v>Verified in TPWD 2026-2027 statewide deer category catalog.</x:v>
      </x:c>
      <x:c r="V128" s="4" t="str">
        <x:v>https://tpwd.texas.gov/huntwild/hunt/public/public_hunt_drawing/hunt-category-details.phtml?OCat=YDA</x:v>
      </x:c>
      <x:c r="W128" s="4" t="n">
        <x:v>2</x:v>
      </x:c>
      <x:c r="X128" s="4" t="n">
        <x:v>1</x:v>
      </x:c>
      <x:c r="Y128" s="4" t="n">
        <x:v>5</x:v>
      </x:c>
      <x:c r="Z128" s="4" t="n">
        <x:v>3</x:v>
      </x:c>
      <x:c r="AA128" s="4" t="n">
        <x:v>2</x:v>
      </x:c>
      <x:c r="AB128" s="4" t="n">
        <x:v>0</x:v>
      </x:c>
      <x:c r="AC128" s="30" t="n">
        <x:v>2.4</x:v>
      </x:c>
      <x:c r="AD128" s="4" t="n">
        <x:v>0</x:v>
      </x:c>
      <x:c r="AE128" s="4" t="str">
        <x:v>2026-09-15</x:v>
      </x:c>
      <x:c r="AF128" s="2"/>
      <x:c r="AG128" s="97"/>
      <x:c r="AH128" s="2"/>
      <x:c r="AI128" s="2"/>
      <x:c r="AJ128" s="97"/>
      <x:c r="AK128" s="2"/>
      <x:c r="AL128" s="2"/>
      <x:c r="AM128" s="2" t="str">
        <x:v>https://tpwd.texas.gov/huntwild/hunt/public/public_hunt_drawing/hunt-category-details.phtml?OCat=YDA</x:v>
      </x:c>
      <x:c r="AN128" s="2" t="str">
        <x:v>https://tpwd.texas.gov/search/?q=James+Daughtrey+WMA+public+hunting+brochure</x:v>
      </x:c>
      <x:c r="AO128" s="2" t="str">
        <x:v>https://apps.tpwd.state.tx.us/huntwild/hunt/public/public_hunt_drawing/</x:v>
      </x:c>
      <x:c r="AP128" s="2" t="str">
        <x:v>https://www.google.com/maps/search/?api=1&amp;query=James+Daughtrey+WMA%2C+Texas</x:v>
      </x:c>
      <x:c r="AQ128" s="96" t="n">
        <x:v>0</x:v>
      </x:c>
      <x:c r="AR128" s="2" t="str">
        <x:v>Standard Hastings ranking</x:v>
      </x:c>
    </x:row>
    <x:row r="129">
      <x:c r="A129" s="4" t="str">
        <x:v>No</x:v>
      </x:c>
      <x:c r="B129" s="4" t="str">
        <x:v>A</x:v>
      </x:c>
      <x:c r="C129" s="4" t="str">
        <x:v>Whitetail Deer</x:v>
      </x:c>
      <x:c r="D129" s="4" t="str">
        <x:v>James Daughtrey WMA</x:v>
      </x:c>
      <x:c r="E129" s="4" t="str">
        <x:v>South Texas / Rio Grande Valley</x:v>
      </x:c>
      <x:c r="F129" s="4" t="str">
        <x:v>Youth Gun Deer - Management</x:v>
      </x:c>
      <x:c r="G129" s="4" t="str">
        <x:v>No</x:v>
      </x:c>
      <x:c r="H129" s="4" t="str">
        <x:v>Yes</x:v>
      </x:c>
      <x:c r="I129" s="24" t="str">
        <x:v>2026-09-15</x:v>
      </x:c>
      <x:c r="J129" s="4" t="str">
        <x:v>See TPWD category page</x:v>
      </x:c>
      <x:c r="K129" s="110" t="n">
        <x:v>0</x:v>
      </x:c>
      <x:c r="L129" s="110" t="n">
        <x:v>0</x:v>
      </x:c>
      <x:c r="M129" s="4"/>
      <x:c r="N129" s="4"/>
      <x:c r="O129" s="112"/>
      <x:c r="P129" s="4" t="n">
        <x:v>700</x:v>
      </x:c>
      <x:c r="Q129" s="4" t="str">
        <x:v>Long Haul</x:v>
      </x:c>
      <x:c r="R129" s="4" t="str">
        <x:v>Research before draw; property brochure linked from TPWD</x:v>
      </x:c>
      <x:c r="S129" s="4" t="str">
        <x:v>Low</x:v>
      </x:c>
      <x:c r="T129" s="4" t="str">
        <x:v>No</x:v>
      </x:c>
      <x:c r="U129" s="4" t="str">
        <x:v>Verified in TPWD 2026-2027 statewide deer category catalog.</x:v>
      </x:c>
      <x:c r="V129" s="4" t="str">
        <x:v>https://tpwd.texas.gov/huntwild/hunt/public/public_hunt_drawing/hunt-category-details.phtml?OCat=YDM</x:v>
      </x:c>
      <x:c r="W129" s="4" t="n">
        <x:v>2</x:v>
      </x:c>
      <x:c r="X129" s="4" t="n">
        <x:v>1</x:v>
      </x:c>
      <x:c r="Y129" s="4" t="n">
        <x:v>5</x:v>
      </x:c>
      <x:c r="Z129" s="4" t="n">
        <x:v>3</x:v>
      </x:c>
      <x:c r="AA129" s="4" t="n">
        <x:v>2</x:v>
      </x:c>
      <x:c r="AB129" s="4" t="n">
        <x:v>0</x:v>
      </x:c>
      <x:c r="AC129" s="30" t="n">
        <x:v>2.4</x:v>
      </x:c>
      <x:c r="AD129" s="4" t="n">
        <x:v>0</x:v>
      </x:c>
      <x:c r="AE129" s="4" t="str">
        <x:v>2026-09-15</x:v>
      </x:c>
      <x:c r="AF129" s="2"/>
      <x:c r="AG129" s="97"/>
      <x:c r="AH129" s="2"/>
      <x:c r="AI129" s="2"/>
      <x:c r="AJ129" s="97"/>
      <x:c r="AK129" s="2"/>
      <x:c r="AL129" s="2"/>
      <x:c r="AM129" s="2" t="str">
        <x:v>https://tpwd.texas.gov/huntwild/hunt/public/public_hunt_drawing/hunt-category-details.phtml?OCat=YDM</x:v>
      </x:c>
      <x:c r="AN129" s="2" t="str">
        <x:v>https://tpwd.texas.gov/search/?q=James+Daughtrey+WMA+public+hunting+brochure</x:v>
      </x:c>
      <x:c r="AO129" s="2" t="str">
        <x:v>https://apps.tpwd.state.tx.us/huntwild/hunt/public/public_hunt_drawing/</x:v>
      </x:c>
      <x:c r="AP129" s="2" t="str">
        <x:v>https://www.google.com/maps/search/?api=1&amp;query=James+Daughtrey+WMA%2C+Texas</x:v>
      </x:c>
      <x:c r="AQ129" s="96" t="n">
        <x:v>0</x:v>
      </x:c>
      <x:c r="AR129" s="2" t="str">
        <x:v>Standard Hastings ranking</x:v>
      </x:c>
    </x:row>
    <x:row r="130">
      <x:c r="A130" s="4" t="str">
        <x:v>No</x:v>
      </x:c>
      <x:c r="B130" s="4" t="str">
        <x:v>A</x:v>
      </x:c>
      <x:c r="C130" s="4" t="str">
        <x:v>Whitetail Deer</x:v>
      </x:c>
      <x:c r="D130" s="4" t="str">
        <x:v>Justin Hurst WMA</x:v>
      </x:c>
      <x:c r="E130" s="4" t="str">
        <x:v>Houston / Gulf Coast</x:v>
      </x:c>
      <x:c r="F130" s="4" t="str">
        <x:v>Youth Gun Deer - Antlerless/Spike</x:v>
      </x:c>
      <x:c r="G130" s="4" t="str">
        <x:v>No</x:v>
      </x:c>
      <x:c r="H130" s="4" t="str">
        <x:v>Yes</x:v>
      </x:c>
      <x:c r="I130" s="24" t="str">
        <x:v>2026-09-15</x:v>
      </x:c>
      <x:c r="J130" s="4" t="str">
        <x:v>See TPWD category page</x:v>
      </x:c>
      <x:c r="K130" s="110" t="n">
        <x:v>0</x:v>
      </x:c>
      <x:c r="L130" s="110" t="n">
        <x:v>0</x:v>
      </x:c>
      <x:c r="M130" s="4"/>
      <x:c r="N130" s="4"/>
      <x:c r="O130" s="112"/>
      <x:c r="P130" s="4" t="n">
        <x:v>610</x:v>
      </x:c>
      <x:c r="Q130" s="4" t="str">
        <x:v>Long Haul</x:v>
      </x:c>
      <x:c r="R130" s="4" t="str">
        <x:v>Research before draw; property brochure linked from TPWD</x:v>
      </x:c>
      <x:c r="S130" s="4" t="str">
        <x:v>Low</x:v>
      </x:c>
      <x:c r="T130" s="4" t="str">
        <x:v>No</x:v>
      </x:c>
      <x:c r="U130" s="4" t="str">
        <x:v>Verified in TPWD 2026-2027 statewide deer category catalog.</x:v>
      </x:c>
      <x:c r="V130" s="4" t="str">
        <x:v>https://tpwd.texas.gov/huntwild/hunt/public/public_hunt_drawing/hunt-category-details.phtml?OCat=YDA</x:v>
      </x:c>
      <x:c r="W130" s="4" t="n">
        <x:v>2</x:v>
      </x:c>
      <x:c r="X130" s="4" t="n">
        <x:v>1</x:v>
      </x:c>
      <x:c r="Y130" s="4" t="n">
        <x:v>5</x:v>
      </x:c>
      <x:c r="Z130" s="4" t="n">
        <x:v>3</x:v>
      </x:c>
      <x:c r="AA130" s="4" t="n">
        <x:v>2</x:v>
      </x:c>
      <x:c r="AB130" s="4" t="n">
        <x:v>0</x:v>
      </x:c>
      <x:c r="AC130" s="30" t="n">
        <x:v>2.4</x:v>
      </x:c>
      <x:c r="AD130" s="4" t="n">
        <x:v>0</x:v>
      </x:c>
      <x:c r="AE130" s="4" t="str">
        <x:v>2026-09-15</x:v>
      </x:c>
      <x:c r="AF130" s="2"/>
      <x:c r="AG130" s="97"/>
      <x:c r="AH130" s="2"/>
      <x:c r="AI130" s="2"/>
      <x:c r="AJ130" s="97"/>
      <x:c r="AK130" s="2"/>
      <x:c r="AL130" s="2"/>
      <x:c r="AM130" s="2" t="str">
        <x:v>https://tpwd.texas.gov/huntwild/hunt/public/public_hunt_drawing/hunt-category-details.phtml?OCat=YDA</x:v>
      </x:c>
      <x:c r="AN130" s="2" t="str">
        <x:v>https://tpwd.texas.gov/search/?q=Justin+Hurst+WMA+public+hunting+brochure</x:v>
      </x:c>
      <x:c r="AO130" s="2" t="str">
        <x:v>https://apps.tpwd.state.tx.us/huntwild/hunt/public/public_hunt_drawing/</x:v>
      </x:c>
      <x:c r="AP130" s="2" t="str">
        <x:v>https://www.google.com/maps/search/?api=1&amp;query=Justin+Hurst+WMA%2C+Texas</x:v>
      </x:c>
      <x:c r="AQ130" s="96" t="n">
        <x:v>0</x:v>
      </x:c>
      <x:c r="AR130" s="2" t="str">
        <x:v>Standard Hastings ranking</x:v>
      </x:c>
    </x:row>
    <x:row r="131">
      <x:c r="A131" s="4" t="str">
        <x:v>No</x:v>
      </x:c>
      <x:c r="B131" s="4" t="str">
        <x:v>A</x:v>
      </x:c>
      <x:c r="C131" s="4" t="str">
        <x:v>Whitetail Deer</x:v>
      </x:c>
      <x:c r="D131" s="4" t="str">
        <x:v>Lake McClellan Recreation Area</x:v>
      </x:c>
      <x:c r="E131" s="4" t="str">
        <x:v>Panhandle / Rolling Plains</x:v>
      </x:c>
      <x:c r="F131" s="4" t="str">
        <x:v>Youth Gun Deer - Antlerless/Spike</x:v>
      </x:c>
      <x:c r="G131" s="4" t="str">
        <x:v>No</x:v>
      </x:c>
      <x:c r="H131" s="4" t="str">
        <x:v>Yes</x:v>
      </x:c>
      <x:c r="I131" s="24" t="str">
        <x:v>2026-09-15</x:v>
      </x:c>
      <x:c r="J131" s="4" t="str">
        <x:v>See TPWD category page</x:v>
      </x:c>
      <x:c r="K131" s="110" t="n">
        <x:v>0</x:v>
      </x:c>
      <x:c r="L131" s="110" t="n">
        <x:v>0</x:v>
      </x:c>
      <x:c r="M131" s="4"/>
      <x:c r="N131" s="4"/>
      <x:c r="O131" s="112"/>
      <x:c r="P131" s="4" t="n">
        <x:v>130</x:v>
      </x:c>
      <x:c r="Q131" s="4" t="str">
        <x:v>Core</x:v>
      </x:c>
      <x:c r="R131" s="4" t="str">
        <x:v>Research before draw; property brochure linked from TPWD</x:v>
      </x:c>
      <x:c r="S131" s="4" t="str">
        <x:v>High</x:v>
      </x:c>
      <x:c r="T131" s="4" t="str">
        <x:v>Yes</x:v>
      </x:c>
      <x:c r="U131" s="4" t="str">
        <x:v>Verified in TPWD 2026-2027 statewide deer category catalog.</x:v>
      </x:c>
      <x:c r="V131" s="4" t="str">
        <x:v>https://tpwd.texas.gov/huntwild/hunt/public/public_hunt_drawing/hunt-category-details.phtml?OCat=YDA</x:v>
      </x:c>
      <x:c r="W131" s="4" t="n">
        <x:v>2</x:v>
      </x:c>
      <x:c r="X131" s="4" t="n">
        <x:v>5</x:v>
      </x:c>
      <x:c r="Y131" s="4" t="n">
        <x:v>5</x:v>
      </x:c>
      <x:c r="Z131" s="4" t="n">
        <x:v>3</x:v>
      </x:c>
      <x:c r="AA131" s="4" t="n">
        <x:v>4</x:v>
      </x:c>
      <x:c r="AB131" s="4" t="n">
        <x:v>5</x:v>
      </x:c>
      <x:c r="AC131" s="30" t="n">
        <x:v>3.9</x:v>
      </x:c>
      <x:c r="AD131" s="4" t="n">
        <x:v>0</x:v>
      </x:c>
      <x:c r="AE131" s="4" t="str">
        <x:v>2026-09-15</x:v>
      </x:c>
      <x:c r="AF131" s="2"/>
      <x:c r="AG131" s="97"/>
      <x:c r="AH131" s="2"/>
      <x:c r="AI131" s="2"/>
      <x:c r="AJ131" s="97"/>
      <x:c r="AK131" s="2"/>
      <x:c r="AL131" s="2"/>
      <x:c r="AM131" s="2" t="str">
        <x:v>https://tpwd.texas.gov/huntwild/hunt/public/public_hunt_drawing/hunt-category-details.phtml?OCat=YDA</x:v>
      </x:c>
      <x:c r="AN131" s="2" t="str">
        <x:v>https://tpwd.texas.gov/search/?q=Lake+McClellan+Recreation+Area+public+hunting+brochure</x:v>
      </x:c>
      <x:c r="AO131" s="2" t="str">
        <x:v>https://apps.tpwd.state.tx.us/huntwild/hunt/public/public_hunt_drawing/</x:v>
      </x:c>
      <x:c r="AP131" s="2" t="str">
        <x:v>https://www.google.com/maps/search/?api=1&amp;query=Lake+McClellan+Recreation+Area%2C+Texas</x:v>
      </x:c>
      <x:c r="AQ131" s="96" t="n">
        <x:v>0</x:v>
      </x:c>
      <x:c r="AR131" s="2" t="str">
        <x:v>Standard Hastings ranking</x:v>
      </x:c>
    </x:row>
    <x:row r="132">
      <x:c r="A132" s="4" t="str">
        <x:v>No</x:v>
      </x:c>
      <x:c r="B132" s="4" t="str">
        <x:v>A</x:v>
      </x:c>
      <x:c r="C132" s="4" t="str">
        <x:v>Whitetail Deer</x:v>
      </x:c>
      <x:c r="D132" s="4" t="str">
        <x:v>Lake Tawakoni State Park</x:v>
      </x:c>
      <x:c r="E132" s="4" t="str">
        <x:v>North Texas / DFW</x:v>
      </x:c>
      <x:c r="F132" s="4" t="str">
        <x:v>Youth Gun Deer - Antlerless/Spike</x:v>
      </x:c>
      <x:c r="G132" s="4" t="str">
        <x:v>No</x:v>
      </x:c>
      <x:c r="H132" s="4" t="str">
        <x:v>Yes</x:v>
      </x:c>
      <x:c r="I132" s="24" t="str">
        <x:v>2026-09-15</x:v>
      </x:c>
      <x:c r="J132" s="4" t="str">
        <x:v>See TPWD category page</x:v>
      </x:c>
      <x:c r="K132" s="110" t="n">
        <x:v>0</x:v>
      </x:c>
      <x:c r="L132" s="110" t="n">
        <x:v>0</x:v>
      </x:c>
      <x:c r="M132" s="4"/>
      <x:c r="N132" s="4"/>
      <x:c r="O132" s="112"/>
      <x:c r="P132" s="4" t="n">
        <x:v>360</x:v>
      </x:c>
      <x:c r="Q132" s="4" t="str">
        <x:v>Extended</x:v>
      </x:c>
      <x:c r="R132" s="4" t="str">
        <x:v>Research before draw; property brochure linked from TPWD</x:v>
      </x:c>
      <x:c r="S132" s="4" t="str">
        <x:v>Low</x:v>
      </x:c>
      <x:c r="T132" s="4" t="str">
        <x:v>No</x:v>
      </x:c>
      <x:c r="U132" s="4" t="str">
        <x:v>Verified in TPWD 2026-2027 statewide deer category catalog.</x:v>
      </x:c>
      <x:c r="V132" s="4" t="str">
        <x:v>https://tpwd.texas.gov/huntwild/hunt/public/public_hunt_drawing/hunt-category-details.phtml?OCat=YDA</x:v>
      </x:c>
      <x:c r="W132" s="4" t="n">
        <x:v>2</x:v>
      </x:c>
      <x:c r="X132" s="4" t="n">
        <x:v>3</x:v>
      </x:c>
      <x:c r="Y132" s="4" t="n">
        <x:v>5</x:v>
      </x:c>
      <x:c r="Z132" s="4" t="n">
        <x:v>3</x:v>
      </x:c>
      <x:c r="AA132" s="4" t="n">
        <x:v>2</x:v>
      </x:c>
      <x:c r="AB132" s="4" t="n">
        <x:v>0</x:v>
      </x:c>
      <x:c r="AC132" s="30" t="n">
        <x:v>2.7</x:v>
      </x:c>
      <x:c r="AD132" s="4" t="n">
        <x:v>0</x:v>
      </x:c>
      <x:c r="AE132" s="4" t="str">
        <x:v>2026-09-15</x:v>
      </x:c>
      <x:c r="AF132" s="2"/>
      <x:c r="AG132" s="97"/>
      <x:c r="AH132" s="2"/>
      <x:c r="AI132" s="2"/>
      <x:c r="AJ132" s="97"/>
      <x:c r="AK132" s="2"/>
      <x:c r="AL132" s="2"/>
      <x:c r="AM132" s="2" t="str">
        <x:v>https://tpwd.texas.gov/huntwild/hunt/public/public_hunt_drawing/hunt-category-details.phtml?OCat=YDA</x:v>
      </x:c>
      <x:c r="AN132" s="2" t="str">
        <x:v>https://tpwd.texas.gov/search/?q=Lake+Tawakoni+State+Park+public+hunting+brochure</x:v>
      </x:c>
      <x:c r="AO132" s="2" t="str">
        <x:v>https://apps.tpwd.state.tx.us/huntwild/hunt/public/public_hunt_drawing/</x:v>
      </x:c>
      <x:c r="AP132" s="2" t="str">
        <x:v>https://www.google.com/maps/search/?api=1&amp;query=Lake+Tawakoni+State+Park%2C+Texas</x:v>
      </x:c>
      <x:c r="AQ132" s="96" t="n">
        <x:v>0</x:v>
      </x:c>
      <x:c r="AR132" s="2" t="str">
        <x:v>Standard Hastings ranking</x:v>
      </x:c>
    </x:row>
    <x:row r="133">
      <x:c r="A133" s="4" t="str">
        <x:v>No</x:v>
      </x:c>
      <x:c r="B133" s="4" t="str">
        <x:v>A</x:v>
      </x:c>
      <x:c r="C133" s="4" t="str">
        <x:v>Whitetail Deer</x:v>
      </x:c>
      <x:c r="D133" s="4" t="str">
        <x:v>Las Palomas WMA - Arroyo Colorado Unit</x:v>
      </x:c>
      <x:c r="E133" s="4" t="str">
        <x:v>South Texas / Rio Grande Valley</x:v>
      </x:c>
      <x:c r="F133" s="4" t="str">
        <x:v>Youth Gun Deer - Management</x:v>
      </x:c>
      <x:c r="G133" s="4" t="str">
        <x:v>No</x:v>
      </x:c>
      <x:c r="H133" s="4" t="str">
        <x:v>Yes</x:v>
      </x:c>
      <x:c r="I133" s="24" t="str">
        <x:v>2026-09-15</x:v>
      </x:c>
      <x:c r="J133" s="4" t="str">
        <x:v>See TPWD category page</x:v>
      </x:c>
      <x:c r="K133" s="110" t="n">
        <x:v>0</x:v>
      </x:c>
      <x:c r="L133" s="110" t="n">
        <x:v>0</x:v>
      </x:c>
      <x:c r="M133" s="4"/>
      <x:c r="N133" s="4"/>
      <x:c r="O133" s="112"/>
      <x:c r="P133" s="4" t="n">
        <x:v>700</x:v>
      </x:c>
      <x:c r="Q133" s="4" t="str">
        <x:v>Long Haul</x:v>
      </x:c>
      <x:c r="R133" s="4" t="str">
        <x:v>Research before draw; property brochure linked from TPWD</x:v>
      </x:c>
      <x:c r="S133" s="4" t="str">
        <x:v>Low</x:v>
      </x:c>
      <x:c r="T133" s="4" t="str">
        <x:v>No</x:v>
      </x:c>
      <x:c r="U133" s="4" t="str">
        <x:v>Verified in TPWD 2026-2027 statewide deer category catalog.</x:v>
      </x:c>
      <x:c r="V133" s="4" t="str">
        <x:v>https://tpwd.texas.gov/huntwild/hunt/public/public_hunt_drawing/hunt-category-details.phtml?OCat=YDM</x:v>
      </x:c>
      <x:c r="W133" s="4" t="n">
        <x:v>2</x:v>
      </x:c>
      <x:c r="X133" s="4" t="n">
        <x:v>1</x:v>
      </x:c>
      <x:c r="Y133" s="4" t="n">
        <x:v>5</x:v>
      </x:c>
      <x:c r="Z133" s="4" t="n">
        <x:v>3</x:v>
      </x:c>
      <x:c r="AA133" s="4" t="n">
        <x:v>2</x:v>
      </x:c>
      <x:c r="AB133" s="4" t="n">
        <x:v>0</x:v>
      </x:c>
      <x:c r="AC133" s="30" t="n">
        <x:v>2.4</x:v>
      </x:c>
      <x:c r="AD133" s="4" t="n">
        <x:v>0</x:v>
      </x:c>
      <x:c r="AE133" s="4" t="str">
        <x:v>2026-09-15</x:v>
      </x:c>
      <x:c r="AF133" s="2"/>
      <x:c r="AG133" s="97"/>
      <x:c r="AH133" s="2"/>
      <x:c r="AI133" s="2"/>
      <x:c r="AJ133" s="97"/>
      <x:c r="AK133" s="2"/>
      <x:c r="AL133" s="2"/>
      <x:c r="AM133" s="2" t="str">
        <x:v>https://tpwd.texas.gov/huntwild/hunt/public/public_hunt_drawing/hunt-category-details.phtml?OCat=YDM</x:v>
      </x:c>
      <x:c r="AN133" s="2" t="str">
        <x:v>https://tpwd.texas.gov/search/?q=Las+Palomas+WMA+-+Arroyo+Colorado+Unit+public+hunting+brochure</x:v>
      </x:c>
      <x:c r="AO133" s="2" t="str">
        <x:v>https://apps.tpwd.state.tx.us/huntwild/hunt/public/public_hunt_drawing/</x:v>
      </x:c>
      <x:c r="AP133" s="2" t="str">
        <x:v>https://www.google.com/maps/search/?api=1&amp;query=Las+Palomas+WMA+-+Arroyo+Colorado+Unit%2C+Texas</x:v>
      </x:c>
      <x:c r="AQ133" s="96" t="n">
        <x:v>0</x:v>
      </x:c>
      <x:c r="AR133" s="2" t="str">
        <x:v>Standard Hastings ranking</x:v>
      </x:c>
    </x:row>
    <x:row r="134">
      <x:c r="A134" s="4" t="str">
        <x:v>No</x:v>
      </x:c>
      <x:c r="B134" s="4" t="str">
        <x:v>A</x:v>
      </x:c>
      <x:c r="C134" s="4" t="str">
        <x:v>Whitetail Deer</x:v>
      </x:c>
      <x:c r="D134" s="4" t="str">
        <x:v>Mad Island WMA</x:v>
      </x:c>
      <x:c r="E134" s="4" t="str">
        <x:v>Houston / Gulf Coast</x:v>
      </x:c>
      <x:c r="F134" s="4" t="str">
        <x:v>E-Postcard Youth Deer</x:v>
      </x:c>
      <x:c r="G134" s="4" t="str">
        <x:v>No</x:v>
      </x:c>
      <x:c r="H134" s="4" t="str">
        <x:v>Yes</x:v>
      </x:c>
      <x:c r="I134" s="24" t="str">
        <x:v>2026-09-15</x:v>
      </x:c>
      <x:c r="J134" s="4" t="str">
        <x:v>See TPWD category page</x:v>
      </x:c>
      <x:c r="K134" s="110" t="n">
        <x:v>0</x:v>
      </x:c>
      <x:c r="L134" s="110" t="n">
        <x:v>0</x:v>
      </x:c>
      <x:c r="M134" s="4"/>
      <x:c r="N134" s="4"/>
      <x:c r="O134" s="112"/>
      <x:c r="P134" s="4" t="n">
        <x:v>610</x:v>
      </x:c>
      <x:c r="Q134" s="4" t="str">
        <x:v>Long Haul</x:v>
      </x:c>
      <x:c r="R134" s="4" t="str">
        <x:v>Research before draw; property brochure linked from TPWD</x:v>
      </x:c>
      <x:c r="S134" s="4" t="str">
        <x:v>Low</x:v>
      </x:c>
      <x:c r="T134" s="4" t="str">
        <x:v>No</x:v>
      </x:c>
      <x:c r="U134" s="4" t="str">
        <x:v>Verified in TPWD 2026-2027 statewide deer category catalog. APH/eligibility rules apply; confirm account and permit requirements.</x:v>
      </x:c>
      <x:c r="V134" s="4" t="str">
        <x:v>https://tpwd.texas.gov/huntwild/hunt/public/public_hunt_drawing/hunt-category-details.phtml?OCat=EYD</x:v>
      </x:c>
      <x:c r="W134" s="4" t="n">
        <x:v>2</x:v>
      </x:c>
      <x:c r="X134" s="4" t="n">
        <x:v>1</x:v>
      </x:c>
      <x:c r="Y134" s="4" t="n">
        <x:v>5</x:v>
      </x:c>
      <x:c r="Z134" s="4" t="n">
        <x:v>3</x:v>
      </x:c>
      <x:c r="AA134" s="4" t="n">
        <x:v>2</x:v>
      </x:c>
      <x:c r="AB134" s="4" t="n">
        <x:v>0</x:v>
      </x:c>
      <x:c r="AC134" s="30" t="n">
        <x:v>2.4</x:v>
      </x:c>
      <x:c r="AD134" s="4" t="n">
        <x:v>0</x:v>
      </x:c>
      <x:c r="AE134" s="4" t="str">
        <x:v>2026-09-15</x:v>
      </x:c>
      <x:c r="AF134" s="2"/>
      <x:c r="AG134" s="97"/>
      <x:c r="AH134" s="2"/>
      <x:c r="AI134" s="2"/>
      <x:c r="AJ134" s="97"/>
      <x:c r="AK134" s="2"/>
      <x:c r="AL134" s="2"/>
      <x:c r="AM134" s="2" t="str">
        <x:v>https://tpwd.texas.gov/huntwild/hunt/public/public_hunt_drawing/hunt-category-details.phtml?OCat=EYD</x:v>
      </x:c>
      <x:c r="AN134" s="2" t="str">
        <x:v>https://tpwd.texas.gov/search/?q=Mad+Island+WMA+public+hunting+brochure</x:v>
      </x:c>
      <x:c r="AO134" s="2" t="str">
        <x:v>https://apps.tpwd.state.tx.us/huntwild/hunt/public/public_hunt_drawing/</x:v>
      </x:c>
      <x:c r="AP134" s="2" t="str">
        <x:v>https://www.google.com/maps/search/?api=1&amp;query=Mad+Island+WMA%2C+Texas</x:v>
      </x:c>
      <x:c r="AQ134" s="96" t="n">
        <x:v>0</x:v>
      </x:c>
      <x:c r="AR134" s="2" t="str">
        <x:v>Standard Hastings ranking</x:v>
      </x:c>
    </x:row>
    <x:row r="135">
      <x:c r="A135" s="4" t="str">
        <x:v>No</x:v>
      </x:c>
      <x:c r="B135" s="4" t="str">
        <x:v>A</x:v>
      </x:c>
      <x:c r="C135" s="4" t="str">
        <x:v>Whitetail Deer</x:v>
      </x:c>
      <x:c r="D135" s="4" t="str">
        <x:v>Mason Mountain WMA</x:v>
      </x:c>
      <x:c r="E135" s="4" t="str">
        <x:v>Hill Country / San Antonio</x:v>
      </x:c>
      <x:c r="F135" s="4" t="str">
        <x:v>Youth Gun Deer - Management</x:v>
      </x:c>
      <x:c r="G135" s="4" t="str">
        <x:v>No</x:v>
      </x:c>
      <x:c r="H135" s="4" t="str">
        <x:v>Yes</x:v>
      </x:c>
      <x:c r="I135" s="24" t="str">
        <x:v>2026-09-15</x:v>
      </x:c>
      <x:c r="J135" s="4" t="str">
        <x:v>See TPWD category page</x:v>
      </x:c>
      <x:c r="K135" s="110" t="n">
        <x:v>0</x:v>
      </x:c>
      <x:c r="L135" s="110" t="n">
        <x:v>0</x:v>
      </x:c>
      <x:c r="M135" s="4"/>
      <x:c r="N135" s="4"/>
      <x:c r="O135" s="112"/>
      <x:c r="P135" s="4" t="n">
        <x:v>520</x:v>
      </x:c>
      <x:c r="Q135" s="4" t="str">
        <x:v>Statewide</x:v>
      </x:c>
      <x:c r="R135" s="4" t="str">
        <x:v>Research before draw; property brochure linked from TPWD</x:v>
      </x:c>
      <x:c r="S135" s="4" t="str">
        <x:v>Low</x:v>
      </x:c>
      <x:c r="T135" s="4" t="str">
        <x:v>No</x:v>
      </x:c>
      <x:c r="U135" s="4" t="str">
        <x:v>Verified in TPWD 2026-2027 statewide deer category catalog.</x:v>
      </x:c>
      <x:c r="V135" s="4" t="str">
        <x:v>https://tpwd.texas.gov/huntwild/hunt/public/public_hunt_drawing/hunt-category-details.phtml?OCat=YDM</x:v>
      </x:c>
      <x:c r="W135" s="4" t="n">
        <x:v>2</x:v>
      </x:c>
      <x:c r="X135" s="4" t="n">
        <x:v>2</x:v>
      </x:c>
      <x:c r="Y135" s="4" t="n">
        <x:v>5</x:v>
      </x:c>
      <x:c r="Z135" s="4" t="n">
        <x:v>3</x:v>
      </x:c>
      <x:c r="AA135" s="4" t="n">
        <x:v>2</x:v>
      </x:c>
      <x:c r="AB135" s="4" t="n">
        <x:v>0</x:v>
      </x:c>
      <x:c r="AC135" s="30" t="n">
        <x:v>2.5</x:v>
      </x:c>
      <x:c r="AD135" s="4" t="n">
        <x:v>0</x:v>
      </x:c>
      <x:c r="AE135" s="4" t="str">
        <x:v>2026-09-15</x:v>
      </x:c>
      <x:c r="AF135" s="2"/>
      <x:c r="AG135" s="97"/>
      <x:c r="AH135" s="2"/>
      <x:c r="AI135" s="2"/>
      <x:c r="AJ135" s="97"/>
      <x:c r="AK135" s="2"/>
      <x:c r="AL135" s="2"/>
      <x:c r="AM135" s="2" t="str">
        <x:v>https://tpwd.texas.gov/huntwild/hunt/public/public_hunt_drawing/hunt-category-details.phtml?OCat=YDM</x:v>
      </x:c>
      <x:c r="AN135" s="2" t="str">
        <x:v>https://tpwd.texas.gov/search/?q=Mason+Mountain+WMA+public+hunting+brochure</x:v>
      </x:c>
      <x:c r="AO135" s="2" t="str">
        <x:v>https://apps.tpwd.state.tx.us/huntwild/hunt/public/public_hunt_drawing/</x:v>
      </x:c>
      <x:c r="AP135" s="2" t="str">
        <x:v>https://www.google.com/maps/search/?api=1&amp;query=Mason+Mountain+WMA%2C+Texas</x:v>
      </x:c>
      <x:c r="AQ135" s="96" t="n">
        <x:v>0</x:v>
      </x:c>
      <x:c r="AR135" s="2" t="str">
        <x:v>Standard Hastings ranking</x:v>
      </x:c>
    </x:row>
    <x:row r="136">
      <x:c r="A136" s="4" t="str">
        <x:v>No</x:v>
      </x:c>
      <x:c r="B136" s="4" t="str">
        <x:v>A</x:v>
      </x:c>
      <x:c r="C136" s="4" t="str">
        <x:v>Whitetail Deer</x:v>
      </x:c>
      <x:c r="D136" s="4" t="str">
        <x:v>Moore Plantation WMA</x:v>
      </x:c>
      <x:c r="E136" s="4" t="str">
        <x:v>East Texas / Pineywoods</x:v>
      </x:c>
      <x:c r="F136" s="4" t="str">
        <x:v>USFS Antlerless Deer Permit - Youth</x:v>
      </x:c>
      <x:c r="G136" s="4" t="str">
        <x:v>No</x:v>
      </x:c>
      <x:c r="H136" s="4" t="str">
        <x:v>Yes</x:v>
      </x:c>
      <x:c r="I136" s="24" t="str">
        <x:v>2026-09-15</x:v>
      </x:c>
      <x:c r="J136" s="4" t="str">
        <x:v>See TPWD category page</x:v>
      </x:c>
      <x:c r="K136" s="110" t="n">
        <x:v>0</x:v>
      </x:c>
      <x:c r="L136" s="110" t="n">
        <x:v>0</x:v>
      </x:c>
      <x:c r="M136" s="4"/>
      <x:c r="N136" s="4"/>
      <x:c r="O136" s="112"/>
      <x:c r="P136" s="4" t="n">
        <x:v>570</x:v>
      </x:c>
      <x:c r="Q136" s="4" t="str">
        <x:v>Statewide</x:v>
      </x:c>
      <x:c r="R136" s="4" t="str">
        <x:v>Research before draw; property brochure linked from TPWD</x:v>
      </x:c>
      <x:c r="S136" s="4" t="str">
        <x:v>Low</x:v>
      </x:c>
      <x:c r="T136" s="4" t="str">
        <x:v>No</x:v>
      </x:c>
      <x:c r="U136" s="4" t="str">
        <x:v>Verified in TPWD 2026-2027 statewide deer category catalog. APH/eligibility rules apply; confirm account and permit requirements.</x:v>
      </x:c>
      <x:c r="V136" s="4" t="str">
        <x:v>https://tpwd.texas.gov/huntwild/hunt/public/public_hunt_drawing/hunt-category-details.phtml?OCat=FSY</x:v>
      </x:c>
      <x:c r="W136" s="4" t="n">
        <x:v>2</x:v>
      </x:c>
      <x:c r="X136" s="4" t="n">
        <x:v>2</x:v>
      </x:c>
      <x:c r="Y136" s="4" t="n">
        <x:v>5</x:v>
      </x:c>
      <x:c r="Z136" s="4" t="n">
        <x:v>3</x:v>
      </x:c>
      <x:c r="AA136" s="4" t="n">
        <x:v>2</x:v>
      </x:c>
      <x:c r="AB136" s="4" t="n">
        <x:v>0</x:v>
      </x:c>
      <x:c r="AC136" s="30" t="n">
        <x:v>2.5</x:v>
      </x:c>
      <x:c r="AD136" s="4" t="n">
        <x:v>0</x:v>
      </x:c>
      <x:c r="AE136" s="4" t="str">
        <x:v>2026-09-15</x:v>
      </x:c>
      <x:c r="AF136" s="2"/>
      <x:c r="AG136" s="97"/>
      <x:c r="AH136" s="2"/>
      <x:c r="AI136" s="2"/>
      <x:c r="AJ136" s="97"/>
      <x:c r="AK136" s="2"/>
      <x:c r="AL136" s="2"/>
      <x:c r="AM136" s="2" t="str">
        <x:v>https://tpwd.texas.gov/huntwild/hunt/public/public_hunt_drawing/hunt-category-details.phtml?OCat=FSY</x:v>
      </x:c>
      <x:c r="AN136" s="2" t="str">
        <x:v>https://tpwd.texas.gov/search/?q=Moore+Plantation+WMA+public+hunting+brochure</x:v>
      </x:c>
      <x:c r="AO136" s="2" t="str">
        <x:v>https://apps.tpwd.state.tx.us/huntwild/hunt/public/public_hunt_drawing/</x:v>
      </x:c>
      <x:c r="AP136" s="2" t="str">
        <x:v>https://www.google.com/maps/search/?api=1&amp;query=Moore+Plantation+WMA%2C+Texas</x:v>
      </x:c>
      <x:c r="AQ136" s="96" t="n">
        <x:v>0</x:v>
      </x:c>
      <x:c r="AR136" s="2" t="str">
        <x:v>Standard Hastings ranking</x:v>
      </x:c>
    </x:row>
    <x:row r="137">
      <x:c r="A137" s="4" t="str">
        <x:v>No</x:v>
      </x:c>
      <x:c r="B137" s="4" t="str">
        <x:v>A</x:v>
      </x:c>
      <x:c r="C137" s="4" t="str">
        <x:v>Whitetail Deer</x:v>
      </x:c>
      <x:c r="D137" s="4" t="str">
        <x:v>Muse WMA</x:v>
      </x:c>
      <x:c r="E137" s="4" t="str">
        <x:v>Statewide / Other</x:v>
      </x:c>
      <x:c r="F137" s="4" t="str">
        <x:v>Youth Gun Deer - Antlerless/Spike</x:v>
      </x:c>
      <x:c r="G137" s="4" t="str">
        <x:v>No</x:v>
      </x:c>
      <x:c r="H137" s="4" t="str">
        <x:v>Yes</x:v>
      </x:c>
      <x:c r="I137" s="24" t="str">
        <x:v>2026-09-15</x:v>
      </x:c>
      <x:c r="J137" s="4" t="str">
        <x:v>See TPWD category page</x:v>
      </x:c>
      <x:c r="K137" s="110" t="n">
        <x:v>0</x:v>
      </x:c>
      <x:c r="L137" s="110" t="n">
        <x:v>0</x:v>
      </x:c>
      <x:c r="M137" s="4"/>
      <x:c r="N137" s="4"/>
      <x:c r="O137" s="112"/>
      <x:c r="P137" s="4" t="n">
        <x:v>500</x:v>
      </x:c>
      <x:c r="Q137" s="4" t="str">
        <x:v>Statewide</x:v>
      </x:c>
      <x:c r="R137" s="4" t="str">
        <x:v>Research before draw; property brochure linked from TPWD</x:v>
      </x:c>
      <x:c r="S137" s="4" t="str">
        <x:v>Low</x:v>
      </x:c>
      <x:c r="T137" s="4" t="str">
        <x:v>No</x:v>
      </x:c>
      <x:c r="U137" s="4" t="str">
        <x:v>Verified in TPWD 2026-2027 statewide deer category catalog.</x:v>
      </x:c>
      <x:c r="V137" s="4" t="str">
        <x:v>https://tpwd.texas.gov/huntwild/hunt/public/public_hunt_drawing/hunt-category-details.phtml?OCat=YDA</x:v>
      </x:c>
      <x:c r="W137" s="4" t="n">
        <x:v>2</x:v>
      </x:c>
      <x:c r="X137" s="4" t="n">
        <x:v>2</x:v>
      </x:c>
      <x:c r="Y137" s="4" t="n">
        <x:v>5</x:v>
      </x:c>
      <x:c r="Z137" s="4" t="n">
        <x:v>3</x:v>
      </x:c>
      <x:c r="AA137" s="4" t="n">
        <x:v>2</x:v>
      </x:c>
      <x:c r="AB137" s="4" t="n">
        <x:v>0</x:v>
      </x:c>
      <x:c r="AC137" s="30" t="n">
        <x:v>2.5</x:v>
      </x:c>
      <x:c r="AD137" s="4" t="n">
        <x:v>0</x:v>
      </x:c>
      <x:c r="AE137" s="4" t="str">
        <x:v>2026-09-15</x:v>
      </x:c>
      <x:c r="AF137" s="2"/>
      <x:c r="AG137" s="97"/>
      <x:c r="AH137" s="2"/>
      <x:c r="AI137" s="2"/>
      <x:c r="AJ137" s="97"/>
      <x:c r="AK137" s="2"/>
      <x:c r="AL137" s="2"/>
      <x:c r="AM137" s="2" t="str">
        <x:v>https://tpwd.texas.gov/huntwild/hunt/public/public_hunt_drawing/hunt-category-details.phtml?OCat=YDA</x:v>
      </x:c>
      <x:c r="AN137" s="2" t="str">
        <x:v>https://tpwd.texas.gov/search/?q=Muse+WMA+public+hunting+brochure</x:v>
      </x:c>
      <x:c r="AO137" s="2" t="str">
        <x:v>https://apps.tpwd.state.tx.us/huntwild/hunt/public/public_hunt_drawing/</x:v>
      </x:c>
      <x:c r="AP137" s="2" t="str">
        <x:v>https://www.google.com/maps/search/?api=1&amp;query=Muse+WMA%2C+Texas</x:v>
      </x:c>
      <x:c r="AQ137" s="96" t="n">
        <x:v>0</x:v>
      </x:c>
      <x:c r="AR137" s="2" t="str">
        <x:v>Standard Hastings ranking</x:v>
      </x:c>
    </x:row>
    <x:row r="138">
      <x:c r="A138" s="4" t="str">
        <x:v>No</x:v>
      </x:c>
      <x:c r="B138" s="4" t="str">
        <x:v>A</x:v>
      </x:c>
      <x:c r="C138" s="4" t="str">
        <x:v>Whitetail Deer</x:v>
      </x:c>
      <x:c r="D138" s="4" t="str">
        <x:v>Nannie Stringfellow WMA</x:v>
      </x:c>
      <x:c r="E138" s="4" t="str">
        <x:v>Houston / Gulf Coast</x:v>
      </x:c>
      <x:c r="F138" s="4" t="str">
        <x:v>Youth Gun Deer - Antlerless/Spike</x:v>
      </x:c>
      <x:c r="G138" s="4" t="str">
        <x:v>No</x:v>
      </x:c>
      <x:c r="H138" s="4" t="str">
        <x:v>Yes</x:v>
      </x:c>
      <x:c r="I138" s="24" t="str">
        <x:v>2026-09-15</x:v>
      </x:c>
      <x:c r="J138" s="4" t="str">
        <x:v>See TPWD category page</x:v>
      </x:c>
      <x:c r="K138" s="110" t="n">
        <x:v>0</x:v>
      </x:c>
      <x:c r="L138" s="110" t="n">
        <x:v>0</x:v>
      </x:c>
      <x:c r="M138" s="4"/>
      <x:c r="N138" s="4"/>
      <x:c r="O138" s="112"/>
      <x:c r="P138" s="4" t="n">
        <x:v>610</x:v>
      </x:c>
      <x:c r="Q138" s="4" t="str">
        <x:v>Long Haul</x:v>
      </x:c>
      <x:c r="R138" s="4" t="str">
        <x:v>Research before draw; property brochure linked from TPWD</x:v>
      </x:c>
      <x:c r="S138" s="4" t="str">
        <x:v>Low</x:v>
      </x:c>
      <x:c r="T138" s="4" t="str">
        <x:v>No</x:v>
      </x:c>
      <x:c r="U138" s="4" t="str">
        <x:v>Verified in TPWD 2026-2027 statewide deer category catalog.</x:v>
      </x:c>
      <x:c r="V138" s="4" t="str">
        <x:v>https://tpwd.texas.gov/huntwild/hunt/public/public_hunt_drawing/hunt-category-details.phtml?OCat=YDA</x:v>
      </x:c>
      <x:c r="W138" s="4" t="n">
        <x:v>2</x:v>
      </x:c>
      <x:c r="X138" s="4" t="n">
        <x:v>1</x:v>
      </x:c>
      <x:c r="Y138" s="4" t="n">
        <x:v>5</x:v>
      </x:c>
      <x:c r="Z138" s="4" t="n">
        <x:v>3</x:v>
      </x:c>
      <x:c r="AA138" s="4" t="n">
        <x:v>2</x:v>
      </x:c>
      <x:c r="AB138" s="4" t="n">
        <x:v>0</x:v>
      </x:c>
      <x:c r="AC138" s="30" t="n">
        <x:v>2.4</x:v>
      </x:c>
      <x:c r="AD138" s="4" t="n">
        <x:v>0</x:v>
      </x:c>
      <x:c r="AE138" s="4" t="str">
        <x:v>2026-09-15</x:v>
      </x:c>
      <x:c r="AF138" s="2"/>
      <x:c r="AG138" s="97"/>
      <x:c r="AH138" s="2"/>
      <x:c r="AI138" s="2"/>
      <x:c r="AJ138" s="97"/>
      <x:c r="AK138" s="2"/>
      <x:c r="AL138" s="2"/>
      <x:c r="AM138" s="2" t="str">
        <x:v>https://tpwd.texas.gov/huntwild/hunt/public/public_hunt_drawing/hunt-category-details.phtml?OCat=YDA</x:v>
      </x:c>
      <x:c r="AN138" s="2" t="str">
        <x:v>https://tpwd.texas.gov/search/?q=Nannie+Stringfellow+WMA+public+hunting+brochure</x:v>
      </x:c>
      <x:c r="AO138" s="2" t="str">
        <x:v>https://apps.tpwd.state.tx.us/huntwild/hunt/public/public_hunt_drawing/</x:v>
      </x:c>
      <x:c r="AP138" s="2" t="str">
        <x:v>https://www.google.com/maps/search/?api=1&amp;query=Nannie+Stringfellow+WMA%2C+Texas</x:v>
      </x:c>
      <x:c r="AQ138" s="96" t="n">
        <x:v>0</x:v>
      </x:c>
      <x:c r="AR138" s="2" t="str">
        <x:v>Standard Hastings ranking</x:v>
      </x:c>
    </x:row>
    <x:row r="139">
      <x:c r="A139" s="4" t="str">
        <x:v>No</x:v>
      </x:c>
      <x:c r="B139" s="4" t="str">
        <x:v>A</x:v>
      </x:c>
      <x:c r="C139" s="4" t="str">
        <x:v>Whitetail Deer</x:v>
      </x:c>
      <x:c r="D139" s="4" t="str">
        <x:v>Palmetto SP</x:v>
      </x:c>
      <x:c r="E139" s="4" t="str">
        <x:v>Central Texas / Austin</x:v>
      </x:c>
      <x:c r="F139" s="4" t="str">
        <x:v>Youth Gun Deer - Antlerless/Spike</x:v>
      </x:c>
      <x:c r="G139" s="4" t="str">
        <x:v>No</x:v>
      </x:c>
      <x:c r="H139" s="4" t="str">
        <x:v>Yes</x:v>
      </x:c>
      <x:c r="I139" s="24" t="str">
        <x:v>2026-09-15</x:v>
      </x:c>
      <x:c r="J139" s="4" t="str">
        <x:v>See TPWD category page</x:v>
      </x:c>
      <x:c r="K139" s="110" t="n">
        <x:v>0</x:v>
      </x:c>
      <x:c r="L139" s="110" t="n">
        <x:v>0</x:v>
      </x:c>
      <x:c r="M139" s="4"/>
      <x:c r="N139" s="4"/>
      <x:c r="O139" s="112"/>
      <x:c r="P139" s="4" t="n">
        <x:v>490</x:v>
      </x:c>
      <x:c r="Q139" s="4" t="str">
        <x:v>Statewide</x:v>
      </x:c>
      <x:c r="R139" s="4" t="str">
        <x:v>Research before draw; property brochure linked from TPWD</x:v>
      </x:c>
      <x:c r="S139" s="4" t="str">
        <x:v>Low</x:v>
      </x:c>
      <x:c r="T139" s="4" t="str">
        <x:v>No</x:v>
      </x:c>
      <x:c r="U139" s="4" t="str">
        <x:v>Verified in TPWD 2026-2027 statewide deer category catalog.</x:v>
      </x:c>
      <x:c r="V139" s="4" t="str">
        <x:v>https://tpwd.texas.gov/huntwild/hunt/public/public_hunt_drawing/hunt-category-details.phtml?OCat=YDA</x:v>
      </x:c>
      <x:c r="W139" s="4" t="n">
        <x:v>2</x:v>
      </x:c>
      <x:c r="X139" s="4" t="n">
        <x:v>2</x:v>
      </x:c>
      <x:c r="Y139" s="4" t="n">
        <x:v>5</x:v>
      </x:c>
      <x:c r="Z139" s="4" t="n">
        <x:v>3</x:v>
      </x:c>
      <x:c r="AA139" s="4" t="n">
        <x:v>2</x:v>
      </x:c>
      <x:c r="AB139" s="4" t="n">
        <x:v>0</x:v>
      </x:c>
      <x:c r="AC139" s="30" t="n">
        <x:v>2.5</x:v>
      </x:c>
      <x:c r="AD139" s="4" t="n">
        <x:v>0</x:v>
      </x:c>
      <x:c r="AE139" s="4" t="str">
        <x:v>2026-09-15</x:v>
      </x:c>
      <x:c r="AF139" s="2"/>
      <x:c r="AG139" s="97"/>
      <x:c r="AH139" s="2"/>
      <x:c r="AI139" s="2"/>
      <x:c r="AJ139" s="97"/>
      <x:c r="AK139" s="2"/>
      <x:c r="AL139" s="2"/>
      <x:c r="AM139" s="2" t="str">
        <x:v>https://tpwd.texas.gov/huntwild/hunt/public/public_hunt_drawing/hunt-category-details.phtml?OCat=YDA</x:v>
      </x:c>
      <x:c r="AN139" s="2" t="str">
        <x:v>https://tpwd.texas.gov/search/?q=Palmetto+SP+public+hunting+brochure</x:v>
      </x:c>
      <x:c r="AO139" s="2" t="str">
        <x:v>https://apps.tpwd.state.tx.us/huntwild/hunt/public/public_hunt_drawing/</x:v>
      </x:c>
      <x:c r="AP139" s="2" t="str">
        <x:v>https://www.google.com/maps/search/?api=1&amp;query=Palmetto+SP%2C+Texas</x:v>
      </x:c>
      <x:c r="AQ139" s="96" t="n">
        <x:v>0</x:v>
      </x:c>
      <x:c r="AR139" s="2" t="str">
        <x:v>Standard Hastings ranking</x:v>
      </x:c>
    </x:row>
    <x:row r="140">
      <x:c r="A140" s="4" t="str">
        <x:v>No</x:v>
      </x:c>
      <x:c r="B140" s="4" t="str">
        <x:v>A</x:v>
      </x:c>
      <x:c r="C140" s="4" t="str">
        <x:v>Whitetail Deer</x:v>
      </x:c>
      <x:c r="D140" s="4" t="str">
        <x:v>Palo Duro Canyon SP</x:v>
      </x:c>
      <x:c r="E140" s="4" t="str">
        <x:v>Panhandle / Rolling Plains</x:v>
      </x:c>
      <x:c r="F140" s="4" t="str">
        <x:v>Youth Gun Deer - Antlerless/Spike</x:v>
      </x:c>
      <x:c r="G140" s="4" t="str">
        <x:v>No</x:v>
      </x:c>
      <x:c r="H140" s="4" t="str">
        <x:v>Yes</x:v>
      </x:c>
      <x:c r="I140" s="24" t="str">
        <x:v>2026-09-15</x:v>
      </x:c>
      <x:c r="J140" s="4" t="str">
        <x:v>See TPWD category page</x:v>
      </x:c>
      <x:c r="K140" s="110" t="n">
        <x:v>0</x:v>
      </x:c>
      <x:c r="L140" s="110" t="n">
        <x:v>0</x:v>
      </x:c>
      <x:c r="M140" s="4"/>
      <x:c r="N140" s="4"/>
      <x:c r="O140" s="112"/>
      <x:c r="P140" s="4" t="n">
        <x:v>130</x:v>
      </x:c>
      <x:c r="Q140" s="4" t="str">
        <x:v>Core</x:v>
      </x:c>
      <x:c r="R140" s="4" t="str">
        <x:v>Research before draw; property brochure linked from TPWD</x:v>
      </x:c>
      <x:c r="S140" s="4" t="str">
        <x:v>High</x:v>
      </x:c>
      <x:c r="T140" s="4" t="str">
        <x:v>No</x:v>
      </x:c>
      <x:c r="U140" s="4" t="str">
        <x:v>Verified in TPWD 2026-2027 statewide deer category catalog.</x:v>
      </x:c>
      <x:c r="V140" s="4" t="str">
        <x:v>https://tpwd.texas.gov/huntwild/hunt/public/public_hunt_drawing/hunt-category-details.phtml?OCat=YDA</x:v>
      </x:c>
      <x:c r="W140" s="4" t="n">
        <x:v>2</x:v>
      </x:c>
      <x:c r="X140" s="4" t="n">
        <x:v>5</x:v>
      </x:c>
      <x:c r="Y140" s="4" t="n">
        <x:v>5</x:v>
      </x:c>
      <x:c r="Z140" s="4" t="n">
        <x:v>3</x:v>
      </x:c>
      <x:c r="AA140" s="4" t="n">
        <x:v>4</x:v>
      </x:c>
      <x:c r="AB140" s="4" t="n">
        <x:v>0</x:v>
      </x:c>
      <x:c r="AC140" s="30" t="n">
        <x:v>3.2</x:v>
      </x:c>
      <x:c r="AD140" s="4" t="n">
        <x:v>0</x:v>
      </x:c>
      <x:c r="AE140" s="4" t="str">
        <x:v>2026-09-15</x:v>
      </x:c>
      <x:c r="AF140" s="2"/>
      <x:c r="AG140" s="97"/>
      <x:c r="AH140" s="2"/>
      <x:c r="AI140" s="2"/>
      <x:c r="AJ140" s="97"/>
      <x:c r="AK140" s="2"/>
      <x:c r="AL140" s="2"/>
      <x:c r="AM140" s="2" t="str">
        <x:v>https://tpwd.texas.gov/huntwild/hunt/public/public_hunt_drawing/hunt-category-details.phtml?OCat=YDA</x:v>
      </x:c>
      <x:c r="AN140" s="2" t="str">
        <x:v>https://tpwd.texas.gov/search/?q=Palo+Duro+Canyon+SP+public+hunting+brochure</x:v>
      </x:c>
      <x:c r="AO140" s="2" t="str">
        <x:v>https://apps.tpwd.state.tx.us/huntwild/hunt/public/public_hunt_drawing/</x:v>
      </x:c>
      <x:c r="AP140" s="2" t="str">
        <x:v>https://www.google.com/maps/search/?api=1&amp;query=Palo+Duro+Canyon+SP%2C+Texas</x:v>
      </x:c>
      <x:c r="AQ140" s="96" t="n">
        <x:v>0</x:v>
      </x:c>
      <x:c r="AR140" s="2" t="str">
        <x:v>Standard Hastings ranking</x:v>
      </x:c>
    </x:row>
    <x:row r="141">
      <x:c r="A141" s="4" t="str">
        <x:v>No</x:v>
      </x:c>
      <x:c r="B141" s="4" t="str">
        <x:v>A</x:v>
      </x:c>
      <x:c r="C141" s="4" t="str">
        <x:v>Whitetail Deer</x:v>
      </x:c>
      <x:c r="D141" s="4" t="str">
        <x:v>Palo Duro Canyon SP</x:v>
      </x:c>
      <x:c r="E141" s="4" t="str">
        <x:v>Panhandle / Rolling Plains</x:v>
      </x:c>
      <x:c r="F141" s="4" t="str">
        <x:v>Youth Gun Deer - Management</x:v>
      </x:c>
      <x:c r="G141" s="4" t="str">
        <x:v>No</x:v>
      </x:c>
      <x:c r="H141" s="4" t="str">
        <x:v>Yes</x:v>
      </x:c>
      <x:c r="I141" s="24" t="str">
        <x:v>2026-09-15</x:v>
      </x:c>
      <x:c r="J141" s="4" t="str">
        <x:v>See TPWD category page</x:v>
      </x:c>
      <x:c r="K141" s="110" t="n">
        <x:v>0</x:v>
      </x:c>
      <x:c r="L141" s="110" t="n">
        <x:v>0</x:v>
      </x:c>
      <x:c r="M141" s="4"/>
      <x:c r="N141" s="4"/>
      <x:c r="O141" s="112"/>
      <x:c r="P141" s="4" t="n">
        <x:v>130</x:v>
      </x:c>
      <x:c r="Q141" s="4" t="str">
        <x:v>Core</x:v>
      </x:c>
      <x:c r="R141" s="4" t="str">
        <x:v>Research before draw; property brochure linked from TPWD</x:v>
      </x:c>
      <x:c r="S141" s="4" t="str">
        <x:v>High</x:v>
      </x:c>
      <x:c r="T141" s="4" t="str">
        <x:v>No</x:v>
      </x:c>
      <x:c r="U141" s="4" t="str">
        <x:v>Verified in TPWD 2026-2027 statewide deer category catalog.</x:v>
      </x:c>
      <x:c r="V141" s="4" t="str">
        <x:v>https://tpwd.texas.gov/huntwild/hunt/public/public_hunt_drawing/hunt-category-details.phtml?OCat=YDM</x:v>
      </x:c>
      <x:c r="W141" s="4" t="n">
        <x:v>2</x:v>
      </x:c>
      <x:c r="X141" s="4" t="n">
        <x:v>5</x:v>
      </x:c>
      <x:c r="Y141" s="4" t="n">
        <x:v>5</x:v>
      </x:c>
      <x:c r="Z141" s="4" t="n">
        <x:v>3</x:v>
      </x:c>
      <x:c r="AA141" s="4" t="n">
        <x:v>4</x:v>
      </x:c>
      <x:c r="AB141" s="4" t="n">
        <x:v>0</x:v>
      </x:c>
      <x:c r="AC141" s="30" t="n">
        <x:v>3.2</x:v>
      </x:c>
      <x:c r="AD141" s="4" t="n">
        <x:v>0</x:v>
      </x:c>
      <x:c r="AE141" s="4" t="str">
        <x:v>2026-09-15</x:v>
      </x:c>
      <x:c r="AF141" s="2"/>
      <x:c r="AG141" s="97"/>
      <x:c r="AH141" s="2"/>
      <x:c r="AI141" s="2"/>
      <x:c r="AJ141" s="97"/>
      <x:c r="AK141" s="2"/>
      <x:c r="AL141" s="2"/>
      <x:c r="AM141" s="2" t="str">
        <x:v>https://tpwd.texas.gov/huntwild/hunt/public/public_hunt_drawing/hunt-category-details.phtml?OCat=YDM</x:v>
      </x:c>
      <x:c r="AN141" s="2" t="str">
        <x:v>https://tpwd.texas.gov/search/?q=Palo+Duro+Canyon+SP+public+hunting+brochure</x:v>
      </x:c>
      <x:c r="AO141" s="2" t="str">
        <x:v>https://apps.tpwd.state.tx.us/huntwild/hunt/public/public_hunt_drawing/</x:v>
      </x:c>
      <x:c r="AP141" s="2" t="str">
        <x:v>https://www.google.com/maps/search/?api=1&amp;query=Palo+Duro+Canyon+SP%2C+Texas</x:v>
      </x:c>
      <x:c r="AQ141" s="96" t="n">
        <x:v>0</x:v>
      </x:c>
      <x:c r="AR141" s="2" t="str">
        <x:v>Standard Hastings ranking</x:v>
      </x:c>
    </x:row>
    <x:row r="142">
      <x:c r="A142" s="4" t="str">
        <x:v>No</x:v>
      </x:c>
      <x:c r="B142" s="4" t="str">
        <x:v>A</x:v>
      </x:c>
      <x:c r="C142" s="4" t="str">
        <x:v>Whitetail Deer</x:v>
      </x:c>
      <x:c r="D142" s="4" t="str">
        <x:v>Paul &amp; Toni Fox Burns WMA</x:v>
      </x:c>
      <x:c r="E142" s="4" t="str">
        <x:v>Statewide / Other</x:v>
      </x:c>
      <x:c r="F142" s="4" t="str">
        <x:v>Youth Gun Deer - Antlerless/Spike</x:v>
      </x:c>
      <x:c r="G142" s="4" t="str">
        <x:v>No</x:v>
      </x:c>
      <x:c r="H142" s="4" t="str">
        <x:v>Yes</x:v>
      </x:c>
      <x:c r="I142" s="24" t="str">
        <x:v>2026-09-15</x:v>
      </x:c>
      <x:c r="J142" s="4" t="str">
        <x:v>See TPWD category page</x:v>
      </x:c>
      <x:c r="K142" s="110" t="n">
        <x:v>0</x:v>
      </x:c>
      <x:c r="L142" s="110" t="n">
        <x:v>0</x:v>
      </x:c>
      <x:c r="M142" s="4"/>
      <x:c r="N142" s="4"/>
      <x:c r="O142" s="112"/>
      <x:c r="P142" s="4" t="n">
        <x:v>500</x:v>
      </x:c>
      <x:c r="Q142" s="4" t="str">
        <x:v>Statewide</x:v>
      </x:c>
      <x:c r="R142" s="4" t="str">
        <x:v>Research before draw; property brochure linked from TPWD</x:v>
      </x:c>
      <x:c r="S142" s="4" t="str">
        <x:v>Low</x:v>
      </x:c>
      <x:c r="T142" s="4" t="str">
        <x:v>No</x:v>
      </x:c>
      <x:c r="U142" s="4" t="str">
        <x:v>Verified in TPWD 2026-2027 statewide deer category catalog.</x:v>
      </x:c>
      <x:c r="V142" s="4" t="str">
        <x:v>https://tpwd.texas.gov/huntwild/hunt/public/public_hunt_drawing/hunt-category-details.phtml?OCat=YDA</x:v>
      </x:c>
      <x:c r="W142" s="4" t="n">
        <x:v>2</x:v>
      </x:c>
      <x:c r="X142" s="4" t="n">
        <x:v>2</x:v>
      </x:c>
      <x:c r="Y142" s="4" t="n">
        <x:v>5</x:v>
      </x:c>
      <x:c r="Z142" s="4" t="n">
        <x:v>3</x:v>
      </x:c>
      <x:c r="AA142" s="4" t="n">
        <x:v>2</x:v>
      </x:c>
      <x:c r="AB142" s="4" t="n">
        <x:v>0</x:v>
      </x:c>
      <x:c r="AC142" s="30" t="n">
        <x:v>2.5</x:v>
      </x:c>
      <x:c r="AD142" s="4" t="n">
        <x:v>0</x:v>
      </x:c>
      <x:c r="AE142" s="4" t="str">
        <x:v>2026-09-15</x:v>
      </x:c>
      <x:c r="AF142" s="2"/>
      <x:c r="AG142" s="97"/>
      <x:c r="AH142" s="2"/>
      <x:c r="AI142" s="2"/>
      <x:c r="AJ142" s="97"/>
      <x:c r="AK142" s="2"/>
      <x:c r="AL142" s="2"/>
      <x:c r="AM142" s="2" t="str">
        <x:v>https://tpwd.texas.gov/huntwild/hunt/public/public_hunt_drawing/hunt-category-details.phtml?OCat=YDA</x:v>
      </x:c>
      <x:c r="AN142" s="2" t="str">
        <x:v>https://tpwd.texas.gov/search/?q=Paul+%26+Toni+Fox+Burns+WMA+public+hunting+brochure</x:v>
      </x:c>
      <x:c r="AO142" s="2" t="str">
        <x:v>https://apps.tpwd.state.tx.us/huntwild/hunt/public/public_hunt_drawing/</x:v>
      </x:c>
      <x:c r="AP142" s="2" t="str">
        <x:v>https://www.google.com/maps/search/?api=1&amp;query=Paul+%26+Toni+Fox+Burns+WMA%2C+Texas</x:v>
      </x:c>
      <x:c r="AQ142" s="96" t="n">
        <x:v>0</x:v>
      </x:c>
      <x:c r="AR142" s="2" t="str">
        <x:v>Standard Hastings ranking</x:v>
      </x:c>
    </x:row>
    <x:row r="143">
      <x:c r="A143" s="4" t="str">
        <x:v>No</x:v>
      </x:c>
      <x:c r="B143" s="4" t="str">
        <x:v>A</x:v>
      </x:c>
      <x:c r="C143" s="4" t="str">
        <x:v>Whitetail Deer</x:v>
      </x:c>
      <x:c r="D143" s="4" t="str">
        <x:v>Possum Kingdom SP</x:v>
      </x:c>
      <x:c r="E143" s="4" t="str">
        <x:v>Statewide / Other</x:v>
      </x:c>
      <x:c r="F143" s="4" t="str">
        <x:v>Youth Gun Deer - Antlerless/Spike</x:v>
      </x:c>
      <x:c r="G143" s="4" t="str">
        <x:v>No</x:v>
      </x:c>
      <x:c r="H143" s="4" t="str">
        <x:v>Yes</x:v>
      </x:c>
      <x:c r="I143" s="24" t="str">
        <x:v>2026-09-15</x:v>
      </x:c>
      <x:c r="J143" s="4" t="str">
        <x:v>See TPWD category page</x:v>
      </x:c>
      <x:c r="K143" s="110" t="n">
        <x:v>0</x:v>
      </x:c>
      <x:c r="L143" s="110" t="n">
        <x:v>0</x:v>
      </x:c>
      <x:c r="M143" s="4"/>
      <x:c r="N143" s="4"/>
      <x:c r="O143" s="112"/>
      <x:c r="P143" s="4" t="n">
        <x:v>500</x:v>
      </x:c>
      <x:c r="Q143" s="4" t="str">
        <x:v>Statewide</x:v>
      </x:c>
      <x:c r="R143" s="4" t="str">
        <x:v>Research before draw; property brochure linked from TPWD</x:v>
      </x:c>
      <x:c r="S143" s="4" t="str">
        <x:v>Low</x:v>
      </x:c>
      <x:c r="T143" s="4" t="str">
        <x:v>No</x:v>
      </x:c>
      <x:c r="U143" s="4" t="str">
        <x:v>Verified in TPWD 2026-2027 statewide deer category catalog.</x:v>
      </x:c>
      <x:c r="V143" s="4" t="str">
        <x:v>https://tpwd.texas.gov/huntwild/hunt/public/public_hunt_drawing/hunt-category-details.phtml?OCat=YDA</x:v>
      </x:c>
      <x:c r="W143" s="4" t="n">
        <x:v>2</x:v>
      </x:c>
      <x:c r="X143" s="4" t="n">
        <x:v>2</x:v>
      </x:c>
      <x:c r="Y143" s="4" t="n">
        <x:v>5</x:v>
      </x:c>
      <x:c r="Z143" s="4" t="n">
        <x:v>3</x:v>
      </x:c>
      <x:c r="AA143" s="4" t="n">
        <x:v>2</x:v>
      </x:c>
      <x:c r="AB143" s="4" t="n">
        <x:v>0</x:v>
      </x:c>
      <x:c r="AC143" s="30" t="n">
        <x:v>2.5</x:v>
      </x:c>
      <x:c r="AD143" s="4" t="n">
        <x:v>0</x:v>
      </x:c>
      <x:c r="AE143" s="4" t="str">
        <x:v>2026-09-15</x:v>
      </x:c>
      <x:c r="AF143" s="2"/>
      <x:c r="AG143" s="97"/>
      <x:c r="AH143" s="2"/>
      <x:c r="AI143" s="2"/>
      <x:c r="AJ143" s="97"/>
      <x:c r="AK143" s="2"/>
      <x:c r="AL143" s="2"/>
      <x:c r="AM143" s="2" t="str">
        <x:v>https://tpwd.texas.gov/huntwild/hunt/public/public_hunt_drawing/hunt-category-details.phtml?OCat=YDA</x:v>
      </x:c>
      <x:c r="AN143" s="2" t="str">
        <x:v>https://tpwd.texas.gov/search/?q=Possum+Kingdom+SP+public+hunting+brochure</x:v>
      </x:c>
      <x:c r="AO143" s="2" t="str">
        <x:v>https://apps.tpwd.state.tx.us/huntwild/hunt/public/public_hunt_drawing/</x:v>
      </x:c>
      <x:c r="AP143" s="2" t="str">
        <x:v>https://www.google.com/maps/search/?api=1&amp;query=Possum+Kingdom+SP%2C+Texas</x:v>
      </x:c>
      <x:c r="AQ143" s="96" t="n">
        <x:v>0</x:v>
      </x:c>
      <x:c r="AR143" s="2" t="str">
        <x:v>Standard Hastings ranking</x:v>
      </x:c>
    </x:row>
    <x:row r="144">
      <x:c r="A144" s="4" t="str">
        <x:v>No</x:v>
      </x:c>
      <x:c r="B144" s="4" t="str">
        <x:v>A</x:v>
      </x:c>
      <x:c r="C144" s="4" t="str">
        <x:v>Whitetail Deer</x:v>
      </x:c>
      <x:c r="D144" s="4" t="str">
        <x:v>Ray Roberts Lake State Park - Isle du Bois</x:v>
      </x:c>
      <x:c r="E144" s="4" t="str">
        <x:v>North Texas / DFW</x:v>
      </x:c>
      <x:c r="F144" s="4" t="str">
        <x:v>Youth Gun Deer - Antlerless/Spike</x:v>
      </x:c>
      <x:c r="G144" s="4" t="str">
        <x:v>No</x:v>
      </x:c>
      <x:c r="H144" s="4" t="str">
        <x:v>Yes</x:v>
      </x:c>
      <x:c r="I144" s="24" t="str">
        <x:v>2026-09-15</x:v>
      </x:c>
      <x:c r="J144" s="4" t="str">
        <x:v>See TPWD category page</x:v>
      </x:c>
      <x:c r="K144" s="110" t="n">
        <x:v>0</x:v>
      </x:c>
      <x:c r="L144" s="110" t="n">
        <x:v>0</x:v>
      </x:c>
      <x:c r="M144" s="4"/>
      <x:c r="N144" s="4"/>
      <x:c r="O144" s="112"/>
      <x:c r="P144" s="4" t="n">
        <x:v>360</x:v>
      </x:c>
      <x:c r="Q144" s="4" t="str">
        <x:v>Extended</x:v>
      </x:c>
      <x:c r="R144" s="4" t="str">
        <x:v>Research before draw; property brochure linked from TPWD</x:v>
      </x:c>
      <x:c r="S144" s="4" t="str">
        <x:v>Low</x:v>
      </x:c>
      <x:c r="T144" s="4" t="str">
        <x:v>No</x:v>
      </x:c>
      <x:c r="U144" s="4" t="str">
        <x:v>Verified in TPWD 2026-2027 statewide deer category catalog.</x:v>
      </x:c>
      <x:c r="V144" s="4" t="str">
        <x:v>https://tpwd.texas.gov/huntwild/hunt/public/public_hunt_drawing/hunt-category-details.phtml?OCat=YDA</x:v>
      </x:c>
      <x:c r="W144" s="4" t="n">
        <x:v>2</x:v>
      </x:c>
      <x:c r="X144" s="4" t="n">
        <x:v>3</x:v>
      </x:c>
      <x:c r="Y144" s="4" t="n">
        <x:v>5</x:v>
      </x:c>
      <x:c r="Z144" s="4" t="n">
        <x:v>3</x:v>
      </x:c>
      <x:c r="AA144" s="4" t="n">
        <x:v>2</x:v>
      </x:c>
      <x:c r="AB144" s="4" t="n">
        <x:v>0</x:v>
      </x:c>
      <x:c r="AC144" s="30" t="n">
        <x:v>2.7</x:v>
      </x:c>
      <x:c r="AD144" s="4" t="n">
        <x:v>0</x:v>
      </x:c>
      <x:c r="AE144" s="4" t="str">
        <x:v>2026-09-15</x:v>
      </x:c>
      <x:c r="AF144" s="2"/>
      <x:c r="AG144" s="97"/>
      <x:c r="AH144" s="2"/>
      <x:c r="AI144" s="2"/>
      <x:c r="AJ144" s="97"/>
      <x:c r="AK144" s="2"/>
      <x:c r="AL144" s="2"/>
      <x:c r="AM144" s="2" t="str">
        <x:v>https://tpwd.texas.gov/huntwild/hunt/public/public_hunt_drawing/hunt-category-details.phtml?OCat=YDA</x:v>
      </x:c>
      <x:c r="AN144" s="2" t="str">
        <x:v>https://tpwd.texas.gov/search/?q=Ray+Roberts+Lake+State+Park+-+Isle+du+Bois+public+hunting+brochure</x:v>
      </x:c>
      <x:c r="AO144" s="2" t="str">
        <x:v>https://apps.tpwd.state.tx.us/huntwild/hunt/public/public_hunt_drawing/</x:v>
      </x:c>
      <x:c r="AP144" s="2" t="str">
        <x:v>https://www.google.com/maps/search/?api=1&amp;query=Ray+Roberts+Lake+State+Park+-+Isle+du+Bois%2C+Texas</x:v>
      </x:c>
      <x:c r="AQ144" s="96" t="n">
        <x:v>0</x:v>
      </x:c>
      <x:c r="AR144" s="2" t="str">
        <x:v>Standard Hastings ranking</x:v>
      </x:c>
    </x:row>
    <x:row r="145">
      <x:c r="A145" s="4" t="str">
        <x:v>No</x:v>
      </x:c>
      <x:c r="B145" s="4" t="str">
        <x:v>A</x:v>
      </x:c>
      <x:c r="C145" s="4" t="str">
        <x:v>Whitetail Deer</x:v>
      </x:c>
      <x:c r="D145" s="4" t="str">
        <x:v>Roger Fawcett WMA</x:v>
      </x:c>
      <x:c r="E145" s="4" t="str">
        <x:v>West-Central Texas</x:v>
      </x:c>
      <x:c r="F145" s="4" t="str">
        <x:v>Youth Gun Deer - Antlerless/Spike</x:v>
      </x:c>
      <x:c r="G145" s="4" t="str">
        <x:v>No</x:v>
      </x:c>
      <x:c r="H145" s="4" t="str">
        <x:v>Yes</x:v>
      </x:c>
      <x:c r="I145" s="24" t="str">
        <x:v>2026-09-15</x:v>
      </x:c>
      <x:c r="J145" s="4" t="str">
        <x:v>See TPWD category page</x:v>
      </x:c>
      <x:c r="K145" s="110" t="n">
        <x:v>0</x:v>
      </x:c>
      <x:c r="L145" s="110" t="n">
        <x:v>0</x:v>
      </x:c>
      <x:c r="M145" s="4"/>
      <x:c r="N145" s="4"/>
      <x:c r="O145" s="112"/>
      <x:c r="P145" s="4" t="n">
        <x:v>300</x:v>
      </x:c>
      <x:c r="Q145" s="4" t="str">
        <x:v>Extended</x:v>
      </x:c>
      <x:c r="R145" s="4" t="str">
        <x:v>Research before draw; property brochure linked from TPWD</x:v>
      </x:c>
      <x:c r="S145" s="4" t="str">
        <x:v>Low</x:v>
      </x:c>
      <x:c r="T145" s="4" t="str">
        <x:v>No</x:v>
      </x:c>
      <x:c r="U145" s="4" t="str">
        <x:v>Verified in TPWD 2026-2027 statewide deer category catalog.</x:v>
      </x:c>
      <x:c r="V145" s="4" t="str">
        <x:v>https://tpwd.texas.gov/huntwild/hunt/public/public_hunt_drawing/hunt-category-details.phtml?OCat=YDA</x:v>
      </x:c>
      <x:c r="W145" s="4" t="n">
        <x:v>2</x:v>
      </x:c>
      <x:c r="X145" s="4" t="n">
        <x:v>4</x:v>
      </x:c>
      <x:c r="Y145" s="4" t="n">
        <x:v>5</x:v>
      </x:c>
      <x:c r="Z145" s="4" t="n">
        <x:v>3</x:v>
      </x:c>
      <x:c r="AA145" s="4" t="n">
        <x:v>2</x:v>
      </x:c>
      <x:c r="AB145" s="4" t="n">
        <x:v>0</x:v>
      </x:c>
      <x:c r="AC145" s="30" t="n">
        <x:v>2.9</x:v>
      </x:c>
      <x:c r="AD145" s="4" t="n">
        <x:v>0</x:v>
      </x:c>
      <x:c r="AE145" s="4" t="str">
        <x:v>2026-09-15</x:v>
      </x:c>
      <x:c r="AF145" s="2"/>
      <x:c r="AG145" s="97"/>
      <x:c r="AH145" s="2"/>
      <x:c r="AI145" s="2"/>
      <x:c r="AJ145" s="97"/>
      <x:c r="AK145" s="2"/>
      <x:c r="AL145" s="2"/>
      <x:c r="AM145" s="2" t="str">
        <x:v>https://tpwd.texas.gov/huntwild/hunt/public/public_hunt_drawing/hunt-category-details.phtml?OCat=YDA</x:v>
      </x:c>
      <x:c r="AN145" s="2" t="str">
        <x:v>https://tpwd.texas.gov/search/?q=Roger+Fawcett+WMA+public+hunting+brochure</x:v>
      </x:c>
      <x:c r="AO145" s="2" t="str">
        <x:v>https://apps.tpwd.state.tx.us/huntwild/hunt/public/public_hunt_drawing/</x:v>
      </x:c>
      <x:c r="AP145" s="2" t="str">
        <x:v>https://www.google.com/maps/search/?api=1&amp;query=Roger+Fawcett+WMA%2C+Texas</x:v>
      </x:c>
      <x:c r="AQ145" s="96" t="n">
        <x:v>0</x:v>
      </x:c>
      <x:c r="AR145" s="2" t="str">
        <x:v>Standard Hastings ranking</x:v>
      </x:c>
    </x:row>
    <x:row r="146">
      <x:c r="A146" s="4" t="str">
        <x:v>No</x:v>
      </x:c>
      <x:c r="B146" s="4" t="str">
        <x:v>A</x:v>
      </x:c>
      <x:c r="C146" s="4" t="str">
        <x:v>Whitetail Deer</x:v>
      </x:c>
      <x:c r="D146" s="4" t="str">
        <x:v>Sam Houston National Forest WMA</x:v>
      </x:c>
      <x:c r="E146" s="4" t="str">
        <x:v>East Texas / Pineywoods</x:v>
      </x:c>
      <x:c r="F146" s="4" t="str">
        <x:v>USFS Antlerless Deer Permit - Youth</x:v>
      </x:c>
      <x:c r="G146" s="4" t="str">
        <x:v>No</x:v>
      </x:c>
      <x:c r="H146" s="4" t="str">
        <x:v>Yes</x:v>
      </x:c>
      <x:c r="I146" s="24" t="str">
        <x:v>2026-09-15</x:v>
      </x:c>
      <x:c r="J146" s="4" t="str">
        <x:v>See TPWD category page</x:v>
      </x:c>
      <x:c r="K146" s="110" t="n">
        <x:v>0</x:v>
      </x:c>
      <x:c r="L146" s="110" t="n">
        <x:v>0</x:v>
      </x:c>
      <x:c r="M146" s="4"/>
      <x:c r="N146" s="4"/>
      <x:c r="O146" s="112"/>
      <x:c r="P146" s="4" t="n">
        <x:v>570</x:v>
      </x:c>
      <x:c r="Q146" s="4" t="str">
        <x:v>Statewide</x:v>
      </x:c>
      <x:c r="R146" s="4" t="str">
        <x:v>Research before draw; property brochure linked from TPWD</x:v>
      </x:c>
      <x:c r="S146" s="4" t="str">
        <x:v>Low</x:v>
      </x:c>
      <x:c r="T146" s="4" t="str">
        <x:v>No</x:v>
      </x:c>
      <x:c r="U146" s="4" t="str">
        <x:v>Verified in TPWD 2026-2027 statewide deer category catalog. APH/eligibility rules apply; confirm account and permit requirements.</x:v>
      </x:c>
      <x:c r="V146" s="4" t="str">
        <x:v>https://tpwd.texas.gov/huntwild/hunt/public/public_hunt_drawing/hunt-category-details.phtml?OCat=FSY</x:v>
      </x:c>
      <x:c r="W146" s="4" t="n">
        <x:v>2</x:v>
      </x:c>
      <x:c r="X146" s="4" t="n">
        <x:v>2</x:v>
      </x:c>
      <x:c r="Y146" s="4" t="n">
        <x:v>5</x:v>
      </x:c>
      <x:c r="Z146" s="4" t="n">
        <x:v>3</x:v>
      </x:c>
      <x:c r="AA146" s="4" t="n">
        <x:v>2</x:v>
      </x:c>
      <x:c r="AB146" s="4" t="n">
        <x:v>0</x:v>
      </x:c>
      <x:c r="AC146" s="30" t="n">
        <x:v>2.5</x:v>
      </x:c>
      <x:c r="AD146" s="4" t="n">
        <x:v>0</x:v>
      </x:c>
      <x:c r="AE146" s="4" t="str">
        <x:v>2026-09-15</x:v>
      </x:c>
      <x:c r="AF146" s="2"/>
      <x:c r="AG146" s="97"/>
      <x:c r="AH146" s="2"/>
      <x:c r="AI146" s="2"/>
      <x:c r="AJ146" s="97"/>
      <x:c r="AK146" s="2"/>
      <x:c r="AL146" s="2"/>
      <x:c r="AM146" s="2" t="str">
        <x:v>https://tpwd.texas.gov/huntwild/hunt/public/public_hunt_drawing/hunt-category-details.phtml?OCat=FSY</x:v>
      </x:c>
      <x:c r="AN146" s="2" t="str">
        <x:v>https://tpwd.texas.gov/search/?q=Sam+Houston+National+Forest+WMA+public+hunting+brochure</x:v>
      </x:c>
      <x:c r="AO146" s="2" t="str">
        <x:v>https://apps.tpwd.state.tx.us/huntwild/hunt/public/public_hunt_drawing/</x:v>
      </x:c>
      <x:c r="AP146" s="2" t="str">
        <x:v>https://www.google.com/maps/search/?api=1&amp;query=Sam+Houston+National+Forest+WMA%2C+Texas</x:v>
      </x:c>
      <x:c r="AQ146" s="96" t="n">
        <x:v>0</x:v>
      </x:c>
      <x:c r="AR146" s="2" t="str">
        <x:v>Standard Hastings ranking</x:v>
      </x:c>
    </x:row>
    <x:row r="147">
      <x:c r="A147" s="4" t="str">
        <x:v>No</x:v>
      </x:c>
      <x:c r="B147" s="4" t="str">
        <x:v>A</x:v>
      </x:c>
      <x:c r="C147" s="4" t="str">
        <x:v>Whitetail Deer</x:v>
      </x:c>
      <x:c r="D147" s="4" t="str">
        <x:v>San Angelo SP</x:v>
      </x:c>
      <x:c r="E147" s="4" t="str">
        <x:v>West-Central Texas</x:v>
      </x:c>
      <x:c r="F147" s="4" t="str">
        <x:v>Youth Gun Deer - Antlerless/Spike</x:v>
      </x:c>
      <x:c r="G147" s="4" t="str">
        <x:v>No</x:v>
      </x:c>
      <x:c r="H147" s="4" t="str">
        <x:v>Yes</x:v>
      </x:c>
      <x:c r="I147" s="24" t="str">
        <x:v>2026-09-15</x:v>
      </x:c>
      <x:c r="J147" s="4" t="str">
        <x:v>See TPWD category page</x:v>
      </x:c>
      <x:c r="K147" s="110" t="n">
        <x:v>0</x:v>
      </x:c>
      <x:c r="L147" s="110" t="n">
        <x:v>0</x:v>
      </x:c>
      <x:c r="M147" s="4"/>
      <x:c r="N147" s="4"/>
      <x:c r="O147" s="112"/>
      <x:c r="P147" s="4" t="n">
        <x:v>300</x:v>
      </x:c>
      <x:c r="Q147" s="4" t="str">
        <x:v>Extended</x:v>
      </x:c>
      <x:c r="R147" s="4" t="str">
        <x:v>Research before draw; property brochure linked from TPWD</x:v>
      </x:c>
      <x:c r="S147" s="4" t="str">
        <x:v>Low</x:v>
      </x:c>
      <x:c r="T147" s="4" t="str">
        <x:v>No</x:v>
      </x:c>
      <x:c r="U147" s="4" t="str">
        <x:v>Verified in TPWD 2026-2027 statewide deer category catalog.</x:v>
      </x:c>
      <x:c r="V147" s="4" t="str">
        <x:v>https://tpwd.texas.gov/huntwild/hunt/public/public_hunt_drawing/hunt-category-details.phtml?OCat=YDA</x:v>
      </x:c>
      <x:c r="W147" s="4" t="n">
        <x:v>2</x:v>
      </x:c>
      <x:c r="X147" s="4" t="n">
        <x:v>4</x:v>
      </x:c>
      <x:c r="Y147" s="4" t="n">
        <x:v>5</x:v>
      </x:c>
      <x:c r="Z147" s="4" t="n">
        <x:v>3</x:v>
      </x:c>
      <x:c r="AA147" s="4" t="n">
        <x:v>2</x:v>
      </x:c>
      <x:c r="AB147" s="4" t="n">
        <x:v>0</x:v>
      </x:c>
      <x:c r="AC147" s="30" t="n">
        <x:v>2.9</x:v>
      </x:c>
      <x:c r="AD147" s="4" t="n">
        <x:v>0</x:v>
      </x:c>
      <x:c r="AE147" s="4" t="str">
        <x:v>2026-09-15</x:v>
      </x:c>
      <x:c r="AF147" s="2"/>
      <x:c r="AG147" s="97"/>
      <x:c r="AH147" s="2"/>
      <x:c r="AI147" s="2"/>
      <x:c r="AJ147" s="97"/>
      <x:c r="AK147" s="2"/>
      <x:c r="AL147" s="2"/>
      <x:c r="AM147" s="2" t="str">
        <x:v>https://tpwd.texas.gov/huntwild/hunt/public/public_hunt_drawing/hunt-category-details.phtml?OCat=YDA</x:v>
      </x:c>
      <x:c r="AN147" s="2" t="str">
        <x:v>https://tpwd.texas.gov/search/?q=San+Angelo+SP+public+hunting+brochure</x:v>
      </x:c>
      <x:c r="AO147" s="2" t="str">
        <x:v>https://apps.tpwd.state.tx.us/huntwild/hunt/public/public_hunt_drawing/</x:v>
      </x:c>
      <x:c r="AP147" s="2" t="str">
        <x:v>https://www.google.com/maps/search/?api=1&amp;query=San+Angelo+SP%2C+Texas</x:v>
      </x:c>
      <x:c r="AQ147" s="96" t="n">
        <x:v>0</x:v>
      </x:c>
      <x:c r="AR147" s="2" t="str">
        <x:v>Standard Hastings ranking</x:v>
      </x:c>
    </x:row>
    <x:row r="148">
      <x:c r="A148" s="4" t="str">
        <x:v>No</x:v>
      </x:c>
      <x:c r="B148" s="4" t="str">
        <x:v>A</x:v>
      </x:c>
      <x:c r="C148" s="4" t="str">
        <x:v>Whitetail Deer</x:v>
      </x:c>
      <x:c r="D148" s="4" t="str">
        <x:v>Abilene SP</x:v>
      </x:c>
      <x:c r="E148" s="4" t="str">
        <x:v>West-Central Texas</x:v>
      </x:c>
      <x:c r="F148" s="4" t="str">
        <x:v>Gun Deer - Either Sex</x:v>
      </x:c>
      <x:c r="G148" s="4" t="str">
        <x:v>Yes</x:v>
      </x:c>
      <x:c r="H148" s="4" t="str">
        <x:v>Yes</x:v>
      </x:c>
      <x:c r="I148" s="24" t="str">
        <x:v>2026-09-15</x:v>
      </x:c>
      <x:c r="J148" s="4" t="str">
        <x:v>See TPWD category page</x:v>
      </x:c>
      <x:c r="K148" s="110" t="n">
        <x:v>3</x:v>
      </x:c>
      <x:c r="L148" s="110"/>
      <x:c r="M148" s="4"/>
      <x:c r="N148" s="4"/>
      <x:c r="O148" s="112"/>
      <x:c r="P148" s="4" t="n">
        <x:v>300</x:v>
      </x:c>
      <x:c r="Q148" s="4" t="str">
        <x:v>Extended</x:v>
      </x:c>
      <x:c r="R148" s="4" t="str">
        <x:v>Research before draw; property brochure linked from TPWD</x:v>
      </x:c>
      <x:c r="S148" s="4" t="str">
        <x:v>Low</x:v>
      </x:c>
      <x:c r="T148" s="4" t="str">
        <x:v>No</x:v>
      </x:c>
      <x:c r="U148" s="4" t="str">
        <x:v>Verified in TPWD 2026-2027 statewide deer category catalog.</x:v>
      </x:c>
      <x:c r="V148" s="4" t="str">
        <x:v>https://tpwd.texas.gov/huntwild/hunt/public/public_hunt_drawing/hunt-category-details.phtml?OCat=GDE</x:v>
      </x:c>
      <x:c r="W148" s="4" t="n">
        <x:v>2</x:v>
      </x:c>
      <x:c r="X148" s="4" t="n">
        <x:v>4</x:v>
      </x:c>
      <x:c r="Y148" s="4" t="n">
        <x:v>4</x:v>
      </x:c>
      <x:c r="Z148" s="4" t="n">
        <x:v>3</x:v>
      </x:c>
      <x:c r="AA148" s="4" t="n">
        <x:v>2</x:v>
      </x:c>
      <x:c r="AB148" s="4" t="n">
        <x:v>0</x:v>
      </x:c>
      <x:c r="AC148" s="30" t="n">
        <x:v>2.6</x:v>
      </x:c>
      <x:c r="AD148" s="4"/>
      <x:c r="AE148" s="4" t="str">
        <x:v>2026-09-15</x:v>
      </x:c>
      <x:c r="AF148" s="2"/>
      <x:c r="AG148" s="97"/>
      <x:c r="AH148" s="2"/>
      <x:c r="AI148" s="2"/>
      <x:c r="AJ148" s="97"/>
      <x:c r="AK148" s="2"/>
      <x:c r="AL148" s="2"/>
      <x:c r="AM148" s="2" t="str">
        <x:v>https://tpwd.texas.gov/huntwild/hunt/public/public_hunt_drawing/hunt-category-details.phtml?OCat=GDE</x:v>
      </x:c>
      <x:c r="AN148" s="2" t="str">
        <x:v>https://tpwd.texas.gov/search/?q=Abilene+SP+public+hunting+brochure</x:v>
      </x:c>
      <x:c r="AO148" s="2" t="str">
        <x:v>https://apps.tpwd.state.tx.us/huntwild/hunt/public/public_hunt_drawing/</x:v>
      </x:c>
      <x:c r="AP148" s="2" t="str">
        <x:v>https://www.google.com/maps/search/?api=1&amp;query=Abilene+SP%2C+Texas</x:v>
      </x:c>
      <x:c r="AQ148" s="96" t="n">
        <x:v>0</x:v>
      </x:c>
      <x:c r="AR148" s="2" t="str">
        <x:v>Standard Hastings ranking</x:v>
      </x:c>
    </x:row>
    <x:row r="149">
      <x:c r="A149" s="4" t="str">
        <x:v>No</x:v>
      </x:c>
      <x:c r="B149" s="4" t="str">
        <x:v>A</x:v>
      </x:c>
      <x:c r="C149" s="4" t="str">
        <x:v>Whitetail Deer</x:v>
      </x:c>
      <x:c r="D149" s="4" t="str">
        <x:v>Alabama Creek WMA</x:v>
      </x:c>
      <x:c r="E149" s="4" t="str">
        <x:v>East Texas / Pineywoods</x:v>
      </x:c>
      <x:c r="F149" s="4" t="str">
        <x:v>USFS Antlerless Deer Permit - Adult</x:v>
      </x:c>
      <x:c r="G149" s="4" t="str">
        <x:v>Yes</x:v>
      </x:c>
      <x:c r="H149" s="4" t="str">
        <x:v>No</x:v>
      </x:c>
      <x:c r="I149" s="24" t="str">
        <x:v>2026-09-15</x:v>
      </x:c>
      <x:c r="J149" s="4" t="str">
        <x:v>See TPWD category page</x:v>
      </x:c>
      <x:c r="K149" s="110" t="n">
        <x:v>0</x:v>
      </x:c>
      <x:c r="L149" s="110" t="n">
        <x:v>0</x:v>
      </x:c>
      <x:c r="M149" s="4"/>
      <x:c r="N149" s="4"/>
      <x:c r="O149" s="112"/>
      <x:c r="P149" s="4" t="n">
        <x:v>570</x:v>
      </x:c>
      <x:c r="Q149" s="4" t="str">
        <x:v>Statewide</x:v>
      </x:c>
      <x:c r="R149" s="4" t="str">
        <x:v>Research before draw; property brochure linked from TPWD</x:v>
      </x:c>
      <x:c r="S149" s="4" t="str">
        <x:v>Low</x:v>
      </x:c>
      <x:c r="T149" s="4" t="str">
        <x:v>No</x:v>
      </x:c>
      <x:c r="U149" s="4" t="str">
        <x:v>Verified in TPWD 2026-2027 statewide deer category catalog. APH/eligibility rules apply; confirm account and permit requirements.</x:v>
      </x:c>
      <x:c r="V149" s="4" t="str">
        <x:v>https://tpwd.texas.gov/huntwild/hunt/public/public_hunt_drawing/hunt-category-details.phtml?OCat=FSD</x:v>
      </x:c>
      <x:c r="W149" s="4" t="n">
        <x:v>2</x:v>
      </x:c>
      <x:c r="X149" s="4" t="n">
        <x:v>2</x:v>
      </x:c>
      <x:c r="Y149" s="4" t="n">
        <x:v>1</x:v>
      </x:c>
      <x:c r="Z149" s="4" t="n">
        <x:v>3</x:v>
      </x:c>
      <x:c r="AA149" s="4" t="n">
        <x:v>2</x:v>
      </x:c>
      <x:c r="AB149" s="4" t="n">
        <x:v>0</x:v>
      </x:c>
      <x:c r="AC149" s="30" t="n">
        <x:v>1.6</x:v>
      </x:c>
      <x:c r="AD149" s="4" t="n">
        <x:v>0</x:v>
      </x:c>
      <x:c r="AE149" s="4" t="str">
        <x:v>2026-09-15</x:v>
      </x:c>
      <x:c r="AF149" s="2"/>
      <x:c r="AG149" s="97"/>
      <x:c r="AH149" s="2"/>
      <x:c r="AI149" s="2"/>
      <x:c r="AJ149" s="97"/>
      <x:c r="AK149" s="2"/>
      <x:c r="AL149" s="2"/>
      <x:c r="AM149" s="2" t="str">
        <x:v>https://tpwd.texas.gov/huntwild/hunt/public/public_hunt_drawing/hunt-category-details.phtml?OCat=FSD</x:v>
      </x:c>
      <x:c r="AN149" s="2" t="str">
        <x:v>https://tpwd.texas.gov/search/?q=Alabama+Creek+WMA+public+hunting+brochure</x:v>
      </x:c>
      <x:c r="AO149" s="2" t="str">
        <x:v>https://apps.tpwd.state.tx.us/huntwild/hunt/public/public_hunt_drawing/</x:v>
      </x:c>
      <x:c r="AP149" s="2" t="str">
        <x:v>https://www.google.com/maps/search/?api=1&amp;query=Alabama+Creek+WMA%2C+Texas</x:v>
      </x:c>
      <x:c r="AQ149" s="96" t="n">
        <x:v>0</x:v>
      </x:c>
      <x:c r="AR149" s="2" t="str">
        <x:v>Standard Hastings ranking</x:v>
      </x:c>
    </x:row>
    <x:row r="150">
      <x:c r="A150" s="4" t="str">
        <x:v>No</x:v>
      </x:c>
      <x:c r="B150" s="4" t="str">
        <x:v>A</x:v>
      </x:c>
      <x:c r="C150" s="4" t="str">
        <x:v>Whitetail Deer</x:v>
      </x:c>
      <x:c r="D150" s="4" t="str">
        <x:v>Alabama Creek WMA</x:v>
      </x:c>
      <x:c r="E150" s="4" t="str">
        <x:v>East Texas / Pineywoods</x:v>
      </x:c>
      <x:c r="F150" s="4" t="str">
        <x:v>USFS Buck Deer Permit - Adult</x:v>
      </x:c>
      <x:c r="G150" s="4" t="str">
        <x:v>Yes</x:v>
      </x:c>
      <x:c r="H150" s="4" t="str">
        <x:v>No</x:v>
      </x:c>
      <x:c r="I150" s="24" t="str">
        <x:v>2026-09-15</x:v>
      </x:c>
      <x:c r="J150" s="4" t="str">
        <x:v>See TPWD category page</x:v>
      </x:c>
      <x:c r="K150" s="110" t="n">
        <x:v>0</x:v>
      </x:c>
      <x:c r="L150" s="110" t="n">
        <x:v>0</x:v>
      </x:c>
      <x:c r="M150" s="4"/>
      <x:c r="N150" s="4"/>
      <x:c r="O150" s="112"/>
      <x:c r="P150" s="4" t="n">
        <x:v>570</x:v>
      </x:c>
      <x:c r="Q150" s="4" t="str">
        <x:v>Statewide</x:v>
      </x:c>
      <x:c r="R150" s="4" t="str">
        <x:v>Research before draw; property brochure linked from TPWD</x:v>
      </x:c>
      <x:c r="S150" s="4" t="str">
        <x:v>Low</x:v>
      </x:c>
      <x:c r="T150" s="4" t="str">
        <x:v>No</x:v>
      </x:c>
      <x:c r="U150" s="4" t="str">
        <x:v>Verified in TPWD 2026-2027 statewide deer category catalog. APH/eligibility rules apply; confirm account and permit requirements.</x:v>
      </x:c>
      <x:c r="V150" s="4" t="str">
        <x:v>https://tpwd.texas.gov/huntwild/hunt/public/public_hunt_drawing/hunt-category-details.phtml?OCat=FBA</x:v>
      </x:c>
      <x:c r="W150" s="4" t="n">
        <x:v>2</x:v>
      </x:c>
      <x:c r="X150" s="4" t="n">
        <x:v>2</x:v>
      </x:c>
      <x:c r="Y150" s="4" t="n">
        <x:v>1</x:v>
      </x:c>
      <x:c r="Z150" s="4" t="n">
        <x:v>3</x:v>
      </x:c>
      <x:c r="AA150" s="4" t="n">
        <x:v>2</x:v>
      </x:c>
      <x:c r="AB150" s="4" t="n">
        <x:v>0</x:v>
      </x:c>
      <x:c r="AC150" s="30" t="n">
        <x:v>1.6</x:v>
      </x:c>
      <x:c r="AD150" s="4" t="n">
        <x:v>0</x:v>
      </x:c>
      <x:c r="AE150" s="4" t="str">
        <x:v>2026-09-15</x:v>
      </x:c>
      <x:c r="AF150" s="2"/>
      <x:c r="AG150" s="97"/>
      <x:c r="AH150" s="2"/>
      <x:c r="AI150" s="2"/>
      <x:c r="AJ150" s="97"/>
      <x:c r="AK150" s="2"/>
      <x:c r="AL150" s="2"/>
      <x:c r="AM150" s="2" t="str">
        <x:v>https://tpwd.texas.gov/huntwild/hunt/public/public_hunt_drawing/hunt-category-details.phtml?OCat=FBA</x:v>
      </x:c>
      <x:c r="AN150" s="2" t="str">
        <x:v>https://tpwd.texas.gov/search/?q=Alabama+Creek+WMA+public+hunting+brochure</x:v>
      </x:c>
      <x:c r="AO150" s="2" t="str">
        <x:v>https://apps.tpwd.state.tx.us/huntwild/hunt/public/public_hunt_drawing/</x:v>
      </x:c>
      <x:c r="AP150" s="2" t="str">
        <x:v>https://www.google.com/maps/search/?api=1&amp;query=Alabama+Creek+WMA%2C+Texas</x:v>
      </x:c>
      <x:c r="AQ150" s="96" t="n">
        <x:v>0</x:v>
      </x:c>
      <x:c r="AR150" s="2" t="str">
        <x:v>Standard Hastings ranking</x:v>
      </x:c>
    </x:row>
    <x:row r="151">
      <x:c r="A151" s="4" t="str">
        <x:v>No</x:v>
      </x:c>
      <x:c r="B151" s="4" t="str">
        <x:v>A</x:v>
      </x:c>
      <x:c r="C151" s="4" t="str">
        <x:v>Whitetail Deer</x:v>
      </x:c>
      <x:c r="D151" s="4" t="str">
        <x:v>Alazan Bayou WMA</x:v>
      </x:c>
      <x:c r="E151" s="4" t="str">
        <x:v>East Texas / Pineywoods</x:v>
      </x:c>
      <x:c r="F151" s="4" t="str">
        <x:v>Gun Deer - Either Sex</x:v>
      </x:c>
      <x:c r="G151" s="4" t="str">
        <x:v>Yes</x:v>
      </x:c>
      <x:c r="H151" s="4" t="str">
        <x:v>Yes</x:v>
      </x:c>
      <x:c r="I151" s="24" t="str">
        <x:v>2026-09-15</x:v>
      </x:c>
      <x:c r="J151" s="4" t="str">
        <x:v>See TPWD category page</x:v>
      </x:c>
      <x:c r="K151" s="110" t="n">
        <x:v>3</x:v>
      </x:c>
      <x:c r="L151" s="110"/>
      <x:c r="M151" s="4"/>
      <x:c r="N151" s="4"/>
      <x:c r="O151" s="112"/>
      <x:c r="P151" s="4" t="n">
        <x:v>570</x:v>
      </x:c>
      <x:c r="Q151" s="4" t="str">
        <x:v>Statewide</x:v>
      </x:c>
      <x:c r="R151" s="4" t="str">
        <x:v>Research before draw; property brochure linked from TPWD</x:v>
      </x:c>
      <x:c r="S151" s="4" t="str">
        <x:v>Low</x:v>
      </x:c>
      <x:c r="T151" s="4" t="str">
        <x:v>No</x:v>
      </x:c>
      <x:c r="U151" s="4" t="str">
        <x:v>Verified in TPWD 2026-2027 statewide deer category catalog.</x:v>
      </x:c>
      <x:c r="V151" s="4" t="str">
        <x:v>https://tpwd.texas.gov/huntwild/hunt/public/public_hunt_drawing/hunt-category-details.phtml?OCat=GDE</x:v>
      </x:c>
      <x:c r="W151" s="4" t="n">
        <x:v>2</x:v>
      </x:c>
      <x:c r="X151" s="4" t="n">
        <x:v>2</x:v>
      </x:c>
      <x:c r="Y151" s="4" t="n">
        <x:v>4</x:v>
      </x:c>
      <x:c r="Z151" s="4" t="n">
        <x:v>3</x:v>
      </x:c>
      <x:c r="AA151" s="4" t="n">
        <x:v>2</x:v>
      </x:c>
      <x:c r="AB151" s="4" t="n">
        <x:v>0</x:v>
      </x:c>
      <x:c r="AC151" s="30" t="n">
        <x:v>2.3</x:v>
      </x:c>
      <x:c r="AD151" s="4"/>
      <x:c r="AE151" s="4" t="str">
        <x:v>2026-09-15</x:v>
      </x:c>
      <x:c r="AF151" s="2"/>
      <x:c r="AG151" s="97"/>
      <x:c r="AH151" s="2"/>
      <x:c r="AI151" s="2"/>
      <x:c r="AJ151" s="97"/>
      <x:c r="AK151" s="2"/>
      <x:c r="AL151" s="2"/>
      <x:c r="AM151" s="2" t="str">
        <x:v>https://tpwd.texas.gov/huntwild/hunt/public/public_hunt_drawing/hunt-category-details.phtml?OCat=GDE</x:v>
      </x:c>
      <x:c r="AN151" s="2" t="str">
        <x:v>https://tpwd.texas.gov/search/?q=Alazan+Bayou+WMA+public+hunting+brochure</x:v>
      </x:c>
      <x:c r="AO151" s="2" t="str">
        <x:v>https://apps.tpwd.state.tx.us/huntwild/hunt/public/public_hunt_drawing/</x:v>
      </x:c>
      <x:c r="AP151" s="2" t="str">
        <x:v>https://www.google.com/maps/search/?api=1&amp;query=Alazan+Bayou+WMA%2C+Texas</x:v>
      </x:c>
      <x:c r="AQ151" s="96" t="n">
        <x:v>0</x:v>
      </x:c>
      <x:c r="AR151" s="2" t="str">
        <x:v>Standard Hastings ranking</x:v>
      </x:c>
    </x:row>
    <x:row r="152">
      <x:c r="A152" s="4" t="str">
        <x:v>No</x:v>
      </x:c>
      <x:c r="B152" s="4" t="str">
        <x:v>A</x:v>
      </x:c>
      <x:c r="C152" s="4" t="str">
        <x:v>Whitetail Deer</x:v>
      </x:c>
      <x:c r="D152" s="4" t="str">
        <x:v>Aransas NWR</x:v>
      </x:c>
      <x:c r="E152" s="4" t="str">
        <x:v>Houston / Gulf Coast</x:v>
      </x:c>
      <x:c r="F152" s="4" t="str">
        <x:v>National Refuge General Deer</x:v>
      </x:c>
      <x:c r="G152" s="4" t="str">
        <x:v>Yes</x:v>
      </x:c>
      <x:c r="H152" s="4" t="str">
        <x:v>Yes</x:v>
      </x:c>
      <x:c r="I152" s="24" t="str">
        <x:v>2026-09-15</x:v>
      </x:c>
      <x:c r="J152" s="4" t="str">
        <x:v>See TPWD category page</x:v>
      </x:c>
      <x:c r="K152" s="110" t="n">
        <x:v>3</x:v>
      </x:c>
      <x:c r="L152" s="110"/>
      <x:c r="M152" s="4"/>
      <x:c r="N152" s="4"/>
      <x:c r="O152" s="112"/>
      <x:c r="P152" s="4" t="n">
        <x:v>610</x:v>
      </x:c>
      <x:c r="Q152" s="4" t="str">
        <x:v>Long Haul</x:v>
      </x:c>
      <x:c r="R152" s="4" t="str">
        <x:v>Research before draw; property brochure linked from TPWD</x:v>
      </x:c>
      <x:c r="S152" s="4" t="str">
        <x:v>Low</x:v>
      </x:c>
      <x:c r="T152" s="4" t="str">
        <x:v>No</x:v>
      </x:c>
      <x:c r="U152" s="4" t="str">
        <x:v>Verified in TPWD 2026-2027 statewide deer category catalog. Refuge-specific rules and permit fees may apply.</x:v>
      </x:c>
      <x:c r="V152" s="4" t="str">
        <x:v>https://tpwd.texas.gov/huntwild/hunt/public/public_hunt_drawing/hunt-category-details.phtml?OCat=NGE</x:v>
      </x:c>
      <x:c r="W152" s="4" t="n">
        <x:v>2</x:v>
      </x:c>
      <x:c r="X152" s="4" t="n">
        <x:v>1</x:v>
      </x:c>
      <x:c r="Y152" s="4" t="n">
        <x:v>4</x:v>
      </x:c>
      <x:c r="Z152" s="4" t="n">
        <x:v>3</x:v>
      </x:c>
      <x:c r="AA152" s="4" t="n">
        <x:v>2</x:v>
      </x:c>
      <x:c r="AB152" s="4" t="n">
        <x:v>0</x:v>
      </x:c>
      <x:c r="AC152" s="30" t="n">
        <x:v>2.1</x:v>
      </x:c>
      <x:c r="AD152" s="4"/>
      <x:c r="AE152" s="4" t="str">
        <x:v>2026-09-15</x:v>
      </x:c>
      <x:c r="AF152" s="2"/>
      <x:c r="AG152" s="97"/>
      <x:c r="AH152" s="2"/>
      <x:c r="AI152" s="2"/>
      <x:c r="AJ152" s="97"/>
      <x:c r="AK152" s="2"/>
      <x:c r="AL152" s="2"/>
      <x:c r="AM152" s="2" t="str">
        <x:v>https://tpwd.texas.gov/huntwild/hunt/public/public_hunt_drawing/hunt-category-details.phtml?OCat=NGE</x:v>
      </x:c>
      <x:c r="AN152" s="2" t="str">
        <x:v>https://tpwd.texas.gov/search/?q=Aransas+NWR+public+hunting+brochure</x:v>
      </x:c>
      <x:c r="AO152" s="2" t="str">
        <x:v>https://apps.tpwd.state.tx.us/huntwild/hunt/public/public_hunt_drawing/</x:v>
      </x:c>
      <x:c r="AP152" s="2" t="str">
        <x:v>https://www.google.com/maps/search/?api=1&amp;query=Aransas+NWR%2C+Texas</x:v>
      </x:c>
      <x:c r="AQ152" s="96" t="n">
        <x:v>0</x:v>
      </x:c>
      <x:c r="AR152" s="2" t="str">
        <x:v>Standard Hastings ranking</x:v>
      </x:c>
    </x:row>
    <x:row r="153">
      <x:c r="A153" s="4" t="str">
        <x:v>No</x:v>
      </x:c>
      <x:c r="B153" s="4" t="str">
        <x:v>A</x:v>
      </x:c>
      <x:c r="C153" s="4" t="str">
        <x:v>Whitetail Deer</x:v>
      </x:c>
      <x:c r="D153" s="4" t="str">
        <x:v>Atlanta SP</x:v>
      </x:c>
      <x:c r="E153" s="4" t="str">
        <x:v>East Texas / Pineywoods</x:v>
      </x:c>
      <x:c r="F153" s="4" t="str">
        <x:v>Gun Deer - Antlerless/Spike</x:v>
      </x:c>
      <x:c r="G153" s="4" t="str">
        <x:v>Yes</x:v>
      </x:c>
      <x:c r="H153" s="4" t="str">
        <x:v>Yes</x:v>
      </x:c>
      <x:c r="I153" s="24" t="str">
        <x:v>2026-09-15</x:v>
      </x:c>
      <x:c r="J153" s="4" t="str">
        <x:v>See TPWD category page</x:v>
      </x:c>
      <x:c r="K153" s="110" t="n">
        <x:v>3</x:v>
      </x:c>
      <x:c r="L153" s="110"/>
      <x:c r="M153" s="4"/>
      <x:c r="N153" s="4"/>
      <x:c r="O153" s="112"/>
      <x:c r="P153" s="4" t="n">
        <x:v>570</x:v>
      </x:c>
      <x:c r="Q153" s="4" t="str">
        <x:v>Statewide</x:v>
      </x:c>
      <x:c r="R153" s="4" t="str">
        <x:v>Research before draw; property brochure linked from TPWD</x:v>
      </x:c>
      <x:c r="S153" s="4" t="str">
        <x:v>Low</x:v>
      </x:c>
      <x:c r="T153" s="4" t="str">
        <x:v>No</x:v>
      </x:c>
      <x:c r="U153" s="4" t="str">
        <x:v>Verified in TPWD 2026-2027 statewide deer category catalog.</x:v>
      </x:c>
      <x:c r="V153" s="4" t="str">
        <x:v>https://tpwd.texas.gov/huntwild/hunt/public/public_hunt_drawing/hunt-category-details.phtml?OCat=GDA</x:v>
      </x:c>
      <x:c r="W153" s="4" t="n">
        <x:v>2</x:v>
      </x:c>
      <x:c r="X153" s="4" t="n">
        <x:v>2</x:v>
      </x:c>
      <x:c r="Y153" s="4" t="n">
        <x:v>4</x:v>
      </x:c>
      <x:c r="Z153" s="4" t="n">
        <x:v>3</x:v>
      </x:c>
      <x:c r="AA153" s="4" t="n">
        <x:v>2</x:v>
      </x:c>
      <x:c r="AB153" s="4" t="n">
        <x:v>0</x:v>
      </x:c>
      <x:c r="AC153" s="30" t="n">
        <x:v>2.3</x:v>
      </x:c>
      <x:c r="AD153" s="4"/>
      <x:c r="AE153" s="4" t="str">
        <x:v>2026-09-15</x:v>
      </x:c>
      <x:c r="AF153" s="2"/>
      <x:c r="AG153" s="97"/>
      <x:c r="AH153" s="2"/>
      <x:c r="AI153" s="2"/>
      <x:c r="AJ153" s="97"/>
      <x:c r="AK153" s="2"/>
      <x:c r="AL153" s="2"/>
      <x:c r="AM153" s="2" t="str">
        <x:v>https://tpwd.texas.gov/huntwild/hunt/public/public_hunt_drawing/hunt-category-details.phtml?OCat=GDA</x:v>
      </x:c>
      <x:c r="AN153" s="2" t="str">
        <x:v>https://tpwd.texas.gov/search/?q=Atlanta+SP+public+hunting+brochure</x:v>
      </x:c>
      <x:c r="AO153" s="2" t="str">
        <x:v>https://apps.tpwd.state.tx.us/huntwild/hunt/public/public_hunt_drawing/</x:v>
      </x:c>
      <x:c r="AP153" s="2" t="str">
        <x:v>https://www.google.com/maps/search/?api=1&amp;query=Atlanta+SP%2C+Texas</x:v>
      </x:c>
      <x:c r="AQ153" s="96" t="n">
        <x:v>0</x:v>
      </x:c>
      <x:c r="AR153" s="2" t="str">
        <x:v>Standard Hastings ranking</x:v>
      </x:c>
    </x:row>
    <x:row r="154">
      <x:c r="A154" s="4" t="str">
        <x:v>No</x:v>
      </x:c>
      <x:c r="B154" s="4" t="str">
        <x:v>A</x:v>
      </x:c>
      <x:c r="C154" s="4" t="str">
        <x:v>Whitetail Deer</x:v>
      </x:c>
      <x:c r="D154" s="4" t="str">
        <x:v>Atlanta SP</x:v>
      </x:c>
      <x:c r="E154" s="4" t="str">
        <x:v>East Texas / Pineywoods</x:v>
      </x:c>
      <x:c r="F154" s="4" t="str">
        <x:v>Gun Deer - Either Sex</x:v>
      </x:c>
      <x:c r="G154" s="4" t="str">
        <x:v>Yes</x:v>
      </x:c>
      <x:c r="H154" s="4" t="str">
        <x:v>Yes</x:v>
      </x:c>
      <x:c r="I154" s="24" t="str">
        <x:v>2026-09-15</x:v>
      </x:c>
      <x:c r="J154" s="4" t="str">
        <x:v>See TPWD category page</x:v>
      </x:c>
      <x:c r="K154" s="110" t="n">
        <x:v>3</x:v>
      </x:c>
      <x:c r="L154" s="110"/>
      <x:c r="M154" s="4"/>
      <x:c r="N154" s="4"/>
      <x:c r="O154" s="112"/>
      <x:c r="P154" s="4" t="n">
        <x:v>570</x:v>
      </x:c>
      <x:c r="Q154" s="4" t="str">
        <x:v>Statewide</x:v>
      </x:c>
      <x:c r="R154" s="4" t="str">
        <x:v>Research before draw; property brochure linked from TPWD</x:v>
      </x:c>
      <x:c r="S154" s="4" t="str">
        <x:v>Low</x:v>
      </x:c>
      <x:c r="T154" s="4" t="str">
        <x:v>No</x:v>
      </x:c>
      <x:c r="U154" s="4" t="str">
        <x:v>Verified in TPWD 2026-2027 statewide deer category catalog.</x:v>
      </x:c>
      <x:c r="V154" s="4" t="str">
        <x:v>https://tpwd.texas.gov/huntwild/hunt/public/public_hunt_drawing/hunt-category-details.phtml?OCat=GDE</x:v>
      </x:c>
      <x:c r="W154" s="4" t="n">
        <x:v>2</x:v>
      </x:c>
      <x:c r="X154" s="4" t="n">
        <x:v>2</x:v>
      </x:c>
      <x:c r="Y154" s="4" t="n">
        <x:v>4</x:v>
      </x:c>
      <x:c r="Z154" s="4" t="n">
        <x:v>3</x:v>
      </x:c>
      <x:c r="AA154" s="4" t="n">
        <x:v>2</x:v>
      </x:c>
      <x:c r="AB154" s="4" t="n">
        <x:v>0</x:v>
      </x:c>
      <x:c r="AC154" s="30" t="n">
        <x:v>2.3</x:v>
      </x:c>
      <x:c r="AD154" s="4"/>
      <x:c r="AE154" s="4" t="str">
        <x:v>2026-09-15</x:v>
      </x:c>
      <x:c r="AF154" s="2"/>
      <x:c r="AG154" s="97"/>
      <x:c r="AH154" s="2"/>
      <x:c r="AI154" s="2"/>
      <x:c r="AJ154" s="97"/>
      <x:c r="AK154" s="2"/>
      <x:c r="AL154" s="2"/>
      <x:c r="AM154" s="2" t="str">
        <x:v>https://tpwd.texas.gov/huntwild/hunt/public/public_hunt_drawing/hunt-category-details.phtml?OCat=GDE</x:v>
      </x:c>
      <x:c r="AN154" s="2" t="str">
        <x:v>https://tpwd.texas.gov/search/?q=Atlanta+SP+public+hunting+brochure</x:v>
      </x:c>
      <x:c r="AO154" s="2" t="str">
        <x:v>https://apps.tpwd.state.tx.us/huntwild/hunt/public/public_hunt_drawing/</x:v>
      </x:c>
      <x:c r="AP154" s="2" t="str">
        <x:v>https://www.google.com/maps/search/?api=1&amp;query=Atlanta+SP%2C+Texas</x:v>
      </x:c>
      <x:c r="AQ154" s="96" t="n">
        <x:v>0</x:v>
      </x:c>
      <x:c r="AR154" s="2" t="str">
        <x:v>Standard Hastings ranking</x:v>
      </x:c>
    </x:row>
    <x:row r="155">
      <x:c r="A155" s="4" t="str">
        <x:v>No</x:v>
      </x:c>
      <x:c r="B155" s="4" t="str">
        <x:v>A</x:v>
      </x:c>
      <x:c r="C155" s="4" t="str">
        <x:v>Whitetail Deer</x:v>
      </x:c>
      <x:c r="D155" s="4" t="str">
        <x:v>Balcones Canyonlands NWR</x:v>
      </x:c>
      <x:c r="E155" s="4" t="str">
        <x:v>Statewide / Other</x:v>
      </x:c>
      <x:c r="F155" s="4" t="str">
        <x:v>National Refuge General Deer</x:v>
      </x:c>
      <x:c r="G155" s="4" t="str">
        <x:v>Yes</x:v>
      </x:c>
      <x:c r="H155" s="4" t="str">
        <x:v>Yes</x:v>
      </x:c>
      <x:c r="I155" s="24" t="str">
        <x:v>2026-09-15</x:v>
      </x:c>
      <x:c r="J155" s="4" t="str">
        <x:v>See TPWD category page</x:v>
      </x:c>
      <x:c r="K155" s="110" t="n">
        <x:v>3</x:v>
      </x:c>
      <x:c r="L155" s="110"/>
      <x:c r="M155" s="4"/>
      <x:c r="N155" s="4"/>
      <x:c r="O155" s="112"/>
      <x:c r="P155" s="4" t="n">
        <x:v>500</x:v>
      </x:c>
      <x:c r="Q155" s="4" t="str">
        <x:v>Statewide</x:v>
      </x:c>
      <x:c r="R155" s="4" t="str">
        <x:v>Research before draw; property brochure linked from TPWD</x:v>
      </x:c>
      <x:c r="S155" s="4" t="str">
        <x:v>Low</x:v>
      </x:c>
      <x:c r="T155" s="4" t="str">
        <x:v>No</x:v>
      </x:c>
      <x:c r="U155" s="4" t="str">
        <x:v>Verified in TPWD 2026-2027 statewide deer category catalog. Refuge-specific rules and permit fees may apply.</x:v>
      </x:c>
      <x:c r="V155" s="4" t="str">
        <x:v>https://tpwd.texas.gov/huntwild/hunt/public/public_hunt_drawing/hunt-category-details.phtml?OCat=NGE</x:v>
      </x:c>
      <x:c r="W155" s="4" t="n">
        <x:v>2</x:v>
      </x:c>
      <x:c r="X155" s="4" t="n">
        <x:v>2</x:v>
      </x:c>
      <x:c r="Y155" s="4" t="n">
        <x:v>4</x:v>
      </x:c>
      <x:c r="Z155" s="4" t="n">
        <x:v>3</x:v>
      </x:c>
      <x:c r="AA155" s="4" t="n">
        <x:v>2</x:v>
      </x:c>
      <x:c r="AB155" s="4" t="n">
        <x:v>0</x:v>
      </x:c>
      <x:c r="AC155" s="30" t="n">
        <x:v>2.3</x:v>
      </x:c>
      <x:c r="AD155" s="4"/>
      <x:c r="AE155" s="4" t="str">
        <x:v>2026-09-15</x:v>
      </x:c>
      <x:c r="AF155" s="2"/>
      <x:c r="AG155" s="97"/>
      <x:c r="AH155" s="2"/>
      <x:c r="AI155" s="2"/>
      <x:c r="AJ155" s="97"/>
      <x:c r="AK155" s="2"/>
      <x:c r="AL155" s="2"/>
      <x:c r="AM155" s="2" t="str">
        <x:v>https://tpwd.texas.gov/huntwild/hunt/public/public_hunt_drawing/hunt-category-details.phtml?OCat=NGE</x:v>
      </x:c>
      <x:c r="AN155" s="2" t="str">
        <x:v>https://tpwd.texas.gov/search/?q=Balcones+Canyonlands+NWR+public+hunting+brochure</x:v>
      </x:c>
      <x:c r="AO155" s="2" t="str">
        <x:v>https://apps.tpwd.state.tx.us/huntwild/hunt/public/public_hunt_drawing/</x:v>
      </x:c>
      <x:c r="AP155" s="2" t="str">
        <x:v>https://www.google.com/maps/search/?api=1&amp;query=Balcones+Canyonlands+NWR%2C+Texas</x:v>
      </x:c>
      <x:c r="AQ155" s="96" t="n">
        <x:v>0</x:v>
      </x:c>
      <x:c r="AR155" s="2" t="str">
        <x:v>Standard Hastings ranking</x:v>
      </x:c>
    </x:row>
    <x:row r="156">
      <x:c r="A156" s="4" t="str">
        <x:v>No</x:v>
      </x:c>
      <x:c r="B156" s="4" t="str">
        <x:v>A</x:v>
      </x:c>
      <x:c r="C156" s="4" t="str">
        <x:v>Whitetail Deer</x:v>
      </x:c>
      <x:c r="D156" s="4" t="str">
        <x:v>Bannister WMA</x:v>
      </x:c>
      <x:c r="E156" s="4" t="str">
        <x:v>East Texas / Pineywoods</x:v>
      </x:c>
      <x:c r="F156" s="4" t="str">
        <x:v>USFS Antlerless Deer Permit - Adult</x:v>
      </x:c>
      <x:c r="G156" s="4" t="str">
        <x:v>Yes</x:v>
      </x:c>
      <x:c r="H156" s="4" t="str">
        <x:v>No</x:v>
      </x:c>
      <x:c r="I156" s="24" t="str">
        <x:v>2026-09-15</x:v>
      </x:c>
      <x:c r="J156" s="4" t="str">
        <x:v>See TPWD category page</x:v>
      </x:c>
      <x:c r="K156" s="110" t="n">
        <x:v>0</x:v>
      </x:c>
      <x:c r="L156" s="110" t="n">
        <x:v>0</x:v>
      </x:c>
      <x:c r="M156" s="4"/>
      <x:c r="N156" s="4"/>
      <x:c r="O156" s="112"/>
      <x:c r="P156" s="4" t="n">
        <x:v>570</x:v>
      </x:c>
      <x:c r="Q156" s="4" t="str">
        <x:v>Statewide</x:v>
      </x:c>
      <x:c r="R156" s="4" t="str">
        <x:v>Research before draw; property brochure linked from TPWD</x:v>
      </x:c>
      <x:c r="S156" s="4" t="str">
        <x:v>Low</x:v>
      </x:c>
      <x:c r="T156" s="4" t="str">
        <x:v>No</x:v>
      </x:c>
      <x:c r="U156" s="4" t="str">
        <x:v>Verified in TPWD 2026-2027 statewide deer category catalog. APH/eligibility rules apply; confirm account and permit requirements.</x:v>
      </x:c>
      <x:c r="V156" s="4" t="str">
        <x:v>https://tpwd.texas.gov/huntwild/hunt/public/public_hunt_drawing/hunt-category-details.phtml?OCat=FSD</x:v>
      </x:c>
      <x:c r="W156" s="4" t="n">
        <x:v>2</x:v>
      </x:c>
      <x:c r="X156" s="4" t="n">
        <x:v>2</x:v>
      </x:c>
      <x:c r="Y156" s="4" t="n">
        <x:v>1</x:v>
      </x:c>
      <x:c r="Z156" s="4" t="n">
        <x:v>3</x:v>
      </x:c>
      <x:c r="AA156" s="4" t="n">
        <x:v>2</x:v>
      </x:c>
      <x:c r="AB156" s="4" t="n">
        <x:v>0</x:v>
      </x:c>
      <x:c r="AC156" s="30" t="n">
        <x:v>1.6</x:v>
      </x:c>
      <x:c r="AD156" s="4" t="n">
        <x:v>0</x:v>
      </x:c>
      <x:c r="AE156" s="4" t="str">
        <x:v>2026-09-15</x:v>
      </x:c>
      <x:c r="AF156" s="2"/>
      <x:c r="AG156" s="97"/>
      <x:c r="AH156" s="2"/>
      <x:c r="AI156" s="2"/>
      <x:c r="AJ156" s="97"/>
      <x:c r="AK156" s="2"/>
      <x:c r="AL156" s="2"/>
      <x:c r="AM156" s="2" t="str">
        <x:v>https://tpwd.texas.gov/huntwild/hunt/public/public_hunt_drawing/hunt-category-details.phtml?OCat=FSD</x:v>
      </x:c>
      <x:c r="AN156" s="2" t="str">
        <x:v>https://tpwd.texas.gov/search/?q=Bannister+WMA+public+hunting+brochure</x:v>
      </x:c>
      <x:c r="AO156" s="2" t="str">
        <x:v>https://apps.tpwd.state.tx.us/huntwild/hunt/public/public_hunt_drawing/</x:v>
      </x:c>
      <x:c r="AP156" s="2" t="str">
        <x:v>https://www.google.com/maps/search/?api=1&amp;query=Bannister+WMA%2C+Texas</x:v>
      </x:c>
      <x:c r="AQ156" s="96" t="n">
        <x:v>0</x:v>
      </x:c>
      <x:c r="AR156" s="2" t="str">
        <x:v>Standard Hastings ranking</x:v>
      </x:c>
    </x:row>
    <x:row r="157">
      <x:c r="A157" s="4" t="str">
        <x:v>No</x:v>
      </x:c>
      <x:c r="B157" s="4" t="str">
        <x:v>A</x:v>
      </x:c>
      <x:c r="C157" s="4" t="str">
        <x:v>Whitetail Deer</x:v>
      </x:c>
      <x:c r="D157" s="4" t="str">
        <x:v>Bastrop SP</x:v>
      </x:c>
      <x:c r="E157" s="4" t="str">
        <x:v>Central Texas / Austin</x:v>
      </x:c>
      <x:c r="F157" s="4" t="str">
        <x:v>Gun Deer - Antlerless/Spike</x:v>
      </x:c>
      <x:c r="G157" s="4" t="str">
        <x:v>Yes</x:v>
      </x:c>
      <x:c r="H157" s="4" t="str">
        <x:v>Yes</x:v>
      </x:c>
      <x:c r="I157" s="24" t="str">
        <x:v>2026-09-15</x:v>
      </x:c>
      <x:c r="J157" s="4" t="str">
        <x:v>See TPWD category page</x:v>
      </x:c>
      <x:c r="K157" s="110" t="n">
        <x:v>3</x:v>
      </x:c>
      <x:c r="L157" s="110"/>
      <x:c r="M157" s="4"/>
      <x:c r="N157" s="4"/>
      <x:c r="O157" s="112"/>
      <x:c r="P157" s="4" t="n">
        <x:v>490</x:v>
      </x:c>
      <x:c r="Q157" s="4" t="str">
        <x:v>Statewide</x:v>
      </x:c>
      <x:c r="R157" s="4" t="str">
        <x:v>Research before draw; property brochure linked from TPWD</x:v>
      </x:c>
      <x:c r="S157" s="4" t="str">
        <x:v>Low</x:v>
      </x:c>
      <x:c r="T157" s="4" t="str">
        <x:v>No</x:v>
      </x:c>
      <x:c r="U157" s="4" t="str">
        <x:v>Verified in TPWD 2026-2027 statewide deer category catalog.</x:v>
      </x:c>
      <x:c r="V157" s="4" t="str">
        <x:v>https://tpwd.texas.gov/huntwild/hunt/public/public_hunt_drawing/hunt-category-details.phtml?OCat=GDA</x:v>
      </x:c>
      <x:c r="W157" s="4" t="n">
        <x:v>2</x:v>
      </x:c>
      <x:c r="X157" s="4" t="n">
        <x:v>2</x:v>
      </x:c>
      <x:c r="Y157" s="4" t="n">
        <x:v>4</x:v>
      </x:c>
      <x:c r="Z157" s="4" t="n">
        <x:v>3</x:v>
      </x:c>
      <x:c r="AA157" s="4" t="n">
        <x:v>2</x:v>
      </x:c>
      <x:c r="AB157" s="4" t="n">
        <x:v>0</x:v>
      </x:c>
      <x:c r="AC157" s="30" t="n">
        <x:v>2.3</x:v>
      </x:c>
      <x:c r="AD157" s="4"/>
      <x:c r="AE157" s="4" t="str">
        <x:v>2026-09-15</x:v>
      </x:c>
      <x:c r="AF157" s="2"/>
      <x:c r="AG157" s="97"/>
      <x:c r="AH157" s="2"/>
      <x:c r="AI157" s="2"/>
      <x:c r="AJ157" s="97"/>
      <x:c r="AK157" s="2"/>
      <x:c r="AL157" s="2"/>
      <x:c r="AM157" s="2" t="str">
        <x:v>https://tpwd.texas.gov/huntwild/hunt/public/public_hunt_drawing/hunt-category-details.phtml?OCat=GDA</x:v>
      </x:c>
      <x:c r="AN157" s="2" t="str">
        <x:v>https://tpwd.texas.gov/search/?q=Bastrop+SP+public+hunting+brochure</x:v>
      </x:c>
      <x:c r="AO157" s="2" t="str">
        <x:v>https://apps.tpwd.state.tx.us/huntwild/hunt/public/public_hunt_drawing/</x:v>
      </x:c>
      <x:c r="AP157" s="2" t="str">
        <x:v>https://www.google.com/maps/search/?api=1&amp;query=Bastrop+SP%2C+Texas</x:v>
      </x:c>
      <x:c r="AQ157" s="96" t="n">
        <x:v>0</x:v>
      </x:c>
      <x:c r="AR157" s="2" t="str">
        <x:v>Standard Hastings ranking</x:v>
      </x:c>
    </x:row>
    <x:row r="158">
      <x:c r="A158" s="4" t="str">
        <x:v>No</x:v>
      </x:c>
      <x:c r="B158" s="4" t="str">
        <x:v>A</x:v>
      </x:c>
      <x:c r="C158" s="4" t="str">
        <x:v>Whitetail Deer</x:v>
      </x:c>
      <x:c r="D158" s="4" t="str">
        <x:v>Bear Creek State Park</x:v>
      </x:c>
      <x:c r="E158" s="4" t="str">
        <x:v>East Texas / Pineywoods</x:v>
      </x:c>
      <x:c r="F158" s="4" t="str">
        <x:v>Gun Deer - Either Sex</x:v>
      </x:c>
      <x:c r="G158" s="4" t="str">
        <x:v>Yes</x:v>
      </x:c>
      <x:c r="H158" s="4" t="str">
        <x:v>Yes</x:v>
      </x:c>
      <x:c r="I158" s="24" t="str">
        <x:v>2026-09-15</x:v>
      </x:c>
      <x:c r="J158" s="4" t="str">
        <x:v>See TPWD category page</x:v>
      </x:c>
      <x:c r="K158" s="110" t="n">
        <x:v>3</x:v>
      </x:c>
      <x:c r="L158" s="110"/>
      <x:c r="M158" s="4"/>
      <x:c r="N158" s="4"/>
      <x:c r="O158" s="112"/>
      <x:c r="P158" s="4" t="n">
        <x:v>570</x:v>
      </x:c>
      <x:c r="Q158" s="4" t="str">
        <x:v>Statewide</x:v>
      </x:c>
      <x:c r="R158" s="4" t="str">
        <x:v>Research before draw; property brochure linked from TPWD</x:v>
      </x:c>
      <x:c r="S158" s="4" t="str">
        <x:v>Low</x:v>
      </x:c>
      <x:c r="T158" s="4" t="str">
        <x:v>No</x:v>
      </x:c>
      <x:c r="U158" s="4" t="str">
        <x:v>Verified in TPWD 2026-2027 statewide deer category catalog.</x:v>
      </x:c>
      <x:c r="V158" s="4" t="str">
        <x:v>https://tpwd.texas.gov/huntwild/hunt/public/public_hunt_drawing/hunt-category-details.phtml?OCat=GDE</x:v>
      </x:c>
      <x:c r="W158" s="4" t="n">
        <x:v>2</x:v>
      </x:c>
      <x:c r="X158" s="4" t="n">
        <x:v>2</x:v>
      </x:c>
      <x:c r="Y158" s="4" t="n">
        <x:v>4</x:v>
      </x:c>
      <x:c r="Z158" s="4" t="n">
        <x:v>3</x:v>
      </x:c>
      <x:c r="AA158" s="4" t="n">
        <x:v>2</x:v>
      </x:c>
      <x:c r="AB158" s="4" t="n">
        <x:v>0</x:v>
      </x:c>
      <x:c r="AC158" s="30" t="n">
        <x:v>2.3</x:v>
      </x:c>
      <x:c r="AD158" s="4"/>
      <x:c r="AE158" s="4" t="str">
        <x:v>2026-09-15</x:v>
      </x:c>
      <x:c r="AF158" s="2"/>
      <x:c r="AG158" s="97"/>
      <x:c r="AH158" s="2"/>
      <x:c r="AI158" s="2"/>
      <x:c r="AJ158" s="97"/>
      <x:c r="AK158" s="2"/>
      <x:c r="AL158" s="2"/>
      <x:c r="AM158" s="2" t="str">
        <x:v>https://tpwd.texas.gov/huntwild/hunt/public/public_hunt_drawing/hunt-category-details.phtml?OCat=GDE</x:v>
      </x:c>
      <x:c r="AN158" s="2" t="str">
        <x:v>https://tpwd.texas.gov/search/?q=Bear+Creek+State+Park+public+hunting+brochure</x:v>
      </x:c>
      <x:c r="AO158" s="2" t="str">
        <x:v>https://apps.tpwd.state.tx.us/huntwild/hunt/public/public_hunt_drawing/</x:v>
      </x:c>
      <x:c r="AP158" s="2" t="str">
        <x:v>https://www.google.com/maps/search/?api=1&amp;query=Bear+Creek+State+Park%2C+Texas</x:v>
      </x:c>
      <x:c r="AQ158" s="96" t="n">
        <x:v>0</x:v>
      </x:c>
      <x:c r="AR158" s="2" t="str">
        <x:v>Standard Hastings ranking</x:v>
      </x:c>
    </x:row>
    <x:row r="159">
      <x:c r="A159" s="4" t="str">
        <x:v>No</x:v>
      </x:c>
      <x:c r="B159" s="4" t="str">
        <x:v>A</x:v>
      </x:c>
      <x:c r="C159" s="4" t="str">
        <x:v>Whitetail Deer</x:v>
      </x:c>
      <x:c r="D159" s="4" t="str">
        <x:v>Big Lake Bottom WMA</x:v>
      </x:c>
      <x:c r="E159" s="4" t="str">
        <x:v>Statewide / Other</x:v>
      </x:c>
      <x:c r="F159" s="4" t="str">
        <x:v>E-Postcard Deer</x:v>
      </x:c>
      <x:c r="G159" s="4" t="str">
        <x:v>Yes</x:v>
      </x:c>
      <x:c r="H159" s="4" t="str">
        <x:v>Yes</x:v>
      </x:c>
      <x:c r="I159" s="24" t="str">
        <x:v>2026-09-15</x:v>
      </x:c>
      <x:c r="J159" s="4" t="str">
        <x:v>See TPWD category page</x:v>
      </x:c>
      <x:c r="K159" s="110" t="n">
        <x:v>0</x:v>
      </x:c>
      <x:c r="L159" s="110" t="n">
        <x:v>0</x:v>
      </x:c>
      <x:c r="M159" s="4"/>
      <x:c r="N159" s="4"/>
      <x:c r="O159" s="112"/>
      <x:c r="P159" s="4" t="n">
        <x:v>500</x:v>
      </x:c>
      <x:c r="Q159" s="4" t="str">
        <x:v>Statewide</x:v>
      </x:c>
      <x:c r="R159" s="4" t="str">
        <x:v>Research before draw; property brochure linked from TPWD</x:v>
      </x:c>
      <x:c r="S159" s="4" t="str">
        <x:v>Low</x:v>
      </x:c>
      <x:c r="T159" s="4" t="str">
        <x:v>No</x:v>
      </x:c>
      <x:c r="U159" s="4" t="str">
        <x:v>Verified in TPWD 2026-2027 statewide deer category catalog. APH/eligibility rules apply; confirm account and permit requirements.</x:v>
      </x:c>
      <x:c r="V159" s="4" t="str">
        <x:v>https://tpwd.texas.gov/huntwild/hunt/public/public_hunt_drawing/hunt-category-details.phtml?OCat=EDR</x:v>
      </x:c>
      <x:c r="W159" s="4" t="n">
        <x:v>2</x:v>
      </x:c>
      <x:c r="X159" s="4" t="n">
        <x:v>2</x:v>
      </x:c>
      <x:c r="Y159" s="4" t="n">
        <x:v>4</x:v>
      </x:c>
      <x:c r="Z159" s="4" t="n">
        <x:v>3</x:v>
      </x:c>
      <x:c r="AA159" s="4" t="n">
        <x:v>2</x:v>
      </x:c>
      <x:c r="AB159" s="4" t="n">
        <x:v>0</x:v>
      </x:c>
      <x:c r="AC159" s="30" t="n">
        <x:v>2.3</x:v>
      </x:c>
      <x:c r="AD159" s="4" t="n">
        <x:v>0</x:v>
      </x:c>
      <x:c r="AE159" s="4" t="str">
        <x:v>2026-09-15</x:v>
      </x:c>
      <x:c r="AF159" s="2"/>
      <x:c r="AG159" s="97"/>
      <x:c r="AH159" s="2"/>
      <x:c r="AI159" s="2"/>
      <x:c r="AJ159" s="97"/>
      <x:c r="AK159" s="2"/>
      <x:c r="AL159" s="2"/>
      <x:c r="AM159" s="2" t="str">
        <x:v>https://tpwd.texas.gov/huntwild/hunt/public/public_hunt_drawing/hunt-category-details.phtml?OCat=EDR</x:v>
      </x:c>
      <x:c r="AN159" s="2" t="str">
        <x:v>https://tpwd.texas.gov/search/?q=Big+Lake+Bottom+WMA+public+hunting+brochure</x:v>
      </x:c>
      <x:c r="AO159" s="2" t="str">
        <x:v>https://apps.tpwd.state.tx.us/huntwild/hunt/public/public_hunt_drawing/</x:v>
      </x:c>
      <x:c r="AP159" s="2" t="str">
        <x:v>https://www.google.com/maps/search/?api=1&amp;query=Big+Lake+Bottom+WMA%2C+Texas</x:v>
      </x:c>
      <x:c r="AQ159" s="96" t="n">
        <x:v>0</x:v>
      </x:c>
      <x:c r="AR159" s="2" t="str">
        <x:v>Standard Hastings ranking</x:v>
      </x:c>
    </x:row>
    <x:row r="160">
      <x:c r="A160" s="4" t="str">
        <x:v>No</x:v>
      </x:c>
      <x:c r="B160" s="4" t="str">
        <x:v>A</x:v>
      </x:c>
      <x:c r="C160" s="4" t="str">
        <x:v>Whitetail Deer</x:v>
      </x:c>
      <x:c r="D160" s="4" t="str">
        <x:v>Brazos Bend SP</x:v>
      </x:c>
      <x:c r="E160" s="4" t="str">
        <x:v>Houston / Gulf Coast</x:v>
      </x:c>
      <x:c r="F160" s="4" t="str">
        <x:v>Gun Deer - Antlerless/Spike</x:v>
      </x:c>
      <x:c r="G160" s="4" t="str">
        <x:v>Yes</x:v>
      </x:c>
      <x:c r="H160" s="4" t="str">
        <x:v>Yes</x:v>
      </x:c>
      <x:c r="I160" s="24" t="str">
        <x:v>2026-09-15</x:v>
      </x:c>
      <x:c r="J160" s="4" t="str">
        <x:v>See TPWD category page</x:v>
      </x:c>
      <x:c r="K160" s="110" t="n">
        <x:v>3</x:v>
      </x:c>
      <x:c r="L160" s="110"/>
      <x:c r="M160" s="4"/>
      <x:c r="N160" s="4"/>
      <x:c r="O160" s="112"/>
      <x:c r="P160" s="4" t="n">
        <x:v>610</x:v>
      </x:c>
      <x:c r="Q160" s="4" t="str">
        <x:v>Long Haul</x:v>
      </x:c>
      <x:c r="R160" s="4" t="str">
        <x:v>Research before draw; property brochure linked from TPWD</x:v>
      </x:c>
      <x:c r="S160" s="4" t="str">
        <x:v>Low</x:v>
      </x:c>
      <x:c r="T160" s="4" t="str">
        <x:v>No</x:v>
      </x:c>
      <x:c r="U160" s="4" t="str">
        <x:v>Verified in TPWD 2026-2027 statewide deer category catalog.</x:v>
      </x:c>
      <x:c r="V160" s="4" t="str">
        <x:v>https://tpwd.texas.gov/huntwild/hunt/public/public_hunt_drawing/hunt-category-details.phtml?OCat=GDA</x:v>
      </x:c>
      <x:c r="W160" s="4" t="n">
        <x:v>2</x:v>
      </x:c>
      <x:c r="X160" s="4" t="n">
        <x:v>1</x:v>
      </x:c>
      <x:c r="Y160" s="4" t="n">
        <x:v>4</x:v>
      </x:c>
      <x:c r="Z160" s="4" t="n">
        <x:v>3</x:v>
      </x:c>
      <x:c r="AA160" s="4" t="n">
        <x:v>2</x:v>
      </x:c>
      <x:c r="AB160" s="4" t="n">
        <x:v>0</x:v>
      </x:c>
      <x:c r="AC160" s="30" t="n">
        <x:v>2.1</x:v>
      </x:c>
      <x:c r="AD160" s="4"/>
      <x:c r="AE160" s="4" t="str">
        <x:v>2026-09-15</x:v>
      </x:c>
      <x:c r="AF160" s="2"/>
      <x:c r="AG160" s="97"/>
      <x:c r="AH160" s="2"/>
      <x:c r="AI160" s="2"/>
      <x:c r="AJ160" s="97"/>
      <x:c r="AK160" s="2"/>
      <x:c r="AL160" s="2"/>
      <x:c r="AM160" s="2" t="str">
        <x:v>https://tpwd.texas.gov/huntwild/hunt/public/public_hunt_drawing/hunt-category-details.phtml?OCat=GDA</x:v>
      </x:c>
      <x:c r="AN160" s="2" t="str">
        <x:v>https://tpwd.texas.gov/search/?q=Brazos+Bend+SP+public+hunting+brochure</x:v>
      </x:c>
      <x:c r="AO160" s="2" t="str">
        <x:v>https://apps.tpwd.state.tx.us/huntwild/hunt/public/public_hunt_drawing/</x:v>
      </x:c>
      <x:c r="AP160" s="2" t="str">
        <x:v>https://www.google.com/maps/search/?api=1&amp;query=Brazos+Bend+SP%2C+Texas</x:v>
      </x:c>
      <x:c r="AQ160" s="96" t="n">
        <x:v>0</x:v>
      </x:c>
      <x:c r="AR160" s="2" t="str">
        <x:v>Standard Hastings ranking</x:v>
      </x:c>
    </x:row>
    <x:row r="161">
      <x:c r="A161" s="4" t="str">
        <x:v>No</x:v>
      </x:c>
      <x:c r="B161" s="4" t="str">
        <x:v>A</x:v>
      </x:c>
      <x:c r="C161" s="4" t="str">
        <x:v>Whitetail Deer</x:v>
      </x:c>
      <x:c r="D161" s="4" t="str">
        <x:v>Brazos Bend SP</x:v>
      </x:c>
      <x:c r="E161" s="4" t="str">
        <x:v>Houston / Gulf Coast</x:v>
      </x:c>
      <x:c r="F161" s="4" t="str">
        <x:v>Gun Deer - Either Sex</x:v>
      </x:c>
      <x:c r="G161" s="4" t="str">
        <x:v>Yes</x:v>
      </x:c>
      <x:c r="H161" s="4" t="str">
        <x:v>Yes</x:v>
      </x:c>
      <x:c r="I161" s="24" t="str">
        <x:v>2026-09-15</x:v>
      </x:c>
      <x:c r="J161" s="4" t="str">
        <x:v>See TPWD category page</x:v>
      </x:c>
      <x:c r="K161" s="110" t="n">
        <x:v>3</x:v>
      </x:c>
      <x:c r="L161" s="110"/>
      <x:c r="M161" s="4"/>
      <x:c r="N161" s="4"/>
      <x:c r="O161" s="112"/>
      <x:c r="P161" s="4" t="n">
        <x:v>610</x:v>
      </x:c>
      <x:c r="Q161" s="4" t="str">
        <x:v>Long Haul</x:v>
      </x:c>
      <x:c r="R161" s="4" t="str">
        <x:v>Research before draw; property brochure linked from TPWD</x:v>
      </x:c>
      <x:c r="S161" s="4" t="str">
        <x:v>Low</x:v>
      </x:c>
      <x:c r="T161" s="4" t="str">
        <x:v>No</x:v>
      </x:c>
      <x:c r="U161" s="4" t="str">
        <x:v>Verified in TPWD 2026-2027 statewide deer category catalog.</x:v>
      </x:c>
      <x:c r="V161" s="4" t="str">
        <x:v>https://tpwd.texas.gov/huntwild/hunt/public/public_hunt_drawing/hunt-category-details.phtml?OCat=GDE</x:v>
      </x:c>
      <x:c r="W161" s="4" t="n">
        <x:v>2</x:v>
      </x:c>
      <x:c r="X161" s="4" t="n">
        <x:v>1</x:v>
      </x:c>
      <x:c r="Y161" s="4" t="n">
        <x:v>4</x:v>
      </x:c>
      <x:c r="Z161" s="4" t="n">
        <x:v>3</x:v>
      </x:c>
      <x:c r="AA161" s="4" t="n">
        <x:v>2</x:v>
      </x:c>
      <x:c r="AB161" s="4" t="n">
        <x:v>0</x:v>
      </x:c>
      <x:c r="AC161" s="30" t="n">
        <x:v>2.1</x:v>
      </x:c>
      <x:c r="AD161" s="4"/>
      <x:c r="AE161" s="4" t="str">
        <x:v>2026-09-15</x:v>
      </x:c>
      <x:c r="AF161" s="2"/>
      <x:c r="AG161" s="97"/>
      <x:c r="AH161" s="2"/>
      <x:c r="AI161" s="2"/>
      <x:c r="AJ161" s="97"/>
      <x:c r="AK161" s="2"/>
      <x:c r="AL161" s="2"/>
      <x:c r="AM161" s="2" t="str">
        <x:v>https://tpwd.texas.gov/huntwild/hunt/public/public_hunt_drawing/hunt-category-details.phtml?OCat=GDE</x:v>
      </x:c>
      <x:c r="AN161" s="2" t="str">
        <x:v>https://tpwd.texas.gov/search/?q=Brazos+Bend+SP+public+hunting+brochure</x:v>
      </x:c>
      <x:c r="AO161" s="2" t="str">
        <x:v>https://apps.tpwd.state.tx.us/huntwild/hunt/public/public_hunt_drawing/</x:v>
      </x:c>
      <x:c r="AP161" s="2" t="str">
        <x:v>https://www.google.com/maps/search/?api=1&amp;query=Brazos+Bend+SP%2C+Texas</x:v>
      </x:c>
      <x:c r="AQ161" s="96" t="n">
        <x:v>0</x:v>
      </x:c>
      <x:c r="AR161" s="2" t="str">
        <x:v>Standard Hastings ranking</x:v>
      </x:c>
    </x:row>
    <x:row r="162">
      <x:c r="A162" s="4" t="str">
        <x:v>No</x:v>
      </x:c>
      <x:c r="B162" s="4" t="str">
        <x:v>A</x:v>
      </x:c>
      <x:c r="C162" s="4" t="str">
        <x:v>Whitetail Deer</x:v>
      </x:c>
      <x:c r="D162" s="4" t="str">
        <x:v>Caddo Lake NWR</x:v>
      </x:c>
      <x:c r="E162" s="4" t="str">
        <x:v>East Texas / Pineywoods</x:v>
      </x:c>
      <x:c r="F162" s="4" t="str">
        <x:v>National Refuge General Deer</x:v>
      </x:c>
      <x:c r="G162" s="4" t="str">
        <x:v>Yes</x:v>
      </x:c>
      <x:c r="H162" s="4" t="str">
        <x:v>Yes</x:v>
      </x:c>
      <x:c r="I162" s="24" t="str">
        <x:v>2026-09-15</x:v>
      </x:c>
      <x:c r="J162" s="4" t="str">
        <x:v>See TPWD category page</x:v>
      </x:c>
      <x:c r="K162" s="110" t="n">
        <x:v>3</x:v>
      </x:c>
      <x:c r="L162" s="110"/>
      <x:c r="M162" s="4"/>
      <x:c r="N162" s="4"/>
      <x:c r="O162" s="112"/>
      <x:c r="P162" s="4" t="n">
        <x:v>570</x:v>
      </x:c>
      <x:c r="Q162" s="4" t="str">
        <x:v>Statewide</x:v>
      </x:c>
      <x:c r="R162" s="4" t="str">
        <x:v>Research before draw; property brochure linked from TPWD</x:v>
      </x:c>
      <x:c r="S162" s="4" t="str">
        <x:v>Low</x:v>
      </x:c>
      <x:c r="T162" s="4" t="str">
        <x:v>No</x:v>
      </x:c>
      <x:c r="U162" s="4" t="str">
        <x:v>Verified in TPWD 2026-2027 statewide deer category catalog. Refuge-specific rules and permit fees may apply.</x:v>
      </x:c>
      <x:c r="V162" s="4" t="str">
        <x:v>https://tpwd.texas.gov/huntwild/hunt/public/public_hunt_drawing/hunt-category-details.phtml?OCat=NGE</x:v>
      </x:c>
      <x:c r="W162" s="4" t="n">
        <x:v>2</x:v>
      </x:c>
      <x:c r="X162" s="4" t="n">
        <x:v>2</x:v>
      </x:c>
      <x:c r="Y162" s="4" t="n">
        <x:v>4</x:v>
      </x:c>
      <x:c r="Z162" s="4" t="n">
        <x:v>3</x:v>
      </x:c>
      <x:c r="AA162" s="4" t="n">
        <x:v>2</x:v>
      </x:c>
      <x:c r="AB162" s="4" t="n">
        <x:v>0</x:v>
      </x:c>
      <x:c r="AC162" s="30" t="n">
        <x:v>2.3</x:v>
      </x:c>
      <x:c r="AD162" s="4"/>
      <x:c r="AE162" s="4" t="str">
        <x:v>2026-09-15</x:v>
      </x:c>
      <x:c r="AF162" s="2"/>
      <x:c r="AG162" s="97"/>
      <x:c r="AH162" s="2"/>
      <x:c r="AI162" s="2"/>
      <x:c r="AJ162" s="97"/>
      <x:c r="AK162" s="2"/>
      <x:c r="AL162" s="2"/>
      <x:c r="AM162" s="2" t="str">
        <x:v>https://tpwd.texas.gov/huntwild/hunt/public/public_hunt_drawing/hunt-category-details.phtml?OCat=NGE</x:v>
      </x:c>
      <x:c r="AN162" s="2" t="str">
        <x:v>https://tpwd.texas.gov/search/?q=Caddo+Lake+NWR+public+hunting+brochure</x:v>
      </x:c>
      <x:c r="AO162" s="2" t="str">
        <x:v>https://apps.tpwd.state.tx.us/huntwild/hunt/public/public_hunt_drawing/</x:v>
      </x:c>
      <x:c r="AP162" s="2" t="str">
        <x:v>https://www.google.com/maps/search/?api=1&amp;query=Caddo+Lake+NWR%2C+Texas</x:v>
      </x:c>
      <x:c r="AQ162" s="96" t="n">
        <x:v>0</x:v>
      </x:c>
      <x:c r="AR162" s="2" t="str">
        <x:v>Standard Hastings ranking</x:v>
      </x:c>
    </x:row>
    <x:row r="163">
      <x:c r="A163" s="4" t="str">
        <x:v>No</x:v>
      </x:c>
      <x:c r="B163" s="4" t="str">
        <x:v>A</x:v>
      </x:c>
      <x:c r="C163" s="4" t="str">
        <x:v>Whitetail Deer</x:v>
      </x:c>
      <x:c r="D163" s="4" t="str">
        <x:v>Caddo Lake WMA</x:v>
      </x:c>
      <x:c r="E163" s="4" t="str">
        <x:v>East Texas / Pineywoods</x:v>
      </x:c>
      <x:c r="F163" s="4" t="str">
        <x:v>E-Postcard Deer</x:v>
      </x:c>
      <x:c r="G163" s="4" t="str">
        <x:v>Yes</x:v>
      </x:c>
      <x:c r="H163" s="4" t="str">
        <x:v>Yes</x:v>
      </x:c>
      <x:c r="I163" s="24" t="str">
        <x:v>2026-09-15</x:v>
      </x:c>
      <x:c r="J163" s="4" t="str">
        <x:v>See TPWD category page</x:v>
      </x:c>
      <x:c r="K163" s="110" t="n">
        <x:v>0</x:v>
      </x:c>
      <x:c r="L163" s="110" t="n">
        <x:v>0</x:v>
      </x:c>
      <x:c r="M163" s="4"/>
      <x:c r="N163" s="4"/>
      <x:c r="O163" s="112"/>
      <x:c r="P163" s="4" t="n">
        <x:v>570</x:v>
      </x:c>
      <x:c r="Q163" s="4" t="str">
        <x:v>Statewide</x:v>
      </x:c>
      <x:c r="R163" s="4" t="str">
        <x:v>Research before draw; property brochure linked from TPWD</x:v>
      </x:c>
      <x:c r="S163" s="4" t="str">
        <x:v>Low</x:v>
      </x:c>
      <x:c r="T163" s="4" t="str">
        <x:v>No</x:v>
      </x:c>
      <x:c r="U163" s="4" t="str">
        <x:v>Verified in TPWD 2026-2027 statewide deer category catalog. APH/eligibility rules apply; confirm account and permit requirements.</x:v>
      </x:c>
      <x:c r="V163" s="4" t="str">
        <x:v>https://tpwd.texas.gov/huntwild/hunt/public/public_hunt_drawing/hunt-category-details.phtml?OCat=EDR</x:v>
      </x:c>
      <x:c r="W163" s="4" t="n">
        <x:v>2</x:v>
      </x:c>
      <x:c r="X163" s="4" t="n">
        <x:v>2</x:v>
      </x:c>
      <x:c r="Y163" s="4" t="n">
        <x:v>4</x:v>
      </x:c>
      <x:c r="Z163" s="4" t="n">
        <x:v>3</x:v>
      </x:c>
      <x:c r="AA163" s="4" t="n">
        <x:v>2</x:v>
      </x:c>
      <x:c r="AB163" s="4" t="n">
        <x:v>0</x:v>
      </x:c>
      <x:c r="AC163" s="30" t="n">
        <x:v>2.3</x:v>
      </x:c>
      <x:c r="AD163" s="4" t="n">
        <x:v>0</x:v>
      </x:c>
      <x:c r="AE163" s="4" t="str">
        <x:v>2026-09-15</x:v>
      </x:c>
      <x:c r="AF163" s="2"/>
      <x:c r="AG163" s="97"/>
      <x:c r="AH163" s="2"/>
      <x:c r="AI163" s="2"/>
      <x:c r="AJ163" s="97"/>
      <x:c r="AK163" s="2"/>
      <x:c r="AL163" s="2"/>
      <x:c r="AM163" s="2" t="str">
        <x:v>https://tpwd.texas.gov/huntwild/hunt/public/public_hunt_drawing/hunt-category-details.phtml?OCat=EDR</x:v>
      </x:c>
      <x:c r="AN163" s="2" t="str">
        <x:v>https://tpwd.texas.gov/search/?q=Caddo+Lake+WMA+public+hunting+brochure</x:v>
      </x:c>
      <x:c r="AO163" s="2" t="str">
        <x:v>https://apps.tpwd.state.tx.us/huntwild/hunt/public/public_hunt_drawing/</x:v>
      </x:c>
      <x:c r="AP163" s="2" t="str">
        <x:v>https://www.google.com/maps/search/?api=1&amp;query=Caddo+Lake+WMA%2C+Texas</x:v>
      </x:c>
      <x:c r="AQ163" s="96" t="n">
        <x:v>0</x:v>
      </x:c>
      <x:c r="AR163" s="2" t="str">
        <x:v>Standard Hastings ranking</x:v>
      </x:c>
    </x:row>
    <x:row r="164">
      <x:c r="A164" s="4" t="str">
        <x:v>No</x:v>
      </x:c>
      <x:c r="B164" s="4" t="str">
        <x:v>A</x:v>
      </x:c>
      <x:c r="C164" s="4" t="str">
        <x:v>Whitetail Deer</x:v>
      </x:c>
      <x:c r="D164" s="4" t="str">
        <x:v>Caddo National Grasslands WMA - Bois d'Arc Unit</x:v>
      </x:c>
      <x:c r="E164" s="4" t="str">
        <x:v>North Texas / DFW</x:v>
      </x:c>
      <x:c r="F164" s="4" t="str">
        <x:v>USFS Antlerless Deer Permit - Adult</x:v>
      </x:c>
      <x:c r="G164" s="4" t="str">
        <x:v>Yes</x:v>
      </x:c>
      <x:c r="H164" s="4" t="str">
        <x:v>No</x:v>
      </x:c>
      <x:c r="I164" s="24" t="str">
        <x:v>2026-09-15</x:v>
      </x:c>
      <x:c r="J164" s="4" t="str">
        <x:v>See TPWD category page</x:v>
      </x:c>
      <x:c r="K164" s="110" t="n">
        <x:v>0</x:v>
      </x:c>
      <x:c r="L164" s="110" t="n">
        <x:v>0</x:v>
      </x:c>
      <x:c r="M164" s="4"/>
      <x:c r="N164" s="4"/>
      <x:c r="O164" s="112"/>
      <x:c r="P164" s="4" t="n">
        <x:v>360</x:v>
      </x:c>
      <x:c r="Q164" s="4" t="str">
        <x:v>Extended</x:v>
      </x:c>
      <x:c r="R164" s="4" t="str">
        <x:v>Research before draw; property brochure linked from TPWD</x:v>
      </x:c>
      <x:c r="S164" s="4" t="str">
        <x:v>Low</x:v>
      </x:c>
      <x:c r="T164" s="4" t="str">
        <x:v>No</x:v>
      </x:c>
      <x:c r="U164" s="4" t="str">
        <x:v>Verified in TPWD 2026-2027 statewide deer category catalog. APH/eligibility rules apply; confirm account and permit requirements.</x:v>
      </x:c>
      <x:c r="V164" s="4" t="str">
        <x:v>https://tpwd.texas.gov/huntwild/hunt/public/public_hunt_drawing/hunt-category-details.phtml?OCat=FSD</x:v>
      </x:c>
      <x:c r="W164" s="4" t="n">
        <x:v>2</x:v>
      </x:c>
      <x:c r="X164" s="4" t="n">
        <x:v>3</x:v>
      </x:c>
      <x:c r="Y164" s="4" t="n">
        <x:v>1</x:v>
      </x:c>
      <x:c r="Z164" s="4" t="n">
        <x:v>3</x:v>
      </x:c>
      <x:c r="AA164" s="4" t="n">
        <x:v>2</x:v>
      </x:c>
      <x:c r="AB164" s="4" t="n">
        <x:v>0</x:v>
      </x:c>
      <x:c r="AC164" s="30" t="n">
        <x:v>1.7</x:v>
      </x:c>
      <x:c r="AD164" s="4" t="n">
        <x:v>0</x:v>
      </x:c>
      <x:c r="AE164" s="4" t="str">
        <x:v>2026-09-15</x:v>
      </x:c>
      <x:c r="AF164" s="2"/>
      <x:c r="AG164" s="97"/>
      <x:c r="AH164" s="2"/>
      <x:c r="AI164" s="2"/>
      <x:c r="AJ164" s="97"/>
      <x:c r="AK164" s="2"/>
      <x:c r="AL164" s="2"/>
      <x:c r="AM164" s="2" t="str">
        <x:v>https://tpwd.texas.gov/huntwild/hunt/public/public_hunt_drawing/hunt-category-details.phtml?OCat=FSD</x:v>
      </x:c>
      <x:c r="AN164" s="2" t="str">
        <x:v>https://tpwd.texas.gov/search/?q=Caddo+National+Grasslands+WMA+-+Bois+d%27Arc+Unit+public+hunting+brochure</x:v>
      </x:c>
      <x:c r="AO164" s="2" t="str">
        <x:v>https://apps.tpwd.state.tx.us/huntwild/hunt/public/public_hunt_drawing/</x:v>
      </x:c>
      <x:c r="AP164" s="2" t="str">
        <x:v>https://www.google.com/maps/search/?api=1&amp;query=Caddo+National+Grasslands+WMA+-+Bois+d%27Arc+Unit%2C+Texas</x:v>
      </x:c>
      <x:c r="AQ164" s="96" t="n">
        <x:v>0</x:v>
      </x:c>
      <x:c r="AR164" s="2" t="str">
        <x:v>Standard Hastings ranking</x:v>
      </x:c>
    </x:row>
    <x:row r="165">
      <x:c r="A165" s="4" t="str">
        <x:v>No</x:v>
      </x:c>
      <x:c r="B165" s="4" t="str">
        <x:v>A</x:v>
      </x:c>
      <x:c r="C165" s="4" t="str">
        <x:v>Whitetail Deer</x:v>
      </x:c>
      <x:c r="D165" s="4" t="str">
        <x:v>Caddo National Grasslands WMA - Ladonia Unit</x:v>
      </x:c>
      <x:c r="E165" s="4" t="str">
        <x:v>North Texas / DFW</x:v>
      </x:c>
      <x:c r="F165" s="4" t="str">
        <x:v>USFS Antlerless Deer Permit - Adult</x:v>
      </x:c>
      <x:c r="G165" s="4" t="str">
        <x:v>Yes</x:v>
      </x:c>
      <x:c r="H165" s="4" t="str">
        <x:v>No</x:v>
      </x:c>
      <x:c r="I165" s="24" t="str">
        <x:v>2026-09-15</x:v>
      </x:c>
      <x:c r="J165" s="4" t="str">
        <x:v>See TPWD category page</x:v>
      </x:c>
      <x:c r="K165" s="110" t="n">
        <x:v>0</x:v>
      </x:c>
      <x:c r="L165" s="110" t="n">
        <x:v>0</x:v>
      </x:c>
      <x:c r="M165" s="4"/>
      <x:c r="N165" s="4"/>
      <x:c r="O165" s="112"/>
      <x:c r="P165" s="4" t="n">
        <x:v>360</x:v>
      </x:c>
      <x:c r="Q165" s="4" t="str">
        <x:v>Extended</x:v>
      </x:c>
      <x:c r="R165" s="4" t="str">
        <x:v>Research before draw; property brochure linked from TPWD</x:v>
      </x:c>
      <x:c r="S165" s="4" t="str">
        <x:v>Low</x:v>
      </x:c>
      <x:c r="T165" s="4" t="str">
        <x:v>No</x:v>
      </x:c>
      <x:c r="U165" s="4" t="str">
        <x:v>Verified in TPWD 2026-2027 statewide deer category catalog. APH/eligibility rules apply; confirm account and permit requirements.</x:v>
      </x:c>
      <x:c r="V165" s="4" t="str">
        <x:v>https://tpwd.texas.gov/huntwild/hunt/public/public_hunt_drawing/hunt-category-details.phtml?OCat=FSD</x:v>
      </x:c>
      <x:c r="W165" s="4" t="n">
        <x:v>2</x:v>
      </x:c>
      <x:c r="X165" s="4" t="n">
        <x:v>3</x:v>
      </x:c>
      <x:c r="Y165" s="4" t="n">
        <x:v>1</x:v>
      </x:c>
      <x:c r="Z165" s="4" t="n">
        <x:v>3</x:v>
      </x:c>
      <x:c r="AA165" s="4" t="n">
        <x:v>2</x:v>
      </x:c>
      <x:c r="AB165" s="4" t="n">
        <x:v>0</x:v>
      </x:c>
      <x:c r="AC165" s="30" t="n">
        <x:v>1.7</x:v>
      </x:c>
      <x:c r="AD165" s="4" t="n">
        <x:v>0</x:v>
      </x:c>
      <x:c r="AE165" s="4" t="str">
        <x:v>2026-09-15</x:v>
      </x:c>
      <x:c r="AF165" s="2"/>
      <x:c r="AG165" s="97"/>
      <x:c r="AH165" s="2"/>
      <x:c r="AI165" s="2"/>
      <x:c r="AJ165" s="97"/>
      <x:c r="AK165" s="2"/>
      <x:c r="AL165" s="2"/>
      <x:c r="AM165" s="2" t="str">
        <x:v>https://tpwd.texas.gov/huntwild/hunt/public/public_hunt_drawing/hunt-category-details.phtml?OCat=FSD</x:v>
      </x:c>
      <x:c r="AN165" s="2" t="str">
        <x:v>https://tpwd.texas.gov/search/?q=Caddo+National+Grasslands+WMA+-+Ladonia+Unit+public+hunting+brochure</x:v>
      </x:c>
      <x:c r="AO165" s="2" t="str">
        <x:v>https://apps.tpwd.state.tx.us/huntwild/hunt/public/public_hunt_drawing/</x:v>
      </x:c>
      <x:c r="AP165" s="2" t="str">
        <x:v>https://www.google.com/maps/search/?api=1&amp;query=Caddo+National+Grasslands+WMA+-+Ladonia+Unit%2C+Texas</x:v>
      </x:c>
      <x:c r="AQ165" s="96" t="n">
        <x:v>0</x:v>
      </x:c>
      <x:c r="AR165" s="2" t="str">
        <x:v>Standard Hastings ranking</x:v>
      </x:c>
    </x:row>
    <x:row r="166">
      <x:c r="A166" s="4" t="str">
        <x:v>No</x:v>
      </x:c>
      <x:c r="B166" s="4" t="str">
        <x:v>A</x:v>
      </x:c>
      <x:c r="C166" s="4" t="str">
        <x:v>Whitetail Deer</x:v>
      </x:c>
      <x:c r="D166" s="4" t="str">
        <x:v>Caprock Canyons SP</x:v>
      </x:c>
      <x:c r="E166" s="4" t="str">
        <x:v>Panhandle / Rolling Plains</x:v>
      </x:c>
      <x:c r="F166" s="4" t="str">
        <x:v>E-Postcard Deer</x:v>
      </x:c>
      <x:c r="G166" s="4" t="str">
        <x:v>Yes</x:v>
      </x:c>
      <x:c r="H166" s="4" t="str">
        <x:v>Yes</x:v>
      </x:c>
      <x:c r="I166" s="24" t="str">
        <x:v>2026-09-15</x:v>
      </x:c>
      <x:c r="J166" s="4" t="str">
        <x:v>See TPWD category page</x:v>
      </x:c>
      <x:c r="K166" s="110" t="n">
        <x:v>0</x:v>
      </x:c>
      <x:c r="L166" s="110" t="n">
        <x:v>0</x:v>
      </x:c>
      <x:c r="M166" s="4"/>
      <x:c r="N166" s="4"/>
      <x:c r="O166" s="112"/>
      <x:c r="P166" s="4" t="n">
        <x:v>130</x:v>
      </x:c>
      <x:c r="Q166" s="4" t="str">
        <x:v>Core</x:v>
      </x:c>
      <x:c r="R166" s="4" t="str">
        <x:v>Research before draw; property brochure linked from TPWD</x:v>
      </x:c>
      <x:c r="S166" s="4" t="str">
        <x:v>High</x:v>
      </x:c>
      <x:c r="T166" s="4" t="str">
        <x:v>No</x:v>
      </x:c>
      <x:c r="U166" s="4" t="str">
        <x:v>Verified in TPWD 2026-2027 statewide deer category catalog. APH/eligibility rules apply; confirm account and permit requirements.</x:v>
      </x:c>
      <x:c r="V166" s="4" t="str">
        <x:v>https://tpwd.texas.gov/huntwild/hunt/public/public_hunt_drawing/hunt-category-details.phtml?OCat=EDR</x:v>
      </x:c>
      <x:c r="W166" s="4" t="n">
        <x:v>2</x:v>
      </x:c>
      <x:c r="X166" s="4" t="n">
        <x:v>5</x:v>
      </x:c>
      <x:c r="Y166" s="4" t="n">
        <x:v>4</x:v>
      </x:c>
      <x:c r="Z166" s="4" t="n">
        <x:v>3</x:v>
      </x:c>
      <x:c r="AA166" s="4" t="n">
        <x:v>4</x:v>
      </x:c>
      <x:c r="AB166" s="4" t="n">
        <x:v>0</x:v>
      </x:c>
      <x:c r="AC166" s="30" t="n">
        <x:v>2.9</x:v>
      </x:c>
      <x:c r="AD166" s="4" t="n">
        <x:v>0</x:v>
      </x:c>
      <x:c r="AE166" s="4" t="str">
        <x:v>2026-09-15</x:v>
      </x:c>
      <x:c r="AF166" s="2"/>
      <x:c r="AG166" s="97"/>
      <x:c r="AH166" s="2"/>
      <x:c r="AI166" s="2"/>
      <x:c r="AJ166" s="97"/>
      <x:c r="AK166" s="2"/>
      <x:c r="AL166" s="2"/>
      <x:c r="AM166" s="2" t="str">
        <x:v>https://tpwd.texas.gov/huntwild/hunt/public/public_hunt_drawing/hunt-category-details.phtml?OCat=EDR</x:v>
      </x:c>
      <x:c r="AN166" s="2" t="str">
        <x:v>https://tpwd.texas.gov/search/?q=Caprock+Canyons+SP+public+hunting+brochure</x:v>
      </x:c>
      <x:c r="AO166" s="2" t="str">
        <x:v>https://apps.tpwd.state.tx.us/huntwild/hunt/public/public_hunt_drawing/</x:v>
      </x:c>
      <x:c r="AP166" s="2" t="str">
        <x:v>https://www.google.com/maps/search/?api=1&amp;query=Caprock+Canyons+SP%2C+Texas</x:v>
      </x:c>
      <x:c r="AQ166" s="96" t="n">
        <x:v>0</x:v>
      </x:c>
      <x:c r="AR166" s="2" t="str">
        <x:v>Standard Hastings ranking</x:v>
      </x:c>
    </x:row>
    <x:row r="167">
      <x:c r="A167" s="4" t="str">
        <x:v>No</x:v>
      </x:c>
      <x:c r="B167" s="4" t="str">
        <x:v>A</x:v>
      </x:c>
      <x:c r="C167" s="4" t="str">
        <x:v>Whitetail Deer</x:v>
      </x:c>
      <x:c r="D167" s="4" t="str">
        <x:v>Chaparral WMA</x:v>
      </x:c>
      <x:c r="E167" s="4" t="str">
        <x:v>South Texas / Rio Grande Valley</x:v>
      </x:c>
      <x:c r="F167" s="4" t="str">
        <x:v>Gun Deer - Either Sex</x:v>
      </x:c>
      <x:c r="G167" s="4" t="str">
        <x:v>Yes</x:v>
      </x:c>
      <x:c r="H167" s="4" t="str">
        <x:v>Yes</x:v>
      </x:c>
      <x:c r="I167" s="24" t="str">
        <x:v>2026-09-15</x:v>
      </x:c>
      <x:c r="J167" s="4" t="str">
        <x:v>See TPWD category page</x:v>
      </x:c>
      <x:c r="K167" s="110" t="n">
        <x:v>3</x:v>
      </x:c>
      <x:c r="L167" s="110"/>
      <x:c r="M167" s="4"/>
      <x:c r="N167" s="4"/>
      <x:c r="O167" s="112"/>
      <x:c r="P167" s="4" t="n">
        <x:v>700</x:v>
      </x:c>
      <x:c r="Q167" s="4" t="str">
        <x:v>Long Haul</x:v>
      </x:c>
      <x:c r="R167" s="4" t="str">
        <x:v>Research before draw; property brochure linked from TPWD</x:v>
      </x:c>
      <x:c r="S167" s="4" t="str">
        <x:v>Low</x:v>
      </x:c>
      <x:c r="T167" s="4" t="str">
        <x:v>No</x:v>
      </x:c>
      <x:c r="U167" s="4" t="str">
        <x:v>Verified in TPWD 2026-2027 statewide deer category catalog.</x:v>
      </x:c>
      <x:c r="V167" s="4" t="str">
        <x:v>https://tpwd.texas.gov/huntwild/hunt/public/public_hunt_drawing/hunt-category-details.phtml?OCat=GDE</x:v>
      </x:c>
      <x:c r="W167" s="4" t="n">
        <x:v>2</x:v>
      </x:c>
      <x:c r="X167" s="4" t="n">
        <x:v>1</x:v>
      </x:c>
      <x:c r="Y167" s="4" t="n">
        <x:v>4</x:v>
      </x:c>
      <x:c r="Z167" s="4" t="n">
        <x:v>3</x:v>
      </x:c>
      <x:c r="AA167" s="4" t="n">
        <x:v>2</x:v>
      </x:c>
      <x:c r="AB167" s="4" t="n">
        <x:v>0</x:v>
      </x:c>
      <x:c r="AC167" s="30" t="n">
        <x:v>2.1</x:v>
      </x:c>
      <x:c r="AD167" s="4"/>
      <x:c r="AE167" s="4" t="str">
        <x:v>2026-09-15</x:v>
      </x:c>
      <x:c r="AF167" s="2"/>
      <x:c r="AG167" s="97"/>
      <x:c r="AH167" s="2"/>
      <x:c r="AI167" s="2"/>
      <x:c r="AJ167" s="97"/>
      <x:c r="AK167" s="2"/>
      <x:c r="AL167" s="2"/>
      <x:c r="AM167" s="2" t="str">
        <x:v>https://tpwd.texas.gov/huntwild/hunt/public/public_hunt_drawing/hunt-category-details.phtml?OCat=GDE</x:v>
      </x:c>
      <x:c r="AN167" s="2" t="str">
        <x:v>https://tpwd.texas.gov/search/?q=Chaparral+WMA+public+hunting+brochure</x:v>
      </x:c>
      <x:c r="AO167" s="2" t="str">
        <x:v>https://apps.tpwd.state.tx.us/huntwild/hunt/public/public_hunt_drawing/</x:v>
      </x:c>
      <x:c r="AP167" s="2" t="str">
        <x:v>https://www.google.com/maps/search/?api=1&amp;query=Chaparral+WMA%2C+Texas</x:v>
      </x:c>
      <x:c r="AQ167" s="96" t="n">
        <x:v>0</x:v>
      </x:c>
      <x:c r="AR167" s="2" t="str">
        <x:v>Standard Hastings ranking</x:v>
      </x:c>
    </x:row>
    <x:row r="168">
      <x:c r="A168" s="4" t="str">
        <x:v>No</x:v>
      </x:c>
      <x:c r="B168" s="4" t="str">
        <x:v>A</x:v>
      </x:c>
      <x:c r="C168" s="4" t="str">
        <x:v>Whitetail Deer</x:v>
      </x:c>
      <x:c r="D168" s="4" t="str">
        <x:v>Choke Canyon SP - Calliham Unit</x:v>
      </x:c>
      <x:c r="E168" s="4" t="str">
        <x:v>South Texas / Rio Grande Valley</x:v>
      </x:c>
      <x:c r="F168" s="4" t="str">
        <x:v>Gun Deer - Management</x:v>
      </x:c>
      <x:c r="G168" s="4" t="str">
        <x:v>Yes</x:v>
      </x:c>
      <x:c r="H168" s="4" t="str">
        <x:v>Yes</x:v>
      </x:c>
      <x:c r="I168" s="24" t="str">
        <x:v>2026-09-15</x:v>
      </x:c>
      <x:c r="J168" s="4" t="str">
        <x:v>See TPWD category page</x:v>
      </x:c>
      <x:c r="K168" s="110" t="n">
        <x:v>3</x:v>
      </x:c>
      <x:c r="L168" s="110"/>
      <x:c r="M168" s="4"/>
      <x:c r="N168" s="4"/>
      <x:c r="O168" s="112"/>
      <x:c r="P168" s="4" t="n">
        <x:v>700</x:v>
      </x:c>
      <x:c r="Q168" s="4" t="str">
        <x:v>Long Haul</x:v>
      </x:c>
      <x:c r="R168" s="4" t="str">
        <x:v>Research before draw; property brochure linked from TPWD</x:v>
      </x:c>
      <x:c r="S168" s="4" t="str">
        <x:v>Low</x:v>
      </x:c>
      <x:c r="T168" s="4" t="str">
        <x:v>No</x:v>
      </x:c>
      <x:c r="U168" s="4" t="str">
        <x:v>Verified in TPWD 2026-2027 statewide deer category catalog.</x:v>
      </x:c>
      <x:c r="V168" s="4" t="str">
        <x:v>https://tpwd.texas.gov/huntwild/hunt/public/public_hunt_drawing/hunt-category-details.phtml?OCat=GDM</x:v>
      </x:c>
      <x:c r="W168" s="4" t="n">
        <x:v>2</x:v>
      </x:c>
      <x:c r="X168" s="4" t="n">
        <x:v>1</x:v>
      </x:c>
      <x:c r="Y168" s="4" t="n">
        <x:v>4</x:v>
      </x:c>
      <x:c r="Z168" s="4" t="n">
        <x:v>3</x:v>
      </x:c>
      <x:c r="AA168" s="4" t="n">
        <x:v>2</x:v>
      </x:c>
      <x:c r="AB168" s="4" t="n">
        <x:v>0</x:v>
      </x:c>
      <x:c r="AC168" s="30" t="n">
        <x:v>2.1</x:v>
      </x:c>
      <x:c r="AD168" s="4"/>
      <x:c r="AE168" s="4" t="str">
        <x:v>2026-09-15</x:v>
      </x:c>
      <x:c r="AF168" s="2"/>
      <x:c r="AG168" s="97"/>
      <x:c r="AH168" s="2"/>
      <x:c r="AI168" s="2"/>
      <x:c r="AJ168" s="97"/>
      <x:c r="AK168" s="2"/>
      <x:c r="AL168" s="2"/>
      <x:c r="AM168" s="2" t="str">
        <x:v>https://tpwd.texas.gov/huntwild/hunt/public/public_hunt_drawing/hunt-category-details.phtml?OCat=GDM</x:v>
      </x:c>
      <x:c r="AN168" s="2" t="str">
        <x:v>https://tpwd.texas.gov/search/?q=Choke+Canyon+SP+-+Calliham+Unit+public+hunting+brochure</x:v>
      </x:c>
      <x:c r="AO168" s="2" t="str">
        <x:v>https://apps.tpwd.state.tx.us/huntwild/hunt/public/public_hunt_drawing/</x:v>
      </x:c>
      <x:c r="AP168" s="2" t="str">
        <x:v>https://www.google.com/maps/search/?api=1&amp;query=Choke+Canyon+SP+-+Calliham+Unit%2C+Texas</x:v>
      </x:c>
      <x:c r="AQ168" s="96" t="n">
        <x:v>0</x:v>
      </x:c>
      <x:c r="AR168" s="2" t="str">
        <x:v>Standard Hastings ranking</x:v>
      </x:c>
    </x:row>
    <x:row r="169">
      <x:c r="A169" s="4" t="str">
        <x:v>No</x:v>
      </x:c>
      <x:c r="B169" s="4" t="str">
        <x:v>A</x:v>
      </x:c>
      <x:c r="C169" s="4" t="str">
        <x:v>Whitetail Deer</x:v>
      </x:c>
      <x:c r="D169" s="4" t="str">
        <x:v>Choke Canyon SP - North Shore Unit</x:v>
      </x:c>
      <x:c r="E169" s="4" t="str">
        <x:v>South Texas / Rio Grande Valley</x:v>
      </x:c>
      <x:c r="F169" s="4" t="str">
        <x:v>Gun Deer - Either Sex</x:v>
      </x:c>
      <x:c r="G169" s="4" t="str">
        <x:v>Yes</x:v>
      </x:c>
      <x:c r="H169" s="4" t="str">
        <x:v>Yes</x:v>
      </x:c>
      <x:c r="I169" s="24" t="str">
        <x:v>2026-09-15</x:v>
      </x:c>
      <x:c r="J169" s="4" t="str">
        <x:v>See TPWD category page</x:v>
      </x:c>
      <x:c r="K169" s="110" t="n">
        <x:v>3</x:v>
      </x:c>
      <x:c r="L169" s="110"/>
      <x:c r="M169" s="4"/>
      <x:c r="N169" s="4"/>
      <x:c r="O169" s="112"/>
      <x:c r="P169" s="4" t="n">
        <x:v>700</x:v>
      </x:c>
      <x:c r="Q169" s="4" t="str">
        <x:v>Long Haul</x:v>
      </x:c>
      <x:c r="R169" s="4" t="str">
        <x:v>Research before draw; property brochure linked from TPWD</x:v>
      </x:c>
      <x:c r="S169" s="4" t="str">
        <x:v>Low</x:v>
      </x:c>
      <x:c r="T169" s="4" t="str">
        <x:v>No</x:v>
      </x:c>
      <x:c r="U169" s="4" t="str">
        <x:v>Verified in TPWD 2026-2027 statewide deer category catalog.</x:v>
      </x:c>
      <x:c r="V169" s="4" t="str">
        <x:v>https://tpwd.texas.gov/huntwild/hunt/public/public_hunt_drawing/hunt-category-details.phtml?OCat=GDE</x:v>
      </x:c>
      <x:c r="W169" s="4" t="n">
        <x:v>2</x:v>
      </x:c>
      <x:c r="X169" s="4" t="n">
        <x:v>1</x:v>
      </x:c>
      <x:c r="Y169" s="4" t="n">
        <x:v>4</x:v>
      </x:c>
      <x:c r="Z169" s="4" t="n">
        <x:v>3</x:v>
      </x:c>
      <x:c r="AA169" s="4" t="n">
        <x:v>2</x:v>
      </x:c>
      <x:c r="AB169" s="4" t="n">
        <x:v>0</x:v>
      </x:c>
      <x:c r="AC169" s="30" t="n">
        <x:v>2.1</x:v>
      </x:c>
      <x:c r="AD169" s="4"/>
      <x:c r="AE169" s="4" t="str">
        <x:v>2026-09-15</x:v>
      </x:c>
      <x:c r="AF169" s="2"/>
      <x:c r="AG169" s="97"/>
      <x:c r="AH169" s="2"/>
      <x:c r="AI169" s="2"/>
      <x:c r="AJ169" s="97"/>
      <x:c r="AK169" s="2"/>
      <x:c r="AL169" s="2"/>
      <x:c r="AM169" s="2" t="str">
        <x:v>https://tpwd.texas.gov/huntwild/hunt/public/public_hunt_drawing/hunt-category-details.phtml?OCat=GDE</x:v>
      </x:c>
      <x:c r="AN169" s="2" t="str">
        <x:v>https://tpwd.texas.gov/search/?q=Choke+Canyon+SP+-+North+Shore+Unit+public+hunting+brochure</x:v>
      </x:c>
      <x:c r="AO169" s="2" t="str">
        <x:v>https://apps.tpwd.state.tx.us/huntwild/hunt/public/public_hunt_drawing/</x:v>
      </x:c>
      <x:c r="AP169" s="2" t="str">
        <x:v>https://www.google.com/maps/search/?api=1&amp;query=Choke+Canyon+SP+-+North+Shore+Unit%2C+Texas</x:v>
      </x:c>
      <x:c r="AQ169" s="96" t="n">
        <x:v>0</x:v>
      </x:c>
      <x:c r="AR169" s="2" t="str">
        <x:v>Standard Hastings ranking</x:v>
      </x:c>
    </x:row>
    <x:row r="170">
      <x:c r="A170" s="4" t="str">
        <x:v>No</x:v>
      </x:c>
      <x:c r="B170" s="4" t="str">
        <x:v>A</x:v>
      </x:c>
      <x:c r="C170" s="4" t="str">
        <x:v>Whitetail Deer</x:v>
      </x:c>
      <x:c r="D170" s="4" t="str">
        <x:v>Choke Canyon SP - North Shore Unit</x:v>
      </x:c>
      <x:c r="E170" s="4" t="str">
        <x:v>South Texas / Rio Grande Valley</x:v>
      </x:c>
      <x:c r="F170" s="4" t="str">
        <x:v>Gun Deer - Management</x:v>
      </x:c>
      <x:c r="G170" s="4" t="str">
        <x:v>Yes</x:v>
      </x:c>
      <x:c r="H170" s="4" t="str">
        <x:v>Yes</x:v>
      </x:c>
      <x:c r="I170" s="24" t="str">
        <x:v>2026-09-15</x:v>
      </x:c>
      <x:c r="J170" s="4" t="str">
        <x:v>See TPWD category page</x:v>
      </x:c>
      <x:c r="K170" s="110" t="n">
        <x:v>3</x:v>
      </x:c>
      <x:c r="L170" s="110"/>
      <x:c r="M170" s="4"/>
      <x:c r="N170" s="4"/>
      <x:c r="O170" s="112"/>
      <x:c r="P170" s="4" t="n">
        <x:v>700</x:v>
      </x:c>
      <x:c r="Q170" s="4" t="str">
        <x:v>Long Haul</x:v>
      </x:c>
      <x:c r="R170" s="4" t="str">
        <x:v>Research before draw; property brochure linked from TPWD</x:v>
      </x:c>
      <x:c r="S170" s="4" t="str">
        <x:v>Low</x:v>
      </x:c>
      <x:c r="T170" s="4" t="str">
        <x:v>No</x:v>
      </x:c>
      <x:c r="U170" s="4" t="str">
        <x:v>Verified in TPWD 2026-2027 statewide deer category catalog.</x:v>
      </x:c>
      <x:c r="V170" s="4" t="str">
        <x:v>https://tpwd.texas.gov/huntwild/hunt/public/public_hunt_drawing/hunt-category-details.phtml?OCat=GDM</x:v>
      </x:c>
      <x:c r="W170" s="4" t="n">
        <x:v>2</x:v>
      </x:c>
      <x:c r="X170" s="4" t="n">
        <x:v>1</x:v>
      </x:c>
      <x:c r="Y170" s="4" t="n">
        <x:v>4</x:v>
      </x:c>
      <x:c r="Z170" s="4" t="n">
        <x:v>3</x:v>
      </x:c>
      <x:c r="AA170" s="4" t="n">
        <x:v>2</x:v>
      </x:c>
      <x:c r="AB170" s="4" t="n">
        <x:v>0</x:v>
      </x:c>
      <x:c r="AC170" s="30" t="n">
        <x:v>2.1</x:v>
      </x:c>
      <x:c r="AD170" s="4"/>
      <x:c r="AE170" s="4" t="str">
        <x:v>2026-09-15</x:v>
      </x:c>
      <x:c r="AF170" s="2"/>
      <x:c r="AG170" s="97"/>
      <x:c r="AH170" s="2"/>
      <x:c r="AI170" s="2"/>
      <x:c r="AJ170" s="97"/>
      <x:c r="AK170" s="2"/>
      <x:c r="AL170" s="2"/>
      <x:c r="AM170" s="2" t="str">
        <x:v>https://tpwd.texas.gov/huntwild/hunt/public/public_hunt_drawing/hunt-category-details.phtml?OCat=GDM</x:v>
      </x:c>
      <x:c r="AN170" s="2" t="str">
        <x:v>https://tpwd.texas.gov/search/?q=Choke+Canyon+SP+-+North+Shore+Unit+public+hunting+brochure</x:v>
      </x:c>
      <x:c r="AO170" s="2" t="str">
        <x:v>https://apps.tpwd.state.tx.us/huntwild/hunt/public/public_hunt_drawing/</x:v>
      </x:c>
      <x:c r="AP170" s="2" t="str">
        <x:v>https://www.google.com/maps/search/?api=1&amp;query=Choke+Canyon+SP+-+North+Shore+Unit%2C+Texas</x:v>
      </x:c>
      <x:c r="AQ170" s="96" t="n">
        <x:v>0</x:v>
      </x:c>
      <x:c r="AR170" s="2" t="str">
        <x:v>Standard Hastings ranking</x:v>
      </x:c>
    </x:row>
    <x:row r="171">
      <x:c r="A171" s="4" t="str">
        <x:v>No</x:v>
      </x:c>
      <x:c r="B171" s="4" t="str">
        <x:v>A</x:v>
      </x:c>
      <x:c r="C171" s="4" t="str">
        <x:v>Whitetail Deer</x:v>
      </x:c>
      <x:c r="D171" s="4" t="str">
        <x:v>Choke Canyon SP - South Shore Unit</x:v>
      </x:c>
      <x:c r="E171" s="4" t="str">
        <x:v>South Texas / Rio Grande Valley</x:v>
      </x:c>
      <x:c r="F171" s="4" t="str">
        <x:v>Gun Deer - Management</x:v>
      </x:c>
      <x:c r="G171" s="4" t="str">
        <x:v>Yes</x:v>
      </x:c>
      <x:c r="H171" s="4" t="str">
        <x:v>Yes</x:v>
      </x:c>
      <x:c r="I171" s="24" t="str">
        <x:v>2026-09-15</x:v>
      </x:c>
      <x:c r="J171" s="4" t="str">
        <x:v>See TPWD category page</x:v>
      </x:c>
      <x:c r="K171" s="110" t="n">
        <x:v>3</x:v>
      </x:c>
      <x:c r="L171" s="110"/>
      <x:c r="M171" s="4"/>
      <x:c r="N171" s="4"/>
      <x:c r="O171" s="112"/>
      <x:c r="P171" s="4" t="n">
        <x:v>700</x:v>
      </x:c>
      <x:c r="Q171" s="4" t="str">
        <x:v>Long Haul</x:v>
      </x:c>
      <x:c r="R171" s="4" t="str">
        <x:v>Research before draw; property brochure linked from TPWD</x:v>
      </x:c>
      <x:c r="S171" s="4" t="str">
        <x:v>Low</x:v>
      </x:c>
      <x:c r="T171" s="4" t="str">
        <x:v>No</x:v>
      </x:c>
      <x:c r="U171" s="4" t="str">
        <x:v>Verified in TPWD 2026-2027 statewide deer category catalog.</x:v>
      </x:c>
      <x:c r="V171" s="4" t="str">
        <x:v>https://tpwd.texas.gov/huntwild/hunt/public/public_hunt_drawing/hunt-category-details.phtml?OCat=GDM</x:v>
      </x:c>
      <x:c r="W171" s="4" t="n">
        <x:v>2</x:v>
      </x:c>
      <x:c r="X171" s="4" t="n">
        <x:v>1</x:v>
      </x:c>
      <x:c r="Y171" s="4" t="n">
        <x:v>4</x:v>
      </x:c>
      <x:c r="Z171" s="4" t="n">
        <x:v>3</x:v>
      </x:c>
      <x:c r="AA171" s="4" t="n">
        <x:v>2</x:v>
      </x:c>
      <x:c r="AB171" s="4" t="n">
        <x:v>0</x:v>
      </x:c>
      <x:c r="AC171" s="30" t="n">
        <x:v>2.1</x:v>
      </x:c>
      <x:c r="AD171" s="4"/>
      <x:c r="AE171" s="4" t="str">
        <x:v>2026-09-15</x:v>
      </x:c>
      <x:c r="AF171" s="2"/>
      <x:c r="AG171" s="97"/>
      <x:c r="AH171" s="2"/>
      <x:c r="AI171" s="2"/>
      <x:c r="AJ171" s="97"/>
      <x:c r="AK171" s="2"/>
      <x:c r="AL171" s="2"/>
      <x:c r="AM171" s="2" t="str">
        <x:v>https://tpwd.texas.gov/huntwild/hunt/public/public_hunt_drawing/hunt-category-details.phtml?OCat=GDM</x:v>
      </x:c>
      <x:c r="AN171" s="2" t="str">
        <x:v>https://tpwd.texas.gov/search/?q=Choke+Canyon+SP+-+South+Shore+Unit+public+hunting+brochure</x:v>
      </x:c>
      <x:c r="AO171" s="2" t="str">
        <x:v>https://apps.tpwd.state.tx.us/huntwild/hunt/public/public_hunt_drawing/</x:v>
      </x:c>
      <x:c r="AP171" s="2" t="str">
        <x:v>https://www.google.com/maps/search/?api=1&amp;query=Choke+Canyon+SP+-+South+Shore+Unit%2C+Texas</x:v>
      </x:c>
      <x:c r="AQ171" s="96" t="n">
        <x:v>0</x:v>
      </x:c>
      <x:c r="AR171" s="2" t="str">
        <x:v>Standard Hastings ranking</x:v>
      </x:c>
    </x:row>
    <x:row r="172">
      <x:c r="A172" s="4" t="str">
        <x:v>No</x:v>
      </x:c>
      <x:c r="B172" s="4" t="str">
        <x:v>A</x:v>
      </x:c>
      <x:c r="C172" s="4" t="str">
        <x:v>Whitetail Deer</x:v>
      </x:c>
      <x:c r="D172" s="4" t="str">
        <x:v>Colorado Bend SP</x:v>
      </x:c>
      <x:c r="E172" s="4" t="str">
        <x:v>Central Texas / Austin</x:v>
      </x:c>
      <x:c r="F172" s="4" t="str">
        <x:v>Gun Deer - Antlerless/Spike</x:v>
      </x:c>
      <x:c r="G172" s="4" t="str">
        <x:v>Yes</x:v>
      </x:c>
      <x:c r="H172" s="4" t="str">
        <x:v>Yes</x:v>
      </x:c>
      <x:c r="I172" s="24" t="str">
        <x:v>2026-09-15</x:v>
      </x:c>
      <x:c r="J172" s="4" t="str">
        <x:v>See TPWD category page</x:v>
      </x:c>
      <x:c r="K172" s="110" t="n">
        <x:v>3</x:v>
      </x:c>
      <x:c r="L172" s="110"/>
      <x:c r="M172" s="4"/>
      <x:c r="N172" s="4"/>
      <x:c r="O172" s="112"/>
      <x:c r="P172" s="4" t="n">
        <x:v>490</x:v>
      </x:c>
      <x:c r="Q172" s="4" t="str">
        <x:v>Statewide</x:v>
      </x:c>
      <x:c r="R172" s="4" t="str">
        <x:v>Research before draw; property brochure linked from TPWD</x:v>
      </x:c>
      <x:c r="S172" s="4" t="str">
        <x:v>Low</x:v>
      </x:c>
      <x:c r="T172" s="4" t="str">
        <x:v>No</x:v>
      </x:c>
      <x:c r="U172" s="4" t="str">
        <x:v>Verified in TPWD 2026-2027 statewide deer category catalog.</x:v>
      </x:c>
      <x:c r="V172" s="4" t="str">
        <x:v>https://tpwd.texas.gov/huntwild/hunt/public/public_hunt_drawing/hunt-category-details.phtml?OCat=GDA</x:v>
      </x:c>
      <x:c r="W172" s="4" t="n">
        <x:v>2</x:v>
      </x:c>
      <x:c r="X172" s="4" t="n">
        <x:v>2</x:v>
      </x:c>
      <x:c r="Y172" s="4" t="n">
        <x:v>4</x:v>
      </x:c>
      <x:c r="Z172" s="4" t="n">
        <x:v>3</x:v>
      </x:c>
      <x:c r="AA172" s="4" t="n">
        <x:v>2</x:v>
      </x:c>
      <x:c r="AB172" s="4" t="n">
        <x:v>0</x:v>
      </x:c>
      <x:c r="AC172" s="30" t="n">
        <x:v>2.3</x:v>
      </x:c>
      <x:c r="AD172" s="4"/>
      <x:c r="AE172" s="4" t="str">
        <x:v>2026-09-15</x:v>
      </x:c>
      <x:c r="AF172" s="2"/>
      <x:c r="AG172" s="97"/>
      <x:c r="AH172" s="2"/>
      <x:c r="AI172" s="2"/>
      <x:c r="AJ172" s="97"/>
      <x:c r="AK172" s="2"/>
      <x:c r="AL172" s="2"/>
      <x:c r="AM172" s="2" t="str">
        <x:v>https://tpwd.texas.gov/huntwild/hunt/public/public_hunt_drawing/hunt-category-details.phtml?OCat=GDA</x:v>
      </x:c>
      <x:c r="AN172" s="2" t="str">
        <x:v>https://tpwd.texas.gov/search/?q=Colorado+Bend+SP+public+hunting+brochure</x:v>
      </x:c>
      <x:c r="AO172" s="2" t="str">
        <x:v>https://apps.tpwd.state.tx.us/huntwild/hunt/public/public_hunt_drawing/</x:v>
      </x:c>
      <x:c r="AP172" s="2" t="str">
        <x:v>https://www.google.com/maps/search/?api=1&amp;query=Colorado+Bend+SP%2C+Texas</x:v>
      </x:c>
      <x:c r="AQ172" s="96" t="n">
        <x:v>0</x:v>
      </x:c>
      <x:c r="AR172" s="2" t="str">
        <x:v>Standard Hastings ranking</x:v>
      </x:c>
    </x:row>
    <x:row r="173">
      <x:c r="A173" s="4" t="str">
        <x:v>No</x:v>
      </x:c>
      <x:c r="B173" s="4" t="str">
        <x:v>A</x:v>
      </x:c>
      <x:c r="C173" s="4" t="str">
        <x:v>Whitetail Deer</x:v>
      </x:c>
      <x:c r="D173" s="4" t="str">
        <x:v>Cooper WMA</x:v>
      </x:c>
      <x:c r="E173" s="4" t="str">
        <x:v>North Texas / DFW</x:v>
      </x:c>
      <x:c r="F173" s="4" t="str">
        <x:v>Gun Deer - Antlerless/Spike</x:v>
      </x:c>
      <x:c r="G173" s="4" t="str">
        <x:v>Yes</x:v>
      </x:c>
      <x:c r="H173" s="4" t="str">
        <x:v>Yes</x:v>
      </x:c>
      <x:c r="I173" s="24" t="str">
        <x:v>2026-09-15</x:v>
      </x:c>
      <x:c r="J173" s="4" t="str">
        <x:v>See TPWD category page</x:v>
      </x:c>
      <x:c r="K173" s="110" t="n">
        <x:v>3</x:v>
      </x:c>
      <x:c r="L173" s="110"/>
      <x:c r="M173" s="4"/>
      <x:c r="N173" s="4"/>
      <x:c r="O173" s="112"/>
      <x:c r="P173" s="4" t="n">
        <x:v>360</x:v>
      </x:c>
      <x:c r="Q173" s="4" t="str">
        <x:v>Extended</x:v>
      </x:c>
      <x:c r="R173" s="4" t="str">
        <x:v>Research before draw; property brochure linked from TPWD</x:v>
      </x:c>
      <x:c r="S173" s="4" t="str">
        <x:v>Low</x:v>
      </x:c>
      <x:c r="T173" s="4" t="str">
        <x:v>No</x:v>
      </x:c>
      <x:c r="U173" s="4" t="str">
        <x:v>Verified in TPWD 2026-2027 statewide deer category catalog.</x:v>
      </x:c>
      <x:c r="V173" s="4" t="str">
        <x:v>https://tpwd.texas.gov/huntwild/hunt/public/public_hunt_drawing/hunt-category-details.phtml?OCat=GDA</x:v>
      </x:c>
      <x:c r="W173" s="4" t="n">
        <x:v>2</x:v>
      </x:c>
      <x:c r="X173" s="4" t="n">
        <x:v>3</x:v>
      </x:c>
      <x:c r="Y173" s="4" t="n">
        <x:v>4</x:v>
      </x:c>
      <x:c r="Z173" s="4" t="n">
        <x:v>3</x:v>
      </x:c>
      <x:c r="AA173" s="4" t="n">
        <x:v>2</x:v>
      </x:c>
      <x:c r="AB173" s="4" t="n">
        <x:v>0</x:v>
      </x:c>
      <x:c r="AC173" s="30" t="n">
        <x:v>2.5</x:v>
      </x:c>
      <x:c r="AD173" s="4"/>
      <x:c r="AE173" s="4" t="str">
        <x:v>2026-09-15</x:v>
      </x:c>
      <x:c r="AF173" s="2"/>
      <x:c r="AG173" s="97"/>
      <x:c r="AH173" s="2"/>
      <x:c r="AI173" s="2"/>
      <x:c r="AJ173" s="97"/>
      <x:c r="AK173" s="2"/>
      <x:c r="AL173" s="2"/>
      <x:c r="AM173" s="2" t="str">
        <x:v>https://tpwd.texas.gov/huntwild/hunt/public/public_hunt_drawing/hunt-category-details.phtml?OCat=GDA</x:v>
      </x:c>
      <x:c r="AN173" s="2" t="str">
        <x:v>https://tpwd.texas.gov/search/?q=Cooper+WMA+public+hunting+brochure</x:v>
      </x:c>
      <x:c r="AO173" s="2" t="str">
        <x:v>https://apps.tpwd.state.tx.us/huntwild/hunt/public/public_hunt_drawing/</x:v>
      </x:c>
      <x:c r="AP173" s="2" t="str">
        <x:v>https://www.google.com/maps/search/?api=1&amp;query=Cooper+WMA%2C+Texas</x:v>
      </x:c>
      <x:c r="AQ173" s="96" t="n">
        <x:v>0</x:v>
      </x:c>
      <x:c r="AR173" s="2" t="str">
        <x:v>Standard Hastings ranking</x:v>
      </x:c>
    </x:row>
    <x:row r="174">
      <x:c r="A174" s="4" t="str">
        <x:v>No</x:v>
      </x:c>
      <x:c r="B174" s="4" t="str">
        <x:v>A</x:v>
      </x:c>
      <x:c r="C174" s="4" t="str">
        <x:v>Whitetail Deer</x:v>
      </x:c>
      <x:c r="D174" s="4" t="str">
        <x:v>Copper Breaks SP</x:v>
      </x:c>
      <x:c r="E174" s="4" t="str">
        <x:v>West-Central Texas</x:v>
      </x:c>
      <x:c r="F174" s="4" t="str">
        <x:v>Gun Deer - Antlerless/Spike</x:v>
      </x:c>
      <x:c r="G174" s="4" t="str">
        <x:v>Yes</x:v>
      </x:c>
      <x:c r="H174" s="4" t="str">
        <x:v>Yes</x:v>
      </x:c>
      <x:c r="I174" s="24" t="str">
        <x:v>2026-09-15</x:v>
      </x:c>
      <x:c r="J174" s="4" t="str">
        <x:v>See TPWD category page</x:v>
      </x:c>
      <x:c r="K174" s="110" t="n">
        <x:v>3</x:v>
      </x:c>
      <x:c r="L174" s="110"/>
      <x:c r="M174" s="4"/>
      <x:c r="N174" s="4"/>
      <x:c r="O174" s="112"/>
      <x:c r="P174" s="4" t="n">
        <x:v>300</x:v>
      </x:c>
      <x:c r="Q174" s="4" t="str">
        <x:v>Extended</x:v>
      </x:c>
      <x:c r="R174" s="4" t="str">
        <x:v>Research before draw; property brochure linked from TPWD</x:v>
      </x:c>
      <x:c r="S174" s="4" t="str">
        <x:v>Low</x:v>
      </x:c>
      <x:c r="T174" s="4" t="str">
        <x:v>No</x:v>
      </x:c>
      <x:c r="U174" s="4" t="str">
        <x:v>Verified in TPWD 2026-2027 statewide deer category catalog.</x:v>
      </x:c>
      <x:c r="V174" s="4" t="str">
        <x:v>https://tpwd.texas.gov/huntwild/hunt/public/public_hunt_drawing/hunt-category-details.phtml?OCat=GDA</x:v>
      </x:c>
      <x:c r="W174" s="4" t="n">
        <x:v>2</x:v>
      </x:c>
      <x:c r="X174" s="4" t="n">
        <x:v>4</x:v>
      </x:c>
      <x:c r="Y174" s="4" t="n">
        <x:v>4</x:v>
      </x:c>
      <x:c r="Z174" s="4" t="n">
        <x:v>3</x:v>
      </x:c>
      <x:c r="AA174" s="4" t="n">
        <x:v>2</x:v>
      </x:c>
      <x:c r="AB174" s="4" t="n">
        <x:v>0</x:v>
      </x:c>
      <x:c r="AC174" s="30" t="n">
        <x:v>2.6</x:v>
      </x:c>
      <x:c r="AD174" s="4"/>
      <x:c r="AE174" s="4" t="str">
        <x:v>2026-09-15</x:v>
      </x:c>
      <x:c r="AF174" s="2"/>
      <x:c r="AG174" s="97"/>
      <x:c r="AH174" s="2"/>
      <x:c r="AI174" s="2"/>
      <x:c r="AJ174" s="97"/>
      <x:c r="AK174" s="2"/>
      <x:c r="AL174" s="2"/>
      <x:c r="AM174" s="2" t="str">
        <x:v>https://tpwd.texas.gov/huntwild/hunt/public/public_hunt_drawing/hunt-category-details.phtml?OCat=GDA</x:v>
      </x:c>
      <x:c r="AN174" s="2" t="str">
        <x:v>https://tpwd.texas.gov/search/?q=Copper+Breaks+SP+public+hunting+brochure</x:v>
      </x:c>
      <x:c r="AO174" s="2" t="str">
        <x:v>https://apps.tpwd.state.tx.us/huntwild/hunt/public/public_hunt_drawing/</x:v>
      </x:c>
      <x:c r="AP174" s="2" t="str">
        <x:v>https://www.google.com/maps/search/?api=1&amp;query=Copper+Breaks+SP%2C+Texas</x:v>
      </x:c>
      <x:c r="AQ174" s="96" t="n">
        <x:v>0</x:v>
      </x:c>
      <x:c r="AR174" s="2" t="str">
        <x:v>Standard Hastings ranking</x:v>
      </x:c>
    </x:row>
    <x:row r="175">
      <x:c r="A175" s="4" t="str">
        <x:v>No</x:v>
      </x:c>
      <x:c r="B175" s="4" t="str">
        <x:v>A</x:v>
      </x:c>
      <x:c r="C175" s="4" t="str">
        <x:v>Whitetail Deer</x:v>
      </x:c>
      <x:c r="D175" s="4" t="str">
        <x:v>Devil's Sinkhole SNA</x:v>
      </x:c>
      <x:c r="E175" s="4" t="str">
        <x:v>Hill Country / San Antonio</x:v>
      </x:c>
      <x:c r="F175" s="4" t="str">
        <x:v>Gun Deer - Antlerless/Spike</x:v>
      </x:c>
      <x:c r="G175" s="4" t="str">
        <x:v>Yes</x:v>
      </x:c>
      <x:c r="H175" s="4" t="str">
        <x:v>Yes</x:v>
      </x:c>
      <x:c r="I175" s="24" t="str">
        <x:v>2026-09-15</x:v>
      </x:c>
      <x:c r="J175" s="4" t="str">
        <x:v>See TPWD category page</x:v>
      </x:c>
      <x:c r="K175" s="110" t="n">
        <x:v>3</x:v>
      </x:c>
      <x:c r="L175" s="110"/>
      <x:c r="M175" s="4"/>
      <x:c r="N175" s="4"/>
      <x:c r="O175" s="112"/>
      <x:c r="P175" s="4" t="n">
        <x:v>520</x:v>
      </x:c>
      <x:c r="Q175" s="4" t="str">
        <x:v>Statewide</x:v>
      </x:c>
      <x:c r="R175" s="4" t="str">
        <x:v>Research before draw; property brochure linked from TPWD</x:v>
      </x:c>
      <x:c r="S175" s="4" t="str">
        <x:v>Low</x:v>
      </x:c>
      <x:c r="T175" s="4" t="str">
        <x:v>No</x:v>
      </x:c>
      <x:c r="U175" s="4" t="str">
        <x:v>Verified in TPWD 2026-2027 statewide deer category catalog.</x:v>
      </x:c>
      <x:c r="V175" s="4" t="str">
        <x:v>https://tpwd.texas.gov/huntwild/hunt/public/public_hunt_drawing/hunt-category-details.phtml?OCat=GDA</x:v>
      </x:c>
      <x:c r="W175" s="4" t="n">
        <x:v>2</x:v>
      </x:c>
      <x:c r="X175" s="4" t="n">
        <x:v>2</x:v>
      </x:c>
      <x:c r="Y175" s="4" t="n">
        <x:v>4</x:v>
      </x:c>
      <x:c r="Z175" s="4" t="n">
        <x:v>3</x:v>
      </x:c>
      <x:c r="AA175" s="4" t="n">
        <x:v>2</x:v>
      </x:c>
      <x:c r="AB175" s="4" t="n">
        <x:v>0</x:v>
      </x:c>
      <x:c r="AC175" s="30" t="n">
        <x:v>2.3</x:v>
      </x:c>
      <x:c r="AD175" s="4"/>
      <x:c r="AE175" s="4" t="str">
        <x:v>2026-09-15</x:v>
      </x:c>
      <x:c r="AF175" s="2"/>
      <x:c r="AG175" s="97"/>
      <x:c r="AH175" s="2"/>
      <x:c r="AI175" s="2"/>
      <x:c r="AJ175" s="97"/>
      <x:c r="AK175" s="2"/>
      <x:c r="AL175" s="2"/>
      <x:c r="AM175" s="2" t="str">
        <x:v>https://tpwd.texas.gov/huntwild/hunt/public/public_hunt_drawing/hunt-category-details.phtml?OCat=GDA</x:v>
      </x:c>
      <x:c r="AN175" s="2" t="str">
        <x:v>https://tpwd.texas.gov/search/?q=Devil%27s+Sinkhole+SNA+public+hunting+brochure</x:v>
      </x:c>
      <x:c r="AO175" s="2" t="str">
        <x:v>https://apps.tpwd.state.tx.us/huntwild/hunt/public/public_hunt_drawing/</x:v>
      </x:c>
      <x:c r="AP175" s="2" t="str">
        <x:v>https://www.google.com/maps/search/?api=1&amp;query=Devil%27s+Sinkhole+SNA%2C+Texas</x:v>
      </x:c>
      <x:c r="AQ175" s="96" t="n">
        <x:v>0</x:v>
      </x:c>
      <x:c r="AR175" s="2" t="str">
        <x:v>Standard Hastings ranking</x:v>
      </x:c>
    </x:row>
    <x:row r="176">
      <x:c r="A176" s="4" t="str">
        <x:v>No</x:v>
      </x:c>
      <x:c r="B176" s="4" t="str">
        <x:v>A</x:v>
      </x:c>
      <x:c r="C176" s="4" t="str">
        <x:v>Whitetail Deer</x:v>
      </x:c>
      <x:c r="D176" s="4" t="str">
        <x:v>Devils River SNA - Del Norte Unit</x:v>
      </x:c>
      <x:c r="E176" s="4" t="str">
        <x:v>Trans-Pecos / West Texas</x:v>
      </x:c>
      <x:c r="F176" s="4" t="str">
        <x:v>Gun Deer - Management</x:v>
      </x:c>
      <x:c r="G176" s="4" t="str">
        <x:v>Yes</x:v>
      </x:c>
      <x:c r="H176" s="4" t="str">
        <x:v>Yes</x:v>
      </x:c>
      <x:c r="I176" s="24" t="str">
        <x:v>2026-09-15</x:v>
      </x:c>
      <x:c r="J176" s="4" t="str">
        <x:v>See TPWD category page</x:v>
      </x:c>
      <x:c r="K176" s="110" t="n">
        <x:v>3</x:v>
      </x:c>
      <x:c r="L176" s="110"/>
      <x:c r="M176" s="4"/>
      <x:c r="N176" s="4"/>
      <x:c r="O176" s="112"/>
      <x:c r="P176" s="4" t="n">
        <x:v>520</x:v>
      </x:c>
      <x:c r="Q176" s="4" t="str">
        <x:v>Statewide</x:v>
      </x:c>
      <x:c r="R176" s="4" t="str">
        <x:v>Research before draw; property brochure linked from TPWD</x:v>
      </x:c>
      <x:c r="S176" s="4" t="str">
        <x:v>High</x:v>
      </x:c>
      <x:c r="T176" s="4" t="str">
        <x:v>No</x:v>
      </x:c>
      <x:c r="U176" s="4" t="str">
        <x:v>Verified in TPWD 2026-2027 statewide deer category catalog. West Texas/El Paso-region opportunity; prioritize for mule deer adventure value.</x:v>
      </x:c>
      <x:c r="V176" s="4" t="str">
        <x:v>https://tpwd.texas.gov/huntwild/hunt/public/public_hunt_drawing/hunt-category-details.phtml?OCat=GDM</x:v>
      </x:c>
      <x:c r="W176" s="4" t="n">
        <x:v>2</x:v>
      </x:c>
      <x:c r="X176" s="4" t="n">
        <x:v>2</x:v>
      </x:c>
      <x:c r="Y176" s="4" t="n">
        <x:v>4</x:v>
      </x:c>
      <x:c r="Z176" s="4" t="n">
        <x:v>3</x:v>
      </x:c>
      <x:c r="AA176" s="4" t="n">
        <x:v>4</x:v>
      </x:c>
      <x:c r="AB176" s="4" t="n">
        <x:v>0</x:v>
      </x:c>
      <x:c r="AC176" s="30" t="n">
        <x:v>2.5</x:v>
      </x:c>
      <x:c r="AD176" s="4"/>
      <x:c r="AE176" s="4" t="str">
        <x:v>2026-09-15</x:v>
      </x:c>
      <x:c r="AF176" s="2"/>
      <x:c r="AG176" s="97"/>
      <x:c r="AH176" s="2"/>
      <x:c r="AI176" s="2"/>
      <x:c r="AJ176" s="97"/>
      <x:c r="AK176" s="2"/>
      <x:c r="AL176" s="2"/>
      <x:c r="AM176" s="2" t="str">
        <x:v>https://tpwd.texas.gov/huntwild/hunt/public/public_hunt_drawing/hunt-category-details.phtml?OCat=GDM</x:v>
      </x:c>
      <x:c r="AN176" s="2" t="str">
        <x:v>https://tpwd.texas.gov/search/?q=Devils+River+SNA+-+Del+Norte+Unit+public+hunting+brochure</x:v>
      </x:c>
      <x:c r="AO176" s="2" t="str">
        <x:v>https://apps.tpwd.state.tx.us/huntwild/hunt/public/public_hunt_drawing/</x:v>
      </x:c>
      <x:c r="AP176" s="2" t="str">
        <x:v>https://www.google.com/maps/search/?api=1&amp;query=Devils+River+SNA+-+Del+Norte+Unit%2C+Texas</x:v>
      </x:c>
      <x:c r="AQ176" s="96" t="n">
        <x:v>0</x:v>
      </x:c>
      <x:c r="AR176" s="2" t="str">
        <x:v>Standard Hastings ranking</x:v>
      </x:c>
    </x:row>
    <x:row r="177">
      <x:c r="A177" s="4" t="str">
        <x:v>No</x:v>
      </x:c>
      <x:c r="B177" s="4" t="str">
        <x:v>A</x:v>
      </x:c>
      <x:c r="C177" s="4" t="str">
        <x:v>Whitetail Deer</x:v>
      </x:c>
      <x:c r="D177" s="4" t="str">
        <x:v>Dinosaur Valley SP</x:v>
      </x:c>
      <x:c r="E177" s="4" t="str">
        <x:v>Statewide / Other</x:v>
      </x:c>
      <x:c r="F177" s="4" t="str">
        <x:v>Gun Deer - Antlerless/Spike</x:v>
      </x:c>
      <x:c r="G177" s="4" t="str">
        <x:v>Yes</x:v>
      </x:c>
      <x:c r="H177" s="4" t="str">
        <x:v>Yes</x:v>
      </x:c>
      <x:c r="I177" s="24" t="str">
        <x:v>2026-09-15</x:v>
      </x:c>
      <x:c r="J177" s="4" t="str">
        <x:v>See TPWD category page</x:v>
      </x:c>
      <x:c r="K177" s="110" t="n">
        <x:v>3</x:v>
      </x:c>
      <x:c r="L177" s="110"/>
      <x:c r="M177" s="4"/>
      <x:c r="N177" s="4"/>
      <x:c r="O177" s="112"/>
      <x:c r="P177" s="4" t="n">
        <x:v>500</x:v>
      </x:c>
      <x:c r="Q177" s="4" t="str">
        <x:v>Statewide</x:v>
      </x:c>
      <x:c r="R177" s="4" t="str">
        <x:v>Research before draw; property brochure linked from TPWD</x:v>
      </x:c>
      <x:c r="S177" s="4" t="str">
        <x:v>Low</x:v>
      </x:c>
      <x:c r="T177" s="4" t="str">
        <x:v>No</x:v>
      </x:c>
      <x:c r="U177" s="4" t="str">
        <x:v>Verified in TPWD 2026-2027 statewide deer category catalog.</x:v>
      </x:c>
      <x:c r="V177" s="4" t="str">
        <x:v>https://tpwd.texas.gov/huntwild/hunt/public/public_hunt_drawing/hunt-category-details.phtml?OCat=GDA</x:v>
      </x:c>
      <x:c r="W177" s="4" t="n">
        <x:v>2</x:v>
      </x:c>
      <x:c r="X177" s="4" t="n">
        <x:v>2</x:v>
      </x:c>
      <x:c r="Y177" s="4" t="n">
        <x:v>4</x:v>
      </x:c>
      <x:c r="Z177" s="4" t="n">
        <x:v>3</x:v>
      </x:c>
      <x:c r="AA177" s="4" t="n">
        <x:v>2</x:v>
      </x:c>
      <x:c r="AB177" s="4" t="n">
        <x:v>0</x:v>
      </x:c>
      <x:c r="AC177" s="30" t="n">
        <x:v>2.3</x:v>
      </x:c>
      <x:c r="AD177" s="4"/>
      <x:c r="AE177" s="4" t="str">
        <x:v>2026-09-15</x:v>
      </x:c>
      <x:c r="AF177" s="2"/>
      <x:c r="AG177" s="97"/>
      <x:c r="AH177" s="2"/>
      <x:c r="AI177" s="2"/>
      <x:c r="AJ177" s="97"/>
      <x:c r="AK177" s="2"/>
      <x:c r="AL177" s="2"/>
      <x:c r="AM177" s="2" t="str">
        <x:v>https://tpwd.texas.gov/huntwild/hunt/public/public_hunt_drawing/hunt-category-details.phtml?OCat=GDA</x:v>
      </x:c>
      <x:c r="AN177" s="2" t="str">
        <x:v>https://tpwd.texas.gov/search/?q=Dinosaur+Valley+SP+public+hunting+brochure</x:v>
      </x:c>
      <x:c r="AO177" s="2" t="str">
        <x:v>https://apps.tpwd.state.tx.us/huntwild/hunt/public/public_hunt_drawing/</x:v>
      </x:c>
      <x:c r="AP177" s="2" t="str">
        <x:v>https://www.google.com/maps/search/?api=1&amp;query=Dinosaur+Valley+SP%2C+Texas</x:v>
      </x:c>
      <x:c r="AQ177" s="96" t="n">
        <x:v>0</x:v>
      </x:c>
      <x:c r="AR177" s="2" t="str">
        <x:v>Standard Hastings ranking</x:v>
      </x:c>
    </x:row>
    <x:row r="178">
      <x:c r="A178" s="4" t="str">
        <x:v>No</x:v>
      </x:c>
      <x:c r="B178" s="4" t="str">
        <x:v>A</x:v>
      </x:c>
      <x:c r="C178" s="4" t="str">
        <x:v>Whitetail Deer</x:v>
      </x:c>
      <x:c r="D178" s="4" t="str">
        <x:v>Dinosaur Valley SP</x:v>
      </x:c>
      <x:c r="E178" s="4" t="str">
        <x:v>Statewide / Other</x:v>
      </x:c>
      <x:c r="F178" s="4" t="str">
        <x:v>Gun Deer - Either Sex</x:v>
      </x:c>
      <x:c r="G178" s="4" t="str">
        <x:v>Yes</x:v>
      </x:c>
      <x:c r="H178" s="4" t="str">
        <x:v>Yes</x:v>
      </x:c>
      <x:c r="I178" s="24" t="str">
        <x:v>2026-09-15</x:v>
      </x:c>
      <x:c r="J178" s="4" t="str">
        <x:v>See TPWD category page</x:v>
      </x:c>
      <x:c r="K178" s="110" t="n">
        <x:v>3</x:v>
      </x:c>
      <x:c r="L178" s="110"/>
      <x:c r="M178" s="4"/>
      <x:c r="N178" s="4"/>
      <x:c r="O178" s="112"/>
      <x:c r="P178" s="4" t="n">
        <x:v>500</x:v>
      </x:c>
      <x:c r="Q178" s="4" t="str">
        <x:v>Statewide</x:v>
      </x:c>
      <x:c r="R178" s="4" t="str">
        <x:v>Research before draw; property brochure linked from TPWD</x:v>
      </x:c>
      <x:c r="S178" s="4" t="str">
        <x:v>Low</x:v>
      </x:c>
      <x:c r="T178" s="4" t="str">
        <x:v>No</x:v>
      </x:c>
      <x:c r="U178" s="4" t="str">
        <x:v>Verified in TPWD 2026-2027 statewide deer category catalog.</x:v>
      </x:c>
      <x:c r="V178" s="4" t="str">
        <x:v>https://tpwd.texas.gov/huntwild/hunt/public/public_hunt_drawing/hunt-category-details.phtml?OCat=GDE</x:v>
      </x:c>
      <x:c r="W178" s="4" t="n">
        <x:v>2</x:v>
      </x:c>
      <x:c r="X178" s="4" t="n">
        <x:v>2</x:v>
      </x:c>
      <x:c r="Y178" s="4" t="n">
        <x:v>4</x:v>
      </x:c>
      <x:c r="Z178" s="4" t="n">
        <x:v>3</x:v>
      </x:c>
      <x:c r="AA178" s="4" t="n">
        <x:v>2</x:v>
      </x:c>
      <x:c r="AB178" s="4" t="n">
        <x:v>0</x:v>
      </x:c>
      <x:c r="AC178" s="30" t="n">
        <x:v>2.3</x:v>
      </x:c>
      <x:c r="AD178" s="4"/>
      <x:c r="AE178" s="4" t="str">
        <x:v>2026-09-15</x:v>
      </x:c>
      <x:c r="AF178" s="2"/>
      <x:c r="AG178" s="97"/>
      <x:c r="AH178" s="2"/>
      <x:c r="AI178" s="2"/>
      <x:c r="AJ178" s="97"/>
      <x:c r="AK178" s="2"/>
      <x:c r="AL178" s="2"/>
      <x:c r="AM178" s="2" t="str">
        <x:v>https://tpwd.texas.gov/huntwild/hunt/public/public_hunt_drawing/hunt-category-details.phtml?OCat=GDE</x:v>
      </x:c>
      <x:c r="AN178" s="2" t="str">
        <x:v>https://tpwd.texas.gov/search/?q=Dinosaur+Valley+SP+public+hunting+brochure</x:v>
      </x:c>
      <x:c r="AO178" s="2" t="str">
        <x:v>https://apps.tpwd.state.tx.us/huntwild/hunt/public/public_hunt_drawing/</x:v>
      </x:c>
      <x:c r="AP178" s="2" t="str">
        <x:v>https://www.google.com/maps/search/?api=1&amp;query=Dinosaur+Valley+SP%2C+Texas</x:v>
      </x:c>
      <x:c r="AQ178" s="96" t="n">
        <x:v>0</x:v>
      </x:c>
      <x:c r="AR178" s="2" t="str">
        <x:v>Standard Hastings ranking</x:v>
      </x:c>
    </x:row>
    <x:row r="179">
      <x:c r="A179" s="4" t="str">
        <x:v>No</x:v>
      </x:c>
      <x:c r="B179" s="4" t="str">
        <x:v>A</x:v>
      </x:c>
      <x:c r="C179" s="4" t="str">
        <x:v>Whitetail Deer</x:v>
      </x:c>
      <x:c r="D179" s="4" t="str">
        <x:v>Elephant Mountain WMA</x:v>
      </x:c>
      <x:c r="E179" s="4" t="str">
        <x:v>Trans-Pecos / West Texas</x:v>
      </x:c>
      <x:c r="F179" s="4" t="str">
        <x:v>Gun Deer - Management</x:v>
      </x:c>
      <x:c r="G179" s="4" t="str">
        <x:v>Yes</x:v>
      </x:c>
      <x:c r="H179" s="4" t="str">
        <x:v>Yes</x:v>
      </x:c>
      <x:c r="I179" s="24" t="str">
        <x:v>2026-09-15</x:v>
      </x:c>
      <x:c r="J179" s="4" t="str">
        <x:v>See TPWD category page</x:v>
      </x:c>
      <x:c r="K179" s="110" t="n">
        <x:v>3</x:v>
      </x:c>
      <x:c r="L179" s="110"/>
      <x:c r="M179" s="4"/>
      <x:c r="N179" s="4"/>
      <x:c r="O179" s="112"/>
      <x:c r="P179" s="4" t="n">
        <x:v>520</x:v>
      </x:c>
      <x:c r="Q179" s="4" t="str">
        <x:v>Statewide</x:v>
      </x:c>
      <x:c r="R179" s="4" t="str">
        <x:v>Research before draw; property brochure linked from TPWD</x:v>
      </x:c>
      <x:c r="S179" s="4" t="str">
        <x:v>High</x:v>
      </x:c>
      <x:c r="T179" s="4" t="str">
        <x:v>No</x:v>
      </x:c>
      <x:c r="U179" s="4" t="str">
        <x:v>Verified in TPWD 2026-2027 statewide deer category catalog. West Texas/El Paso-region opportunity; prioritize for mule deer adventure value.</x:v>
      </x:c>
      <x:c r="V179" s="4" t="str">
        <x:v>https://tpwd.texas.gov/huntwild/hunt/public/public_hunt_drawing/hunt-category-details.phtml?OCat=GDM</x:v>
      </x:c>
      <x:c r="W179" s="4" t="n">
        <x:v>2</x:v>
      </x:c>
      <x:c r="X179" s="4" t="n">
        <x:v>2</x:v>
      </x:c>
      <x:c r="Y179" s="4" t="n">
        <x:v>4</x:v>
      </x:c>
      <x:c r="Z179" s="4" t="n">
        <x:v>3</x:v>
      </x:c>
      <x:c r="AA179" s="4" t="n">
        <x:v>4</x:v>
      </x:c>
      <x:c r="AB179" s="4" t="n">
        <x:v>0</x:v>
      </x:c>
      <x:c r="AC179" s="30" t="n">
        <x:v>2.5</x:v>
      </x:c>
      <x:c r="AD179" s="4"/>
      <x:c r="AE179" s="4" t="str">
        <x:v>2026-09-15</x:v>
      </x:c>
      <x:c r="AF179" s="2"/>
      <x:c r="AG179" s="97"/>
      <x:c r="AH179" s="2"/>
      <x:c r="AI179" s="2"/>
      <x:c r="AJ179" s="97"/>
      <x:c r="AK179" s="2"/>
      <x:c r="AL179" s="2"/>
      <x:c r="AM179" s="2" t="str">
        <x:v>https://tpwd.texas.gov/huntwild/hunt/public/public_hunt_drawing/hunt-category-details.phtml?OCat=GDM</x:v>
      </x:c>
      <x:c r="AN179" s="2" t="str">
        <x:v>https://tpwd.texas.gov/search/?q=Elephant+Mountain+WMA+public+hunting+brochure</x:v>
      </x:c>
      <x:c r="AO179" s="2" t="str">
        <x:v>https://apps.tpwd.state.tx.us/huntwild/hunt/public/public_hunt_drawing/</x:v>
      </x:c>
      <x:c r="AP179" s="2" t="str">
        <x:v>https://www.google.com/maps/search/?api=1&amp;query=Elephant+Mountain+WMA%2C+Texas</x:v>
      </x:c>
      <x:c r="AQ179" s="96" t="n">
        <x:v>0</x:v>
      </x:c>
      <x:c r="AR179" s="2" t="str">
        <x:v>Standard Hastings ranking</x:v>
      </x:c>
    </x:row>
    <x:row r="180">
      <x:c r="A180" s="4" t="str">
        <x:v>No</x:v>
      </x:c>
      <x:c r="B180" s="4" t="str">
        <x:v>A</x:v>
      </x:c>
      <x:c r="C180" s="4" t="str">
        <x:v>Whitetail Deer</x:v>
      </x:c>
      <x:c r="D180" s="4" t="str">
        <x:v>Enchanted Rock SNA</x:v>
      </x:c>
      <x:c r="E180" s="4" t="str">
        <x:v>Hill Country / San Antonio</x:v>
      </x:c>
      <x:c r="F180" s="4" t="str">
        <x:v>Gun Deer - Antlerless/Spike</x:v>
      </x:c>
      <x:c r="G180" s="4" t="str">
        <x:v>Yes</x:v>
      </x:c>
      <x:c r="H180" s="4" t="str">
        <x:v>Yes</x:v>
      </x:c>
      <x:c r="I180" s="24" t="str">
        <x:v>2026-09-15</x:v>
      </x:c>
      <x:c r="J180" s="4" t="str">
        <x:v>See TPWD category page</x:v>
      </x:c>
      <x:c r="K180" s="110" t="n">
        <x:v>3</x:v>
      </x:c>
      <x:c r="L180" s="110"/>
      <x:c r="M180" s="4"/>
      <x:c r="N180" s="4"/>
      <x:c r="O180" s="112"/>
      <x:c r="P180" s="4" t="n">
        <x:v>520</x:v>
      </x:c>
      <x:c r="Q180" s="4" t="str">
        <x:v>Statewide</x:v>
      </x:c>
      <x:c r="R180" s="4" t="str">
        <x:v>Research before draw; property brochure linked from TPWD</x:v>
      </x:c>
      <x:c r="S180" s="4" t="str">
        <x:v>Low</x:v>
      </x:c>
      <x:c r="T180" s="4" t="str">
        <x:v>No</x:v>
      </x:c>
      <x:c r="U180" s="4" t="str">
        <x:v>Verified in TPWD 2026-2027 statewide deer category catalog.</x:v>
      </x:c>
      <x:c r="V180" s="4" t="str">
        <x:v>https://tpwd.texas.gov/huntwild/hunt/public/public_hunt_drawing/hunt-category-details.phtml?OCat=GDA</x:v>
      </x:c>
      <x:c r="W180" s="4" t="n">
        <x:v>2</x:v>
      </x:c>
      <x:c r="X180" s="4" t="n">
        <x:v>2</x:v>
      </x:c>
      <x:c r="Y180" s="4" t="n">
        <x:v>4</x:v>
      </x:c>
      <x:c r="Z180" s="4" t="n">
        <x:v>3</x:v>
      </x:c>
      <x:c r="AA180" s="4" t="n">
        <x:v>2</x:v>
      </x:c>
      <x:c r="AB180" s="4" t="n">
        <x:v>0</x:v>
      </x:c>
      <x:c r="AC180" s="30" t="n">
        <x:v>2.3</x:v>
      </x:c>
      <x:c r="AD180" s="4"/>
      <x:c r="AE180" s="4" t="str">
        <x:v>2026-09-15</x:v>
      </x:c>
      <x:c r="AF180" s="2"/>
      <x:c r="AG180" s="97"/>
      <x:c r="AH180" s="2"/>
      <x:c r="AI180" s="2"/>
      <x:c r="AJ180" s="97"/>
      <x:c r="AK180" s="2"/>
      <x:c r="AL180" s="2"/>
      <x:c r="AM180" s="2" t="str">
        <x:v>https://tpwd.texas.gov/huntwild/hunt/public/public_hunt_drawing/hunt-category-details.phtml?OCat=GDA</x:v>
      </x:c>
      <x:c r="AN180" s="2" t="str">
        <x:v>https://tpwd.texas.gov/search/?q=Enchanted+Rock+SNA+public+hunting+brochure</x:v>
      </x:c>
      <x:c r="AO180" s="2" t="str">
        <x:v>https://apps.tpwd.state.tx.us/huntwild/hunt/public/public_hunt_drawing/</x:v>
      </x:c>
      <x:c r="AP180" s="2" t="str">
        <x:v>https://www.google.com/maps/search/?api=1&amp;query=Enchanted+Rock+SNA%2C+Texas</x:v>
      </x:c>
      <x:c r="AQ180" s="96" t="n">
        <x:v>0</x:v>
      </x:c>
      <x:c r="AR180" s="2" t="str">
        <x:v>Standard Hastings ranking</x:v>
      </x:c>
    </x:row>
    <x:row r="181">
      <x:c r="A181" s="4" t="str">
        <x:v>No</x:v>
      </x:c>
      <x:c r="B181" s="4" t="str">
        <x:v>A</x:v>
      </x:c>
      <x:c r="C181" s="4" t="str">
        <x:v>Whitetail Deer</x:v>
      </x:c>
      <x:c r="D181" s="4" t="str">
        <x:v>Enchanted Rock SNA</x:v>
      </x:c>
      <x:c r="E181" s="4" t="str">
        <x:v>Hill Country / San Antonio</x:v>
      </x:c>
      <x:c r="F181" s="4" t="str">
        <x:v>Gun Deer - Either Sex</x:v>
      </x:c>
      <x:c r="G181" s="4" t="str">
        <x:v>Yes</x:v>
      </x:c>
      <x:c r="H181" s="4" t="str">
        <x:v>Yes</x:v>
      </x:c>
      <x:c r="I181" s="24" t="str">
        <x:v>2026-09-15</x:v>
      </x:c>
      <x:c r="J181" s="4" t="str">
        <x:v>See TPWD category page</x:v>
      </x:c>
      <x:c r="K181" s="110" t="n">
        <x:v>3</x:v>
      </x:c>
      <x:c r="L181" s="110"/>
      <x:c r="M181" s="4"/>
      <x:c r="N181" s="4"/>
      <x:c r="O181" s="112"/>
      <x:c r="P181" s="4" t="n">
        <x:v>520</x:v>
      </x:c>
      <x:c r="Q181" s="4" t="str">
        <x:v>Statewide</x:v>
      </x:c>
      <x:c r="R181" s="4" t="str">
        <x:v>Research before draw; property brochure linked from TPWD</x:v>
      </x:c>
      <x:c r="S181" s="4" t="str">
        <x:v>Low</x:v>
      </x:c>
      <x:c r="T181" s="4" t="str">
        <x:v>No</x:v>
      </x:c>
      <x:c r="U181" s="4" t="str">
        <x:v>Verified in TPWD 2026-2027 statewide deer category catalog.</x:v>
      </x:c>
      <x:c r="V181" s="4" t="str">
        <x:v>https://tpwd.texas.gov/huntwild/hunt/public/public_hunt_drawing/hunt-category-details.phtml?OCat=GDE</x:v>
      </x:c>
      <x:c r="W181" s="4" t="n">
        <x:v>2</x:v>
      </x:c>
      <x:c r="X181" s="4" t="n">
        <x:v>2</x:v>
      </x:c>
      <x:c r="Y181" s="4" t="n">
        <x:v>4</x:v>
      </x:c>
      <x:c r="Z181" s="4" t="n">
        <x:v>3</x:v>
      </x:c>
      <x:c r="AA181" s="4" t="n">
        <x:v>2</x:v>
      </x:c>
      <x:c r="AB181" s="4" t="n">
        <x:v>0</x:v>
      </x:c>
      <x:c r="AC181" s="30" t="n">
        <x:v>2.3</x:v>
      </x:c>
      <x:c r="AD181" s="4"/>
      <x:c r="AE181" s="4" t="str">
        <x:v>2026-09-15</x:v>
      </x:c>
      <x:c r="AF181" s="2"/>
      <x:c r="AG181" s="97"/>
      <x:c r="AH181" s="2"/>
      <x:c r="AI181" s="2"/>
      <x:c r="AJ181" s="97"/>
      <x:c r="AK181" s="2"/>
      <x:c r="AL181" s="2"/>
      <x:c r="AM181" s="2" t="str">
        <x:v>https://tpwd.texas.gov/huntwild/hunt/public/public_hunt_drawing/hunt-category-details.phtml?OCat=GDE</x:v>
      </x:c>
      <x:c r="AN181" s="2" t="str">
        <x:v>https://tpwd.texas.gov/search/?q=Enchanted+Rock+SNA+public+hunting+brochure</x:v>
      </x:c>
      <x:c r="AO181" s="2" t="str">
        <x:v>https://apps.tpwd.state.tx.us/huntwild/hunt/public/public_hunt_drawing/</x:v>
      </x:c>
      <x:c r="AP181" s="2" t="str">
        <x:v>https://www.google.com/maps/search/?api=1&amp;query=Enchanted+Rock+SNA%2C+Texas</x:v>
      </x:c>
      <x:c r="AQ181" s="96" t="n">
        <x:v>0</x:v>
      </x:c>
      <x:c r="AR181" s="2" t="str">
        <x:v>Standard Hastings ranking</x:v>
      </x:c>
    </x:row>
    <x:row r="182">
      <x:c r="A182" s="4" t="str">
        <x:v>No</x:v>
      </x:c>
      <x:c r="B182" s="4" t="str">
        <x:v>A</x:v>
      </x:c>
      <x:c r="C182" s="4" t="str">
        <x:v>Whitetail Deer</x:v>
      </x:c>
      <x:c r="D182" s="4" t="str">
        <x:v>Fort Boggy SP</x:v>
      </x:c>
      <x:c r="E182" s="4" t="str">
        <x:v>North Texas / DFW</x:v>
      </x:c>
      <x:c r="F182" s="4" t="str">
        <x:v>Gun Deer - Either Sex</x:v>
      </x:c>
      <x:c r="G182" s="4" t="str">
        <x:v>Yes</x:v>
      </x:c>
      <x:c r="H182" s="4" t="str">
        <x:v>Yes</x:v>
      </x:c>
      <x:c r="I182" s="24" t="str">
        <x:v>2026-09-15</x:v>
      </x:c>
      <x:c r="J182" s="4" t="str">
        <x:v>See TPWD category page</x:v>
      </x:c>
      <x:c r="K182" s="110" t="n">
        <x:v>3</x:v>
      </x:c>
      <x:c r="L182" s="110"/>
      <x:c r="M182" s="4"/>
      <x:c r="N182" s="4"/>
      <x:c r="O182" s="112"/>
      <x:c r="P182" s="4" t="n">
        <x:v>360</x:v>
      </x:c>
      <x:c r="Q182" s="4" t="str">
        <x:v>Extended</x:v>
      </x:c>
      <x:c r="R182" s="4" t="str">
        <x:v>Research before draw; property brochure linked from TPWD</x:v>
      </x:c>
      <x:c r="S182" s="4" t="str">
        <x:v>Low</x:v>
      </x:c>
      <x:c r="T182" s="4" t="str">
        <x:v>No</x:v>
      </x:c>
      <x:c r="U182" s="4" t="str">
        <x:v>Verified in TPWD 2026-2027 statewide deer category catalog.</x:v>
      </x:c>
      <x:c r="V182" s="4" t="str">
        <x:v>https://tpwd.texas.gov/huntwild/hunt/public/public_hunt_drawing/hunt-category-details.phtml?OCat=GDE</x:v>
      </x:c>
      <x:c r="W182" s="4" t="n">
        <x:v>2</x:v>
      </x:c>
      <x:c r="X182" s="4" t="n">
        <x:v>3</x:v>
      </x:c>
      <x:c r="Y182" s="4" t="n">
        <x:v>4</x:v>
      </x:c>
      <x:c r="Z182" s="4" t="n">
        <x:v>3</x:v>
      </x:c>
      <x:c r="AA182" s="4" t="n">
        <x:v>2</x:v>
      </x:c>
      <x:c r="AB182" s="4" t="n">
        <x:v>0</x:v>
      </x:c>
      <x:c r="AC182" s="30" t="n">
        <x:v>2.5</x:v>
      </x:c>
      <x:c r="AD182" s="4"/>
      <x:c r="AE182" s="4" t="str">
        <x:v>2026-09-15</x:v>
      </x:c>
      <x:c r="AF182" s="2"/>
      <x:c r="AG182" s="97"/>
      <x:c r="AH182" s="2"/>
      <x:c r="AI182" s="2"/>
      <x:c r="AJ182" s="97"/>
      <x:c r="AK182" s="2"/>
      <x:c r="AL182" s="2"/>
      <x:c r="AM182" s="2" t="str">
        <x:v>https://tpwd.texas.gov/huntwild/hunt/public/public_hunt_drawing/hunt-category-details.phtml?OCat=GDE</x:v>
      </x:c>
      <x:c r="AN182" s="2" t="str">
        <x:v>https://tpwd.texas.gov/search/?q=Fort+Boggy+SP+public+hunting+brochure</x:v>
      </x:c>
      <x:c r="AO182" s="2" t="str">
        <x:v>https://apps.tpwd.state.tx.us/huntwild/hunt/public/public_hunt_drawing/</x:v>
      </x:c>
      <x:c r="AP182" s="2" t="str">
        <x:v>https://www.google.com/maps/search/?api=1&amp;query=Fort+Boggy+SP%2C+Texas</x:v>
      </x:c>
      <x:c r="AQ182" s="96" t="n">
        <x:v>0</x:v>
      </x:c>
      <x:c r="AR182" s="2" t="str">
        <x:v>Standard Hastings ranking</x:v>
      </x:c>
    </x:row>
    <x:row r="183">
      <x:c r="A183" s="4" t="str">
        <x:v>No</x:v>
      </x:c>
      <x:c r="B183" s="4" t="str">
        <x:v>A</x:v>
      </x:c>
      <x:c r="C183" s="4" t="str">
        <x:v>Whitetail Deer</x:v>
      </x:c>
      <x:c r="D183" s="4" t="str">
        <x:v>Gene Howe WMA</x:v>
      </x:c>
      <x:c r="E183" s="4" t="str">
        <x:v>Panhandle / Rolling Plains</x:v>
      </x:c>
      <x:c r="F183" s="4" t="str">
        <x:v>Gun Deer - Antlerless/Spike</x:v>
      </x:c>
      <x:c r="G183" s="4" t="str">
        <x:v>Yes</x:v>
      </x:c>
      <x:c r="H183" s="4" t="str">
        <x:v>Yes</x:v>
      </x:c>
      <x:c r="I183" s="24" t="str">
        <x:v>2026-09-15</x:v>
      </x:c>
      <x:c r="J183" s="4" t="str">
        <x:v>See TPWD category page</x:v>
      </x:c>
      <x:c r="K183" s="110" t="n">
        <x:v>3</x:v>
      </x:c>
      <x:c r="L183" s="110"/>
      <x:c r="M183" s="4"/>
      <x:c r="N183" s="4"/>
      <x:c r="O183" s="112"/>
      <x:c r="P183" s="4" t="n">
        <x:v>130</x:v>
      </x:c>
      <x:c r="Q183" s="4" t="str">
        <x:v>Core</x:v>
      </x:c>
      <x:c r="R183" s="4" t="str">
        <x:v>Research before draw; property brochure linked from TPWD</x:v>
      </x:c>
      <x:c r="S183" s="4" t="str">
        <x:v>High</x:v>
      </x:c>
      <x:c r="T183" s="4" t="str">
        <x:v>No</x:v>
      </x:c>
      <x:c r="U183" s="4" t="str">
        <x:v>Verified in TPWD 2026-2027 statewide deer category catalog.</x:v>
      </x:c>
      <x:c r="V183" s="4" t="str">
        <x:v>https://tpwd.texas.gov/huntwild/hunt/public/public_hunt_drawing/hunt-category-details.phtml?OCat=GDA</x:v>
      </x:c>
      <x:c r="W183" s="4" t="n">
        <x:v>2</x:v>
      </x:c>
      <x:c r="X183" s="4" t="n">
        <x:v>5</x:v>
      </x:c>
      <x:c r="Y183" s="4" t="n">
        <x:v>4</x:v>
      </x:c>
      <x:c r="Z183" s="4" t="n">
        <x:v>3</x:v>
      </x:c>
      <x:c r="AA183" s="4" t="n">
        <x:v>4</x:v>
      </x:c>
      <x:c r="AB183" s="4" t="n">
        <x:v>0</x:v>
      </x:c>
      <x:c r="AC183" s="30" t="n">
        <x:v>2.9</x:v>
      </x:c>
      <x:c r="AD183" s="4"/>
      <x:c r="AE183" s="4" t="str">
        <x:v>2026-09-15</x:v>
      </x:c>
      <x:c r="AF183" s="2"/>
      <x:c r="AG183" s="97"/>
      <x:c r="AH183" s="2"/>
      <x:c r="AI183" s="2"/>
      <x:c r="AJ183" s="97"/>
      <x:c r="AK183" s="2"/>
      <x:c r="AL183" s="2"/>
      <x:c r="AM183" s="2" t="str">
        <x:v>https://tpwd.texas.gov/huntwild/hunt/public/public_hunt_drawing/hunt-category-details.phtml?OCat=GDA</x:v>
      </x:c>
      <x:c r="AN183" s="2" t="str">
        <x:v>https://tpwd.texas.gov/search/?q=Gene+Howe+WMA+public+hunting+brochure</x:v>
      </x:c>
      <x:c r="AO183" s="2" t="str">
        <x:v>https://apps.tpwd.state.tx.us/huntwild/hunt/public/public_hunt_drawing/</x:v>
      </x:c>
      <x:c r="AP183" s="2" t="str">
        <x:v>https://www.google.com/maps/search/?api=1&amp;query=Gene+Howe+WMA%2C+Texas</x:v>
      </x:c>
      <x:c r="AQ183" s="96" t="n">
        <x:v>0</x:v>
      </x:c>
      <x:c r="AR183" s="2" t="str">
        <x:v>Standard Hastings ranking</x:v>
      </x:c>
    </x:row>
    <x:row r="184">
      <x:c r="A184" s="4" t="str">
        <x:v>No</x:v>
      </x:c>
      <x:c r="B184" s="4" t="str">
        <x:v>A</x:v>
      </x:c>
      <x:c r="C184" s="4" t="str">
        <x:v>Whitetail Deer</x:v>
      </x:c>
      <x:c r="D184" s="4" t="str">
        <x:v>Gene Howe WMA</x:v>
      </x:c>
      <x:c r="E184" s="4" t="str">
        <x:v>Panhandle / Rolling Plains</x:v>
      </x:c>
      <x:c r="F184" s="4" t="str">
        <x:v>Gun Deer - Either Sex</x:v>
      </x:c>
      <x:c r="G184" s="4" t="str">
        <x:v>Yes</x:v>
      </x:c>
      <x:c r="H184" s="4" t="str">
        <x:v>Yes</x:v>
      </x:c>
      <x:c r="I184" s="24" t="str">
        <x:v>2026-09-15</x:v>
      </x:c>
      <x:c r="J184" s="4" t="str">
        <x:v>See TPWD category page</x:v>
      </x:c>
      <x:c r="K184" s="110" t="n">
        <x:v>3</x:v>
      </x:c>
      <x:c r="L184" s="110"/>
      <x:c r="M184" s="4"/>
      <x:c r="N184" s="4"/>
      <x:c r="O184" s="112"/>
      <x:c r="P184" s="4" t="n">
        <x:v>130</x:v>
      </x:c>
      <x:c r="Q184" s="4" t="str">
        <x:v>Core</x:v>
      </x:c>
      <x:c r="R184" s="4" t="str">
        <x:v>Research before draw; property brochure linked from TPWD</x:v>
      </x:c>
      <x:c r="S184" s="4" t="str">
        <x:v>High</x:v>
      </x:c>
      <x:c r="T184" s="4" t="str">
        <x:v>No</x:v>
      </x:c>
      <x:c r="U184" s="4" t="str">
        <x:v>Verified in TPWD 2026-2027 statewide deer category catalog.</x:v>
      </x:c>
      <x:c r="V184" s="4" t="str">
        <x:v>https://tpwd.texas.gov/huntwild/hunt/public/public_hunt_drawing/hunt-category-details.phtml?OCat=GDE</x:v>
      </x:c>
      <x:c r="W184" s="4" t="n">
        <x:v>2</x:v>
      </x:c>
      <x:c r="X184" s="4" t="n">
        <x:v>5</x:v>
      </x:c>
      <x:c r="Y184" s="4" t="n">
        <x:v>4</x:v>
      </x:c>
      <x:c r="Z184" s="4" t="n">
        <x:v>3</x:v>
      </x:c>
      <x:c r="AA184" s="4" t="n">
        <x:v>4</x:v>
      </x:c>
      <x:c r="AB184" s="4" t="n">
        <x:v>0</x:v>
      </x:c>
      <x:c r="AC184" s="30" t="n">
        <x:v>2.9</x:v>
      </x:c>
      <x:c r="AD184" s="4"/>
      <x:c r="AE184" s="4" t="str">
        <x:v>2026-09-15</x:v>
      </x:c>
      <x:c r="AF184" s="2"/>
      <x:c r="AG184" s="97"/>
      <x:c r="AH184" s="2"/>
      <x:c r="AI184" s="2"/>
      <x:c r="AJ184" s="97"/>
      <x:c r="AK184" s="2"/>
      <x:c r="AL184" s="2"/>
      <x:c r="AM184" s="2" t="str">
        <x:v>https://tpwd.texas.gov/huntwild/hunt/public/public_hunt_drawing/hunt-category-details.phtml?OCat=GDE</x:v>
      </x:c>
      <x:c r="AN184" s="2" t="str">
        <x:v>https://tpwd.texas.gov/search/?q=Gene+Howe+WMA+public+hunting+brochure</x:v>
      </x:c>
      <x:c r="AO184" s="2" t="str">
        <x:v>https://apps.tpwd.state.tx.us/huntwild/hunt/public/public_hunt_drawing/</x:v>
      </x:c>
      <x:c r="AP184" s="2" t="str">
        <x:v>https://www.google.com/maps/search/?api=1&amp;query=Gene+Howe+WMA%2C+Texas</x:v>
      </x:c>
      <x:c r="AQ184" s="96" t="n">
        <x:v>0</x:v>
      </x:c>
      <x:c r="AR184" s="2" t="str">
        <x:v>Standard Hastings ranking</x:v>
      </x:c>
    </x:row>
    <x:row r="185">
      <x:c r="A185" s="4" t="str">
        <x:v>No</x:v>
      </x:c>
      <x:c r="B185" s="4" t="str">
        <x:v>A</x:v>
      </x:c>
      <x:c r="C185" s="4" t="str">
        <x:v>Whitetail Deer</x:v>
      </x:c>
      <x:c r="D185" s="4" t="str">
        <x:v>Government Canyon SNA</x:v>
      </x:c>
      <x:c r="E185" s="4" t="str">
        <x:v>Hill Country / San Antonio</x:v>
      </x:c>
      <x:c r="F185" s="4" t="str">
        <x:v>Gun Deer - Either Sex</x:v>
      </x:c>
      <x:c r="G185" s="4" t="str">
        <x:v>Yes</x:v>
      </x:c>
      <x:c r="H185" s="4" t="str">
        <x:v>Yes</x:v>
      </x:c>
      <x:c r="I185" s="24" t="str">
        <x:v>2026-09-15</x:v>
      </x:c>
      <x:c r="J185" s="4" t="str">
        <x:v>See TPWD category page</x:v>
      </x:c>
      <x:c r="K185" s="110" t="n">
        <x:v>3</x:v>
      </x:c>
      <x:c r="L185" s="110"/>
      <x:c r="M185" s="4"/>
      <x:c r="N185" s="4"/>
      <x:c r="O185" s="112"/>
      <x:c r="P185" s="4" t="n">
        <x:v>520</x:v>
      </x:c>
      <x:c r="Q185" s="4" t="str">
        <x:v>Statewide</x:v>
      </x:c>
      <x:c r="R185" s="4" t="str">
        <x:v>Research before draw; property brochure linked from TPWD</x:v>
      </x:c>
      <x:c r="S185" s="4" t="str">
        <x:v>Low</x:v>
      </x:c>
      <x:c r="T185" s="4" t="str">
        <x:v>No</x:v>
      </x:c>
      <x:c r="U185" s="4" t="str">
        <x:v>Verified in TPWD 2026-2027 statewide deer category catalog.</x:v>
      </x:c>
      <x:c r="V185" s="4" t="str">
        <x:v>https://tpwd.texas.gov/huntwild/hunt/public/public_hunt_drawing/hunt-category-details.phtml?OCat=GDE</x:v>
      </x:c>
      <x:c r="W185" s="4" t="n">
        <x:v>2</x:v>
      </x:c>
      <x:c r="X185" s="4" t="n">
        <x:v>2</x:v>
      </x:c>
      <x:c r="Y185" s="4" t="n">
        <x:v>4</x:v>
      </x:c>
      <x:c r="Z185" s="4" t="n">
        <x:v>3</x:v>
      </x:c>
      <x:c r="AA185" s="4" t="n">
        <x:v>2</x:v>
      </x:c>
      <x:c r="AB185" s="4" t="n">
        <x:v>0</x:v>
      </x:c>
      <x:c r="AC185" s="30" t="n">
        <x:v>2.3</x:v>
      </x:c>
      <x:c r="AD185" s="4"/>
      <x:c r="AE185" s="4" t="str">
        <x:v>2026-09-15</x:v>
      </x:c>
      <x:c r="AF185" s="2"/>
      <x:c r="AG185" s="97"/>
      <x:c r="AH185" s="2"/>
      <x:c r="AI185" s="2"/>
      <x:c r="AJ185" s="97"/>
      <x:c r="AK185" s="2"/>
      <x:c r="AL185" s="2"/>
      <x:c r="AM185" s="2" t="str">
        <x:v>https://tpwd.texas.gov/huntwild/hunt/public/public_hunt_drawing/hunt-category-details.phtml?OCat=GDE</x:v>
      </x:c>
      <x:c r="AN185" s="2" t="str">
        <x:v>https://tpwd.texas.gov/search/?q=Government+Canyon+SNA+public+hunting+brochure</x:v>
      </x:c>
      <x:c r="AO185" s="2" t="str">
        <x:v>https://apps.tpwd.state.tx.us/huntwild/hunt/public/public_hunt_drawing/</x:v>
      </x:c>
      <x:c r="AP185" s="2" t="str">
        <x:v>https://www.google.com/maps/search/?api=1&amp;query=Government+Canyon+SNA%2C+Texas</x:v>
      </x:c>
      <x:c r="AQ185" s="96" t="n">
        <x:v>0</x:v>
      </x:c>
      <x:c r="AR185" s="2" t="str">
        <x:v>Standard Hastings ranking</x:v>
      </x:c>
    </x:row>
    <x:row r="186">
      <x:c r="A186" s="4" t="str">
        <x:v>No</x:v>
      </x:c>
      <x:c r="B186" s="4" t="str">
        <x:v>A</x:v>
      </x:c>
      <x:c r="C186" s="4" t="str">
        <x:v>Whitetail Deer</x:v>
      </x:c>
      <x:c r="D186" s="4" t="str">
        <x:v>Guadalupe River SP</x:v>
      </x:c>
      <x:c r="E186" s="4" t="str">
        <x:v>Hill Country / San Antonio</x:v>
      </x:c>
      <x:c r="F186" s="4" t="str">
        <x:v>Gun Deer - Either Sex</x:v>
      </x:c>
      <x:c r="G186" s="4" t="str">
        <x:v>Yes</x:v>
      </x:c>
      <x:c r="H186" s="4" t="str">
        <x:v>Yes</x:v>
      </x:c>
      <x:c r="I186" s="24" t="str">
        <x:v>2026-09-15</x:v>
      </x:c>
      <x:c r="J186" s="4" t="str">
        <x:v>See TPWD category page</x:v>
      </x:c>
      <x:c r="K186" s="110" t="n">
        <x:v>3</x:v>
      </x:c>
      <x:c r="L186" s="110"/>
      <x:c r="M186" s="4"/>
      <x:c r="N186" s="4"/>
      <x:c r="O186" s="112"/>
      <x:c r="P186" s="4" t="n">
        <x:v>520</x:v>
      </x:c>
      <x:c r="Q186" s="4" t="str">
        <x:v>Statewide</x:v>
      </x:c>
      <x:c r="R186" s="4" t="str">
        <x:v>Research before draw; property brochure linked from TPWD</x:v>
      </x:c>
      <x:c r="S186" s="4" t="str">
        <x:v>Low</x:v>
      </x:c>
      <x:c r="T186" s="4" t="str">
        <x:v>No</x:v>
      </x:c>
      <x:c r="U186" s="4" t="str">
        <x:v>Verified in TPWD 2026-2027 statewide deer category catalog.</x:v>
      </x:c>
      <x:c r="V186" s="4" t="str">
        <x:v>https://tpwd.texas.gov/huntwild/hunt/public/public_hunt_drawing/hunt-category-details.phtml?OCat=GDE</x:v>
      </x:c>
      <x:c r="W186" s="4" t="n">
        <x:v>2</x:v>
      </x:c>
      <x:c r="X186" s="4" t="n">
        <x:v>2</x:v>
      </x:c>
      <x:c r="Y186" s="4" t="n">
        <x:v>4</x:v>
      </x:c>
      <x:c r="Z186" s="4" t="n">
        <x:v>3</x:v>
      </x:c>
      <x:c r="AA186" s="4" t="n">
        <x:v>2</x:v>
      </x:c>
      <x:c r="AB186" s="4" t="n">
        <x:v>0</x:v>
      </x:c>
      <x:c r="AC186" s="30" t="n">
        <x:v>2.3</x:v>
      </x:c>
      <x:c r="AD186" s="4"/>
      <x:c r="AE186" s="4" t="str">
        <x:v>2026-09-15</x:v>
      </x:c>
      <x:c r="AF186" s="2"/>
      <x:c r="AG186" s="97"/>
      <x:c r="AH186" s="2"/>
      <x:c r="AI186" s="2"/>
      <x:c r="AJ186" s="97"/>
      <x:c r="AK186" s="2"/>
      <x:c r="AL186" s="2"/>
      <x:c r="AM186" s="2" t="str">
        <x:v>https://tpwd.texas.gov/huntwild/hunt/public/public_hunt_drawing/hunt-category-details.phtml?OCat=GDE</x:v>
      </x:c>
      <x:c r="AN186" s="2" t="str">
        <x:v>https://tpwd.texas.gov/search/?q=Guadalupe+River+SP+public+hunting+brochure</x:v>
      </x:c>
      <x:c r="AO186" s="2" t="str">
        <x:v>https://apps.tpwd.state.tx.us/huntwild/hunt/public/public_hunt_drawing/</x:v>
      </x:c>
      <x:c r="AP186" s="2" t="str">
        <x:v>https://www.google.com/maps/search/?api=1&amp;query=Guadalupe+River+SP%2C+Texas</x:v>
      </x:c>
      <x:c r="AQ186" s="96" t="n">
        <x:v>0</x:v>
      </x:c>
      <x:c r="AR186" s="2" t="str">
        <x:v>Standard Hastings ranking</x:v>
      </x:c>
    </x:row>
    <x:row r="187">
      <x:c r="A187" s="4" t="str">
        <x:v>No</x:v>
      </x:c>
      <x:c r="B187" s="4" t="str">
        <x:v>A</x:v>
      </x:c>
      <x:c r="C187" s="4" t="str">
        <x:v>Whitetail Deer</x:v>
      </x:c>
      <x:c r="D187" s="4" t="str">
        <x:v>Gus Engeling WMA</x:v>
      </x:c>
      <x:c r="E187" s="4" t="str">
        <x:v>Statewide / Other</x:v>
      </x:c>
      <x:c r="F187" s="4" t="str">
        <x:v>Gun Deer - Antlerless/Spike</x:v>
      </x:c>
      <x:c r="G187" s="4" t="str">
        <x:v>Yes</x:v>
      </x:c>
      <x:c r="H187" s="4" t="str">
        <x:v>Yes</x:v>
      </x:c>
      <x:c r="I187" s="24" t="str">
        <x:v>2026-09-15</x:v>
      </x:c>
      <x:c r="J187" s="4" t="str">
        <x:v>See TPWD category page</x:v>
      </x:c>
      <x:c r="K187" s="110" t="n">
        <x:v>3</x:v>
      </x:c>
      <x:c r="L187" s="110"/>
      <x:c r="M187" s="4"/>
      <x:c r="N187" s="4"/>
      <x:c r="O187" s="112"/>
      <x:c r="P187" s="4" t="n">
        <x:v>500</x:v>
      </x:c>
      <x:c r="Q187" s="4" t="str">
        <x:v>Statewide</x:v>
      </x:c>
      <x:c r="R187" s="4" t="str">
        <x:v>Research before draw; property brochure linked from TPWD</x:v>
      </x:c>
      <x:c r="S187" s="4" t="str">
        <x:v>Low</x:v>
      </x:c>
      <x:c r="T187" s="4" t="str">
        <x:v>No</x:v>
      </x:c>
      <x:c r="U187" s="4" t="str">
        <x:v>Verified in TPWD 2026-2027 statewide deer category catalog.</x:v>
      </x:c>
      <x:c r="V187" s="4" t="str">
        <x:v>https://tpwd.texas.gov/huntwild/hunt/public/public_hunt_drawing/hunt-category-details.phtml?OCat=GDA</x:v>
      </x:c>
      <x:c r="W187" s="4" t="n">
        <x:v>2</x:v>
      </x:c>
      <x:c r="X187" s="4" t="n">
        <x:v>2</x:v>
      </x:c>
      <x:c r="Y187" s="4" t="n">
        <x:v>4</x:v>
      </x:c>
      <x:c r="Z187" s="4" t="n">
        <x:v>3</x:v>
      </x:c>
      <x:c r="AA187" s="4" t="n">
        <x:v>2</x:v>
      </x:c>
      <x:c r="AB187" s="4" t="n">
        <x:v>0</x:v>
      </x:c>
      <x:c r="AC187" s="30" t="n">
        <x:v>2.3</x:v>
      </x:c>
      <x:c r="AD187" s="4"/>
      <x:c r="AE187" s="4" t="str">
        <x:v>2026-09-15</x:v>
      </x:c>
      <x:c r="AF187" s="2"/>
      <x:c r="AG187" s="97"/>
      <x:c r="AH187" s="2"/>
      <x:c r="AI187" s="2"/>
      <x:c r="AJ187" s="97"/>
      <x:c r="AK187" s="2"/>
      <x:c r="AL187" s="2"/>
      <x:c r="AM187" s="2" t="str">
        <x:v>https://tpwd.texas.gov/huntwild/hunt/public/public_hunt_drawing/hunt-category-details.phtml?OCat=GDA</x:v>
      </x:c>
      <x:c r="AN187" s="2" t="str">
        <x:v>https://tpwd.texas.gov/search/?q=Gus+Engeling+WMA+public+hunting+brochure</x:v>
      </x:c>
      <x:c r="AO187" s="2" t="str">
        <x:v>https://apps.tpwd.state.tx.us/huntwild/hunt/public/public_hunt_drawing/</x:v>
      </x:c>
      <x:c r="AP187" s="2" t="str">
        <x:v>https://www.google.com/maps/search/?api=1&amp;query=Gus+Engeling+WMA%2C+Texas</x:v>
      </x:c>
      <x:c r="AQ187" s="96" t="n">
        <x:v>0</x:v>
      </x:c>
      <x:c r="AR187" s="2" t="str">
        <x:v>Standard Hastings ranking</x:v>
      </x:c>
    </x:row>
    <x:row r="188">
      <x:c r="A188" s="4" t="str">
        <x:v>No</x:v>
      </x:c>
      <x:c r="B188" s="4" t="str">
        <x:v>A</x:v>
      </x:c>
      <x:c r="C188" s="4" t="str">
        <x:v>Whitetail Deer</x:v>
      </x:c>
      <x:c r="D188" s="4" t="str">
        <x:v>Gus Engeling WMA</x:v>
      </x:c>
      <x:c r="E188" s="4" t="str">
        <x:v>Statewide / Other</x:v>
      </x:c>
      <x:c r="F188" s="4" t="str">
        <x:v>Gun Deer - Either Sex</x:v>
      </x:c>
      <x:c r="G188" s="4" t="str">
        <x:v>Yes</x:v>
      </x:c>
      <x:c r="H188" s="4" t="str">
        <x:v>Yes</x:v>
      </x:c>
      <x:c r="I188" s="24" t="str">
        <x:v>2026-09-15</x:v>
      </x:c>
      <x:c r="J188" s="4" t="str">
        <x:v>See TPWD category page</x:v>
      </x:c>
      <x:c r="K188" s="110" t="n">
        <x:v>3</x:v>
      </x:c>
      <x:c r="L188" s="110"/>
      <x:c r="M188" s="4"/>
      <x:c r="N188" s="4"/>
      <x:c r="O188" s="112"/>
      <x:c r="P188" s="4" t="n">
        <x:v>500</x:v>
      </x:c>
      <x:c r="Q188" s="4" t="str">
        <x:v>Statewide</x:v>
      </x:c>
      <x:c r="R188" s="4" t="str">
        <x:v>Research before draw; property brochure linked from TPWD</x:v>
      </x:c>
      <x:c r="S188" s="4" t="str">
        <x:v>Low</x:v>
      </x:c>
      <x:c r="T188" s="4" t="str">
        <x:v>No</x:v>
      </x:c>
      <x:c r="U188" s="4" t="str">
        <x:v>Verified in TPWD 2026-2027 statewide deer category catalog.</x:v>
      </x:c>
      <x:c r="V188" s="4" t="str">
        <x:v>https://tpwd.texas.gov/huntwild/hunt/public/public_hunt_drawing/hunt-category-details.phtml?OCat=GDE</x:v>
      </x:c>
      <x:c r="W188" s="4" t="n">
        <x:v>2</x:v>
      </x:c>
      <x:c r="X188" s="4" t="n">
        <x:v>2</x:v>
      </x:c>
      <x:c r="Y188" s="4" t="n">
        <x:v>4</x:v>
      </x:c>
      <x:c r="Z188" s="4" t="n">
        <x:v>3</x:v>
      </x:c>
      <x:c r="AA188" s="4" t="n">
        <x:v>2</x:v>
      </x:c>
      <x:c r="AB188" s="4" t="n">
        <x:v>0</x:v>
      </x:c>
      <x:c r="AC188" s="30" t="n">
        <x:v>2.3</x:v>
      </x:c>
      <x:c r="AD188" s="4"/>
      <x:c r="AE188" s="4" t="str">
        <x:v>2026-09-15</x:v>
      </x:c>
      <x:c r="AF188" s="2"/>
      <x:c r="AG188" s="97"/>
      <x:c r="AH188" s="2"/>
      <x:c r="AI188" s="2"/>
      <x:c r="AJ188" s="97"/>
      <x:c r="AK188" s="2"/>
      <x:c r="AL188" s="2"/>
      <x:c r="AM188" s="2" t="str">
        <x:v>https://tpwd.texas.gov/huntwild/hunt/public/public_hunt_drawing/hunt-category-details.phtml?OCat=GDE</x:v>
      </x:c>
      <x:c r="AN188" s="2" t="str">
        <x:v>https://tpwd.texas.gov/search/?q=Gus+Engeling+WMA+public+hunting+brochure</x:v>
      </x:c>
      <x:c r="AO188" s="2" t="str">
        <x:v>https://apps.tpwd.state.tx.us/huntwild/hunt/public/public_hunt_drawing/</x:v>
      </x:c>
      <x:c r="AP188" s="2" t="str">
        <x:v>https://www.google.com/maps/search/?api=1&amp;query=Gus+Engeling+WMA%2C+Texas</x:v>
      </x:c>
      <x:c r="AQ188" s="96" t="n">
        <x:v>0</x:v>
      </x:c>
      <x:c r="AR188" s="2" t="str">
        <x:v>Standard Hastings ranking</x:v>
      </x:c>
    </x:row>
    <x:row r="189">
      <x:c r="A189" s="4" t="str">
        <x:v>No</x:v>
      </x:c>
      <x:c r="B189" s="4" t="str">
        <x:v>A</x:v>
      </x:c>
      <x:c r="C189" s="4" t="str">
        <x:v>Whitetail Deer</x:v>
      </x:c>
      <x:c r="D189" s="4" t="str">
        <x:v>Hill Country SNA</x:v>
      </x:c>
      <x:c r="E189" s="4" t="str">
        <x:v>Hill Country / San Antonio</x:v>
      </x:c>
      <x:c r="F189" s="4" t="str">
        <x:v>Gun Deer - Antlerless/Spike</x:v>
      </x:c>
      <x:c r="G189" s="4" t="str">
        <x:v>Yes</x:v>
      </x:c>
      <x:c r="H189" s="4" t="str">
        <x:v>Yes</x:v>
      </x:c>
      <x:c r="I189" s="24" t="str">
        <x:v>2026-09-15</x:v>
      </x:c>
      <x:c r="J189" s="4" t="str">
        <x:v>See TPWD category page</x:v>
      </x:c>
      <x:c r="K189" s="110" t="n">
        <x:v>3</x:v>
      </x:c>
      <x:c r="L189" s="110"/>
      <x:c r="M189" s="4"/>
      <x:c r="N189" s="4"/>
      <x:c r="O189" s="112"/>
      <x:c r="P189" s="4" t="n">
        <x:v>520</x:v>
      </x:c>
      <x:c r="Q189" s="4" t="str">
        <x:v>Statewide</x:v>
      </x:c>
      <x:c r="R189" s="4" t="str">
        <x:v>Research before draw; property brochure linked from TPWD</x:v>
      </x:c>
      <x:c r="S189" s="4" t="str">
        <x:v>Low</x:v>
      </x:c>
      <x:c r="T189" s="4" t="str">
        <x:v>No</x:v>
      </x:c>
      <x:c r="U189" s="4" t="str">
        <x:v>Verified in TPWD 2026-2027 statewide deer category catalog.</x:v>
      </x:c>
      <x:c r="V189" s="4" t="str">
        <x:v>https://tpwd.texas.gov/huntwild/hunt/public/public_hunt_drawing/hunt-category-details.phtml?OCat=GDA</x:v>
      </x:c>
      <x:c r="W189" s="4" t="n">
        <x:v>2</x:v>
      </x:c>
      <x:c r="X189" s="4" t="n">
        <x:v>2</x:v>
      </x:c>
      <x:c r="Y189" s="4" t="n">
        <x:v>4</x:v>
      </x:c>
      <x:c r="Z189" s="4" t="n">
        <x:v>3</x:v>
      </x:c>
      <x:c r="AA189" s="4" t="n">
        <x:v>2</x:v>
      </x:c>
      <x:c r="AB189" s="4" t="n">
        <x:v>0</x:v>
      </x:c>
      <x:c r="AC189" s="30" t="n">
        <x:v>2.3</x:v>
      </x:c>
      <x:c r="AD189" s="4"/>
      <x:c r="AE189" s="4" t="str">
        <x:v>2026-09-15</x:v>
      </x:c>
      <x:c r="AF189" s="2"/>
      <x:c r="AG189" s="97"/>
      <x:c r="AH189" s="2"/>
      <x:c r="AI189" s="2"/>
      <x:c r="AJ189" s="97"/>
      <x:c r="AK189" s="2"/>
      <x:c r="AL189" s="2"/>
      <x:c r="AM189" s="2" t="str">
        <x:v>https://tpwd.texas.gov/huntwild/hunt/public/public_hunt_drawing/hunt-category-details.phtml?OCat=GDA</x:v>
      </x:c>
      <x:c r="AN189" s="2" t="str">
        <x:v>https://tpwd.texas.gov/search/?q=Hill+Country+SNA+public+hunting+brochure</x:v>
      </x:c>
      <x:c r="AO189" s="2" t="str">
        <x:v>https://apps.tpwd.state.tx.us/huntwild/hunt/public/public_hunt_drawing/</x:v>
      </x:c>
      <x:c r="AP189" s="2" t="str">
        <x:v>https://www.google.com/maps/search/?api=1&amp;query=Hill+Country+SNA%2C+Texas</x:v>
      </x:c>
      <x:c r="AQ189" s="96" t="n">
        <x:v>0</x:v>
      </x:c>
      <x:c r="AR189" s="2" t="str">
        <x:v>Standard Hastings ranking</x:v>
      </x:c>
    </x:row>
    <x:row r="190">
      <x:c r="A190" s="4" t="str">
        <x:v>No</x:v>
      </x:c>
      <x:c r="B190" s="4" t="str">
        <x:v>A</x:v>
      </x:c>
      <x:c r="C190" s="4" t="str">
        <x:v>Whitetail Deer</x:v>
      </x:c>
      <x:c r="D190" s="4" t="str">
        <x:v>Honey Creek SNA</x:v>
      </x:c>
      <x:c r="E190" s="4" t="str">
        <x:v>Hill Country / San Antonio</x:v>
      </x:c>
      <x:c r="F190" s="4" t="str">
        <x:v>Gun Deer - Either Sex</x:v>
      </x:c>
      <x:c r="G190" s="4" t="str">
        <x:v>Yes</x:v>
      </x:c>
      <x:c r="H190" s="4" t="str">
        <x:v>Yes</x:v>
      </x:c>
      <x:c r="I190" s="24" t="str">
        <x:v>2026-09-15</x:v>
      </x:c>
      <x:c r="J190" s="4" t="str">
        <x:v>See TPWD category page</x:v>
      </x:c>
      <x:c r="K190" s="110" t="n">
        <x:v>3</x:v>
      </x:c>
      <x:c r="L190" s="110"/>
      <x:c r="M190" s="4"/>
      <x:c r="N190" s="4"/>
      <x:c r="O190" s="112"/>
      <x:c r="P190" s="4" t="n">
        <x:v>520</x:v>
      </x:c>
      <x:c r="Q190" s="4" t="str">
        <x:v>Statewide</x:v>
      </x:c>
      <x:c r="R190" s="4" t="str">
        <x:v>Research before draw; property brochure linked from TPWD</x:v>
      </x:c>
      <x:c r="S190" s="4" t="str">
        <x:v>Low</x:v>
      </x:c>
      <x:c r="T190" s="4" t="str">
        <x:v>No</x:v>
      </x:c>
      <x:c r="U190" s="4" t="str">
        <x:v>Verified in TPWD 2026-2027 statewide deer category catalog.</x:v>
      </x:c>
      <x:c r="V190" s="4" t="str">
        <x:v>https://tpwd.texas.gov/huntwild/hunt/public/public_hunt_drawing/hunt-category-details.phtml?OCat=GDE</x:v>
      </x:c>
      <x:c r="W190" s="4" t="n">
        <x:v>2</x:v>
      </x:c>
      <x:c r="X190" s="4" t="n">
        <x:v>2</x:v>
      </x:c>
      <x:c r="Y190" s="4" t="n">
        <x:v>4</x:v>
      </x:c>
      <x:c r="Z190" s="4" t="n">
        <x:v>3</x:v>
      </x:c>
      <x:c r="AA190" s="4" t="n">
        <x:v>2</x:v>
      </x:c>
      <x:c r="AB190" s="4" t="n">
        <x:v>0</x:v>
      </x:c>
      <x:c r="AC190" s="30" t="n">
        <x:v>2.3</x:v>
      </x:c>
      <x:c r="AD190" s="4"/>
      <x:c r="AE190" s="4" t="str">
        <x:v>2026-09-15</x:v>
      </x:c>
      <x:c r="AF190" s="2"/>
      <x:c r="AG190" s="97"/>
      <x:c r="AH190" s="2"/>
      <x:c r="AI190" s="2"/>
      <x:c r="AJ190" s="97"/>
      <x:c r="AK190" s="2"/>
      <x:c r="AL190" s="2"/>
      <x:c r="AM190" s="2" t="str">
        <x:v>https://tpwd.texas.gov/huntwild/hunt/public/public_hunt_drawing/hunt-category-details.phtml?OCat=GDE</x:v>
      </x:c>
      <x:c r="AN190" s="2" t="str">
        <x:v>https://tpwd.texas.gov/search/?q=Honey+Creek+SNA+public+hunting+brochure</x:v>
      </x:c>
      <x:c r="AO190" s="2" t="str">
        <x:v>https://apps.tpwd.state.tx.us/huntwild/hunt/public/public_hunt_drawing/</x:v>
      </x:c>
      <x:c r="AP190" s="2" t="str">
        <x:v>https://www.google.com/maps/search/?api=1&amp;query=Honey+Creek+SNA%2C+Texas</x:v>
      </x:c>
      <x:c r="AQ190" s="96" t="n">
        <x:v>0</x:v>
      </x:c>
      <x:c r="AR190" s="2" t="str">
        <x:v>Standard Hastings ranking</x:v>
      </x:c>
    </x:row>
    <x:row r="191">
      <x:c r="A191" s="4" t="str">
        <x:v>No</x:v>
      </x:c>
      <x:c r="B191" s="4" t="str">
        <x:v>A</x:v>
      </x:c>
      <x:c r="C191" s="4" t="str">
        <x:v>Whitetail Deer</x:v>
      </x:c>
      <x:c r="D191" s="4" t="str">
        <x:v>Huntsville SP</x:v>
      </x:c>
      <x:c r="E191" s="4" t="str">
        <x:v>East Texas / Pineywoods</x:v>
      </x:c>
      <x:c r="F191" s="4" t="str">
        <x:v>Gun Deer - Either Sex</x:v>
      </x:c>
      <x:c r="G191" s="4" t="str">
        <x:v>Yes</x:v>
      </x:c>
      <x:c r="H191" s="4" t="str">
        <x:v>Yes</x:v>
      </x:c>
      <x:c r="I191" s="24" t="str">
        <x:v>2026-09-15</x:v>
      </x:c>
      <x:c r="J191" s="4" t="str">
        <x:v>See TPWD category page</x:v>
      </x:c>
      <x:c r="K191" s="110" t="n">
        <x:v>3</x:v>
      </x:c>
      <x:c r="L191" s="110"/>
      <x:c r="M191" s="4"/>
      <x:c r="N191" s="4"/>
      <x:c r="O191" s="112"/>
      <x:c r="P191" s="4" t="n">
        <x:v>570</x:v>
      </x:c>
      <x:c r="Q191" s="4" t="str">
        <x:v>Statewide</x:v>
      </x:c>
      <x:c r="R191" s="4" t="str">
        <x:v>Research before draw; property brochure linked from TPWD</x:v>
      </x:c>
      <x:c r="S191" s="4" t="str">
        <x:v>Low</x:v>
      </x:c>
      <x:c r="T191" s="4" t="str">
        <x:v>No</x:v>
      </x:c>
      <x:c r="U191" s="4" t="str">
        <x:v>Verified in TPWD 2026-2027 statewide deer category catalog.</x:v>
      </x:c>
      <x:c r="V191" s="4" t="str">
        <x:v>https://tpwd.texas.gov/huntwild/hunt/public/public_hunt_drawing/hunt-category-details.phtml?OCat=GDE</x:v>
      </x:c>
      <x:c r="W191" s="4" t="n">
        <x:v>2</x:v>
      </x:c>
      <x:c r="X191" s="4" t="n">
        <x:v>2</x:v>
      </x:c>
      <x:c r="Y191" s="4" t="n">
        <x:v>4</x:v>
      </x:c>
      <x:c r="Z191" s="4" t="n">
        <x:v>3</x:v>
      </x:c>
      <x:c r="AA191" s="4" t="n">
        <x:v>2</x:v>
      </x:c>
      <x:c r="AB191" s="4" t="n">
        <x:v>0</x:v>
      </x:c>
      <x:c r="AC191" s="30" t="n">
        <x:v>2.3</x:v>
      </x:c>
      <x:c r="AD191" s="4"/>
      <x:c r="AE191" s="4" t="str">
        <x:v>2026-09-15</x:v>
      </x:c>
      <x:c r="AF191" s="2"/>
      <x:c r="AG191" s="97"/>
      <x:c r="AH191" s="2"/>
      <x:c r="AI191" s="2"/>
      <x:c r="AJ191" s="97"/>
      <x:c r="AK191" s="2"/>
      <x:c r="AL191" s="2"/>
      <x:c r="AM191" s="2" t="str">
        <x:v>https://tpwd.texas.gov/huntwild/hunt/public/public_hunt_drawing/hunt-category-details.phtml?OCat=GDE</x:v>
      </x:c>
      <x:c r="AN191" s="2" t="str">
        <x:v>https://tpwd.texas.gov/search/?q=Huntsville+SP+public+hunting+brochure</x:v>
      </x:c>
      <x:c r="AO191" s="2" t="str">
        <x:v>https://apps.tpwd.state.tx.us/huntwild/hunt/public/public_hunt_drawing/</x:v>
      </x:c>
      <x:c r="AP191" s="2" t="str">
        <x:v>https://www.google.com/maps/search/?api=1&amp;query=Huntsville+SP%2C+Texas</x:v>
      </x:c>
      <x:c r="AQ191" s="96" t="n">
        <x:v>0</x:v>
      </x:c>
      <x:c r="AR191" s="2" t="str">
        <x:v>Standard Hastings ranking</x:v>
      </x:c>
    </x:row>
    <x:row r="192">
      <x:c r="A192" s="4" t="str">
        <x:v>No</x:v>
      </x:c>
      <x:c r="B192" s="4" t="str">
        <x:v>A</x:v>
      </x:c>
      <x:c r="C192" s="4" t="str">
        <x:v>Whitetail Deer</x:v>
      </x:c>
      <x:c r="D192" s="4" t="str">
        <x:v>Inks Lake/Longhorn Caverns SP</x:v>
      </x:c>
      <x:c r="E192" s="4" t="str">
        <x:v>Central Texas / Austin</x:v>
      </x:c>
      <x:c r="F192" s="4" t="str">
        <x:v>Gun Deer - Antlerless/Spike</x:v>
      </x:c>
      <x:c r="G192" s="4" t="str">
        <x:v>Yes</x:v>
      </x:c>
      <x:c r="H192" s="4" t="str">
        <x:v>Yes</x:v>
      </x:c>
      <x:c r="I192" s="24" t="str">
        <x:v>2026-09-15</x:v>
      </x:c>
      <x:c r="J192" s="4" t="str">
        <x:v>See TPWD category page</x:v>
      </x:c>
      <x:c r="K192" s="110" t="n">
        <x:v>3</x:v>
      </x:c>
      <x:c r="L192" s="110"/>
      <x:c r="M192" s="4"/>
      <x:c r="N192" s="4"/>
      <x:c r="O192" s="112"/>
      <x:c r="P192" s="4" t="n">
        <x:v>490</x:v>
      </x:c>
      <x:c r="Q192" s="4" t="str">
        <x:v>Statewide</x:v>
      </x:c>
      <x:c r="R192" s="4" t="str">
        <x:v>Research before draw; property brochure linked from TPWD</x:v>
      </x:c>
      <x:c r="S192" s="4" t="str">
        <x:v>Low</x:v>
      </x:c>
      <x:c r="T192" s="4" t="str">
        <x:v>No</x:v>
      </x:c>
      <x:c r="U192" s="4" t="str">
        <x:v>Verified in TPWD 2026-2027 statewide deer category catalog.</x:v>
      </x:c>
      <x:c r="V192" s="4" t="str">
        <x:v>https://tpwd.texas.gov/huntwild/hunt/public/public_hunt_drawing/hunt-category-details.phtml?OCat=GDA</x:v>
      </x:c>
      <x:c r="W192" s="4" t="n">
        <x:v>2</x:v>
      </x:c>
      <x:c r="X192" s="4" t="n">
        <x:v>2</x:v>
      </x:c>
      <x:c r="Y192" s="4" t="n">
        <x:v>4</x:v>
      </x:c>
      <x:c r="Z192" s="4" t="n">
        <x:v>3</x:v>
      </x:c>
      <x:c r="AA192" s="4" t="n">
        <x:v>2</x:v>
      </x:c>
      <x:c r="AB192" s="4" t="n">
        <x:v>0</x:v>
      </x:c>
      <x:c r="AC192" s="30" t="n">
        <x:v>2.3</x:v>
      </x:c>
      <x:c r="AD192" s="4"/>
      <x:c r="AE192" s="4" t="str">
        <x:v>2026-09-15</x:v>
      </x:c>
      <x:c r="AF192" s="2"/>
      <x:c r="AG192" s="97"/>
      <x:c r="AH192" s="2"/>
      <x:c r="AI192" s="2"/>
      <x:c r="AJ192" s="97"/>
      <x:c r="AK192" s="2"/>
      <x:c r="AL192" s="2"/>
      <x:c r="AM192" s="2" t="str">
        <x:v>https://tpwd.texas.gov/huntwild/hunt/public/public_hunt_drawing/hunt-category-details.phtml?OCat=GDA</x:v>
      </x:c>
      <x:c r="AN192" s="2" t="str">
        <x:v>https://tpwd.texas.gov/search/?q=Inks+Lake%2FLonghorn+Caverns+SP+public+hunting+brochure</x:v>
      </x:c>
      <x:c r="AO192" s="2" t="str">
        <x:v>https://apps.tpwd.state.tx.us/huntwild/hunt/public/public_hunt_drawing/</x:v>
      </x:c>
      <x:c r="AP192" s="2" t="str">
        <x:v>https://www.google.com/maps/search/?api=1&amp;query=Inks+Lake%2FLonghorn+Caverns+SP%2C+Texas</x:v>
      </x:c>
      <x:c r="AQ192" s="96" t="n">
        <x:v>0</x:v>
      </x:c>
      <x:c r="AR192" s="2" t="str">
        <x:v>Standard Hastings ranking</x:v>
      </x:c>
    </x:row>
    <x:row r="193">
      <x:c r="A193" s="4" t="str">
        <x:v>No</x:v>
      </x:c>
      <x:c r="B193" s="4" t="str">
        <x:v>A</x:v>
      </x:c>
      <x:c r="C193" s="4" t="str">
        <x:v>Whitetail Deer</x:v>
      </x:c>
      <x:c r="D193" s="4" t="str">
        <x:v>Inks Lake/Longhorn Caverns SP</x:v>
      </x:c>
      <x:c r="E193" s="4" t="str">
        <x:v>Central Texas / Austin</x:v>
      </x:c>
      <x:c r="F193" s="4" t="str">
        <x:v>Gun Deer - Either Sex</x:v>
      </x:c>
      <x:c r="G193" s="4" t="str">
        <x:v>Yes</x:v>
      </x:c>
      <x:c r="H193" s="4" t="str">
        <x:v>Yes</x:v>
      </x:c>
      <x:c r="I193" s="24" t="str">
        <x:v>2026-09-15</x:v>
      </x:c>
      <x:c r="J193" s="4" t="str">
        <x:v>See TPWD category page</x:v>
      </x:c>
      <x:c r="K193" s="110" t="n">
        <x:v>3</x:v>
      </x:c>
      <x:c r="L193" s="110"/>
      <x:c r="M193" s="4"/>
      <x:c r="N193" s="4"/>
      <x:c r="O193" s="112"/>
      <x:c r="P193" s="4" t="n">
        <x:v>490</x:v>
      </x:c>
      <x:c r="Q193" s="4" t="str">
        <x:v>Statewide</x:v>
      </x:c>
      <x:c r="R193" s="4" t="str">
        <x:v>Research before draw; property brochure linked from TPWD</x:v>
      </x:c>
      <x:c r="S193" s="4" t="str">
        <x:v>Low</x:v>
      </x:c>
      <x:c r="T193" s="4" t="str">
        <x:v>No</x:v>
      </x:c>
      <x:c r="U193" s="4" t="str">
        <x:v>Verified in TPWD 2026-2027 statewide deer category catalog.</x:v>
      </x:c>
      <x:c r="V193" s="4" t="str">
        <x:v>https://tpwd.texas.gov/huntwild/hunt/public/public_hunt_drawing/hunt-category-details.phtml?OCat=GDE</x:v>
      </x:c>
      <x:c r="W193" s="4" t="n">
        <x:v>2</x:v>
      </x:c>
      <x:c r="X193" s="4" t="n">
        <x:v>2</x:v>
      </x:c>
      <x:c r="Y193" s="4" t="n">
        <x:v>4</x:v>
      </x:c>
      <x:c r="Z193" s="4" t="n">
        <x:v>3</x:v>
      </x:c>
      <x:c r="AA193" s="4" t="n">
        <x:v>2</x:v>
      </x:c>
      <x:c r="AB193" s="4" t="n">
        <x:v>0</x:v>
      </x:c>
      <x:c r="AC193" s="30" t="n">
        <x:v>2.3</x:v>
      </x:c>
      <x:c r="AD193" s="4"/>
      <x:c r="AE193" s="4" t="str">
        <x:v>2026-09-15</x:v>
      </x:c>
      <x:c r="AF193" s="2"/>
      <x:c r="AG193" s="97"/>
      <x:c r="AH193" s="2"/>
      <x:c r="AI193" s="2"/>
      <x:c r="AJ193" s="97"/>
      <x:c r="AK193" s="2"/>
      <x:c r="AL193" s="2"/>
      <x:c r="AM193" s="2" t="str">
        <x:v>https://tpwd.texas.gov/huntwild/hunt/public/public_hunt_drawing/hunt-category-details.phtml?OCat=GDE</x:v>
      </x:c>
      <x:c r="AN193" s="2" t="str">
        <x:v>https://tpwd.texas.gov/search/?q=Inks+Lake%2FLonghorn+Caverns+SP+public+hunting+brochure</x:v>
      </x:c>
      <x:c r="AO193" s="2" t="str">
        <x:v>https://apps.tpwd.state.tx.us/huntwild/hunt/public/public_hunt_drawing/</x:v>
      </x:c>
      <x:c r="AP193" s="2" t="str">
        <x:v>https://www.google.com/maps/search/?api=1&amp;query=Inks+Lake%2FLonghorn+Caverns+SP%2C+Texas</x:v>
      </x:c>
      <x:c r="AQ193" s="96" t="n">
        <x:v>0</x:v>
      </x:c>
      <x:c r="AR193" s="2" t="str">
        <x:v>Standard Hastings ranking</x:v>
      </x:c>
    </x:row>
    <x:row r="194">
      <x:c r="A194" s="4" t="str">
        <x:v>No</x:v>
      </x:c>
      <x:c r="B194" s="4" t="str">
        <x:v>A</x:v>
      </x:c>
      <x:c r="C194" s="4" t="str">
        <x:v>Whitetail Deer</x:v>
      </x:c>
      <x:c r="D194" s="4" t="str">
        <x:v>James Daughtrey WMA</x:v>
      </x:c>
      <x:c r="E194" s="4" t="str">
        <x:v>South Texas / Rio Grande Valley</x:v>
      </x:c>
      <x:c r="F194" s="4" t="str">
        <x:v>Gun Deer - Either Sex</x:v>
      </x:c>
      <x:c r="G194" s="4" t="str">
        <x:v>Yes</x:v>
      </x:c>
      <x:c r="H194" s="4" t="str">
        <x:v>Yes</x:v>
      </x:c>
      <x:c r="I194" s="24" t="str">
        <x:v>2026-09-15</x:v>
      </x:c>
      <x:c r="J194" s="4" t="str">
        <x:v>See TPWD category page</x:v>
      </x:c>
      <x:c r="K194" s="110" t="n">
        <x:v>3</x:v>
      </x:c>
      <x:c r="L194" s="110"/>
      <x:c r="M194" s="4"/>
      <x:c r="N194" s="4"/>
      <x:c r="O194" s="112"/>
      <x:c r="P194" s="4" t="n">
        <x:v>700</x:v>
      </x:c>
      <x:c r="Q194" s="4" t="str">
        <x:v>Long Haul</x:v>
      </x:c>
      <x:c r="R194" s="4" t="str">
        <x:v>Research before draw; property brochure linked from TPWD</x:v>
      </x:c>
      <x:c r="S194" s="4" t="str">
        <x:v>Low</x:v>
      </x:c>
      <x:c r="T194" s="4" t="str">
        <x:v>No</x:v>
      </x:c>
      <x:c r="U194" s="4" t="str">
        <x:v>Verified in TPWD 2026-2027 statewide deer category catalog.</x:v>
      </x:c>
      <x:c r="V194" s="4" t="str">
        <x:v>https://tpwd.texas.gov/huntwild/hunt/public/public_hunt_drawing/hunt-category-details.phtml?OCat=GDE</x:v>
      </x:c>
      <x:c r="W194" s="4" t="n">
        <x:v>2</x:v>
      </x:c>
      <x:c r="X194" s="4" t="n">
        <x:v>1</x:v>
      </x:c>
      <x:c r="Y194" s="4" t="n">
        <x:v>4</x:v>
      </x:c>
      <x:c r="Z194" s="4" t="n">
        <x:v>3</x:v>
      </x:c>
      <x:c r="AA194" s="4" t="n">
        <x:v>2</x:v>
      </x:c>
      <x:c r="AB194" s="4" t="n">
        <x:v>0</x:v>
      </x:c>
      <x:c r="AC194" s="30" t="n">
        <x:v>2.1</x:v>
      </x:c>
      <x:c r="AD194" s="4"/>
      <x:c r="AE194" s="4" t="str">
        <x:v>2026-09-15</x:v>
      </x:c>
      <x:c r="AF194" s="2"/>
      <x:c r="AG194" s="97"/>
      <x:c r="AH194" s="2"/>
      <x:c r="AI194" s="2"/>
      <x:c r="AJ194" s="97"/>
      <x:c r="AK194" s="2"/>
      <x:c r="AL194" s="2"/>
      <x:c r="AM194" s="2" t="str">
        <x:v>https://tpwd.texas.gov/huntwild/hunt/public/public_hunt_drawing/hunt-category-details.phtml?OCat=GDE</x:v>
      </x:c>
      <x:c r="AN194" s="2" t="str">
        <x:v>https://tpwd.texas.gov/search/?q=James+Daughtrey+WMA+public+hunting+brochure</x:v>
      </x:c>
      <x:c r="AO194" s="2" t="str">
        <x:v>https://apps.tpwd.state.tx.us/huntwild/hunt/public/public_hunt_drawing/</x:v>
      </x:c>
      <x:c r="AP194" s="2" t="str">
        <x:v>https://www.google.com/maps/search/?api=1&amp;query=James+Daughtrey+WMA%2C+Texas</x:v>
      </x:c>
      <x:c r="AQ194" s="96" t="n">
        <x:v>0</x:v>
      </x:c>
      <x:c r="AR194" s="2" t="str">
        <x:v>Standard Hastings ranking</x:v>
      </x:c>
    </x:row>
    <x:row r="195">
      <x:c r="A195" s="4" t="str">
        <x:v>No</x:v>
      </x:c>
      <x:c r="B195" s="4" t="str">
        <x:v>A</x:v>
      </x:c>
      <x:c r="C195" s="4" t="str">
        <x:v>Whitetail Deer</x:v>
      </x:c>
      <x:c r="D195" s="4" t="str">
        <x:v>James Daughtrey WMA</x:v>
      </x:c>
      <x:c r="E195" s="4" t="str">
        <x:v>South Texas / Rio Grande Valley</x:v>
      </x:c>
      <x:c r="F195" s="4" t="str">
        <x:v>Gun Deer - Management</x:v>
      </x:c>
      <x:c r="G195" s="4" t="str">
        <x:v>Yes</x:v>
      </x:c>
      <x:c r="H195" s="4" t="str">
        <x:v>Yes</x:v>
      </x:c>
      <x:c r="I195" s="24" t="str">
        <x:v>2026-09-15</x:v>
      </x:c>
      <x:c r="J195" s="4" t="str">
        <x:v>See TPWD category page</x:v>
      </x:c>
      <x:c r="K195" s="110" t="n">
        <x:v>3</x:v>
      </x:c>
      <x:c r="L195" s="110"/>
      <x:c r="M195" s="4"/>
      <x:c r="N195" s="4"/>
      <x:c r="O195" s="112"/>
      <x:c r="P195" s="4" t="n">
        <x:v>700</x:v>
      </x:c>
      <x:c r="Q195" s="4" t="str">
        <x:v>Long Haul</x:v>
      </x:c>
      <x:c r="R195" s="4" t="str">
        <x:v>Research before draw; property brochure linked from TPWD</x:v>
      </x:c>
      <x:c r="S195" s="4" t="str">
        <x:v>Low</x:v>
      </x:c>
      <x:c r="T195" s="4" t="str">
        <x:v>No</x:v>
      </x:c>
      <x:c r="U195" s="4" t="str">
        <x:v>Verified in TPWD 2026-2027 statewide deer category catalog.</x:v>
      </x:c>
      <x:c r="V195" s="4" t="str">
        <x:v>https://tpwd.texas.gov/huntwild/hunt/public/public_hunt_drawing/hunt-category-details.phtml?OCat=GDM</x:v>
      </x:c>
      <x:c r="W195" s="4" t="n">
        <x:v>2</x:v>
      </x:c>
      <x:c r="X195" s="4" t="n">
        <x:v>1</x:v>
      </x:c>
      <x:c r="Y195" s="4" t="n">
        <x:v>4</x:v>
      </x:c>
      <x:c r="Z195" s="4" t="n">
        <x:v>3</x:v>
      </x:c>
      <x:c r="AA195" s="4" t="n">
        <x:v>2</x:v>
      </x:c>
      <x:c r="AB195" s="4" t="n">
        <x:v>0</x:v>
      </x:c>
      <x:c r="AC195" s="30" t="n">
        <x:v>2.1</x:v>
      </x:c>
      <x:c r="AD195" s="4"/>
      <x:c r="AE195" s="4" t="str">
        <x:v>2026-09-15</x:v>
      </x:c>
      <x:c r="AF195" s="2"/>
      <x:c r="AG195" s="97"/>
      <x:c r="AH195" s="2"/>
      <x:c r="AI195" s="2"/>
      <x:c r="AJ195" s="97"/>
      <x:c r="AK195" s="2"/>
      <x:c r="AL195" s="2"/>
      <x:c r="AM195" s="2" t="str">
        <x:v>https://tpwd.texas.gov/huntwild/hunt/public/public_hunt_drawing/hunt-category-details.phtml?OCat=GDM</x:v>
      </x:c>
      <x:c r="AN195" s="2" t="str">
        <x:v>https://tpwd.texas.gov/search/?q=James+Daughtrey+WMA+public+hunting+brochure</x:v>
      </x:c>
      <x:c r="AO195" s="2" t="str">
        <x:v>https://apps.tpwd.state.tx.us/huntwild/hunt/public/public_hunt_drawing/</x:v>
      </x:c>
      <x:c r="AP195" s="2" t="str">
        <x:v>https://www.google.com/maps/search/?api=1&amp;query=James+Daughtrey+WMA%2C+Texas</x:v>
      </x:c>
      <x:c r="AQ195" s="96" t="n">
        <x:v>0</x:v>
      </x:c>
      <x:c r="AR195" s="2" t="str">
        <x:v>Standard Hastings ranking</x:v>
      </x:c>
    </x:row>
    <x:row r="196">
      <x:c r="A196" s="4" t="str">
        <x:v>No</x:v>
      </x:c>
      <x:c r="B196" s="4" t="str">
        <x:v>A</x:v>
      </x:c>
      <x:c r="C196" s="4" t="str">
        <x:v>Whitetail Deer</x:v>
      </x:c>
      <x:c r="D196" s="4" t="str">
        <x:v>Keechi Creek WMA</x:v>
      </x:c>
      <x:c r="E196" s="4" t="str">
        <x:v>Statewide / Other</x:v>
      </x:c>
      <x:c r="F196" s="4" t="str">
        <x:v>E-Postcard Deer</x:v>
      </x:c>
      <x:c r="G196" s="4" t="str">
        <x:v>Yes</x:v>
      </x:c>
      <x:c r="H196" s="4" t="str">
        <x:v>Yes</x:v>
      </x:c>
      <x:c r="I196" s="24" t="str">
        <x:v>2026-09-15</x:v>
      </x:c>
      <x:c r="J196" s="4" t="str">
        <x:v>See TPWD category page</x:v>
      </x:c>
      <x:c r="K196" s="110" t="n">
        <x:v>0</x:v>
      </x:c>
      <x:c r="L196" s="110" t="n">
        <x:v>0</x:v>
      </x:c>
      <x:c r="M196" s="4"/>
      <x:c r="N196" s="4"/>
      <x:c r="O196" s="112"/>
      <x:c r="P196" s="4" t="n">
        <x:v>500</x:v>
      </x:c>
      <x:c r="Q196" s="4" t="str">
        <x:v>Statewide</x:v>
      </x:c>
      <x:c r="R196" s="4" t="str">
        <x:v>Research before draw; property brochure linked from TPWD</x:v>
      </x:c>
      <x:c r="S196" s="4" t="str">
        <x:v>Low</x:v>
      </x:c>
      <x:c r="T196" s="4" t="str">
        <x:v>No</x:v>
      </x:c>
      <x:c r="U196" s="4" t="str">
        <x:v>Verified in TPWD 2026-2027 statewide deer category catalog. APH/eligibility rules apply; confirm account and permit requirements.</x:v>
      </x:c>
      <x:c r="V196" s="4" t="str">
        <x:v>https://tpwd.texas.gov/huntwild/hunt/public/public_hunt_drawing/hunt-category-details.phtml?OCat=EDR</x:v>
      </x:c>
      <x:c r="W196" s="4" t="n">
        <x:v>2</x:v>
      </x:c>
      <x:c r="X196" s="4" t="n">
        <x:v>2</x:v>
      </x:c>
      <x:c r="Y196" s="4" t="n">
        <x:v>4</x:v>
      </x:c>
      <x:c r="Z196" s="4" t="n">
        <x:v>3</x:v>
      </x:c>
      <x:c r="AA196" s="4" t="n">
        <x:v>2</x:v>
      </x:c>
      <x:c r="AB196" s="4" t="n">
        <x:v>0</x:v>
      </x:c>
      <x:c r="AC196" s="30" t="n">
        <x:v>2.3</x:v>
      </x:c>
      <x:c r="AD196" s="4" t="n">
        <x:v>0</x:v>
      </x:c>
      <x:c r="AE196" s="4" t="str">
        <x:v>2026-09-15</x:v>
      </x:c>
      <x:c r="AF196" s="2"/>
      <x:c r="AG196" s="97"/>
      <x:c r="AH196" s="2"/>
      <x:c r="AI196" s="2"/>
      <x:c r="AJ196" s="97"/>
      <x:c r="AK196" s="2"/>
      <x:c r="AL196" s="2"/>
      <x:c r="AM196" s="2" t="str">
        <x:v>https://tpwd.texas.gov/huntwild/hunt/public/public_hunt_drawing/hunt-category-details.phtml?OCat=EDR</x:v>
      </x:c>
      <x:c r="AN196" s="2" t="str">
        <x:v>https://tpwd.texas.gov/search/?q=Keechi+Creek+WMA+public+hunting+brochure</x:v>
      </x:c>
      <x:c r="AO196" s="2" t="str">
        <x:v>https://apps.tpwd.state.tx.us/huntwild/hunt/public/public_hunt_drawing/</x:v>
      </x:c>
      <x:c r="AP196" s="2" t="str">
        <x:v>https://www.google.com/maps/search/?api=1&amp;query=Keechi+Creek+WMA%2C+Texas</x:v>
      </x:c>
      <x:c r="AQ196" s="96" t="n">
        <x:v>0</x:v>
      </x:c>
      <x:c r="AR196" s="2" t="str">
        <x:v>Standard Hastings ranking</x:v>
      </x:c>
    </x:row>
    <x:row r="197">
      <x:c r="A197" s="4" t="str">
        <x:v>No</x:v>
      </x:c>
      <x:c r="B197" s="4" t="str">
        <x:v>A</x:v>
      </x:c>
      <x:c r="C197" s="4" t="str">
        <x:v>Whitetail Deer</x:v>
      </x:c>
      <x:c r="D197" s="4" t="str">
        <x:v>Kerr WMA</x:v>
      </x:c>
      <x:c r="E197" s="4" t="str">
        <x:v>Hill Country / San Antonio</x:v>
      </x:c>
      <x:c r="F197" s="4" t="str">
        <x:v>Gun Deer - Either Sex</x:v>
      </x:c>
      <x:c r="G197" s="4" t="str">
        <x:v>Yes</x:v>
      </x:c>
      <x:c r="H197" s="4" t="str">
        <x:v>Yes</x:v>
      </x:c>
      <x:c r="I197" s="24" t="str">
        <x:v>2026-09-15</x:v>
      </x:c>
      <x:c r="J197" s="4" t="str">
        <x:v>See TPWD category page</x:v>
      </x:c>
      <x:c r="K197" s="110" t="n">
        <x:v>3</x:v>
      </x:c>
      <x:c r="L197" s="110"/>
      <x:c r="M197" s="4"/>
      <x:c r="N197" s="4"/>
      <x:c r="O197" s="112"/>
      <x:c r="P197" s="4" t="n">
        <x:v>520</x:v>
      </x:c>
      <x:c r="Q197" s="4" t="str">
        <x:v>Statewide</x:v>
      </x:c>
      <x:c r="R197" s="4" t="str">
        <x:v>Research before draw; property brochure linked from TPWD</x:v>
      </x:c>
      <x:c r="S197" s="4" t="str">
        <x:v>Low</x:v>
      </x:c>
      <x:c r="T197" s="4" t="str">
        <x:v>No</x:v>
      </x:c>
      <x:c r="U197" s="4" t="str">
        <x:v>Verified in TPWD 2026-2027 statewide deer category catalog.</x:v>
      </x:c>
      <x:c r="V197" s="4" t="str">
        <x:v>https://tpwd.texas.gov/huntwild/hunt/public/public_hunt_drawing/hunt-category-details.phtml?OCat=GDE</x:v>
      </x:c>
      <x:c r="W197" s="4" t="n">
        <x:v>2</x:v>
      </x:c>
      <x:c r="X197" s="4" t="n">
        <x:v>2</x:v>
      </x:c>
      <x:c r="Y197" s="4" t="n">
        <x:v>4</x:v>
      </x:c>
      <x:c r="Z197" s="4" t="n">
        <x:v>3</x:v>
      </x:c>
      <x:c r="AA197" s="4" t="n">
        <x:v>2</x:v>
      </x:c>
      <x:c r="AB197" s="4" t="n">
        <x:v>0</x:v>
      </x:c>
      <x:c r="AC197" s="30" t="n">
        <x:v>2.3</x:v>
      </x:c>
      <x:c r="AD197" s="4"/>
      <x:c r="AE197" s="4" t="str">
        <x:v>2026-09-15</x:v>
      </x:c>
      <x:c r="AF197" s="2"/>
      <x:c r="AG197" s="97"/>
      <x:c r="AH197" s="2"/>
      <x:c r="AI197" s="2"/>
      <x:c r="AJ197" s="97"/>
      <x:c r="AK197" s="2"/>
      <x:c r="AL197" s="2"/>
      <x:c r="AM197" s="2" t="str">
        <x:v>https://tpwd.texas.gov/huntwild/hunt/public/public_hunt_drawing/hunt-category-details.phtml?OCat=GDE</x:v>
      </x:c>
      <x:c r="AN197" s="2" t="str">
        <x:v>https://tpwd.texas.gov/search/?q=Kerr+WMA+public+hunting+brochure</x:v>
      </x:c>
      <x:c r="AO197" s="2" t="str">
        <x:v>https://apps.tpwd.state.tx.us/huntwild/hunt/public/public_hunt_drawing/</x:v>
      </x:c>
      <x:c r="AP197" s="2" t="str">
        <x:v>https://www.google.com/maps/search/?api=1&amp;query=Kerr+WMA%2C+Texas</x:v>
      </x:c>
      <x:c r="AQ197" s="96" t="n">
        <x:v>0</x:v>
      </x:c>
      <x:c r="AR197" s="2" t="str">
        <x:v>Standard Hastings ranking</x:v>
      </x:c>
    </x:row>
    <x:row r="198">
      <x:c r="A198" s="4" t="str">
        <x:v>No</x:v>
      </x:c>
      <x:c r="B198" s="4" t="str">
        <x:v>A</x:v>
      </x:c>
      <x:c r="C198" s="4" t="str">
        <x:v>Whitetail Deer</x:v>
      </x:c>
      <x:c r="D198" s="4" t="str">
        <x:v>Kerr WMA</x:v>
      </x:c>
      <x:c r="E198" s="4" t="str">
        <x:v>Hill Country / San Antonio</x:v>
      </x:c>
      <x:c r="F198" s="4" t="str">
        <x:v>Gun Deer - Management</x:v>
      </x:c>
      <x:c r="G198" s="4" t="str">
        <x:v>Yes</x:v>
      </x:c>
      <x:c r="H198" s="4" t="str">
        <x:v>Yes</x:v>
      </x:c>
      <x:c r="I198" s="24" t="str">
        <x:v>2026-09-15</x:v>
      </x:c>
      <x:c r="J198" s="4" t="str">
        <x:v>See TPWD category page</x:v>
      </x:c>
      <x:c r="K198" s="110" t="n">
        <x:v>3</x:v>
      </x:c>
      <x:c r="L198" s="110"/>
      <x:c r="M198" s="4"/>
      <x:c r="N198" s="4"/>
      <x:c r="O198" s="112"/>
      <x:c r="P198" s="4" t="n">
        <x:v>520</x:v>
      </x:c>
      <x:c r="Q198" s="4" t="str">
        <x:v>Statewide</x:v>
      </x:c>
      <x:c r="R198" s="4" t="str">
        <x:v>Research before draw; property brochure linked from TPWD</x:v>
      </x:c>
      <x:c r="S198" s="4" t="str">
        <x:v>Low</x:v>
      </x:c>
      <x:c r="T198" s="4" t="str">
        <x:v>No</x:v>
      </x:c>
      <x:c r="U198" s="4" t="str">
        <x:v>Verified in TPWD 2026-2027 statewide deer category catalog.</x:v>
      </x:c>
      <x:c r="V198" s="4" t="str">
        <x:v>https://tpwd.texas.gov/huntwild/hunt/public/public_hunt_drawing/hunt-category-details.phtml?OCat=GDM</x:v>
      </x:c>
      <x:c r="W198" s="4" t="n">
        <x:v>2</x:v>
      </x:c>
      <x:c r="X198" s="4" t="n">
        <x:v>2</x:v>
      </x:c>
      <x:c r="Y198" s="4" t="n">
        <x:v>4</x:v>
      </x:c>
      <x:c r="Z198" s="4" t="n">
        <x:v>3</x:v>
      </x:c>
      <x:c r="AA198" s="4" t="n">
        <x:v>2</x:v>
      </x:c>
      <x:c r="AB198" s="4" t="n">
        <x:v>0</x:v>
      </x:c>
      <x:c r="AC198" s="30" t="n">
        <x:v>2.3</x:v>
      </x:c>
      <x:c r="AD198" s="4"/>
      <x:c r="AE198" s="4" t="str">
        <x:v>2026-09-15</x:v>
      </x:c>
      <x:c r="AF198" s="2"/>
      <x:c r="AG198" s="97"/>
      <x:c r="AH198" s="2"/>
      <x:c r="AI198" s="2"/>
      <x:c r="AJ198" s="97"/>
      <x:c r="AK198" s="2"/>
      <x:c r="AL198" s="2"/>
      <x:c r="AM198" s="2" t="str">
        <x:v>https://tpwd.texas.gov/huntwild/hunt/public/public_hunt_drawing/hunt-category-details.phtml?OCat=GDM</x:v>
      </x:c>
      <x:c r="AN198" s="2" t="str">
        <x:v>https://tpwd.texas.gov/search/?q=Kerr+WMA+public+hunting+brochure</x:v>
      </x:c>
      <x:c r="AO198" s="2" t="str">
        <x:v>https://apps.tpwd.state.tx.us/huntwild/hunt/public/public_hunt_drawing/</x:v>
      </x:c>
      <x:c r="AP198" s="2" t="str">
        <x:v>https://www.google.com/maps/search/?api=1&amp;query=Kerr+WMA%2C+Texas</x:v>
      </x:c>
      <x:c r="AQ198" s="96" t="n">
        <x:v>0</x:v>
      </x:c>
      <x:c r="AR198" s="2" t="str">
        <x:v>Standard Hastings ranking</x:v>
      </x:c>
    </x:row>
    <x:row r="199">
      <x:c r="A199" s="4" t="str">
        <x:v>No</x:v>
      </x:c>
      <x:c r="B199" s="4" t="str">
        <x:v>A</x:v>
      </x:c>
      <x:c r="C199" s="4" t="str">
        <x:v>Whitetail Deer</x:v>
      </x:c>
      <x:c r="D199" s="4" t="str">
        <x:v>Laguna Atascosa NWR</x:v>
      </x:c>
      <x:c r="E199" s="4" t="str">
        <x:v>South Texas / Rio Grande Valley</x:v>
      </x:c>
      <x:c r="F199" s="4" t="str">
        <x:v>National Refuge General Deer</x:v>
      </x:c>
      <x:c r="G199" s="4" t="str">
        <x:v>Yes</x:v>
      </x:c>
      <x:c r="H199" s="4" t="str">
        <x:v>Yes</x:v>
      </x:c>
      <x:c r="I199" s="24" t="str">
        <x:v>2026-09-15</x:v>
      </x:c>
      <x:c r="J199" s="4" t="str">
        <x:v>See TPWD category page</x:v>
      </x:c>
      <x:c r="K199" s="110" t="n">
        <x:v>3</x:v>
      </x:c>
      <x:c r="L199" s="110"/>
      <x:c r="M199" s="4"/>
      <x:c r="N199" s="4"/>
      <x:c r="O199" s="112"/>
      <x:c r="P199" s="4" t="n">
        <x:v>700</x:v>
      </x:c>
      <x:c r="Q199" s="4" t="str">
        <x:v>Long Haul</x:v>
      </x:c>
      <x:c r="R199" s="4" t="str">
        <x:v>Research before draw; property brochure linked from TPWD</x:v>
      </x:c>
      <x:c r="S199" s="4" t="str">
        <x:v>Low</x:v>
      </x:c>
      <x:c r="T199" s="4" t="str">
        <x:v>No</x:v>
      </x:c>
      <x:c r="U199" s="4" t="str">
        <x:v>Verified in TPWD 2026-2027 statewide deer category catalog. Refuge-specific rules and permit fees may apply.</x:v>
      </x:c>
      <x:c r="V199" s="4" t="str">
        <x:v>https://tpwd.texas.gov/huntwild/hunt/public/public_hunt_drawing/hunt-category-details.phtml?OCat=NGE</x:v>
      </x:c>
      <x:c r="W199" s="4" t="n">
        <x:v>2</x:v>
      </x:c>
      <x:c r="X199" s="4" t="n">
        <x:v>1</x:v>
      </x:c>
      <x:c r="Y199" s="4" t="n">
        <x:v>4</x:v>
      </x:c>
      <x:c r="Z199" s="4" t="n">
        <x:v>3</x:v>
      </x:c>
      <x:c r="AA199" s="4" t="n">
        <x:v>2</x:v>
      </x:c>
      <x:c r="AB199" s="4" t="n">
        <x:v>0</x:v>
      </x:c>
      <x:c r="AC199" s="30" t="n">
        <x:v>2.1</x:v>
      </x:c>
      <x:c r="AD199" s="4"/>
      <x:c r="AE199" s="4" t="str">
        <x:v>2026-09-15</x:v>
      </x:c>
      <x:c r="AF199" s="2"/>
      <x:c r="AG199" s="97"/>
      <x:c r="AH199" s="2"/>
      <x:c r="AI199" s="2"/>
      <x:c r="AJ199" s="97"/>
      <x:c r="AK199" s="2"/>
      <x:c r="AL199" s="2"/>
      <x:c r="AM199" s="2" t="str">
        <x:v>https://tpwd.texas.gov/huntwild/hunt/public/public_hunt_drawing/hunt-category-details.phtml?OCat=NGE</x:v>
      </x:c>
      <x:c r="AN199" s="2" t="str">
        <x:v>https://tpwd.texas.gov/search/?q=Laguna+Atascosa+NWR+public+hunting+brochure</x:v>
      </x:c>
      <x:c r="AO199" s="2" t="str">
        <x:v>https://apps.tpwd.state.tx.us/huntwild/hunt/public/public_hunt_drawing/</x:v>
      </x:c>
      <x:c r="AP199" s="2" t="str">
        <x:v>https://www.google.com/maps/search/?api=1&amp;query=Laguna+Atascosa+NWR%2C+Texas</x:v>
      </x:c>
      <x:c r="AQ199" s="96" t="n">
        <x:v>0</x:v>
      </x:c>
      <x:c r="AR199" s="2" t="str">
        <x:v>Standard Hastings ranking</x:v>
      </x:c>
    </x:row>
    <x:row r="200">
      <x:c r="A200" s="4" t="str">
        <x:v>No</x:v>
      </x:c>
      <x:c r="B200" s="4" t="str">
        <x:v>A</x:v>
      </x:c>
      <x:c r="C200" s="4" t="str">
        <x:v>Whitetail Deer</x:v>
      </x:c>
      <x:c r="D200" s="4" t="str">
        <x:v>Lake Brownwood SP</x:v>
      </x:c>
      <x:c r="E200" s="4" t="str">
        <x:v>West-Central Texas</x:v>
      </x:c>
      <x:c r="F200" s="4" t="str">
        <x:v>Gun Deer - Antlerless/Spike</x:v>
      </x:c>
      <x:c r="G200" s="4" t="str">
        <x:v>Yes</x:v>
      </x:c>
      <x:c r="H200" s="4" t="str">
        <x:v>Yes</x:v>
      </x:c>
      <x:c r="I200" s="24" t="str">
        <x:v>2026-09-15</x:v>
      </x:c>
      <x:c r="J200" s="4" t="str">
        <x:v>See TPWD category page</x:v>
      </x:c>
      <x:c r="K200" s="110" t="n">
        <x:v>3</x:v>
      </x:c>
      <x:c r="L200" s="110"/>
      <x:c r="M200" s="4"/>
      <x:c r="N200" s="4"/>
      <x:c r="O200" s="112"/>
      <x:c r="P200" s="4" t="n">
        <x:v>300</x:v>
      </x:c>
      <x:c r="Q200" s="4" t="str">
        <x:v>Extended</x:v>
      </x:c>
      <x:c r="R200" s="4" t="str">
        <x:v>Research before draw; property brochure linked from TPWD</x:v>
      </x:c>
      <x:c r="S200" s="4" t="str">
        <x:v>Low</x:v>
      </x:c>
      <x:c r="T200" s="4" t="str">
        <x:v>No</x:v>
      </x:c>
      <x:c r="U200" s="4" t="str">
        <x:v>Verified in TPWD 2026-2027 statewide deer category catalog.</x:v>
      </x:c>
      <x:c r="V200" s="4" t="str">
        <x:v>https://tpwd.texas.gov/huntwild/hunt/public/public_hunt_drawing/hunt-category-details.phtml?OCat=GDA</x:v>
      </x:c>
      <x:c r="W200" s="4" t="n">
        <x:v>2</x:v>
      </x:c>
      <x:c r="X200" s="4" t="n">
        <x:v>4</x:v>
      </x:c>
      <x:c r="Y200" s="4" t="n">
        <x:v>4</x:v>
      </x:c>
      <x:c r="Z200" s="4" t="n">
        <x:v>3</x:v>
      </x:c>
      <x:c r="AA200" s="4" t="n">
        <x:v>2</x:v>
      </x:c>
      <x:c r="AB200" s="4" t="n">
        <x:v>0</x:v>
      </x:c>
      <x:c r="AC200" s="30" t="n">
        <x:v>2.6</x:v>
      </x:c>
      <x:c r="AD200" s="4"/>
      <x:c r="AE200" s="4" t="str">
        <x:v>2026-09-15</x:v>
      </x:c>
      <x:c r="AF200" s="2"/>
      <x:c r="AG200" s="97"/>
      <x:c r="AH200" s="2"/>
      <x:c r="AI200" s="2"/>
      <x:c r="AJ200" s="97"/>
      <x:c r="AK200" s="2"/>
      <x:c r="AL200" s="2"/>
      <x:c r="AM200" s="2" t="str">
        <x:v>https://tpwd.texas.gov/huntwild/hunt/public/public_hunt_drawing/hunt-category-details.phtml?OCat=GDA</x:v>
      </x:c>
      <x:c r="AN200" s="2" t="str">
        <x:v>https://tpwd.texas.gov/search/?q=Lake+Brownwood+SP+public+hunting+brochure</x:v>
      </x:c>
      <x:c r="AO200" s="2" t="str">
        <x:v>https://apps.tpwd.state.tx.us/huntwild/hunt/public/public_hunt_drawing/</x:v>
      </x:c>
      <x:c r="AP200" s="2" t="str">
        <x:v>https://www.google.com/maps/search/?api=1&amp;query=Lake+Brownwood+SP%2C+Texas</x:v>
      </x:c>
      <x:c r="AQ200" s="96" t="n">
        <x:v>0</x:v>
      </x:c>
      <x:c r="AR200" s="2" t="str">
        <x:v>Standard Hastings ranking</x:v>
      </x:c>
    </x:row>
    <x:row r="201">
      <x:c r="A201" s="2" t="str">
        <x:v>No</x:v>
      </x:c>
      <x:c r="B201" s="2" t="str">
        <x:v>A</x:v>
      </x:c>
      <x:c r="C201" s="2" t="str">
        <x:v>Whitetail Deer</x:v>
      </x:c>
      <x:c r="D201" s="2" t="str">
        <x:v>Lake Mineral Wells SP</x:v>
      </x:c>
      <x:c r="E201" s="2" t="str">
        <x:v>North Texas / DFW</x:v>
      </x:c>
      <x:c r="F201" s="2" t="str">
        <x:v>Gun Deer - Either Sex</x:v>
      </x:c>
      <x:c r="G201" s="2" t="str">
        <x:v>Yes</x:v>
      </x:c>
      <x:c r="H201" s="2" t="str">
        <x:v>Yes</x:v>
      </x:c>
      <x:c r="I201" s="97" t="str">
        <x:v>2026-09-15</x:v>
      </x:c>
      <x:c r="J201" s="2" t="str">
        <x:v>See TPWD category page</x:v>
      </x:c>
      <x:c r="K201" s="111" t="n">
        <x:v>3</x:v>
      </x:c>
      <x:c r="L201" s="111"/>
      <x:c r="M201" s="2"/>
      <x:c r="N201" s="2"/>
      <x:c r="O201" s="113"/>
      <x:c r="P201" s="2" t="n">
        <x:v>360</x:v>
      </x:c>
      <x:c r="Q201" s="2" t="str">
        <x:v>Extended</x:v>
      </x:c>
      <x:c r="R201" s="2" t="str">
        <x:v>Research before draw; property brochure linked from TPWD</x:v>
      </x:c>
      <x:c r="S201" s="2" t="str">
        <x:v>Low</x:v>
      </x:c>
      <x:c r="T201" s="2" t="str">
        <x:v>No</x:v>
      </x:c>
      <x:c r="U201" s="2" t="str">
        <x:v>Verified in TPWD 2026-2027 statewide deer category catalog.</x:v>
      </x:c>
      <x:c r="V201" s="2" t="str">
        <x:v>https://tpwd.texas.gov/huntwild/hunt/public/public_hunt_drawing/hunt-category-details.phtml?OCat=GDE</x:v>
      </x:c>
      <x:c r="W201" s="2" t="n">
        <x:v>2</x:v>
      </x:c>
      <x:c r="X201" s="2" t="n">
        <x:v>3</x:v>
      </x:c>
      <x:c r="Y201" s="2" t="n">
        <x:v>4</x:v>
      </x:c>
      <x:c r="Z201" s="2" t="n">
        <x:v>3</x:v>
      </x:c>
      <x:c r="AA201" s="2" t="n">
        <x:v>2</x:v>
      </x:c>
      <x:c r="AB201" s="2" t="n">
        <x:v>0</x:v>
      </x:c>
      <x:c r="AC201" s="96" t="n">
        <x:v>2.5</x:v>
      </x:c>
      <x:c r="AD201" s="2"/>
      <x:c r="AE201" s="2" t="str">
        <x:v>2026-09-15</x:v>
      </x:c>
      <x:c r="AF201" s="2"/>
      <x:c r="AG201" s="97"/>
      <x:c r="AH201" s="2"/>
      <x:c r="AI201" s="2"/>
      <x:c r="AJ201" s="97"/>
      <x:c r="AK201" s="2"/>
      <x:c r="AL201" s="2"/>
      <x:c r="AM201" s="2" t="str">
        <x:v>https://tpwd.texas.gov/huntwild/hunt/public/public_hunt_drawing/hunt-category-details.phtml?OCat=GDE</x:v>
      </x:c>
      <x:c r="AN201" s="2" t="str">
        <x:v>https://tpwd.texas.gov/search/?q=Lake+Mineral+Wells+SP+public+hunting+brochure</x:v>
      </x:c>
      <x:c r="AO201" s="2" t="str">
        <x:v>https://apps.tpwd.state.tx.us/huntwild/hunt/public/public_hunt_drawing/</x:v>
      </x:c>
      <x:c r="AP201" s="2" t="str">
        <x:v>https://www.google.com/maps/search/?api=1&amp;query=Lake+Mineral+Wells+SP%2C+Texas</x:v>
      </x:c>
      <x:c r="AQ201" s="96" t="n">
        <x:v>0</x:v>
      </x:c>
      <x:c r="AR201" s="2" t="str">
        <x:v>Standard Hastings ranking</x:v>
      </x:c>
    </x:row>
    <x:row r="202">
      <x:c r="A202" s="2" t="str">
        <x:v>No</x:v>
      </x:c>
      <x:c r="B202" s="2" t="str">
        <x:v>A</x:v>
      </x:c>
      <x:c r="C202" s="2" t="str">
        <x:v>Whitetail Deer</x:v>
      </x:c>
      <x:c r="D202" s="2" t="str">
        <x:v>Lake Somerville SP - Birch Creek Unit</x:v>
      </x:c>
      <x:c r="E202" s="2" t="str">
        <x:v>Central Texas / Austin</x:v>
      </x:c>
      <x:c r="F202" s="2" t="str">
        <x:v>Gun Deer - Antlerless/Spike</x:v>
      </x:c>
      <x:c r="G202" s="2" t="str">
        <x:v>Yes</x:v>
      </x:c>
      <x:c r="H202" s="2" t="str">
        <x:v>Yes</x:v>
      </x:c>
      <x:c r="I202" s="97" t="str">
        <x:v>2026-09-15</x:v>
      </x:c>
      <x:c r="J202" s="2" t="str">
        <x:v>See TPWD category page</x:v>
      </x:c>
      <x:c r="K202" s="111" t="n">
        <x:v>3</x:v>
      </x:c>
      <x:c r="L202" s="111"/>
      <x:c r="M202" s="2"/>
      <x:c r="N202" s="2"/>
      <x:c r="O202" s="113"/>
      <x:c r="P202" s="2" t="n">
        <x:v>490</x:v>
      </x:c>
      <x:c r="Q202" s="2" t="str">
        <x:v>Statewide</x:v>
      </x:c>
      <x:c r="R202" s="2" t="str">
        <x:v>Research before draw; property brochure linked from TPWD</x:v>
      </x:c>
      <x:c r="S202" s="2" t="str">
        <x:v>Low</x:v>
      </x:c>
      <x:c r="T202" s="2" t="str">
        <x:v>No</x:v>
      </x:c>
      <x:c r="U202" s="2" t="str">
        <x:v>Verified in TPWD 2026-2027 statewide deer category catalog.</x:v>
      </x:c>
      <x:c r="V202" s="2" t="str">
        <x:v>https://tpwd.texas.gov/huntwild/hunt/public/public_hunt_drawing/hunt-category-details.phtml?OCat=GDA</x:v>
      </x:c>
      <x:c r="W202" s="2" t="n">
        <x:v>2</x:v>
      </x:c>
      <x:c r="X202" s="2" t="n">
        <x:v>2</x:v>
      </x:c>
      <x:c r="Y202" s="2" t="n">
        <x:v>4</x:v>
      </x:c>
      <x:c r="Z202" s="2" t="n">
        <x:v>3</x:v>
      </x:c>
      <x:c r="AA202" s="2" t="n">
        <x:v>2</x:v>
      </x:c>
      <x:c r="AB202" s="2" t="n">
        <x:v>0</x:v>
      </x:c>
      <x:c r="AC202" s="96" t="n">
        <x:v>2.3</x:v>
      </x:c>
      <x:c r="AD202" s="2"/>
      <x:c r="AE202" s="2" t="str">
        <x:v>2026-09-15</x:v>
      </x:c>
      <x:c r="AF202" s="2"/>
      <x:c r="AG202" s="97"/>
      <x:c r="AH202" s="2"/>
      <x:c r="AI202" s="2"/>
      <x:c r="AJ202" s="97"/>
      <x:c r="AK202" s="2"/>
      <x:c r="AL202" s="2"/>
      <x:c r="AM202" s="2" t="str">
        <x:v>https://tpwd.texas.gov/huntwild/hunt/public/public_hunt_drawing/hunt-category-details.phtml?OCat=GDA</x:v>
      </x:c>
      <x:c r="AN202" s="2" t="str">
        <x:v>https://tpwd.texas.gov/search/?q=Lake+Somerville+SP+-+Birch+Creek+Unit+public+hunting+brochure</x:v>
      </x:c>
      <x:c r="AO202" s="2" t="str">
        <x:v>https://apps.tpwd.state.tx.us/huntwild/hunt/public/public_hunt_drawing/</x:v>
      </x:c>
      <x:c r="AP202" s="2" t="str">
        <x:v>https://www.google.com/maps/search/?api=1&amp;query=Lake+Somerville+SP+-+Birch+Creek+Unit%2C+Texas</x:v>
      </x:c>
      <x:c r="AQ202" s="96" t="n">
        <x:v>0</x:v>
      </x:c>
      <x:c r="AR202" s="2" t="str">
        <x:v>Standard Hastings ranking</x:v>
      </x:c>
    </x:row>
    <x:row r="203">
      <x:c r="A203" s="2" t="str">
        <x:v>No</x:v>
      </x:c>
      <x:c r="B203" s="2" t="str">
        <x:v>A</x:v>
      </x:c>
      <x:c r="C203" s="2" t="str">
        <x:v>Whitetail Deer</x:v>
      </x:c>
      <x:c r="D203" s="2" t="str">
        <x:v>Lake Somerville SP - Nails Creek Unit</x:v>
      </x:c>
      <x:c r="E203" s="2" t="str">
        <x:v>Central Texas / Austin</x:v>
      </x:c>
      <x:c r="F203" s="2" t="str">
        <x:v>Gun Deer - Antlerless/Spike</x:v>
      </x:c>
      <x:c r="G203" s="2" t="str">
        <x:v>Yes</x:v>
      </x:c>
      <x:c r="H203" s="2" t="str">
        <x:v>Yes</x:v>
      </x:c>
      <x:c r="I203" s="97" t="str">
        <x:v>2026-09-15</x:v>
      </x:c>
      <x:c r="J203" s="2" t="str">
        <x:v>See TPWD category page</x:v>
      </x:c>
      <x:c r="K203" s="111" t="n">
        <x:v>3</x:v>
      </x:c>
      <x:c r="L203" s="111"/>
      <x:c r="M203" s="2"/>
      <x:c r="N203" s="2"/>
      <x:c r="O203" s="113"/>
      <x:c r="P203" s="2" t="n">
        <x:v>490</x:v>
      </x:c>
      <x:c r="Q203" s="2" t="str">
        <x:v>Statewide</x:v>
      </x:c>
      <x:c r="R203" s="2" t="str">
        <x:v>Research before draw; property brochure linked from TPWD</x:v>
      </x:c>
      <x:c r="S203" s="2" t="str">
        <x:v>Low</x:v>
      </x:c>
      <x:c r="T203" s="2" t="str">
        <x:v>No</x:v>
      </x:c>
      <x:c r="U203" s="2" t="str">
        <x:v>Verified in TPWD 2026-2027 statewide deer category catalog.</x:v>
      </x:c>
      <x:c r="V203" s="2" t="str">
        <x:v>https://tpwd.texas.gov/huntwild/hunt/public/public_hunt_drawing/hunt-category-details.phtml?OCat=GDA</x:v>
      </x:c>
      <x:c r="W203" s="2" t="n">
        <x:v>2</x:v>
      </x:c>
      <x:c r="X203" s="2" t="n">
        <x:v>2</x:v>
      </x:c>
      <x:c r="Y203" s="2" t="n">
        <x:v>4</x:v>
      </x:c>
      <x:c r="Z203" s="2" t="n">
        <x:v>3</x:v>
      </x:c>
      <x:c r="AA203" s="2" t="n">
        <x:v>2</x:v>
      </x:c>
      <x:c r="AB203" s="2" t="n">
        <x:v>0</x:v>
      </x:c>
      <x:c r="AC203" s="96" t="n">
        <x:v>2.3</x:v>
      </x:c>
      <x:c r="AD203" s="2"/>
      <x:c r="AE203" s="2" t="str">
        <x:v>2026-09-15</x:v>
      </x:c>
      <x:c r="AF203" s="2"/>
      <x:c r="AG203" s="97"/>
      <x:c r="AH203" s="2"/>
      <x:c r="AI203" s="2"/>
      <x:c r="AJ203" s="97"/>
      <x:c r="AK203" s="2"/>
      <x:c r="AL203" s="2"/>
      <x:c r="AM203" s="2" t="str">
        <x:v>https://tpwd.texas.gov/huntwild/hunt/public/public_hunt_drawing/hunt-category-details.phtml?OCat=GDA</x:v>
      </x:c>
      <x:c r="AN203" s="2" t="str">
        <x:v>https://tpwd.texas.gov/search/?q=Lake+Somerville+SP+-+Nails+Creek+Unit+public+hunting+brochure</x:v>
      </x:c>
      <x:c r="AO203" s="2" t="str">
        <x:v>https://apps.tpwd.state.tx.us/huntwild/hunt/public/public_hunt_drawing/</x:v>
      </x:c>
      <x:c r="AP203" s="2" t="str">
        <x:v>https://www.google.com/maps/search/?api=1&amp;query=Lake+Somerville+SP+-+Nails+Creek+Unit%2C+Texas</x:v>
      </x:c>
      <x:c r="AQ203" s="96" t="n">
        <x:v>0</x:v>
      </x:c>
      <x:c r="AR203" s="2" t="str">
        <x:v>Standard Hastings ranking</x:v>
      </x:c>
    </x:row>
    <x:row r="204">
      <x:c r="A204" s="2" t="str">
        <x:v>No</x:v>
      </x:c>
      <x:c r="B204" s="2" t="str">
        <x:v>A</x:v>
      </x:c>
      <x:c r="C204" s="2" t="str">
        <x:v>Whitetail Deer</x:v>
      </x:c>
      <x:c r="D204" s="2" t="str">
        <x:v>Lake Whitney SP</x:v>
      </x:c>
      <x:c r="E204" s="2" t="str">
        <x:v>Central Texas / Austin</x:v>
      </x:c>
      <x:c r="F204" s="2" t="str">
        <x:v>Gun Deer - Antlerless/Spike</x:v>
      </x:c>
      <x:c r="G204" s="2" t="str">
        <x:v>Yes</x:v>
      </x:c>
      <x:c r="H204" s="2" t="str">
        <x:v>Yes</x:v>
      </x:c>
      <x:c r="I204" s="97" t="str">
        <x:v>2026-09-15</x:v>
      </x:c>
      <x:c r="J204" s="2" t="str">
        <x:v>See TPWD category page</x:v>
      </x:c>
      <x:c r="K204" s="111" t="n">
        <x:v>3</x:v>
      </x:c>
      <x:c r="L204" s="111"/>
      <x:c r="M204" s="2"/>
      <x:c r="N204" s="2"/>
      <x:c r="O204" s="113"/>
      <x:c r="P204" s="2" t="n">
        <x:v>490</x:v>
      </x:c>
      <x:c r="Q204" s="2" t="str">
        <x:v>Statewide</x:v>
      </x:c>
      <x:c r="R204" s="2" t="str">
        <x:v>Research before draw; property brochure linked from TPWD</x:v>
      </x:c>
      <x:c r="S204" s="2" t="str">
        <x:v>Low</x:v>
      </x:c>
      <x:c r="T204" s="2" t="str">
        <x:v>No</x:v>
      </x:c>
      <x:c r="U204" s="2" t="str">
        <x:v>Verified in TPWD 2026-2027 statewide deer category catalog.</x:v>
      </x:c>
      <x:c r="V204" s="2" t="str">
        <x:v>https://tpwd.texas.gov/huntwild/hunt/public/public_hunt_drawing/hunt-category-details.phtml?OCat=GDA</x:v>
      </x:c>
      <x:c r="W204" s="2" t="n">
        <x:v>2</x:v>
      </x:c>
      <x:c r="X204" s="2" t="n">
        <x:v>2</x:v>
      </x:c>
      <x:c r="Y204" s="2" t="n">
        <x:v>4</x:v>
      </x:c>
      <x:c r="Z204" s="2" t="n">
        <x:v>3</x:v>
      </x:c>
      <x:c r="AA204" s="2" t="n">
        <x:v>2</x:v>
      </x:c>
      <x:c r="AB204" s="2" t="n">
        <x:v>0</x:v>
      </x:c>
      <x:c r="AC204" s="96" t="n">
        <x:v>2.3</x:v>
      </x:c>
      <x:c r="AD204" s="2"/>
      <x:c r="AE204" s="2" t="str">
        <x:v>2026-09-15</x:v>
      </x:c>
      <x:c r="AF204" s="2"/>
      <x:c r="AG204" s="97"/>
      <x:c r="AH204" s="2"/>
      <x:c r="AI204" s="2"/>
      <x:c r="AJ204" s="97"/>
      <x:c r="AK204" s="2"/>
      <x:c r="AL204" s="2"/>
      <x:c r="AM204" s="2" t="str">
        <x:v>https://tpwd.texas.gov/huntwild/hunt/public/public_hunt_drawing/hunt-category-details.phtml?OCat=GDA</x:v>
      </x:c>
      <x:c r="AN204" s="2" t="str">
        <x:v>https://tpwd.texas.gov/search/?q=Lake+Whitney+SP+public+hunting+brochure</x:v>
      </x:c>
      <x:c r="AO204" s="2" t="str">
        <x:v>https://apps.tpwd.state.tx.us/huntwild/hunt/public/public_hunt_drawing/</x:v>
      </x:c>
      <x:c r="AP204" s="2" t="str">
        <x:v>https://www.google.com/maps/search/?api=1&amp;query=Lake+Whitney+SP%2C+Texas</x:v>
      </x:c>
      <x:c r="AQ204" s="96" t="n">
        <x:v>0</x:v>
      </x:c>
      <x:c r="AR204" s="2" t="str">
        <x:v>Standard Hastings ranking</x:v>
      </x:c>
    </x:row>
    <x:row r="205">
      <x:c r="A205" s="2" t="str">
        <x:v>No</x:v>
      </x:c>
      <x:c r="B205" s="2" t="str">
        <x:v>A</x:v>
      </x:c>
      <x:c r="C205" s="2" t="str">
        <x:v>Whitetail Deer</x:v>
      </x:c>
      <x:c r="D205" s="2" t="str">
        <x:v>Las Palomas WMA - Arroyo Colorado Unit</x:v>
      </x:c>
      <x:c r="E205" s="2" t="str">
        <x:v>South Texas / Rio Grande Valley</x:v>
      </x:c>
      <x:c r="F205" s="2" t="str">
        <x:v>Gun Deer - Either Sex</x:v>
      </x:c>
      <x:c r="G205" s="2" t="str">
        <x:v>Yes</x:v>
      </x:c>
      <x:c r="H205" s="2" t="str">
        <x:v>Yes</x:v>
      </x:c>
      <x:c r="I205" s="97" t="str">
        <x:v>2026-09-15</x:v>
      </x:c>
      <x:c r="J205" s="2" t="str">
        <x:v>See TPWD category page</x:v>
      </x:c>
      <x:c r="K205" s="111" t="n">
        <x:v>3</x:v>
      </x:c>
      <x:c r="L205" s="111"/>
      <x:c r="M205" s="2"/>
      <x:c r="N205" s="2"/>
      <x:c r="O205" s="113"/>
      <x:c r="P205" s="2" t="n">
        <x:v>700</x:v>
      </x:c>
      <x:c r="Q205" s="2" t="str">
        <x:v>Long Haul</x:v>
      </x:c>
      <x:c r="R205" s="2" t="str">
        <x:v>Research before draw; property brochure linked from TPWD</x:v>
      </x:c>
      <x:c r="S205" s="2" t="str">
        <x:v>Low</x:v>
      </x:c>
      <x:c r="T205" s="2" t="str">
        <x:v>No</x:v>
      </x:c>
      <x:c r="U205" s="2" t="str">
        <x:v>Verified in TPWD 2026-2027 statewide deer category catalog.</x:v>
      </x:c>
      <x:c r="V205" s="2" t="str">
        <x:v>https://tpwd.texas.gov/huntwild/hunt/public/public_hunt_drawing/hunt-category-details.phtml?OCat=GDE</x:v>
      </x:c>
      <x:c r="W205" s="2" t="n">
        <x:v>2</x:v>
      </x:c>
      <x:c r="X205" s="2" t="n">
        <x:v>1</x:v>
      </x:c>
      <x:c r="Y205" s="2" t="n">
        <x:v>4</x:v>
      </x:c>
      <x:c r="Z205" s="2" t="n">
        <x:v>3</x:v>
      </x:c>
      <x:c r="AA205" s="2" t="n">
        <x:v>2</x:v>
      </x:c>
      <x:c r="AB205" s="2" t="n">
        <x:v>0</x:v>
      </x:c>
      <x:c r="AC205" s="96" t="n">
        <x:v>2.1</x:v>
      </x:c>
      <x:c r="AD205" s="2"/>
      <x:c r="AE205" s="2" t="str">
        <x:v>2026-09-15</x:v>
      </x:c>
      <x:c r="AF205" s="2"/>
      <x:c r="AG205" s="97"/>
      <x:c r="AH205" s="2"/>
      <x:c r="AI205" s="2"/>
      <x:c r="AJ205" s="97"/>
      <x:c r="AK205" s="2"/>
      <x:c r="AL205" s="2"/>
      <x:c r="AM205" s="2" t="str">
        <x:v>https://tpwd.texas.gov/huntwild/hunt/public/public_hunt_drawing/hunt-category-details.phtml?OCat=GDE</x:v>
      </x:c>
      <x:c r="AN205" s="2" t="str">
        <x:v>https://tpwd.texas.gov/search/?q=Las+Palomas+WMA+-+Arroyo+Colorado+Unit+public+hunting+brochure</x:v>
      </x:c>
      <x:c r="AO205" s="2" t="str">
        <x:v>https://apps.tpwd.state.tx.us/huntwild/hunt/public/public_hunt_drawing/</x:v>
      </x:c>
      <x:c r="AP205" s="2" t="str">
        <x:v>https://www.google.com/maps/search/?api=1&amp;query=Las+Palomas+WMA+-+Arroyo+Colorado+Unit%2C+Texas</x:v>
      </x:c>
      <x:c r="AQ205" s="96" t="n">
        <x:v>0</x:v>
      </x:c>
      <x:c r="AR205" s="2" t="str">
        <x:v>Standard Hastings ranking</x:v>
      </x:c>
    </x:row>
    <x:row r="206">
      <x:c r="A206" s="2" t="str">
        <x:v>No</x:v>
      </x:c>
      <x:c r="B206" s="2" t="str">
        <x:v>A</x:v>
      </x:c>
      <x:c r="C206" s="2" t="str">
        <x:v>Whitetail Deer</x:v>
      </x:c>
      <x:c r="D206" s="2" t="str">
        <x:v>Lost Maples SNA</x:v>
      </x:c>
      <x:c r="E206" s="2" t="str">
        <x:v>Hill Country / San Antonio</x:v>
      </x:c>
      <x:c r="F206" s="2" t="str">
        <x:v>Gun Deer - Antlerless/Spike</x:v>
      </x:c>
      <x:c r="G206" s="2" t="str">
        <x:v>Yes</x:v>
      </x:c>
      <x:c r="H206" s="2" t="str">
        <x:v>Yes</x:v>
      </x:c>
      <x:c r="I206" s="97" t="str">
        <x:v>2026-09-15</x:v>
      </x:c>
      <x:c r="J206" s="2" t="str">
        <x:v>See TPWD category page</x:v>
      </x:c>
      <x:c r="K206" s="111" t="n">
        <x:v>3</x:v>
      </x:c>
      <x:c r="L206" s="111"/>
      <x:c r="M206" s="2"/>
      <x:c r="N206" s="2"/>
      <x:c r="O206" s="113"/>
      <x:c r="P206" s="2" t="n">
        <x:v>520</x:v>
      </x:c>
      <x:c r="Q206" s="2" t="str">
        <x:v>Statewide</x:v>
      </x:c>
      <x:c r="R206" s="2" t="str">
        <x:v>Research before draw; property brochure linked from TPWD</x:v>
      </x:c>
      <x:c r="S206" s="2" t="str">
        <x:v>Low</x:v>
      </x:c>
      <x:c r="T206" s="2" t="str">
        <x:v>No</x:v>
      </x:c>
      <x:c r="U206" s="2" t="str">
        <x:v>Verified in TPWD 2026-2027 statewide deer category catalog.</x:v>
      </x:c>
      <x:c r="V206" s="2" t="str">
        <x:v>https://tpwd.texas.gov/huntwild/hunt/public/public_hunt_drawing/hunt-category-details.phtml?OCat=GDA</x:v>
      </x:c>
      <x:c r="W206" s="2" t="n">
        <x:v>2</x:v>
      </x:c>
      <x:c r="X206" s="2" t="n">
        <x:v>2</x:v>
      </x:c>
      <x:c r="Y206" s="2" t="n">
        <x:v>4</x:v>
      </x:c>
      <x:c r="Z206" s="2" t="n">
        <x:v>3</x:v>
      </x:c>
      <x:c r="AA206" s="2" t="n">
        <x:v>2</x:v>
      </x:c>
      <x:c r="AB206" s="2" t="n">
        <x:v>0</x:v>
      </x:c>
      <x:c r="AC206" s="96" t="n">
        <x:v>2.3</x:v>
      </x:c>
      <x:c r="AD206" s="2"/>
      <x:c r="AE206" s="2" t="str">
        <x:v>2026-09-15</x:v>
      </x:c>
      <x:c r="AF206" s="2"/>
      <x:c r="AG206" s="97"/>
      <x:c r="AH206" s="2"/>
      <x:c r="AI206" s="2"/>
      <x:c r="AJ206" s="97"/>
      <x:c r="AK206" s="2"/>
      <x:c r="AL206" s="2"/>
      <x:c r="AM206" s="2" t="str">
        <x:v>https://tpwd.texas.gov/huntwild/hunt/public/public_hunt_drawing/hunt-category-details.phtml?OCat=GDA</x:v>
      </x:c>
      <x:c r="AN206" s="2" t="str">
        <x:v>https://tpwd.texas.gov/search/?q=Lost+Maples+SNA+public+hunting+brochure</x:v>
      </x:c>
      <x:c r="AO206" s="2" t="str">
        <x:v>https://apps.tpwd.state.tx.us/huntwild/hunt/public/public_hunt_drawing/</x:v>
      </x:c>
      <x:c r="AP206" s="2" t="str">
        <x:v>https://www.google.com/maps/search/?api=1&amp;query=Lost+Maples+SNA%2C+Texas</x:v>
      </x:c>
      <x:c r="AQ206" s="96" t="n">
        <x:v>0</x:v>
      </x:c>
      <x:c r="AR206" s="2" t="str">
        <x:v>Standard Hastings ranking</x:v>
      </x:c>
    </x:row>
    <x:row r="207">
      <x:c r="A207" s="2" t="str">
        <x:v>No</x:v>
      </x:c>
      <x:c r="B207" s="2" t="str">
        <x:v>A</x:v>
      </x:c>
      <x:c r="C207" s="2" t="str">
        <x:v>Whitetail Deer</x:v>
      </x:c>
      <x:c r="D207" s="2" t="str">
        <x:v>Lower Rio Grande Valley NWR - East Lake</x:v>
      </x:c>
      <x:c r="E207" s="2" t="str">
        <x:v>South Texas / Rio Grande Valley</x:v>
      </x:c>
      <x:c r="F207" s="2" t="str">
        <x:v>National Refuge General Deer</x:v>
      </x:c>
      <x:c r="G207" s="2" t="str">
        <x:v>Yes</x:v>
      </x:c>
      <x:c r="H207" s="2" t="str">
        <x:v>Yes</x:v>
      </x:c>
      <x:c r="I207" s="97" t="str">
        <x:v>2026-09-15</x:v>
      </x:c>
      <x:c r="J207" s="2" t="str">
        <x:v>See TPWD category page</x:v>
      </x:c>
      <x:c r="K207" s="111" t="n">
        <x:v>3</x:v>
      </x:c>
      <x:c r="L207" s="111"/>
      <x:c r="M207" s="2"/>
      <x:c r="N207" s="2"/>
      <x:c r="O207" s="113"/>
      <x:c r="P207" s="2" t="n">
        <x:v>700</x:v>
      </x:c>
      <x:c r="Q207" s="2" t="str">
        <x:v>Long Haul</x:v>
      </x:c>
      <x:c r="R207" s="2" t="str">
        <x:v>Research before draw; property brochure linked from TPWD</x:v>
      </x:c>
      <x:c r="S207" s="2" t="str">
        <x:v>Low</x:v>
      </x:c>
      <x:c r="T207" s="2" t="str">
        <x:v>No</x:v>
      </x:c>
      <x:c r="U207" s="2" t="str">
        <x:v>Verified in TPWD 2026-2027 statewide deer category catalog. Refuge-specific rules and permit fees may apply.</x:v>
      </x:c>
      <x:c r="V207" s="2" t="str">
        <x:v>https://tpwd.texas.gov/huntwild/hunt/public/public_hunt_drawing/hunt-category-details.phtml?OCat=NGE</x:v>
      </x:c>
      <x:c r="W207" s="2" t="n">
        <x:v>2</x:v>
      </x:c>
      <x:c r="X207" s="2" t="n">
        <x:v>1</x:v>
      </x:c>
      <x:c r="Y207" s="2" t="n">
        <x:v>4</x:v>
      </x:c>
      <x:c r="Z207" s="2" t="n">
        <x:v>3</x:v>
      </x:c>
      <x:c r="AA207" s="2" t="n">
        <x:v>2</x:v>
      </x:c>
      <x:c r="AB207" s="2" t="n">
        <x:v>0</x:v>
      </x:c>
      <x:c r="AC207" s="96" t="n">
        <x:v>2.1</x:v>
      </x:c>
      <x:c r="AD207" s="2"/>
      <x:c r="AE207" s="2" t="str">
        <x:v>2026-09-15</x:v>
      </x:c>
      <x:c r="AF207" s="2"/>
      <x:c r="AG207" s="97"/>
      <x:c r="AH207" s="2"/>
      <x:c r="AI207" s="2"/>
      <x:c r="AJ207" s="97"/>
      <x:c r="AK207" s="2"/>
      <x:c r="AL207" s="2"/>
      <x:c r="AM207" s="2" t="str">
        <x:v>https://tpwd.texas.gov/huntwild/hunt/public/public_hunt_drawing/hunt-category-details.phtml?OCat=NGE</x:v>
      </x:c>
      <x:c r="AN207" s="2" t="str">
        <x:v>https://tpwd.texas.gov/search/?q=Lower+Rio+Grande+Valley+NWR+-+East+Lake+public+hunting+brochure</x:v>
      </x:c>
      <x:c r="AO207" s="2" t="str">
        <x:v>https://apps.tpwd.state.tx.us/huntwild/hunt/public/public_hunt_drawing/</x:v>
      </x:c>
      <x:c r="AP207" s="2" t="str">
        <x:v>https://www.google.com/maps/search/?api=1&amp;query=Lower+Rio+Grande+Valley+NWR+-+East+Lake%2C+Texas</x:v>
      </x:c>
      <x:c r="AQ207" s="96" t="n">
        <x:v>0</x:v>
      </x:c>
      <x:c r="AR207" s="2" t="str">
        <x:v>Standard Hastings ranking</x:v>
      </x:c>
    </x:row>
    <x:row r="208">
      <x:c r="A208" s="2" t="str">
        <x:v>No</x:v>
      </x:c>
      <x:c r="B208" s="2" t="str">
        <x:v>A</x:v>
      </x:c>
      <x:c r="C208" s="2" t="str">
        <x:v>Whitetail Deer</x:v>
      </x:c>
      <x:c r="D208" s="2" t="str">
        <x:v>Mason Mountain WMA</x:v>
      </x:c>
      <x:c r="E208" s="2" t="str">
        <x:v>Hill Country / San Antonio</x:v>
      </x:c>
      <x:c r="F208" s="2" t="str">
        <x:v>Gun Deer - Either Sex</x:v>
      </x:c>
      <x:c r="G208" s="2" t="str">
        <x:v>Yes</x:v>
      </x:c>
      <x:c r="H208" s="2" t="str">
        <x:v>Yes</x:v>
      </x:c>
      <x:c r="I208" s="97" t="str">
        <x:v>2026-09-15</x:v>
      </x:c>
      <x:c r="J208" s="2" t="str">
        <x:v>See TPWD category page</x:v>
      </x:c>
      <x:c r="K208" s="111" t="n">
        <x:v>3</x:v>
      </x:c>
      <x:c r="L208" s="111"/>
      <x:c r="M208" s="2"/>
      <x:c r="N208" s="2"/>
      <x:c r="O208" s="113"/>
      <x:c r="P208" s="2" t="n">
        <x:v>520</x:v>
      </x:c>
      <x:c r="Q208" s="2" t="str">
        <x:v>Statewide</x:v>
      </x:c>
      <x:c r="R208" s="2" t="str">
        <x:v>Research before draw; property brochure linked from TPWD</x:v>
      </x:c>
      <x:c r="S208" s="2" t="str">
        <x:v>Low</x:v>
      </x:c>
      <x:c r="T208" s="2" t="str">
        <x:v>No</x:v>
      </x:c>
      <x:c r="U208" s="2" t="str">
        <x:v>Verified in TPWD 2026-2027 statewide deer category catalog.</x:v>
      </x:c>
      <x:c r="V208" s="2" t="str">
        <x:v>https://tpwd.texas.gov/huntwild/hunt/public/public_hunt_drawing/hunt-category-details.phtml?OCat=GDE</x:v>
      </x:c>
      <x:c r="W208" s="2" t="n">
        <x:v>2</x:v>
      </x:c>
      <x:c r="X208" s="2" t="n">
        <x:v>2</x:v>
      </x:c>
      <x:c r="Y208" s="2" t="n">
        <x:v>4</x:v>
      </x:c>
      <x:c r="Z208" s="2" t="n">
        <x:v>3</x:v>
      </x:c>
      <x:c r="AA208" s="2" t="n">
        <x:v>2</x:v>
      </x:c>
      <x:c r="AB208" s="2" t="n">
        <x:v>0</x:v>
      </x:c>
      <x:c r="AC208" s="96" t="n">
        <x:v>2.3</x:v>
      </x:c>
      <x:c r="AD208" s="2"/>
      <x:c r="AE208" s="2" t="str">
        <x:v>2026-09-15</x:v>
      </x:c>
      <x:c r="AF208" s="2"/>
      <x:c r="AG208" s="97"/>
      <x:c r="AH208" s="2"/>
      <x:c r="AI208" s="2"/>
      <x:c r="AJ208" s="97"/>
      <x:c r="AK208" s="2"/>
      <x:c r="AL208" s="2"/>
      <x:c r="AM208" s="2" t="str">
        <x:v>https://tpwd.texas.gov/huntwild/hunt/public/public_hunt_drawing/hunt-category-details.phtml?OCat=GDE</x:v>
      </x:c>
      <x:c r="AN208" s="2" t="str">
        <x:v>https://tpwd.texas.gov/search/?q=Mason+Mountain+WMA+public+hunting+brochure</x:v>
      </x:c>
      <x:c r="AO208" s="2" t="str">
        <x:v>https://apps.tpwd.state.tx.us/huntwild/hunt/public/public_hunt_drawing/</x:v>
      </x:c>
      <x:c r="AP208" s="2" t="str">
        <x:v>https://www.google.com/maps/search/?api=1&amp;query=Mason+Mountain+WMA%2C+Texas</x:v>
      </x:c>
      <x:c r="AQ208" s="96" t="n">
        <x:v>0</x:v>
      </x:c>
      <x:c r="AR208" s="2" t="str">
        <x:v>Standard Hastings ranking</x:v>
      </x:c>
    </x:row>
    <x:row r="209">
      <x:c r="A209" s="2" t="str">
        <x:v>No</x:v>
      </x:c>
      <x:c r="B209" s="2" t="str">
        <x:v>A</x:v>
      </x:c>
      <x:c r="C209" s="2" t="str">
        <x:v>Whitetail Deer</x:v>
      </x:c>
      <x:c r="D209" s="2" t="str">
        <x:v>Mason Mountain WMA</x:v>
      </x:c>
      <x:c r="E209" s="2" t="str">
        <x:v>Hill Country / San Antonio</x:v>
      </x:c>
      <x:c r="F209" s="2" t="str">
        <x:v>Gun Deer - Management</x:v>
      </x:c>
      <x:c r="G209" s="2" t="str">
        <x:v>Yes</x:v>
      </x:c>
      <x:c r="H209" s="2" t="str">
        <x:v>Yes</x:v>
      </x:c>
      <x:c r="I209" s="97" t="str">
        <x:v>2026-09-15</x:v>
      </x:c>
      <x:c r="J209" s="2" t="str">
        <x:v>See TPWD category page</x:v>
      </x:c>
      <x:c r="K209" s="111" t="n">
        <x:v>3</x:v>
      </x:c>
      <x:c r="L209" s="111"/>
      <x:c r="M209" s="2"/>
      <x:c r="N209" s="2"/>
      <x:c r="O209" s="113"/>
      <x:c r="P209" s="2" t="n">
        <x:v>520</x:v>
      </x:c>
      <x:c r="Q209" s="2" t="str">
        <x:v>Statewide</x:v>
      </x:c>
      <x:c r="R209" s="2" t="str">
        <x:v>Research before draw; property brochure linked from TPWD</x:v>
      </x:c>
      <x:c r="S209" s="2" t="str">
        <x:v>Low</x:v>
      </x:c>
      <x:c r="T209" s="2" t="str">
        <x:v>No</x:v>
      </x:c>
      <x:c r="U209" s="2" t="str">
        <x:v>Verified in TPWD 2026-2027 statewide deer category catalog.</x:v>
      </x:c>
      <x:c r="V209" s="2" t="str">
        <x:v>https://tpwd.texas.gov/huntwild/hunt/public/public_hunt_drawing/hunt-category-details.phtml?OCat=GDM</x:v>
      </x:c>
      <x:c r="W209" s="2" t="n">
        <x:v>2</x:v>
      </x:c>
      <x:c r="X209" s="2" t="n">
        <x:v>2</x:v>
      </x:c>
      <x:c r="Y209" s="2" t="n">
        <x:v>4</x:v>
      </x:c>
      <x:c r="Z209" s="2" t="n">
        <x:v>3</x:v>
      </x:c>
      <x:c r="AA209" s="2" t="n">
        <x:v>2</x:v>
      </x:c>
      <x:c r="AB209" s="2" t="n">
        <x:v>0</x:v>
      </x:c>
      <x:c r="AC209" s="96" t="n">
        <x:v>2.3</x:v>
      </x:c>
      <x:c r="AD209" s="2"/>
      <x:c r="AE209" s="2" t="str">
        <x:v>2026-09-15</x:v>
      </x:c>
      <x:c r="AF209" s="2"/>
      <x:c r="AG209" s="97"/>
      <x:c r="AH209" s="2"/>
      <x:c r="AI209" s="2"/>
      <x:c r="AJ209" s="97"/>
      <x:c r="AK209" s="2"/>
      <x:c r="AL209" s="2"/>
      <x:c r="AM209" s="2" t="str">
        <x:v>https://tpwd.texas.gov/huntwild/hunt/public/public_hunt_drawing/hunt-category-details.phtml?OCat=GDM</x:v>
      </x:c>
      <x:c r="AN209" s="2" t="str">
        <x:v>https://tpwd.texas.gov/search/?q=Mason+Mountain+WMA+public+hunting+brochure</x:v>
      </x:c>
      <x:c r="AO209" s="2" t="str">
        <x:v>https://apps.tpwd.state.tx.us/huntwild/hunt/public/public_hunt_drawing/</x:v>
      </x:c>
      <x:c r="AP209" s="2" t="str">
        <x:v>https://www.google.com/maps/search/?api=1&amp;query=Mason+Mountain+WMA%2C+Texas</x:v>
      </x:c>
      <x:c r="AQ209" s="96" t="n">
        <x:v>0</x:v>
      </x:c>
      <x:c r="AR209" s="2" t="str">
        <x:v>Standard Hastings ranking</x:v>
      </x:c>
    </x:row>
    <x:row r="210">
      <x:c r="A210" s="2" t="str">
        <x:v>No</x:v>
      </x:c>
      <x:c r="B210" s="2" t="str">
        <x:v>A</x:v>
      </x:c>
      <x:c r="C210" s="2" t="str">
        <x:v>Whitetail Deer</x:v>
      </x:c>
      <x:c r="D210" s="2" t="str">
        <x:v>Matador WMA</x:v>
      </x:c>
      <x:c r="E210" s="2" t="str">
        <x:v>Panhandle / Rolling Plains</x:v>
      </x:c>
      <x:c r="F210" s="2" t="str">
        <x:v>Gun Deer - Either Sex</x:v>
      </x:c>
      <x:c r="G210" s="2" t="str">
        <x:v>Yes</x:v>
      </x:c>
      <x:c r="H210" s="2" t="str">
        <x:v>Yes</x:v>
      </x:c>
      <x:c r="I210" s="97" t="str">
        <x:v>2026-09-15</x:v>
      </x:c>
      <x:c r="J210" s="2" t="str">
        <x:v>See TPWD category page</x:v>
      </x:c>
      <x:c r="K210" s="111" t="n">
        <x:v>3</x:v>
      </x:c>
      <x:c r="L210" s="111"/>
      <x:c r="M210" s="2"/>
      <x:c r="N210" s="2"/>
      <x:c r="O210" s="113"/>
      <x:c r="P210" s="2" t="n">
        <x:v>130</x:v>
      </x:c>
      <x:c r="Q210" s="2" t="str">
        <x:v>Core</x:v>
      </x:c>
      <x:c r="R210" s="2" t="str">
        <x:v>Research before draw; property brochure linked from TPWD</x:v>
      </x:c>
      <x:c r="S210" s="2" t="str">
        <x:v>High</x:v>
      </x:c>
      <x:c r="T210" s="2" t="str">
        <x:v>No</x:v>
      </x:c>
      <x:c r="U210" s="2" t="str">
        <x:v>Verified in TPWD 2026-2027 statewide deer category catalog.</x:v>
      </x:c>
      <x:c r="V210" s="2" t="str">
        <x:v>https://tpwd.texas.gov/huntwild/hunt/public/public_hunt_drawing/hunt-category-details.phtml?OCat=GDE</x:v>
      </x:c>
      <x:c r="W210" s="2" t="n">
        <x:v>2</x:v>
      </x:c>
      <x:c r="X210" s="2" t="n">
        <x:v>5</x:v>
      </x:c>
      <x:c r="Y210" s="2" t="n">
        <x:v>4</x:v>
      </x:c>
      <x:c r="Z210" s="2" t="n">
        <x:v>3</x:v>
      </x:c>
      <x:c r="AA210" s="2" t="n">
        <x:v>4</x:v>
      </x:c>
      <x:c r="AB210" s="2" t="n">
        <x:v>0</x:v>
      </x:c>
      <x:c r="AC210" s="96" t="n">
        <x:v>2.9</x:v>
      </x:c>
      <x:c r="AD210" s="2"/>
      <x:c r="AE210" s="2" t="str">
        <x:v>2026-09-15</x:v>
      </x:c>
      <x:c r="AF210" s="2"/>
      <x:c r="AG210" s="97"/>
      <x:c r="AH210" s="2"/>
      <x:c r="AI210" s="2"/>
      <x:c r="AJ210" s="97"/>
      <x:c r="AK210" s="2"/>
      <x:c r="AL210" s="2"/>
      <x:c r="AM210" s="2" t="str">
        <x:v>https://tpwd.texas.gov/huntwild/hunt/public/public_hunt_drawing/hunt-category-details.phtml?OCat=GDE</x:v>
      </x:c>
      <x:c r="AN210" s="2" t="str">
        <x:v>https://tpwd.texas.gov/search/?q=Matador+WMA+public+hunting+brochure</x:v>
      </x:c>
      <x:c r="AO210" s="2" t="str">
        <x:v>https://apps.tpwd.state.tx.us/huntwild/hunt/public/public_hunt_drawing/</x:v>
      </x:c>
      <x:c r="AP210" s="2" t="str">
        <x:v>https://www.google.com/maps/search/?api=1&amp;query=Matador+WMA%2C+Texas</x:v>
      </x:c>
      <x:c r="AQ210" s="96" t="n">
        <x:v>0</x:v>
      </x:c>
      <x:c r="AR210" s="2" t="str">
        <x:v>Standard Hastings ranking</x:v>
      </x:c>
    </x:row>
    <x:row r="211">
      <x:c r="A211" s="2" t="str">
        <x:v>No</x:v>
      </x:c>
      <x:c r="B211" s="2" t="str">
        <x:v>A</x:v>
      </x:c>
      <x:c r="C211" s="2" t="str">
        <x:v>Whitetail Deer</x:v>
      </x:c>
      <x:c r="D211" s="2" t="str">
        <x:v>Matagorda Island WMA</x:v>
      </x:c>
      <x:c r="E211" s="2" t="str">
        <x:v>Houston / Gulf Coast</x:v>
      </x:c>
      <x:c r="F211" s="2" t="str">
        <x:v>Gun Deer - Either Sex</x:v>
      </x:c>
      <x:c r="G211" s="2" t="str">
        <x:v>Yes</x:v>
      </x:c>
      <x:c r="H211" s="2" t="str">
        <x:v>Yes</x:v>
      </x:c>
      <x:c r="I211" s="97" t="str">
        <x:v>2026-09-15</x:v>
      </x:c>
      <x:c r="J211" s="2" t="str">
        <x:v>See TPWD category page</x:v>
      </x:c>
      <x:c r="K211" s="111" t="n">
        <x:v>3</x:v>
      </x:c>
      <x:c r="L211" s="111"/>
      <x:c r="M211" s="2"/>
      <x:c r="N211" s="2"/>
      <x:c r="O211" s="113"/>
      <x:c r="P211" s="2" t="n">
        <x:v>610</x:v>
      </x:c>
      <x:c r="Q211" s="2" t="str">
        <x:v>Long Haul</x:v>
      </x:c>
      <x:c r="R211" s="2" t="str">
        <x:v>Research before draw; property brochure linked from TPWD</x:v>
      </x:c>
      <x:c r="S211" s="2" t="str">
        <x:v>Low</x:v>
      </x:c>
      <x:c r="T211" s="2" t="str">
        <x:v>No</x:v>
      </x:c>
      <x:c r="U211" s="2" t="str">
        <x:v>Verified in TPWD 2026-2027 statewide deer category catalog.</x:v>
      </x:c>
      <x:c r="V211" s="2" t="str">
        <x:v>https://tpwd.texas.gov/huntwild/hunt/public/public_hunt_drawing/hunt-category-details.phtml?OCat=GDE</x:v>
      </x:c>
      <x:c r="W211" s="2" t="n">
        <x:v>2</x:v>
      </x:c>
      <x:c r="X211" s="2" t="n">
        <x:v>1</x:v>
      </x:c>
      <x:c r="Y211" s="2" t="n">
        <x:v>4</x:v>
      </x:c>
      <x:c r="Z211" s="2" t="n">
        <x:v>3</x:v>
      </x:c>
      <x:c r="AA211" s="2" t="n">
        <x:v>2</x:v>
      </x:c>
      <x:c r="AB211" s="2" t="n">
        <x:v>0</x:v>
      </x:c>
      <x:c r="AC211" s="96" t="n">
        <x:v>2.1</x:v>
      </x:c>
      <x:c r="AD211" s="2"/>
      <x:c r="AE211" s="2" t="str">
        <x:v>2026-09-15</x:v>
      </x:c>
      <x:c r="AF211" s="2"/>
      <x:c r="AG211" s="97"/>
      <x:c r="AH211" s="2"/>
      <x:c r="AI211" s="2"/>
      <x:c r="AJ211" s="97"/>
      <x:c r="AK211" s="2"/>
      <x:c r="AL211" s="2"/>
      <x:c r="AM211" s="2" t="str">
        <x:v>https://tpwd.texas.gov/huntwild/hunt/public/public_hunt_drawing/hunt-category-details.phtml?OCat=GDE</x:v>
      </x:c>
      <x:c r="AN211" s="2" t="str">
        <x:v>https://tpwd.texas.gov/search/?q=Matagorda+Island+WMA+public+hunting+brochure</x:v>
      </x:c>
      <x:c r="AO211" s="2" t="str">
        <x:v>https://apps.tpwd.state.tx.us/huntwild/hunt/public/public_hunt_drawing/</x:v>
      </x:c>
      <x:c r="AP211" s="2" t="str">
        <x:v>https://www.google.com/maps/search/?api=1&amp;query=Matagorda+Island+WMA%2C+Texas</x:v>
      </x:c>
      <x:c r="AQ211" s="96" t="n">
        <x:v>0</x:v>
      </x:c>
      <x:c r="AR211" s="2" t="str">
        <x:v>Standard Hastings ranking</x:v>
      </x:c>
    </x:row>
    <x:row r="212">
      <x:c r="A212" s="2" t="str">
        <x:v>No</x:v>
      </x:c>
      <x:c r="B212" s="2" t="str">
        <x:v>A</x:v>
      </x:c>
      <x:c r="C212" s="2" t="str">
        <x:v>Whitetail Deer</x:v>
      </x:c>
      <x:c r="D212" s="2" t="str">
        <x:v>Moore Plantation WMA</x:v>
      </x:c>
      <x:c r="E212" s="2" t="str">
        <x:v>East Texas / Pineywoods</x:v>
      </x:c>
      <x:c r="F212" s="2" t="str">
        <x:v>USFS Antlerless Deer Permit - Adult</x:v>
      </x:c>
      <x:c r="G212" s="2" t="str">
        <x:v>Yes</x:v>
      </x:c>
      <x:c r="H212" s="2" t="str">
        <x:v>No</x:v>
      </x:c>
      <x:c r="I212" s="97" t="str">
        <x:v>2026-09-15</x:v>
      </x:c>
      <x:c r="J212" s="2" t="str">
        <x:v>See TPWD category page</x:v>
      </x:c>
      <x:c r="K212" s="111" t="n">
        <x:v>0</x:v>
      </x:c>
      <x:c r="L212" s="111" t="n">
        <x:v>0</x:v>
      </x:c>
      <x:c r="M212" s="2"/>
      <x:c r="N212" s="2"/>
      <x:c r="O212" s="113"/>
      <x:c r="P212" s="2" t="n">
        <x:v>570</x:v>
      </x:c>
      <x:c r="Q212" s="2" t="str">
        <x:v>Statewide</x:v>
      </x:c>
      <x:c r="R212" s="2" t="str">
        <x:v>Research before draw; property brochure linked from TPWD</x:v>
      </x:c>
      <x:c r="S212" s="2" t="str">
        <x:v>Low</x:v>
      </x:c>
      <x:c r="T212" s="2" t="str">
        <x:v>No</x:v>
      </x:c>
      <x:c r="U212" s="2" t="str">
        <x:v>Verified in TPWD 2026-2027 statewide deer category catalog. APH/eligibility rules apply; confirm account and permit requirements.</x:v>
      </x:c>
      <x:c r="V212" s="2" t="str">
        <x:v>https://tpwd.texas.gov/huntwild/hunt/public/public_hunt_drawing/hunt-category-details.phtml?OCat=FSD</x:v>
      </x:c>
      <x:c r="W212" s="2" t="n">
        <x:v>2</x:v>
      </x:c>
      <x:c r="X212" s="2" t="n">
        <x:v>2</x:v>
      </x:c>
      <x:c r="Y212" s="2" t="n">
        <x:v>1</x:v>
      </x:c>
      <x:c r="Z212" s="2" t="n">
        <x:v>3</x:v>
      </x:c>
      <x:c r="AA212" s="2" t="n">
        <x:v>2</x:v>
      </x:c>
      <x:c r="AB212" s="2" t="n">
        <x:v>0</x:v>
      </x:c>
      <x:c r="AC212" s="96" t="n">
        <x:v>1.6</x:v>
      </x:c>
      <x:c r="AD212" s="2" t="n">
        <x:v>0</x:v>
      </x:c>
      <x:c r="AE212" s="2" t="str">
        <x:v>2026-09-15</x:v>
      </x:c>
      <x:c r="AF212" s="2"/>
      <x:c r="AG212" s="97"/>
      <x:c r="AH212" s="2"/>
      <x:c r="AI212" s="2"/>
      <x:c r="AJ212" s="97"/>
      <x:c r="AK212" s="2"/>
      <x:c r="AL212" s="2"/>
      <x:c r="AM212" s="2" t="str">
        <x:v>https://tpwd.texas.gov/huntwild/hunt/public/public_hunt_drawing/hunt-category-details.phtml?OCat=FSD</x:v>
      </x:c>
      <x:c r="AN212" s="2" t="str">
        <x:v>https://tpwd.texas.gov/search/?q=Moore+Plantation+WMA+public+hunting+brochure</x:v>
      </x:c>
      <x:c r="AO212" s="2" t="str">
        <x:v>https://apps.tpwd.state.tx.us/huntwild/hunt/public/public_hunt_drawing/</x:v>
      </x:c>
      <x:c r="AP212" s="2" t="str">
        <x:v>https://www.google.com/maps/search/?api=1&amp;query=Moore+Plantation+WMA%2C+Texas</x:v>
      </x:c>
      <x:c r="AQ212" s="96" t="n">
        <x:v>0</x:v>
      </x:c>
      <x:c r="AR212" s="2" t="str">
        <x:v>Standard Hastings ranking</x:v>
      </x:c>
    </x:row>
    <x:row r="213">
      <x:c r="A213" s="2" t="str">
        <x:v>No</x:v>
      </x:c>
      <x:c r="B213" s="2" t="str">
        <x:v>A</x:v>
      </x:c>
      <x:c r="C213" s="2" t="str">
        <x:v>Whitetail Deer</x:v>
      </x:c>
      <x:c r="D213" s="2" t="str">
        <x:v>Muse WMA</x:v>
      </x:c>
      <x:c r="E213" s="2" t="str">
        <x:v>Statewide / Other</x:v>
      </x:c>
      <x:c r="F213" s="2" t="str">
        <x:v>Gun Deer - Either Sex</x:v>
      </x:c>
      <x:c r="G213" s="2" t="str">
        <x:v>Yes</x:v>
      </x:c>
      <x:c r="H213" s="2" t="str">
        <x:v>Yes</x:v>
      </x:c>
      <x:c r="I213" s="97" t="str">
        <x:v>2026-09-15</x:v>
      </x:c>
      <x:c r="J213" s="2" t="str">
        <x:v>See TPWD category page</x:v>
      </x:c>
      <x:c r="K213" s="111" t="n">
        <x:v>3</x:v>
      </x:c>
      <x:c r="L213" s="111"/>
      <x:c r="M213" s="2"/>
      <x:c r="N213" s="2"/>
      <x:c r="O213" s="113"/>
      <x:c r="P213" s="2" t="n">
        <x:v>500</x:v>
      </x:c>
      <x:c r="Q213" s="2" t="str">
        <x:v>Statewide</x:v>
      </x:c>
      <x:c r="R213" s="2" t="str">
        <x:v>Research before draw; property brochure linked from TPWD</x:v>
      </x:c>
      <x:c r="S213" s="2" t="str">
        <x:v>Low</x:v>
      </x:c>
      <x:c r="T213" s="2" t="str">
        <x:v>No</x:v>
      </x:c>
      <x:c r="U213" s="2" t="str">
        <x:v>Verified in TPWD 2026-2027 statewide deer category catalog.</x:v>
      </x:c>
      <x:c r="V213" s="2" t="str">
        <x:v>https://tpwd.texas.gov/huntwild/hunt/public/public_hunt_drawing/hunt-category-details.phtml?OCat=GDE</x:v>
      </x:c>
      <x:c r="W213" s="2" t="n">
        <x:v>2</x:v>
      </x:c>
      <x:c r="X213" s="2" t="n">
        <x:v>2</x:v>
      </x:c>
      <x:c r="Y213" s="2" t="n">
        <x:v>4</x:v>
      </x:c>
      <x:c r="Z213" s="2" t="n">
        <x:v>3</x:v>
      </x:c>
      <x:c r="AA213" s="2" t="n">
        <x:v>2</x:v>
      </x:c>
      <x:c r="AB213" s="2" t="n">
        <x:v>0</x:v>
      </x:c>
      <x:c r="AC213" s="96" t="n">
        <x:v>2.3</x:v>
      </x:c>
      <x:c r="AD213" s="2"/>
      <x:c r="AE213" s="2" t="str">
        <x:v>2026-09-15</x:v>
      </x:c>
      <x:c r="AF213" s="2"/>
      <x:c r="AG213" s="97"/>
      <x:c r="AH213" s="2"/>
      <x:c r="AI213" s="2"/>
      <x:c r="AJ213" s="97"/>
      <x:c r="AK213" s="2"/>
      <x:c r="AL213" s="2"/>
      <x:c r="AM213" s="2" t="str">
        <x:v>https://tpwd.texas.gov/huntwild/hunt/public/public_hunt_drawing/hunt-category-details.phtml?OCat=GDE</x:v>
      </x:c>
      <x:c r="AN213" s="2" t="str">
        <x:v>https://tpwd.texas.gov/search/?q=Muse+WMA+public+hunting+brochure</x:v>
      </x:c>
      <x:c r="AO213" s="2" t="str">
        <x:v>https://apps.tpwd.state.tx.us/huntwild/hunt/public/public_hunt_drawing/</x:v>
      </x:c>
      <x:c r="AP213" s="2" t="str">
        <x:v>https://www.google.com/maps/search/?api=1&amp;query=Muse+WMA%2C+Texas</x:v>
      </x:c>
      <x:c r="AQ213" s="96" t="n">
        <x:v>0</x:v>
      </x:c>
      <x:c r="AR213" s="2" t="str">
        <x:v>Standard Hastings ranking</x:v>
      </x:c>
    </x:row>
    <x:row r="214">
      <x:c r="A214" s="2" t="str">
        <x:v>No</x:v>
      </x:c>
      <x:c r="B214" s="2" t="str">
        <x:v>A</x:v>
      </x:c>
      <x:c r="C214" s="2" t="str">
        <x:v>Whitetail Deer</x:v>
      </x:c>
      <x:c r="D214" s="2" t="str">
        <x:v>Nannie Stringfellow WMA</x:v>
      </x:c>
      <x:c r="E214" s="2" t="str">
        <x:v>Houston / Gulf Coast</x:v>
      </x:c>
      <x:c r="F214" s="2" t="str">
        <x:v>Gun Deer - Antlerless/Spike</x:v>
      </x:c>
      <x:c r="G214" s="2" t="str">
        <x:v>Yes</x:v>
      </x:c>
      <x:c r="H214" s="2" t="str">
        <x:v>Yes</x:v>
      </x:c>
      <x:c r="I214" s="97" t="str">
        <x:v>2026-09-15</x:v>
      </x:c>
      <x:c r="J214" s="2" t="str">
        <x:v>See TPWD category page</x:v>
      </x:c>
      <x:c r="K214" s="111" t="n">
        <x:v>3</x:v>
      </x:c>
      <x:c r="L214" s="111"/>
      <x:c r="M214" s="2"/>
      <x:c r="N214" s="2"/>
      <x:c r="O214" s="113"/>
      <x:c r="P214" s="2" t="n">
        <x:v>610</x:v>
      </x:c>
      <x:c r="Q214" s="2" t="str">
        <x:v>Long Haul</x:v>
      </x:c>
      <x:c r="R214" s="2" t="str">
        <x:v>Research before draw; property brochure linked from TPWD</x:v>
      </x:c>
      <x:c r="S214" s="2" t="str">
        <x:v>Low</x:v>
      </x:c>
      <x:c r="T214" s="2" t="str">
        <x:v>No</x:v>
      </x:c>
      <x:c r="U214" s="2" t="str">
        <x:v>Verified in TPWD 2026-2027 statewide deer category catalog.</x:v>
      </x:c>
      <x:c r="V214" s="2" t="str">
        <x:v>https://tpwd.texas.gov/huntwild/hunt/public/public_hunt_drawing/hunt-category-details.phtml?OCat=GDA</x:v>
      </x:c>
      <x:c r="W214" s="2" t="n">
        <x:v>2</x:v>
      </x:c>
      <x:c r="X214" s="2" t="n">
        <x:v>1</x:v>
      </x:c>
      <x:c r="Y214" s="2" t="n">
        <x:v>4</x:v>
      </x:c>
      <x:c r="Z214" s="2" t="n">
        <x:v>3</x:v>
      </x:c>
      <x:c r="AA214" s="2" t="n">
        <x:v>2</x:v>
      </x:c>
      <x:c r="AB214" s="2" t="n">
        <x:v>0</x:v>
      </x:c>
      <x:c r="AC214" s="96" t="n">
        <x:v>2.1</x:v>
      </x:c>
      <x:c r="AD214" s="2"/>
      <x:c r="AE214" s="2" t="str">
        <x:v>2026-09-15</x:v>
      </x:c>
      <x:c r="AF214" s="2"/>
      <x:c r="AG214" s="97"/>
      <x:c r="AH214" s="2"/>
      <x:c r="AI214" s="2"/>
      <x:c r="AJ214" s="97"/>
      <x:c r="AK214" s="2"/>
      <x:c r="AL214" s="2"/>
      <x:c r="AM214" s="2" t="str">
        <x:v>https://tpwd.texas.gov/huntwild/hunt/public/public_hunt_drawing/hunt-category-details.phtml?OCat=GDA</x:v>
      </x:c>
      <x:c r="AN214" s="2" t="str">
        <x:v>https://tpwd.texas.gov/search/?q=Nannie+Stringfellow+WMA+public+hunting+brochure</x:v>
      </x:c>
      <x:c r="AO214" s="2" t="str">
        <x:v>https://apps.tpwd.state.tx.us/huntwild/hunt/public/public_hunt_drawing/</x:v>
      </x:c>
      <x:c r="AP214" s="2" t="str">
        <x:v>https://www.google.com/maps/search/?api=1&amp;query=Nannie+Stringfellow+WMA%2C+Texas</x:v>
      </x:c>
      <x:c r="AQ214" s="96" t="n">
        <x:v>0</x:v>
      </x:c>
      <x:c r="AR214" s="2" t="str">
        <x:v>Standard Hastings ranking</x:v>
      </x:c>
    </x:row>
    <x:row r="215">
      <x:c r="A215" s="2" t="str">
        <x:v>No</x:v>
      </x:c>
      <x:c r="B215" s="2" t="str">
        <x:v>A</x:v>
      </x:c>
      <x:c r="C215" s="2" t="str">
        <x:v>Whitetail Deer</x:v>
      </x:c>
      <x:c r="D215" s="2" t="str">
        <x:v>Neches River NWR - Dead Water Unit</x:v>
      </x:c>
      <x:c r="E215" s="2" t="str">
        <x:v>East Texas / Pineywoods</x:v>
      </x:c>
      <x:c r="F215" s="2" t="str">
        <x:v>National Refuge General Deer</x:v>
      </x:c>
      <x:c r="G215" s="2" t="str">
        <x:v>Yes</x:v>
      </x:c>
      <x:c r="H215" s="2" t="str">
        <x:v>Yes</x:v>
      </x:c>
      <x:c r="I215" s="97" t="str">
        <x:v>2026-09-15</x:v>
      </x:c>
      <x:c r="J215" s="2" t="str">
        <x:v>See TPWD category page</x:v>
      </x:c>
      <x:c r="K215" s="111" t="n">
        <x:v>3</x:v>
      </x:c>
      <x:c r="L215" s="111"/>
      <x:c r="M215" s="2"/>
      <x:c r="N215" s="2"/>
      <x:c r="O215" s="113"/>
      <x:c r="P215" s="2" t="n">
        <x:v>570</x:v>
      </x:c>
      <x:c r="Q215" s="2" t="str">
        <x:v>Statewide</x:v>
      </x:c>
      <x:c r="R215" s="2" t="str">
        <x:v>Research before draw; property brochure linked from TPWD</x:v>
      </x:c>
      <x:c r="S215" s="2" t="str">
        <x:v>Low</x:v>
      </x:c>
      <x:c r="T215" s="2" t="str">
        <x:v>No</x:v>
      </x:c>
      <x:c r="U215" s="2" t="str">
        <x:v>Verified in TPWD 2026-2027 statewide deer category catalog. Refuge-specific rules and permit fees may apply.</x:v>
      </x:c>
      <x:c r="V215" s="2" t="str">
        <x:v>https://tpwd.texas.gov/huntwild/hunt/public/public_hunt_drawing/hunt-category-details.phtml?OCat=NGE</x:v>
      </x:c>
      <x:c r="W215" s="2" t="n">
        <x:v>2</x:v>
      </x:c>
      <x:c r="X215" s="2" t="n">
        <x:v>2</x:v>
      </x:c>
      <x:c r="Y215" s="2" t="n">
        <x:v>4</x:v>
      </x:c>
      <x:c r="Z215" s="2" t="n">
        <x:v>3</x:v>
      </x:c>
      <x:c r="AA215" s="2" t="n">
        <x:v>2</x:v>
      </x:c>
      <x:c r="AB215" s="2" t="n">
        <x:v>0</x:v>
      </x:c>
      <x:c r="AC215" s="96" t="n">
        <x:v>2.3</x:v>
      </x:c>
      <x:c r="AD215" s="2"/>
      <x:c r="AE215" s="2" t="str">
        <x:v>2026-09-15</x:v>
      </x:c>
      <x:c r="AF215" s="2"/>
      <x:c r="AG215" s="97"/>
      <x:c r="AH215" s="2"/>
      <x:c r="AI215" s="2"/>
      <x:c r="AJ215" s="97"/>
      <x:c r="AK215" s="2"/>
      <x:c r="AL215" s="2"/>
      <x:c r="AM215" s="2" t="str">
        <x:v>https://tpwd.texas.gov/huntwild/hunt/public/public_hunt_drawing/hunt-category-details.phtml?OCat=NGE</x:v>
      </x:c>
      <x:c r="AN215" s="2" t="str">
        <x:v>https://tpwd.texas.gov/search/?q=Neches+River+NWR+-+Dead+Water+Unit+public+hunting+brochure</x:v>
      </x:c>
      <x:c r="AO215" s="2" t="str">
        <x:v>https://apps.tpwd.state.tx.us/huntwild/hunt/public/public_hunt_drawing/</x:v>
      </x:c>
      <x:c r="AP215" s="2" t="str">
        <x:v>https://www.google.com/maps/search/?api=1&amp;query=Neches+River+NWR+-+Dead+Water+Unit%2C+Texas</x:v>
      </x:c>
      <x:c r="AQ215" s="96" t="n">
        <x:v>0</x:v>
      </x:c>
      <x:c r="AR215" s="2" t="str">
        <x:v>Standard Hastings ranking</x:v>
      </x:c>
    </x:row>
    <x:row r="216">
      <x:c r="A216" s="2" t="str">
        <x:v>No</x:v>
      </x:c>
      <x:c r="B216" s="2" t="str">
        <x:v>A</x:v>
      </x:c>
      <x:c r="C216" s="2" t="str">
        <x:v>Whitetail Deer</x:v>
      </x:c>
      <x:c r="D216" s="2" t="str">
        <x:v>Neches River NWR - Rocky Point Unit</x:v>
      </x:c>
      <x:c r="E216" s="2" t="str">
        <x:v>East Texas / Pineywoods</x:v>
      </x:c>
      <x:c r="F216" s="2" t="str">
        <x:v>National Refuge General Deer</x:v>
      </x:c>
      <x:c r="G216" s="2" t="str">
        <x:v>Yes</x:v>
      </x:c>
      <x:c r="H216" s="2" t="str">
        <x:v>Yes</x:v>
      </x:c>
      <x:c r="I216" s="97" t="str">
        <x:v>2026-09-15</x:v>
      </x:c>
      <x:c r="J216" s="2" t="str">
        <x:v>See TPWD category page</x:v>
      </x:c>
      <x:c r="K216" s="111" t="n">
        <x:v>3</x:v>
      </x:c>
      <x:c r="L216" s="111"/>
      <x:c r="M216" s="2"/>
      <x:c r="N216" s="2"/>
      <x:c r="O216" s="113"/>
      <x:c r="P216" s="2" t="n">
        <x:v>570</x:v>
      </x:c>
      <x:c r="Q216" s="2" t="str">
        <x:v>Statewide</x:v>
      </x:c>
      <x:c r="R216" s="2" t="str">
        <x:v>Research before draw; property brochure linked from TPWD</x:v>
      </x:c>
      <x:c r="S216" s="2" t="str">
        <x:v>Low</x:v>
      </x:c>
      <x:c r="T216" s="2" t="str">
        <x:v>No</x:v>
      </x:c>
      <x:c r="U216" s="2" t="str">
        <x:v>Verified in TPWD 2026-2027 statewide deer category catalog. Refuge-specific rules and permit fees may apply.</x:v>
      </x:c>
      <x:c r="V216" s="2" t="str">
        <x:v>https://tpwd.texas.gov/huntwild/hunt/public/public_hunt_drawing/hunt-category-details.phtml?OCat=NGE</x:v>
      </x:c>
      <x:c r="W216" s="2" t="n">
        <x:v>2</x:v>
      </x:c>
      <x:c r="X216" s="2" t="n">
        <x:v>2</x:v>
      </x:c>
      <x:c r="Y216" s="2" t="n">
        <x:v>4</x:v>
      </x:c>
      <x:c r="Z216" s="2" t="n">
        <x:v>3</x:v>
      </x:c>
      <x:c r="AA216" s="2" t="n">
        <x:v>2</x:v>
      </x:c>
      <x:c r="AB216" s="2" t="n">
        <x:v>0</x:v>
      </x:c>
      <x:c r="AC216" s="96" t="n">
        <x:v>2.3</x:v>
      </x:c>
      <x:c r="AD216" s="2"/>
      <x:c r="AE216" s="2" t="str">
        <x:v>2026-09-15</x:v>
      </x:c>
      <x:c r="AF216" s="2"/>
      <x:c r="AG216" s="97"/>
      <x:c r="AH216" s="2"/>
      <x:c r="AI216" s="2"/>
      <x:c r="AJ216" s="97"/>
      <x:c r="AK216" s="2"/>
      <x:c r="AL216" s="2"/>
      <x:c r="AM216" s="2" t="str">
        <x:v>https://tpwd.texas.gov/huntwild/hunt/public/public_hunt_drawing/hunt-category-details.phtml?OCat=NGE</x:v>
      </x:c>
      <x:c r="AN216" s="2" t="str">
        <x:v>https://tpwd.texas.gov/search/?q=Neches+River+NWR+-+Rocky+Point+Unit+public+hunting+brochure</x:v>
      </x:c>
      <x:c r="AO216" s="2" t="str">
        <x:v>https://apps.tpwd.state.tx.us/huntwild/hunt/public/public_hunt_drawing/</x:v>
      </x:c>
      <x:c r="AP216" s="2" t="str">
        <x:v>https://www.google.com/maps/search/?api=1&amp;query=Neches+River+NWR+-+Rocky+Point+Unit%2C+Texas</x:v>
      </x:c>
      <x:c r="AQ216" s="96" t="n">
        <x:v>0</x:v>
      </x:c>
      <x:c r="AR216" s="2" t="str">
        <x:v>Standard Hastings ranking</x:v>
      </x:c>
    </x:row>
    <x:row r="217">
      <x:c r="A217" s="2" t="str">
        <x:v>No</x:v>
      </x:c>
      <x:c r="B217" s="2" t="str">
        <x:v>A</x:v>
      </x:c>
      <x:c r="C217" s="2" t="str">
        <x:v>Whitetail Deer</x:v>
      </x:c>
      <x:c r="D217" s="2" t="str">
        <x:v>Neches River NWR - Sandy Bluff Unit</x:v>
      </x:c>
      <x:c r="E217" s="2" t="str">
        <x:v>East Texas / Pineywoods</x:v>
      </x:c>
      <x:c r="F217" s="2" t="str">
        <x:v>National Refuge General Deer</x:v>
      </x:c>
      <x:c r="G217" s="2" t="str">
        <x:v>Yes</x:v>
      </x:c>
      <x:c r="H217" s="2" t="str">
        <x:v>Yes</x:v>
      </x:c>
      <x:c r="I217" s="97" t="str">
        <x:v>2026-09-15</x:v>
      </x:c>
      <x:c r="J217" s="2" t="str">
        <x:v>See TPWD category page</x:v>
      </x:c>
      <x:c r="K217" s="111" t="n">
        <x:v>3</x:v>
      </x:c>
      <x:c r="L217" s="111"/>
      <x:c r="M217" s="2"/>
      <x:c r="N217" s="2"/>
      <x:c r="O217" s="113"/>
      <x:c r="P217" s="2" t="n">
        <x:v>570</x:v>
      </x:c>
      <x:c r="Q217" s="2" t="str">
        <x:v>Statewide</x:v>
      </x:c>
      <x:c r="R217" s="2" t="str">
        <x:v>Research before draw; property brochure linked from TPWD</x:v>
      </x:c>
      <x:c r="S217" s="2" t="str">
        <x:v>Low</x:v>
      </x:c>
      <x:c r="T217" s="2" t="str">
        <x:v>No</x:v>
      </x:c>
      <x:c r="U217" s="2" t="str">
        <x:v>Verified in TPWD 2026-2027 statewide deer category catalog. Refuge-specific rules and permit fees may apply.</x:v>
      </x:c>
      <x:c r="V217" s="2" t="str">
        <x:v>https://tpwd.texas.gov/huntwild/hunt/public/public_hunt_drawing/hunt-category-details.phtml?OCat=NGE</x:v>
      </x:c>
      <x:c r="W217" s="2" t="n">
        <x:v>2</x:v>
      </x:c>
      <x:c r="X217" s="2" t="n">
        <x:v>2</x:v>
      </x:c>
      <x:c r="Y217" s="2" t="n">
        <x:v>4</x:v>
      </x:c>
      <x:c r="Z217" s="2" t="n">
        <x:v>3</x:v>
      </x:c>
      <x:c r="AA217" s="2" t="n">
        <x:v>2</x:v>
      </x:c>
      <x:c r="AB217" s="2" t="n">
        <x:v>0</x:v>
      </x:c>
      <x:c r="AC217" s="96" t="n">
        <x:v>2.3</x:v>
      </x:c>
      <x:c r="AD217" s="2"/>
      <x:c r="AE217" s="2" t="str">
        <x:v>2026-09-15</x:v>
      </x:c>
      <x:c r="AF217" s="2"/>
      <x:c r="AG217" s="97"/>
      <x:c r="AH217" s="2"/>
      <x:c r="AI217" s="2"/>
      <x:c r="AJ217" s="97"/>
      <x:c r="AK217" s="2"/>
      <x:c r="AL217" s="2"/>
      <x:c r="AM217" s="2" t="str">
        <x:v>https://tpwd.texas.gov/huntwild/hunt/public/public_hunt_drawing/hunt-category-details.phtml?OCat=NGE</x:v>
      </x:c>
      <x:c r="AN217" s="2" t="str">
        <x:v>https://tpwd.texas.gov/search/?q=Neches+River+NWR+-+Sandy+Bluff+Unit+public+hunting+brochure</x:v>
      </x:c>
      <x:c r="AO217" s="2" t="str">
        <x:v>https://apps.tpwd.state.tx.us/huntwild/hunt/public/public_hunt_drawing/</x:v>
      </x:c>
      <x:c r="AP217" s="2" t="str">
        <x:v>https://www.google.com/maps/search/?api=1&amp;query=Neches+River+NWR+-+Sandy+Bluff+Unit%2C+Texas</x:v>
      </x:c>
      <x:c r="AQ217" s="96" t="n">
        <x:v>0</x:v>
      </x:c>
      <x:c r="AR217" s="2" t="str">
        <x:v>Standard Hastings ranking</x:v>
      </x:c>
    </x:row>
    <x:row r="218">
      <x:c r="A218" s="2" t="str">
        <x:v>No</x:v>
      </x:c>
      <x:c r="B218" s="2" t="str">
        <x:v>A</x:v>
      </x:c>
      <x:c r="C218" s="2" t="str">
        <x:v>Whitetail Deer</x:v>
      </x:c>
      <x:c r="D218" s="2" t="str">
        <x:v>Neches River NWR - Walnut Branch Unit</x:v>
      </x:c>
      <x:c r="E218" s="2" t="str">
        <x:v>East Texas / Pineywoods</x:v>
      </x:c>
      <x:c r="F218" s="2" t="str">
        <x:v>National Refuge General Deer</x:v>
      </x:c>
      <x:c r="G218" s="2" t="str">
        <x:v>Yes</x:v>
      </x:c>
      <x:c r="H218" s="2" t="str">
        <x:v>Yes</x:v>
      </x:c>
      <x:c r="I218" s="97" t="str">
        <x:v>2026-09-15</x:v>
      </x:c>
      <x:c r="J218" s="2" t="str">
        <x:v>See TPWD category page</x:v>
      </x:c>
      <x:c r="K218" s="111" t="n">
        <x:v>3</x:v>
      </x:c>
      <x:c r="L218" s="111"/>
      <x:c r="M218" s="2"/>
      <x:c r="N218" s="2"/>
      <x:c r="O218" s="113"/>
      <x:c r="P218" s="2" t="n">
        <x:v>570</x:v>
      </x:c>
      <x:c r="Q218" s="2" t="str">
        <x:v>Statewide</x:v>
      </x:c>
      <x:c r="R218" s="2" t="str">
        <x:v>Research before draw; property brochure linked from TPWD</x:v>
      </x:c>
      <x:c r="S218" s="2" t="str">
        <x:v>Low</x:v>
      </x:c>
      <x:c r="T218" s="2" t="str">
        <x:v>No</x:v>
      </x:c>
      <x:c r="U218" s="2" t="str">
        <x:v>Verified in TPWD 2026-2027 statewide deer category catalog. Refuge-specific rules and permit fees may apply.</x:v>
      </x:c>
      <x:c r="V218" s="2" t="str">
        <x:v>https://tpwd.texas.gov/huntwild/hunt/public/public_hunt_drawing/hunt-category-details.phtml?OCat=NGE</x:v>
      </x:c>
      <x:c r="W218" s="2" t="n">
        <x:v>2</x:v>
      </x:c>
      <x:c r="X218" s="2" t="n">
        <x:v>2</x:v>
      </x:c>
      <x:c r="Y218" s="2" t="n">
        <x:v>4</x:v>
      </x:c>
      <x:c r="Z218" s="2" t="n">
        <x:v>3</x:v>
      </x:c>
      <x:c r="AA218" s="2" t="n">
        <x:v>2</x:v>
      </x:c>
      <x:c r="AB218" s="2" t="n">
        <x:v>0</x:v>
      </x:c>
      <x:c r="AC218" s="96" t="n">
        <x:v>2.3</x:v>
      </x:c>
      <x:c r="AD218" s="2"/>
      <x:c r="AE218" s="2" t="str">
        <x:v>2026-09-15</x:v>
      </x:c>
      <x:c r="AF218" s="2"/>
      <x:c r="AG218" s="97"/>
      <x:c r="AH218" s="2"/>
      <x:c r="AI218" s="2"/>
      <x:c r="AJ218" s="97"/>
      <x:c r="AK218" s="2"/>
      <x:c r="AL218" s="2"/>
      <x:c r="AM218" s="2" t="str">
        <x:v>https://tpwd.texas.gov/huntwild/hunt/public/public_hunt_drawing/hunt-category-details.phtml?OCat=NGE</x:v>
      </x:c>
      <x:c r="AN218" s="2" t="str">
        <x:v>https://tpwd.texas.gov/search/?q=Neches+River+NWR+-+Walnut+Branch+Unit+public+hunting+brochure</x:v>
      </x:c>
      <x:c r="AO218" s="2" t="str">
        <x:v>https://apps.tpwd.state.tx.us/huntwild/hunt/public/public_hunt_drawing/</x:v>
      </x:c>
      <x:c r="AP218" s="2" t="str">
        <x:v>https://www.google.com/maps/search/?api=1&amp;query=Neches+River+NWR+-+Walnut+Branch+Unit%2C+Texas</x:v>
      </x:c>
      <x:c r="AQ218" s="96" t="n">
        <x:v>0</x:v>
      </x:c>
      <x:c r="AR218" s="2" t="str">
        <x:v>Standard Hastings ranking</x:v>
      </x:c>
    </x:row>
    <x:row r="219">
      <x:c r="A219" s="2" t="str">
        <x:v>No</x:v>
      </x:c>
      <x:c r="B219" s="2" t="str">
        <x:v>A</x:v>
      </x:c>
      <x:c r="C219" s="2" t="str">
        <x:v>Whitetail Deer</x:v>
      </x:c>
      <x:c r="D219" s="2" t="str">
        <x:v>Old Sabine Bottom WMA</x:v>
      </x:c>
      <x:c r="E219" s="2" t="str">
        <x:v>East Texas / Pineywoods</x:v>
      </x:c>
      <x:c r="F219" s="2" t="str">
        <x:v>E-Postcard Deer</x:v>
      </x:c>
      <x:c r="G219" s="2" t="str">
        <x:v>Yes</x:v>
      </x:c>
      <x:c r="H219" s="2" t="str">
        <x:v>Yes</x:v>
      </x:c>
      <x:c r="I219" s="97" t="str">
        <x:v>2026-09-15</x:v>
      </x:c>
      <x:c r="J219" s="2" t="str">
        <x:v>See TPWD category page</x:v>
      </x:c>
      <x:c r="K219" s="111" t="n">
        <x:v>0</x:v>
      </x:c>
      <x:c r="L219" s="111" t="n">
        <x:v>0</x:v>
      </x:c>
      <x:c r="M219" s="2"/>
      <x:c r="N219" s="2"/>
      <x:c r="O219" s="113"/>
      <x:c r="P219" s="2" t="n">
        <x:v>570</x:v>
      </x:c>
      <x:c r="Q219" s="2" t="str">
        <x:v>Statewide</x:v>
      </x:c>
      <x:c r="R219" s="2" t="str">
        <x:v>Research before draw; property brochure linked from TPWD</x:v>
      </x:c>
      <x:c r="S219" s="2" t="str">
        <x:v>Low</x:v>
      </x:c>
      <x:c r="T219" s="2" t="str">
        <x:v>No</x:v>
      </x:c>
      <x:c r="U219" s="2" t="str">
        <x:v>Verified in TPWD 2026-2027 statewide deer category catalog. APH/eligibility rules apply; confirm account and permit requirements.</x:v>
      </x:c>
      <x:c r="V219" s="2" t="str">
        <x:v>https://tpwd.texas.gov/huntwild/hunt/public/public_hunt_drawing/hunt-category-details.phtml?OCat=EDR</x:v>
      </x:c>
      <x:c r="W219" s="2" t="n">
        <x:v>2</x:v>
      </x:c>
      <x:c r="X219" s="2" t="n">
        <x:v>2</x:v>
      </x:c>
      <x:c r="Y219" s="2" t="n">
        <x:v>4</x:v>
      </x:c>
      <x:c r="Z219" s="2" t="n">
        <x:v>3</x:v>
      </x:c>
      <x:c r="AA219" s="2" t="n">
        <x:v>2</x:v>
      </x:c>
      <x:c r="AB219" s="2" t="n">
        <x:v>0</x:v>
      </x:c>
      <x:c r="AC219" s="96" t="n">
        <x:v>2.3</x:v>
      </x:c>
      <x:c r="AD219" s="2" t="n">
        <x:v>0</x:v>
      </x:c>
      <x:c r="AE219" s="2" t="str">
        <x:v>2026-09-15</x:v>
      </x:c>
      <x:c r="AF219" s="2"/>
      <x:c r="AG219" s="97"/>
      <x:c r="AH219" s="2"/>
      <x:c r="AI219" s="2"/>
      <x:c r="AJ219" s="97"/>
      <x:c r="AK219" s="2"/>
      <x:c r="AL219" s="2"/>
      <x:c r="AM219" s="2" t="str">
        <x:v>https://tpwd.texas.gov/huntwild/hunt/public/public_hunt_drawing/hunt-category-details.phtml?OCat=EDR</x:v>
      </x:c>
      <x:c r="AN219" s="2" t="str">
        <x:v>https://tpwd.texas.gov/search/?q=Old+Sabine+Bottom+WMA+public+hunting+brochure</x:v>
      </x:c>
      <x:c r="AO219" s="2" t="str">
        <x:v>https://apps.tpwd.state.tx.us/huntwild/hunt/public/public_hunt_drawing/</x:v>
      </x:c>
      <x:c r="AP219" s="2" t="str">
        <x:v>https://www.google.com/maps/search/?api=1&amp;query=Old+Sabine+Bottom+WMA%2C+Texas</x:v>
      </x:c>
      <x:c r="AQ219" s="96" t="n">
        <x:v>0</x:v>
      </x:c>
      <x:c r="AR219" s="2" t="str">
        <x:v>Standard Hastings ranking</x:v>
      </x:c>
    </x:row>
    <x:row r="220">
      <x:c r="A220" s="2" t="str">
        <x:v>No</x:v>
      </x:c>
      <x:c r="B220" s="2" t="str">
        <x:v>A</x:v>
      </x:c>
      <x:c r="C220" s="2" t="str">
        <x:v>Whitetail Deer</x:v>
      </x:c>
      <x:c r="D220" s="2" t="str">
        <x:v>Old Sabine Bottom WMA</x:v>
      </x:c>
      <x:c r="E220" s="2" t="str">
        <x:v>East Texas / Pineywoods</x:v>
      </x:c>
      <x:c r="F220" s="2" t="str">
        <x:v>Gun Deer - Either Sex</x:v>
      </x:c>
      <x:c r="G220" s="2" t="str">
        <x:v>Yes</x:v>
      </x:c>
      <x:c r="H220" s="2" t="str">
        <x:v>Yes</x:v>
      </x:c>
      <x:c r="I220" s="97" t="str">
        <x:v>2026-09-15</x:v>
      </x:c>
      <x:c r="J220" s="2" t="str">
        <x:v>See TPWD category page</x:v>
      </x:c>
      <x:c r="K220" s="111" t="n">
        <x:v>3</x:v>
      </x:c>
      <x:c r="L220" s="111"/>
      <x:c r="M220" s="2"/>
      <x:c r="N220" s="2"/>
      <x:c r="O220" s="113"/>
      <x:c r="P220" s="2" t="n">
        <x:v>570</x:v>
      </x:c>
      <x:c r="Q220" s="2" t="str">
        <x:v>Statewide</x:v>
      </x:c>
      <x:c r="R220" s="2" t="str">
        <x:v>Research before draw; property brochure linked from TPWD</x:v>
      </x:c>
      <x:c r="S220" s="2" t="str">
        <x:v>Low</x:v>
      </x:c>
      <x:c r="T220" s="2" t="str">
        <x:v>No</x:v>
      </x:c>
      <x:c r="U220" s="2" t="str">
        <x:v>Verified in TPWD 2026-2027 statewide deer category catalog.</x:v>
      </x:c>
      <x:c r="V220" s="2" t="str">
        <x:v>https://tpwd.texas.gov/huntwild/hunt/public/public_hunt_drawing/hunt-category-details.phtml?OCat=GDE</x:v>
      </x:c>
      <x:c r="W220" s="2" t="n">
        <x:v>2</x:v>
      </x:c>
      <x:c r="X220" s="2" t="n">
        <x:v>2</x:v>
      </x:c>
      <x:c r="Y220" s="2" t="n">
        <x:v>4</x:v>
      </x:c>
      <x:c r="Z220" s="2" t="n">
        <x:v>3</x:v>
      </x:c>
      <x:c r="AA220" s="2" t="n">
        <x:v>2</x:v>
      </x:c>
      <x:c r="AB220" s="2" t="n">
        <x:v>0</x:v>
      </x:c>
      <x:c r="AC220" s="96" t="n">
        <x:v>2.3</x:v>
      </x:c>
      <x:c r="AD220" s="2"/>
      <x:c r="AE220" s="2" t="str">
        <x:v>2026-09-15</x:v>
      </x:c>
      <x:c r="AF220" s="2"/>
      <x:c r="AG220" s="97"/>
      <x:c r="AH220" s="2"/>
      <x:c r="AI220" s="2"/>
      <x:c r="AJ220" s="97"/>
      <x:c r="AK220" s="2"/>
      <x:c r="AL220" s="2"/>
      <x:c r="AM220" s="2" t="str">
        <x:v>https://tpwd.texas.gov/huntwild/hunt/public/public_hunt_drawing/hunt-category-details.phtml?OCat=GDE</x:v>
      </x:c>
      <x:c r="AN220" s="2" t="str">
        <x:v>https://tpwd.texas.gov/search/?q=Old+Sabine+Bottom+WMA+public+hunting+brochure</x:v>
      </x:c>
      <x:c r="AO220" s="2" t="str">
        <x:v>https://apps.tpwd.state.tx.us/huntwild/hunt/public/public_hunt_drawing/</x:v>
      </x:c>
      <x:c r="AP220" s="2" t="str">
        <x:v>https://www.google.com/maps/search/?api=1&amp;query=Old+Sabine+Bottom+WMA%2C+Texas</x:v>
      </x:c>
      <x:c r="AQ220" s="96" t="n">
        <x:v>0</x:v>
      </x:c>
      <x:c r="AR220" s="2" t="str">
        <x:v>Standard Hastings ranking</x:v>
      </x:c>
    </x:row>
    <x:row r="221">
      <x:c r="A221" s="2" t="str">
        <x:v>No</x:v>
      </x:c>
      <x:c r="B221" s="2" t="str">
        <x:v>A</x:v>
      </x:c>
      <x:c r="C221" s="2" t="str">
        <x:v>Whitetail Deer</x:v>
      </x:c>
      <x:c r="D221" s="2" t="str">
        <x:v>Pat Mayse WMA</x:v>
      </x:c>
      <x:c r="E221" s="2" t="str">
        <x:v>North Texas / DFW</x:v>
      </x:c>
      <x:c r="F221" s="2" t="str">
        <x:v>Gun Deer - Either Sex</x:v>
      </x:c>
      <x:c r="G221" s="2" t="str">
        <x:v>Yes</x:v>
      </x:c>
      <x:c r="H221" s="2" t="str">
        <x:v>Yes</x:v>
      </x:c>
      <x:c r="I221" s="97" t="str">
        <x:v>2026-09-15</x:v>
      </x:c>
      <x:c r="J221" s="2" t="str">
        <x:v>See TPWD category page</x:v>
      </x:c>
      <x:c r="K221" s="111" t="n">
        <x:v>3</x:v>
      </x:c>
      <x:c r="L221" s="111"/>
      <x:c r="M221" s="2"/>
      <x:c r="N221" s="2"/>
      <x:c r="O221" s="113"/>
      <x:c r="P221" s="2" t="n">
        <x:v>360</x:v>
      </x:c>
      <x:c r="Q221" s="2" t="str">
        <x:v>Extended</x:v>
      </x:c>
      <x:c r="R221" s="2" t="str">
        <x:v>Research before draw; property brochure linked from TPWD</x:v>
      </x:c>
      <x:c r="S221" s="2" t="str">
        <x:v>Low</x:v>
      </x:c>
      <x:c r="T221" s="2" t="str">
        <x:v>No</x:v>
      </x:c>
      <x:c r="U221" s="2" t="str">
        <x:v>Verified in TPWD 2026-2027 statewide deer category catalog.</x:v>
      </x:c>
      <x:c r="V221" s="2" t="str">
        <x:v>https://tpwd.texas.gov/huntwild/hunt/public/public_hunt_drawing/hunt-category-details.phtml?OCat=GDE</x:v>
      </x:c>
      <x:c r="W221" s="2" t="n">
        <x:v>2</x:v>
      </x:c>
      <x:c r="X221" s="2" t="n">
        <x:v>3</x:v>
      </x:c>
      <x:c r="Y221" s="2" t="n">
        <x:v>4</x:v>
      </x:c>
      <x:c r="Z221" s="2" t="n">
        <x:v>3</x:v>
      </x:c>
      <x:c r="AA221" s="2" t="n">
        <x:v>2</x:v>
      </x:c>
      <x:c r="AB221" s="2" t="n">
        <x:v>0</x:v>
      </x:c>
      <x:c r="AC221" s="96" t="n">
        <x:v>2.5</x:v>
      </x:c>
      <x:c r="AD221" s="2"/>
      <x:c r="AE221" s="2" t="str">
        <x:v>2026-09-15</x:v>
      </x:c>
      <x:c r="AF221" s="2"/>
      <x:c r="AG221" s="97"/>
      <x:c r="AH221" s="2"/>
      <x:c r="AI221" s="2"/>
      <x:c r="AJ221" s="97"/>
      <x:c r="AK221" s="2"/>
      <x:c r="AL221" s="2"/>
      <x:c r="AM221" s="2" t="str">
        <x:v>https://tpwd.texas.gov/huntwild/hunt/public/public_hunt_drawing/hunt-category-details.phtml?OCat=GDE</x:v>
      </x:c>
      <x:c r="AN221" s="2" t="str">
        <x:v>https://tpwd.texas.gov/search/?q=Pat+Mayse+WMA+public+hunting+brochure</x:v>
      </x:c>
      <x:c r="AO221" s="2" t="str">
        <x:v>https://apps.tpwd.state.tx.us/huntwild/hunt/public/public_hunt_drawing/</x:v>
      </x:c>
      <x:c r="AP221" s="2" t="str">
        <x:v>https://www.google.com/maps/search/?api=1&amp;query=Pat+Mayse+WMA%2C+Texas</x:v>
      </x:c>
      <x:c r="AQ221" s="96" t="n">
        <x:v>0</x:v>
      </x:c>
      <x:c r="AR221" s="2" t="str">
        <x:v>Standard Hastings ranking</x:v>
      </x:c>
    </x:row>
    <x:row r="222">
      <x:c r="A222" s="2" t="str">
        <x:v>No</x:v>
      </x:c>
      <x:c r="B222" s="2" t="str">
        <x:v>A</x:v>
      </x:c>
      <x:c r="C222" s="2" t="str">
        <x:v>Whitetail Deer</x:v>
      </x:c>
      <x:c r="D222" s="2" t="str">
        <x:v>Pedernales Falls SP</x:v>
      </x:c>
      <x:c r="E222" s="2" t="str">
        <x:v>Hill Country / San Antonio</x:v>
      </x:c>
      <x:c r="F222" s="2" t="str">
        <x:v>Gun Deer - Antlerless/Spike</x:v>
      </x:c>
      <x:c r="G222" s="2" t="str">
        <x:v>Yes</x:v>
      </x:c>
      <x:c r="H222" s="2" t="str">
        <x:v>Yes</x:v>
      </x:c>
      <x:c r="I222" s="97" t="str">
        <x:v>2026-09-15</x:v>
      </x:c>
      <x:c r="J222" s="2" t="str">
        <x:v>See TPWD category page</x:v>
      </x:c>
      <x:c r="K222" s="111" t="n">
        <x:v>3</x:v>
      </x:c>
      <x:c r="L222" s="111"/>
      <x:c r="M222" s="2"/>
      <x:c r="N222" s="2"/>
      <x:c r="O222" s="113"/>
      <x:c r="P222" s="2" t="n">
        <x:v>520</x:v>
      </x:c>
      <x:c r="Q222" s="2" t="str">
        <x:v>Statewide</x:v>
      </x:c>
      <x:c r="R222" s="2" t="str">
        <x:v>Research before draw; property brochure linked from TPWD</x:v>
      </x:c>
      <x:c r="S222" s="2" t="str">
        <x:v>Low</x:v>
      </x:c>
      <x:c r="T222" s="2" t="str">
        <x:v>No</x:v>
      </x:c>
      <x:c r="U222" s="2" t="str">
        <x:v>Verified in TPWD 2026-2027 statewide deer category catalog.</x:v>
      </x:c>
      <x:c r="V222" s="2" t="str">
        <x:v>https://tpwd.texas.gov/huntwild/hunt/public/public_hunt_drawing/hunt-category-details.phtml?OCat=GDA</x:v>
      </x:c>
      <x:c r="W222" s="2" t="n">
        <x:v>2</x:v>
      </x:c>
      <x:c r="X222" s="2" t="n">
        <x:v>2</x:v>
      </x:c>
      <x:c r="Y222" s="2" t="n">
        <x:v>4</x:v>
      </x:c>
      <x:c r="Z222" s="2" t="n">
        <x:v>3</x:v>
      </x:c>
      <x:c r="AA222" s="2" t="n">
        <x:v>2</x:v>
      </x:c>
      <x:c r="AB222" s="2" t="n">
        <x:v>0</x:v>
      </x:c>
      <x:c r="AC222" s="96" t="n">
        <x:v>2.3</x:v>
      </x:c>
      <x:c r="AD222" s="2"/>
      <x:c r="AE222" s="2" t="str">
        <x:v>2026-09-15</x:v>
      </x:c>
      <x:c r="AF222" s="2"/>
      <x:c r="AG222" s="97"/>
      <x:c r="AH222" s="2"/>
      <x:c r="AI222" s="2"/>
      <x:c r="AJ222" s="97"/>
      <x:c r="AK222" s="2"/>
      <x:c r="AL222" s="2"/>
      <x:c r="AM222" s="2" t="str">
        <x:v>https://tpwd.texas.gov/huntwild/hunt/public/public_hunt_drawing/hunt-category-details.phtml?OCat=GDA</x:v>
      </x:c>
      <x:c r="AN222" s="2" t="str">
        <x:v>https://tpwd.texas.gov/search/?q=Pedernales+Falls+SP+public+hunting+brochure</x:v>
      </x:c>
      <x:c r="AO222" s="2" t="str">
        <x:v>https://apps.tpwd.state.tx.us/huntwild/hunt/public/public_hunt_drawing/</x:v>
      </x:c>
      <x:c r="AP222" s="2" t="str">
        <x:v>https://www.google.com/maps/search/?api=1&amp;query=Pedernales+Falls+SP%2C+Texas</x:v>
      </x:c>
      <x:c r="AQ222" s="96" t="n">
        <x:v>0</x:v>
      </x:c>
      <x:c r="AR222" s="2" t="str">
        <x:v>Standard Hastings ranking</x:v>
      </x:c>
    </x:row>
    <x:row r="223">
      <x:c r="A223" s="2" t="str">
        <x:v>No</x:v>
      </x:c>
      <x:c r="B223" s="2" t="str">
        <x:v>A</x:v>
      </x:c>
      <x:c r="C223" s="2" t="str">
        <x:v>Whitetail Deer</x:v>
      </x:c>
      <x:c r="D223" s="2" t="str">
        <x:v>Pedernales Falls SP Annex</x:v>
      </x:c>
      <x:c r="E223" s="2" t="str">
        <x:v>Hill Country / San Antonio</x:v>
      </x:c>
      <x:c r="F223" s="2" t="str">
        <x:v>Gun Deer - Either Sex</x:v>
      </x:c>
      <x:c r="G223" s="2" t="str">
        <x:v>Yes</x:v>
      </x:c>
      <x:c r="H223" s="2" t="str">
        <x:v>Yes</x:v>
      </x:c>
      <x:c r="I223" s="97" t="str">
        <x:v>2026-09-15</x:v>
      </x:c>
      <x:c r="J223" s="2" t="str">
        <x:v>See TPWD category page</x:v>
      </x:c>
      <x:c r="K223" s="111" t="n">
        <x:v>3</x:v>
      </x:c>
      <x:c r="L223" s="111"/>
      <x:c r="M223" s="2"/>
      <x:c r="N223" s="2"/>
      <x:c r="O223" s="113"/>
      <x:c r="P223" s="2" t="n">
        <x:v>520</x:v>
      </x:c>
      <x:c r="Q223" s="2" t="str">
        <x:v>Statewide</x:v>
      </x:c>
      <x:c r="R223" s="2" t="str">
        <x:v>Research before draw; property brochure linked from TPWD</x:v>
      </x:c>
      <x:c r="S223" s="2" t="str">
        <x:v>Low</x:v>
      </x:c>
      <x:c r="T223" s="2" t="str">
        <x:v>No</x:v>
      </x:c>
      <x:c r="U223" s="2" t="str">
        <x:v>Verified in TPWD 2026-2027 statewide deer category catalog.</x:v>
      </x:c>
      <x:c r="V223" s="2" t="str">
        <x:v>https://tpwd.texas.gov/huntwild/hunt/public/public_hunt_drawing/hunt-category-details.phtml?OCat=GDE</x:v>
      </x:c>
      <x:c r="W223" s="2" t="n">
        <x:v>2</x:v>
      </x:c>
      <x:c r="X223" s="2" t="n">
        <x:v>2</x:v>
      </x:c>
      <x:c r="Y223" s="2" t="n">
        <x:v>4</x:v>
      </x:c>
      <x:c r="Z223" s="2" t="n">
        <x:v>3</x:v>
      </x:c>
      <x:c r="AA223" s="2" t="n">
        <x:v>2</x:v>
      </x:c>
      <x:c r="AB223" s="2" t="n">
        <x:v>0</x:v>
      </x:c>
      <x:c r="AC223" s="96" t="n">
        <x:v>2.3</x:v>
      </x:c>
      <x:c r="AD223" s="2"/>
      <x:c r="AE223" s="2" t="str">
        <x:v>2026-09-15</x:v>
      </x:c>
      <x:c r="AF223" s="2"/>
      <x:c r="AG223" s="97"/>
      <x:c r="AH223" s="2"/>
      <x:c r="AI223" s="2"/>
      <x:c r="AJ223" s="97"/>
      <x:c r="AK223" s="2"/>
      <x:c r="AL223" s="2"/>
      <x:c r="AM223" s="2" t="str">
        <x:v>https://tpwd.texas.gov/huntwild/hunt/public/public_hunt_drawing/hunt-category-details.phtml?OCat=GDE</x:v>
      </x:c>
      <x:c r="AN223" s="2" t="str">
        <x:v>https://tpwd.texas.gov/search/?q=Pedernales+Falls+SP+Annex+public+hunting+brochure</x:v>
      </x:c>
      <x:c r="AO223" s="2" t="str">
        <x:v>https://apps.tpwd.state.tx.us/huntwild/hunt/public/public_hunt_drawing/</x:v>
      </x:c>
      <x:c r="AP223" s="2" t="str">
        <x:v>https://www.google.com/maps/search/?api=1&amp;query=Pedernales+Falls+SP+Annex%2C+Texas</x:v>
      </x:c>
      <x:c r="AQ223" s="96" t="n">
        <x:v>0</x:v>
      </x:c>
      <x:c r="AR223" s="2" t="str">
        <x:v>Standard Hastings ranking</x:v>
      </x:c>
    </x:row>
    <x:row r="224">
      <x:c r="A224" s="2" t="str">
        <x:v>No</x:v>
      </x:c>
      <x:c r="B224" s="2" t="str">
        <x:v>A</x:v>
      </x:c>
      <x:c r="C224" s="2" t="str">
        <x:v>Whitetail Deer</x:v>
      </x:c>
      <x:c r="D224" s="2" t="str">
        <x:v>Post Oak Ridge State Park</x:v>
      </x:c>
      <x:c r="E224" s="2" t="str">
        <x:v>Statewide / Other</x:v>
      </x:c>
      <x:c r="F224" s="2" t="str">
        <x:v>Gun Deer - Antlerless/Spike</x:v>
      </x:c>
      <x:c r="G224" s="2" t="str">
        <x:v>Yes</x:v>
      </x:c>
      <x:c r="H224" s="2" t="str">
        <x:v>Yes</x:v>
      </x:c>
      <x:c r="I224" s="97" t="str">
        <x:v>2026-09-15</x:v>
      </x:c>
      <x:c r="J224" s="2" t="str">
        <x:v>See TPWD category page</x:v>
      </x:c>
      <x:c r="K224" s="111" t="n">
        <x:v>3</x:v>
      </x:c>
      <x:c r="L224" s="111"/>
      <x:c r="M224" s="2"/>
      <x:c r="N224" s="2"/>
      <x:c r="O224" s="113"/>
      <x:c r="P224" s="2" t="n">
        <x:v>500</x:v>
      </x:c>
      <x:c r="Q224" s="2" t="str">
        <x:v>Statewide</x:v>
      </x:c>
      <x:c r="R224" s="2" t="str">
        <x:v>Research before draw; property brochure linked from TPWD</x:v>
      </x:c>
      <x:c r="S224" s="2" t="str">
        <x:v>Low</x:v>
      </x:c>
      <x:c r="T224" s="2" t="str">
        <x:v>No</x:v>
      </x:c>
      <x:c r="U224" s="2" t="str">
        <x:v>Verified in TPWD 2026-2027 statewide deer category catalog.</x:v>
      </x:c>
      <x:c r="V224" s="2" t="str">
        <x:v>https://tpwd.texas.gov/huntwild/hunt/public/public_hunt_drawing/hunt-category-details.phtml?OCat=GDA</x:v>
      </x:c>
      <x:c r="W224" s="2" t="n">
        <x:v>2</x:v>
      </x:c>
      <x:c r="X224" s="2" t="n">
        <x:v>2</x:v>
      </x:c>
      <x:c r="Y224" s="2" t="n">
        <x:v>4</x:v>
      </x:c>
      <x:c r="Z224" s="2" t="n">
        <x:v>3</x:v>
      </x:c>
      <x:c r="AA224" s="2" t="n">
        <x:v>2</x:v>
      </x:c>
      <x:c r="AB224" s="2" t="n">
        <x:v>0</x:v>
      </x:c>
      <x:c r="AC224" s="96" t="n">
        <x:v>2.3</x:v>
      </x:c>
      <x:c r="AD224" s="2"/>
      <x:c r="AE224" s="2" t="str">
        <x:v>2026-09-15</x:v>
      </x:c>
      <x:c r="AF224" s="2"/>
      <x:c r="AG224" s="97"/>
      <x:c r="AH224" s="2"/>
      <x:c r="AI224" s="2"/>
      <x:c r="AJ224" s="97"/>
      <x:c r="AK224" s="2"/>
      <x:c r="AL224" s="2"/>
      <x:c r="AM224" s="2" t="str">
        <x:v>https://tpwd.texas.gov/huntwild/hunt/public/public_hunt_drawing/hunt-category-details.phtml?OCat=GDA</x:v>
      </x:c>
      <x:c r="AN224" s="2" t="str">
        <x:v>https://tpwd.texas.gov/search/?q=Post+Oak+Ridge+State+Park+public+hunting+brochure</x:v>
      </x:c>
      <x:c r="AO224" s="2" t="str">
        <x:v>https://apps.tpwd.state.tx.us/huntwild/hunt/public/public_hunt_drawing/</x:v>
      </x:c>
      <x:c r="AP224" s="2" t="str">
        <x:v>https://www.google.com/maps/search/?api=1&amp;query=Post+Oak+Ridge+State+Park%2C+Texas</x:v>
      </x:c>
      <x:c r="AQ224" s="96" t="n">
        <x:v>0</x:v>
      </x:c>
      <x:c r="AR224" s="2" t="str">
        <x:v>Standard Hastings ranking</x:v>
      </x:c>
    </x:row>
    <x:row r="225">
      <x:c r="A225" s="2" t="str">
        <x:v>No</x:v>
      </x:c>
      <x:c r="B225" s="2" t="str">
        <x:v>A</x:v>
      </x:c>
      <x:c r="C225" s="2" t="str">
        <x:v>Whitetail Deer</x:v>
      </x:c>
      <x:c r="D225" s="2" t="str">
        <x:v>Post Oak Ridge State Park</x:v>
      </x:c>
      <x:c r="E225" s="2" t="str">
        <x:v>Statewide / Other</x:v>
      </x:c>
      <x:c r="F225" s="2" t="str">
        <x:v>Gun Deer - Either Sex</x:v>
      </x:c>
      <x:c r="G225" s="2" t="str">
        <x:v>Yes</x:v>
      </x:c>
      <x:c r="H225" s="2" t="str">
        <x:v>Yes</x:v>
      </x:c>
      <x:c r="I225" s="97" t="str">
        <x:v>2026-09-15</x:v>
      </x:c>
      <x:c r="J225" s="2" t="str">
        <x:v>See TPWD category page</x:v>
      </x:c>
      <x:c r="K225" s="111" t="n">
        <x:v>3</x:v>
      </x:c>
      <x:c r="L225" s="111"/>
      <x:c r="M225" s="2"/>
      <x:c r="N225" s="2"/>
      <x:c r="O225" s="113"/>
      <x:c r="P225" s="2" t="n">
        <x:v>500</x:v>
      </x:c>
      <x:c r="Q225" s="2" t="str">
        <x:v>Statewide</x:v>
      </x:c>
      <x:c r="R225" s="2" t="str">
        <x:v>Research before draw; property brochure linked from TPWD</x:v>
      </x:c>
      <x:c r="S225" s="2" t="str">
        <x:v>Low</x:v>
      </x:c>
      <x:c r="T225" s="2" t="str">
        <x:v>No</x:v>
      </x:c>
      <x:c r="U225" s="2" t="str">
        <x:v>Verified in TPWD 2026-2027 statewide deer category catalog.</x:v>
      </x:c>
      <x:c r="V225" s="2" t="str">
        <x:v>https://tpwd.texas.gov/huntwild/hunt/public/public_hunt_drawing/hunt-category-details.phtml?OCat=GDE</x:v>
      </x:c>
      <x:c r="W225" s="2" t="n">
        <x:v>2</x:v>
      </x:c>
      <x:c r="X225" s="2" t="n">
        <x:v>2</x:v>
      </x:c>
      <x:c r="Y225" s="2" t="n">
        <x:v>4</x:v>
      </x:c>
      <x:c r="Z225" s="2" t="n">
        <x:v>3</x:v>
      </x:c>
      <x:c r="AA225" s="2" t="n">
        <x:v>2</x:v>
      </x:c>
      <x:c r="AB225" s="2" t="n">
        <x:v>0</x:v>
      </x:c>
      <x:c r="AC225" s="96" t="n">
        <x:v>2.3</x:v>
      </x:c>
      <x:c r="AD225" s="2"/>
      <x:c r="AE225" s="2" t="str">
        <x:v>2026-09-15</x:v>
      </x:c>
      <x:c r="AF225" s="2"/>
      <x:c r="AG225" s="97"/>
      <x:c r="AH225" s="2"/>
      <x:c r="AI225" s="2"/>
      <x:c r="AJ225" s="97"/>
      <x:c r="AK225" s="2"/>
      <x:c r="AL225" s="2"/>
      <x:c r="AM225" s="2" t="str">
        <x:v>https://tpwd.texas.gov/huntwild/hunt/public/public_hunt_drawing/hunt-category-details.phtml?OCat=GDE</x:v>
      </x:c>
      <x:c r="AN225" s="2" t="str">
        <x:v>https://tpwd.texas.gov/search/?q=Post+Oak+Ridge+State+Park+public+hunting+brochure</x:v>
      </x:c>
      <x:c r="AO225" s="2" t="str">
        <x:v>https://apps.tpwd.state.tx.us/huntwild/hunt/public/public_hunt_drawing/</x:v>
      </x:c>
      <x:c r="AP225" s="2" t="str">
        <x:v>https://www.google.com/maps/search/?api=1&amp;query=Post+Oak+Ridge+State+Park%2C+Texas</x:v>
      </x:c>
      <x:c r="AQ225" s="96" t="n">
        <x:v>0</x:v>
      </x:c>
      <x:c r="AR225" s="2" t="str">
        <x:v>Standard Hastings ranking</x:v>
      </x:c>
    </x:row>
    <x:row r="226">
      <x:c r="A226" s="2" t="str">
        <x:v>No</x:v>
      </x:c>
      <x:c r="B226" s="2" t="str">
        <x:v>A</x:v>
      </x:c>
      <x:c r="C226" s="2" t="str">
        <x:v>Whitetail Deer</x:v>
      </x:c>
      <x:c r="D226" s="2" t="str">
        <x:v>Powderhorn WMA</x:v>
      </x:c>
      <x:c r="E226" s="2" t="str">
        <x:v>Houston / Gulf Coast</x:v>
      </x:c>
      <x:c r="F226" s="2" t="str">
        <x:v>Gun Deer - Either Sex</x:v>
      </x:c>
      <x:c r="G226" s="2" t="str">
        <x:v>Yes</x:v>
      </x:c>
      <x:c r="H226" s="2" t="str">
        <x:v>Yes</x:v>
      </x:c>
      <x:c r="I226" s="97" t="str">
        <x:v>2026-09-15</x:v>
      </x:c>
      <x:c r="J226" s="2" t="str">
        <x:v>See TPWD category page</x:v>
      </x:c>
      <x:c r="K226" s="111" t="n">
        <x:v>3</x:v>
      </x:c>
      <x:c r="L226" s="111"/>
      <x:c r="M226" s="2"/>
      <x:c r="N226" s="2"/>
      <x:c r="O226" s="113"/>
      <x:c r="P226" s="2" t="n">
        <x:v>610</x:v>
      </x:c>
      <x:c r="Q226" s="2" t="str">
        <x:v>Long Haul</x:v>
      </x:c>
      <x:c r="R226" s="2" t="str">
        <x:v>Research before draw; property brochure linked from TPWD</x:v>
      </x:c>
      <x:c r="S226" s="2" t="str">
        <x:v>Low</x:v>
      </x:c>
      <x:c r="T226" s="2" t="str">
        <x:v>No</x:v>
      </x:c>
      <x:c r="U226" s="2" t="str">
        <x:v>Verified in TPWD 2026-2027 statewide deer category catalog.</x:v>
      </x:c>
      <x:c r="V226" s="2" t="str">
        <x:v>https://tpwd.texas.gov/huntwild/hunt/public/public_hunt_drawing/hunt-category-details.phtml?OCat=GDE</x:v>
      </x:c>
      <x:c r="W226" s="2" t="n">
        <x:v>2</x:v>
      </x:c>
      <x:c r="X226" s="2" t="n">
        <x:v>1</x:v>
      </x:c>
      <x:c r="Y226" s="2" t="n">
        <x:v>4</x:v>
      </x:c>
      <x:c r="Z226" s="2" t="n">
        <x:v>3</x:v>
      </x:c>
      <x:c r="AA226" s="2" t="n">
        <x:v>2</x:v>
      </x:c>
      <x:c r="AB226" s="2" t="n">
        <x:v>0</x:v>
      </x:c>
      <x:c r="AC226" s="96" t="n">
        <x:v>2.1</x:v>
      </x:c>
      <x:c r="AD226" s="2"/>
      <x:c r="AE226" s="2" t="str">
        <x:v>2026-09-15</x:v>
      </x:c>
      <x:c r="AF226" s="2"/>
      <x:c r="AG226" s="97"/>
      <x:c r="AH226" s="2"/>
      <x:c r="AI226" s="2"/>
      <x:c r="AJ226" s="97"/>
      <x:c r="AK226" s="2"/>
      <x:c r="AL226" s="2"/>
      <x:c r="AM226" s="2" t="str">
        <x:v>https://tpwd.texas.gov/huntwild/hunt/public/public_hunt_drawing/hunt-category-details.phtml?OCat=GDE</x:v>
      </x:c>
      <x:c r="AN226" s="2" t="str">
        <x:v>https://tpwd.texas.gov/search/?q=Powderhorn+WMA+public+hunting+brochure</x:v>
      </x:c>
      <x:c r="AO226" s="2" t="str">
        <x:v>https://apps.tpwd.state.tx.us/huntwild/hunt/public/public_hunt_drawing/</x:v>
      </x:c>
      <x:c r="AP226" s="2" t="str">
        <x:v>https://www.google.com/maps/search/?api=1&amp;query=Powderhorn+WMA%2C+Texas</x:v>
      </x:c>
      <x:c r="AQ226" s="96" t="n">
        <x:v>0</x:v>
      </x:c>
      <x:c r="AR226" s="2" t="str">
        <x:v>Standard Hastings ranking</x:v>
      </x:c>
    </x:row>
    <x:row r="227">
      <x:c r="A227" s="2" t="str">
        <x:v>No</x:v>
      </x:c>
      <x:c r="B227" s="2" t="str">
        <x:v>A</x:v>
      </x:c>
      <x:c r="C227" s="2" t="str">
        <x:v>Whitetail Deer</x:v>
      </x:c>
      <x:c r="D227" s="2" t="str">
        <x:v>Richland Creek WMA - Carl Frentress Unit</x:v>
      </x:c>
      <x:c r="E227" s="2" t="str">
        <x:v>Statewide / Other</x:v>
      </x:c>
      <x:c r="F227" s="2" t="str">
        <x:v>Gun Deer - Antlerless/Spike</x:v>
      </x:c>
      <x:c r="G227" s="2" t="str">
        <x:v>Yes</x:v>
      </x:c>
      <x:c r="H227" s="2" t="str">
        <x:v>Yes</x:v>
      </x:c>
      <x:c r="I227" s="97" t="str">
        <x:v>2026-09-15</x:v>
      </x:c>
      <x:c r="J227" s="2" t="str">
        <x:v>See TPWD category page</x:v>
      </x:c>
      <x:c r="K227" s="111" t="n">
        <x:v>3</x:v>
      </x:c>
      <x:c r="L227" s="111"/>
      <x:c r="M227" s="2"/>
      <x:c r="N227" s="2"/>
      <x:c r="O227" s="113"/>
      <x:c r="P227" s="2" t="n">
        <x:v>500</x:v>
      </x:c>
      <x:c r="Q227" s="2" t="str">
        <x:v>Statewide</x:v>
      </x:c>
      <x:c r="R227" s="2" t="str">
        <x:v>Research before draw; property brochure linked from TPWD</x:v>
      </x:c>
      <x:c r="S227" s="2" t="str">
        <x:v>Low</x:v>
      </x:c>
      <x:c r="T227" s="2" t="str">
        <x:v>No</x:v>
      </x:c>
      <x:c r="U227" s="2" t="str">
        <x:v>Verified in TPWD 2026-2027 statewide deer category catalog.</x:v>
      </x:c>
      <x:c r="V227" s="2" t="str">
        <x:v>https://tpwd.texas.gov/huntwild/hunt/public/public_hunt_drawing/hunt-category-details.phtml?OCat=GDA</x:v>
      </x:c>
      <x:c r="W227" s="2" t="n">
        <x:v>2</x:v>
      </x:c>
      <x:c r="X227" s="2" t="n">
        <x:v>2</x:v>
      </x:c>
      <x:c r="Y227" s="2" t="n">
        <x:v>4</x:v>
      </x:c>
      <x:c r="Z227" s="2" t="n">
        <x:v>3</x:v>
      </x:c>
      <x:c r="AA227" s="2" t="n">
        <x:v>2</x:v>
      </x:c>
      <x:c r="AB227" s="2" t="n">
        <x:v>0</x:v>
      </x:c>
      <x:c r="AC227" s="96" t="n">
        <x:v>2.3</x:v>
      </x:c>
      <x:c r="AD227" s="2"/>
      <x:c r="AE227" s="2" t="str">
        <x:v>2026-09-15</x:v>
      </x:c>
      <x:c r="AF227" s="2"/>
      <x:c r="AG227" s="97"/>
      <x:c r="AH227" s="2"/>
      <x:c r="AI227" s="2"/>
      <x:c r="AJ227" s="97"/>
      <x:c r="AK227" s="2"/>
      <x:c r="AL227" s="2"/>
      <x:c r="AM227" s="2" t="str">
        <x:v>https://tpwd.texas.gov/huntwild/hunt/public/public_hunt_drawing/hunt-category-details.phtml?OCat=GDA</x:v>
      </x:c>
      <x:c r="AN227" s="2" t="str">
        <x:v>https://tpwd.texas.gov/search/?q=Richland+Creek+WMA+-+Carl+Frentress+Unit+public+hunting+brochure</x:v>
      </x:c>
      <x:c r="AO227" s="2" t="str">
        <x:v>https://apps.tpwd.state.tx.us/huntwild/hunt/public/public_hunt_drawing/</x:v>
      </x:c>
      <x:c r="AP227" s="2" t="str">
        <x:v>https://www.google.com/maps/search/?api=1&amp;query=Richland+Creek+WMA+-+Carl+Frentress+Unit%2C+Texas</x:v>
      </x:c>
      <x:c r="AQ227" s="96" t="n">
        <x:v>0</x:v>
      </x:c>
      <x:c r="AR227" s="2" t="str">
        <x:v>Standard Hastings ranking</x:v>
      </x:c>
    </x:row>
    <x:row r="228">
      <x:c r="A228" s="2" t="str">
        <x:v>No</x:v>
      </x:c>
      <x:c r="B228" s="2" t="str">
        <x:v>A</x:v>
      </x:c>
      <x:c r="C228" s="2" t="str">
        <x:v>Whitetail Deer</x:v>
      </x:c>
      <x:c r="D228" s="2" t="str">
        <x:v>Richland Creek WMA - Carl Frentress Unit</x:v>
      </x:c>
      <x:c r="E228" s="2" t="str">
        <x:v>Statewide / Other</x:v>
      </x:c>
      <x:c r="F228" s="2" t="str">
        <x:v>Gun Deer - Either Sex</x:v>
      </x:c>
      <x:c r="G228" s="2" t="str">
        <x:v>Yes</x:v>
      </x:c>
      <x:c r="H228" s="2" t="str">
        <x:v>Yes</x:v>
      </x:c>
      <x:c r="I228" s="97" t="str">
        <x:v>2026-09-15</x:v>
      </x:c>
      <x:c r="J228" s="2" t="str">
        <x:v>See TPWD category page</x:v>
      </x:c>
      <x:c r="K228" s="111" t="n">
        <x:v>3</x:v>
      </x:c>
      <x:c r="L228" s="111"/>
      <x:c r="M228" s="2"/>
      <x:c r="N228" s="2"/>
      <x:c r="O228" s="113"/>
      <x:c r="P228" s="2" t="n">
        <x:v>500</x:v>
      </x:c>
      <x:c r="Q228" s="2" t="str">
        <x:v>Statewide</x:v>
      </x:c>
      <x:c r="R228" s="2" t="str">
        <x:v>Research before draw; property brochure linked from TPWD</x:v>
      </x:c>
      <x:c r="S228" s="2" t="str">
        <x:v>Low</x:v>
      </x:c>
      <x:c r="T228" s="2" t="str">
        <x:v>No</x:v>
      </x:c>
      <x:c r="U228" s="2" t="str">
        <x:v>Verified in TPWD 2026-2027 statewide deer category catalog.</x:v>
      </x:c>
      <x:c r="V228" s="2" t="str">
        <x:v>https://tpwd.texas.gov/huntwild/hunt/public/public_hunt_drawing/hunt-category-details.phtml?OCat=GDE</x:v>
      </x:c>
      <x:c r="W228" s="2" t="n">
        <x:v>2</x:v>
      </x:c>
      <x:c r="X228" s="2" t="n">
        <x:v>2</x:v>
      </x:c>
      <x:c r="Y228" s="2" t="n">
        <x:v>4</x:v>
      </x:c>
      <x:c r="Z228" s="2" t="n">
        <x:v>3</x:v>
      </x:c>
      <x:c r="AA228" s="2" t="n">
        <x:v>2</x:v>
      </x:c>
      <x:c r="AB228" s="2" t="n">
        <x:v>0</x:v>
      </x:c>
      <x:c r="AC228" s="96" t="n">
        <x:v>2.3</x:v>
      </x:c>
      <x:c r="AD228" s="2"/>
      <x:c r="AE228" s="2" t="str">
        <x:v>2026-09-15</x:v>
      </x:c>
      <x:c r="AF228" s="2"/>
      <x:c r="AG228" s="97"/>
      <x:c r="AH228" s="2"/>
      <x:c r="AI228" s="2"/>
      <x:c r="AJ228" s="97"/>
      <x:c r="AK228" s="2"/>
      <x:c r="AL228" s="2"/>
      <x:c r="AM228" s="2" t="str">
        <x:v>https://tpwd.texas.gov/huntwild/hunt/public/public_hunt_drawing/hunt-category-details.phtml?OCat=GDE</x:v>
      </x:c>
      <x:c r="AN228" s="2" t="str">
        <x:v>https://tpwd.texas.gov/search/?q=Richland+Creek+WMA+-+Carl+Frentress+Unit+public+hunting+brochure</x:v>
      </x:c>
      <x:c r="AO228" s="2" t="str">
        <x:v>https://apps.tpwd.state.tx.us/huntwild/hunt/public/public_hunt_drawing/</x:v>
      </x:c>
      <x:c r="AP228" s="2" t="str">
        <x:v>https://www.google.com/maps/search/?api=1&amp;query=Richland+Creek+WMA+-+Carl+Frentress+Unit%2C+Texas</x:v>
      </x:c>
      <x:c r="AQ228" s="96" t="n">
        <x:v>0</x:v>
      </x:c>
      <x:c r="AR228" s="2" t="str">
        <x:v>Standard Hastings ranking</x:v>
      </x:c>
    </x:row>
    <x:row r="229">
      <x:c r="A229" s="2" t="str">
        <x:v>No</x:v>
      </x:c>
      <x:c r="B229" s="2" t="str">
        <x:v>A</x:v>
      </x:c>
      <x:c r="C229" s="2" t="str">
        <x:v>Whitetail Deer</x:v>
      </x:c>
      <x:c r="D229" s="2" t="str">
        <x:v>Richland Creek WMA - South Unit</x:v>
      </x:c>
      <x:c r="E229" s="2" t="str">
        <x:v>Statewide / Other</x:v>
      </x:c>
      <x:c r="F229" s="2" t="str">
        <x:v>Gun Deer - Antlerless/Spike</x:v>
      </x:c>
      <x:c r="G229" s="2" t="str">
        <x:v>Yes</x:v>
      </x:c>
      <x:c r="H229" s="2" t="str">
        <x:v>Yes</x:v>
      </x:c>
      <x:c r="I229" s="97" t="str">
        <x:v>2026-09-15</x:v>
      </x:c>
      <x:c r="J229" s="2" t="str">
        <x:v>See TPWD category page</x:v>
      </x:c>
      <x:c r="K229" s="111" t="n">
        <x:v>3</x:v>
      </x:c>
      <x:c r="L229" s="111"/>
      <x:c r="M229" s="2"/>
      <x:c r="N229" s="2"/>
      <x:c r="O229" s="113"/>
      <x:c r="P229" s="2" t="n">
        <x:v>500</x:v>
      </x:c>
      <x:c r="Q229" s="2" t="str">
        <x:v>Statewide</x:v>
      </x:c>
      <x:c r="R229" s="2" t="str">
        <x:v>Research before draw; property brochure linked from TPWD</x:v>
      </x:c>
      <x:c r="S229" s="2" t="str">
        <x:v>Low</x:v>
      </x:c>
      <x:c r="T229" s="2" t="str">
        <x:v>No</x:v>
      </x:c>
      <x:c r="U229" s="2" t="str">
        <x:v>Verified in TPWD 2026-2027 statewide deer category catalog.</x:v>
      </x:c>
      <x:c r="V229" s="2" t="str">
        <x:v>https://tpwd.texas.gov/huntwild/hunt/public/public_hunt_drawing/hunt-category-details.phtml?OCat=GDA</x:v>
      </x:c>
      <x:c r="W229" s="2" t="n">
        <x:v>2</x:v>
      </x:c>
      <x:c r="X229" s="2" t="n">
        <x:v>2</x:v>
      </x:c>
      <x:c r="Y229" s="2" t="n">
        <x:v>4</x:v>
      </x:c>
      <x:c r="Z229" s="2" t="n">
        <x:v>3</x:v>
      </x:c>
      <x:c r="AA229" s="2" t="n">
        <x:v>2</x:v>
      </x:c>
      <x:c r="AB229" s="2" t="n">
        <x:v>0</x:v>
      </x:c>
      <x:c r="AC229" s="96" t="n">
        <x:v>2.3</x:v>
      </x:c>
      <x:c r="AD229" s="2"/>
      <x:c r="AE229" s="2" t="str">
        <x:v>2026-09-15</x:v>
      </x:c>
      <x:c r="AF229" s="2"/>
      <x:c r="AG229" s="97"/>
      <x:c r="AH229" s="2"/>
      <x:c r="AI229" s="2"/>
      <x:c r="AJ229" s="97"/>
      <x:c r="AK229" s="2"/>
      <x:c r="AL229" s="2"/>
      <x:c r="AM229" s="2" t="str">
        <x:v>https://tpwd.texas.gov/huntwild/hunt/public/public_hunt_drawing/hunt-category-details.phtml?OCat=GDA</x:v>
      </x:c>
      <x:c r="AN229" s="2" t="str">
        <x:v>https://tpwd.texas.gov/search/?q=Richland+Creek+WMA+-+South+Unit+public+hunting+brochure</x:v>
      </x:c>
      <x:c r="AO229" s="2" t="str">
        <x:v>https://apps.tpwd.state.tx.us/huntwild/hunt/public/public_hunt_drawing/</x:v>
      </x:c>
      <x:c r="AP229" s="2" t="str">
        <x:v>https://www.google.com/maps/search/?api=1&amp;query=Richland+Creek+WMA+-+South+Unit%2C+Texas</x:v>
      </x:c>
      <x:c r="AQ229" s="96" t="n">
        <x:v>0</x:v>
      </x:c>
      <x:c r="AR229" s="2" t="str">
        <x:v>Standard Hastings ranking</x:v>
      </x:c>
    </x:row>
    <x:row r="230">
      <x:c r="A230" s="2" t="str">
        <x:v>No</x:v>
      </x:c>
      <x:c r="B230" s="2" t="str">
        <x:v>A</x:v>
      </x:c>
      <x:c r="C230" s="2" t="str">
        <x:v>Whitetail Deer</x:v>
      </x:c>
      <x:c r="D230" s="2" t="str">
        <x:v>Richland Creek WMA - South Unit</x:v>
      </x:c>
      <x:c r="E230" s="2" t="str">
        <x:v>Statewide / Other</x:v>
      </x:c>
      <x:c r="F230" s="2" t="str">
        <x:v>Gun Deer - Either Sex</x:v>
      </x:c>
      <x:c r="G230" s="2" t="str">
        <x:v>Yes</x:v>
      </x:c>
      <x:c r="H230" s="2" t="str">
        <x:v>Yes</x:v>
      </x:c>
      <x:c r="I230" s="97" t="str">
        <x:v>2026-09-15</x:v>
      </x:c>
      <x:c r="J230" s="2" t="str">
        <x:v>See TPWD category page</x:v>
      </x:c>
      <x:c r="K230" s="111" t="n">
        <x:v>3</x:v>
      </x:c>
      <x:c r="L230" s="111"/>
      <x:c r="M230" s="2"/>
      <x:c r="N230" s="2"/>
      <x:c r="O230" s="113"/>
      <x:c r="P230" s="2" t="n">
        <x:v>500</x:v>
      </x:c>
      <x:c r="Q230" s="2" t="str">
        <x:v>Statewide</x:v>
      </x:c>
      <x:c r="R230" s="2" t="str">
        <x:v>Research before draw; property brochure linked from TPWD</x:v>
      </x:c>
      <x:c r="S230" s="2" t="str">
        <x:v>Low</x:v>
      </x:c>
      <x:c r="T230" s="2" t="str">
        <x:v>No</x:v>
      </x:c>
      <x:c r="U230" s="2" t="str">
        <x:v>Verified in TPWD 2026-2027 statewide deer category catalog.</x:v>
      </x:c>
      <x:c r="V230" s="2" t="str">
        <x:v>https://tpwd.texas.gov/huntwild/hunt/public/public_hunt_drawing/hunt-category-details.phtml?OCat=GDE</x:v>
      </x:c>
      <x:c r="W230" s="2" t="n">
        <x:v>2</x:v>
      </x:c>
      <x:c r="X230" s="2" t="n">
        <x:v>2</x:v>
      </x:c>
      <x:c r="Y230" s="2" t="n">
        <x:v>4</x:v>
      </x:c>
      <x:c r="Z230" s="2" t="n">
        <x:v>3</x:v>
      </x:c>
      <x:c r="AA230" s="2" t="n">
        <x:v>2</x:v>
      </x:c>
      <x:c r="AB230" s="2" t="n">
        <x:v>0</x:v>
      </x:c>
      <x:c r="AC230" s="96" t="n">
        <x:v>2.3</x:v>
      </x:c>
      <x:c r="AD230" s="2"/>
      <x:c r="AE230" s="2" t="str">
        <x:v>2026-09-15</x:v>
      </x:c>
      <x:c r="AF230" s="2"/>
      <x:c r="AG230" s="97"/>
      <x:c r="AH230" s="2"/>
      <x:c r="AI230" s="2"/>
      <x:c r="AJ230" s="97"/>
      <x:c r="AK230" s="2"/>
      <x:c r="AL230" s="2"/>
      <x:c r="AM230" s="2" t="str">
        <x:v>https://tpwd.texas.gov/huntwild/hunt/public/public_hunt_drawing/hunt-category-details.phtml?OCat=GDE</x:v>
      </x:c>
      <x:c r="AN230" s="2" t="str">
        <x:v>https://tpwd.texas.gov/search/?q=Richland+Creek+WMA+-+South+Unit+public+hunting+brochure</x:v>
      </x:c>
      <x:c r="AO230" s="2" t="str">
        <x:v>https://apps.tpwd.state.tx.us/huntwild/hunt/public/public_hunt_drawing/</x:v>
      </x:c>
      <x:c r="AP230" s="2" t="str">
        <x:v>https://www.google.com/maps/search/?api=1&amp;query=Richland+Creek+WMA+-+South+Unit%2C+Texas</x:v>
      </x:c>
      <x:c r="AQ230" s="96" t="n">
        <x:v>0</x:v>
      </x:c>
      <x:c r="AR230" s="2" t="str">
        <x:v>Standard Hastings ranking</x:v>
      </x:c>
    </x:row>
    <x:row r="231">
      <x:c r="A231" s="2" t="str">
        <x:v>No</x:v>
      </x:c>
      <x:c r="B231" s="2" t="str">
        <x:v>A</x:v>
      </x:c>
      <x:c r="C231" s="2" t="str">
        <x:v>Whitetail Deer</x:v>
      </x:c>
      <x:c r="D231" s="2" t="str">
        <x:v>Roger Fawcett WMA</x:v>
      </x:c>
      <x:c r="E231" s="2" t="str">
        <x:v>West-Central Texas</x:v>
      </x:c>
      <x:c r="F231" s="2" t="str">
        <x:v>Gun Deer - Either Sex</x:v>
      </x:c>
      <x:c r="G231" s="2" t="str">
        <x:v>Yes</x:v>
      </x:c>
      <x:c r="H231" s="2" t="str">
        <x:v>Yes</x:v>
      </x:c>
      <x:c r="I231" s="97" t="str">
        <x:v>2026-09-15</x:v>
      </x:c>
      <x:c r="J231" s="2" t="str">
        <x:v>See TPWD category page</x:v>
      </x:c>
      <x:c r="K231" s="111" t="n">
        <x:v>3</x:v>
      </x:c>
      <x:c r="L231" s="111"/>
      <x:c r="M231" s="2"/>
      <x:c r="N231" s="2"/>
      <x:c r="O231" s="113"/>
      <x:c r="P231" s="2" t="n">
        <x:v>300</x:v>
      </x:c>
      <x:c r="Q231" s="2" t="str">
        <x:v>Extended</x:v>
      </x:c>
      <x:c r="R231" s="2" t="str">
        <x:v>Research before draw; property brochure linked from TPWD</x:v>
      </x:c>
      <x:c r="S231" s="2" t="str">
        <x:v>Low</x:v>
      </x:c>
      <x:c r="T231" s="2" t="str">
        <x:v>No</x:v>
      </x:c>
      <x:c r="U231" s="2" t="str">
        <x:v>Verified in TPWD 2026-2027 statewide deer category catalog.</x:v>
      </x:c>
      <x:c r="V231" s="2" t="str">
        <x:v>https://tpwd.texas.gov/huntwild/hunt/public/public_hunt_drawing/hunt-category-details.phtml?OCat=GDE</x:v>
      </x:c>
      <x:c r="W231" s="2" t="n">
        <x:v>2</x:v>
      </x:c>
      <x:c r="X231" s="2" t="n">
        <x:v>4</x:v>
      </x:c>
      <x:c r="Y231" s="2" t="n">
        <x:v>4</x:v>
      </x:c>
      <x:c r="Z231" s="2" t="n">
        <x:v>3</x:v>
      </x:c>
      <x:c r="AA231" s="2" t="n">
        <x:v>2</x:v>
      </x:c>
      <x:c r="AB231" s="2" t="n">
        <x:v>0</x:v>
      </x:c>
      <x:c r="AC231" s="96" t="n">
        <x:v>2.6</x:v>
      </x:c>
      <x:c r="AD231" s="2"/>
      <x:c r="AE231" s="2" t="str">
        <x:v>2026-09-15</x:v>
      </x:c>
      <x:c r="AF231" s="2"/>
      <x:c r="AG231" s="97"/>
      <x:c r="AH231" s="2"/>
      <x:c r="AI231" s="2"/>
      <x:c r="AJ231" s="97"/>
      <x:c r="AK231" s="2"/>
      <x:c r="AL231" s="2"/>
      <x:c r="AM231" s="2" t="str">
        <x:v>https://tpwd.texas.gov/huntwild/hunt/public/public_hunt_drawing/hunt-category-details.phtml?OCat=GDE</x:v>
      </x:c>
      <x:c r="AN231" s="2" t="str">
        <x:v>https://tpwd.texas.gov/search/?q=Roger+Fawcett+WMA+public+hunting+brochure</x:v>
      </x:c>
      <x:c r="AO231" s="2" t="str">
        <x:v>https://apps.tpwd.state.tx.us/huntwild/hunt/public/public_hunt_drawing/</x:v>
      </x:c>
      <x:c r="AP231" s="2" t="str">
        <x:v>https://www.google.com/maps/search/?api=1&amp;query=Roger+Fawcett+WMA%2C+Texas</x:v>
      </x:c>
      <x:c r="AQ231" s="96" t="n">
        <x:v>0</x:v>
      </x:c>
      <x:c r="AR231" s="2" t="str">
        <x:v>Standard Hastings ranking</x:v>
      </x:c>
    </x:row>
    <x:row r="232">
      <x:c r="A232" s="2" t="str">
        <x:v>No</x:v>
      </x:c>
      <x:c r="B232" s="2" t="str">
        <x:v>A</x:v>
      </x:c>
      <x:c r="C232" s="2" t="str">
        <x:v>Whitetail Deer</x:v>
      </x:c>
      <x:c r="D232" s="2" t="str">
        <x:v>Sam Houston National Forest WMA</x:v>
      </x:c>
      <x:c r="E232" s="2" t="str">
        <x:v>East Texas / Pineywoods</x:v>
      </x:c>
      <x:c r="F232" s="2" t="str">
        <x:v>USFS Antlerless Deer Permit - Adult</x:v>
      </x:c>
      <x:c r="G232" s="2" t="str">
        <x:v>Yes</x:v>
      </x:c>
      <x:c r="H232" s="2" t="str">
        <x:v>No</x:v>
      </x:c>
      <x:c r="I232" s="97" t="str">
        <x:v>2026-09-15</x:v>
      </x:c>
      <x:c r="J232" s="2" t="str">
        <x:v>See TPWD category page</x:v>
      </x:c>
      <x:c r="K232" s="111" t="n">
        <x:v>0</x:v>
      </x:c>
      <x:c r="L232" s="111" t="n">
        <x:v>0</x:v>
      </x:c>
      <x:c r="M232" s="2"/>
      <x:c r="N232" s="2"/>
      <x:c r="O232" s="113"/>
      <x:c r="P232" s="2" t="n">
        <x:v>570</x:v>
      </x:c>
      <x:c r="Q232" s="2" t="str">
        <x:v>Statewide</x:v>
      </x:c>
      <x:c r="R232" s="2" t="str">
        <x:v>Research before draw; property brochure linked from TPWD</x:v>
      </x:c>
      <x:c r="S232" s="2" t="str">
        <x:v>Low</x:v>
      </x:c>
      <x:c r="T232" s="2" t="str">
        <x:v>No</x:v>
      </x:c>
      <x:c r="U232" s="2" t="str">
        <x:v>Verified in TPWD 2026-2027 statewide deer category catalog. APH/eligibility rules apply; confirm account and permit requirements.</x:v>
      </x:c>
      <x:c r="V232" s="2" t="str">
        <x:v>https://tpwd.texas.gov/huntwild/hunt/public/public_hunt_drawing/hunt-category-details.phtml?OCat=FSD</x:v>
      </x:c>
      <x:c r="W232" s="2" t="n">
        <x:v>2</x:v>
      </x:c>
      <x:c r="X232" s="2" t="n">
        <x:v>2</x:v>
      </x:c>
      <x:c r="Y232" s="2" t="n">
        <x:v>1</x:v>
      </x:c>
      <x:c r="Z232" s="2" t="n">
        <x:v>3</x:v>
      </x:c>
      <x:c r="AA232" s="2" t="n">
        <x:v>2</x:v>
      </x:c>
      <x:c r="AB232" s="2" t="n">
        <x:v>0</x:v>
      </x:c>
      <x:c r="AC232" s="96" t="n">
        <x:v>1.6</x:v>
      </x:c>
      <x:c r="AD232" s="2" t="n">
        <x:v>0</x:v>
      </x:c>
      <x:c r="AE232" s="2" t="str">
        <x:v>2026-09-15</x:v>
      </x:c>
      <x:c r="AF232" s="2"/>
      <x:c r="AG232" s="97"/>
      <x:c r="AH232" s="2"/>
      <x:c r="AI232" s="2"/>
      <x:c r="AJ232" s="97"/>
      <x:c r="AK232" s="2"/>
      <x:c r="AL232" s="2"/>
      <x:c r="AM232" s="2" t="str">
        <x:v>https://tpwd.texas.gov/huntwild/hunt/public/public_hunt_drawing/hunt-category-details.phtml?OCat=FSD</x:v>
      </x:c>
      <x:c r="AN232" s="2" t="str">
        <x:v>https://tpwd.texas.gov/search/?q=Sam+Houston+National+Forest+WMA+public+hunting+brochure</x:v>
      </x:c>
      <x:c r="AO232" s="2" t="str">
        <x:v>https://apps.tpwd.state.tx.us/huntwild/hunt/public/public_hunt_drawing/</x:v>
      </x:c>
      <x:c r="AP232" s="2" t="str">
        <x:v>https://www.google.com/maps/search/?api=1&amp;query=Sam+Houston+National+Forest+WMA%2C+Texas</x:v>
      </x:c>
      <x:c r="AQ232" s="96" t="n">
        <x:v>0</x:v>
      </x:c>
      <x:c r="AR232" s="2" t="str">
        <x:v>Standard Hastings ranking</x:v>
      </x:c>
    </x:row>
    <x:row r="233">
      <x:c r="A233" s="2" t="str">
        <x:v>No</x:v>
      </x:c>
      <x:c r="B233" s="2" t="str">
        <x:v>A</x:v>
      </x:c>
      <x:c r="C233" s="2" t="str">
        <x:v>Whitetail Deer</x:v>
      </x:c>
      <x:c r="D233" s="2" t="str">
        <x:v>San Angelo SP</x:v>
      </x:c>
      <x:c r="E233" s="2" t="str">
        <x:v>West-Central Texas</x:v>
      </x:c>
      <x:c r="F233" s="2" t="str">
        <x:v>Gun Deer - Antlerless/Spike</x:v>
      </x:c>
      <x:c r="G233" s="2" t="str">
        <x:v>Yes</x:v>
      </x:c>
      <x:c r="H233" s="2" t="str">
        <x:v>Yes</x:v>
      </x:c>
      <x:c r="I233" s="97" t="str">
        <x:v>2026-09-15</x:v>
      </x:c>
      <x:c r="J233" s="2" t="str">
        <x:v>See TPWD category page</x:v>
      </x:c>
      <x:c r="K233" s="111" t="n">
        <x:v>3</x:v>
      </x:c>
      <x:c r="L233" s="111"/>
      <x:c r="M233" s="2"/>
      <x:c r="N233" s="2"/>
      <x:c r="O233" s="113"/>
      <x:c r="P233" s="2" t="n">
        <x:v>300</x:v>
      </x:c>
      <x:c r="Q233" s="2" t="str">
        <x:v>Extended</x:v>
      </x:c>
      <x:c r="R233" s="2" t="str">
        <x:v>Research before draw; property brochure linked from TPWD</x:v>
      </x:c>
      <x:c r="S233" s="2" t="str">
        <x:v>Low</x:v>
      </x:c>
      <x:c r="T233" s="2" t="str">
        <x:v>No</x:v>
      </x:c>
      <x:c r="U233" s="2" t="str">
        <x:v>Verified in TPWD 2026-2027 statewide deer category catalog.</x:v>
      </x:c>
      <x:c r="V233" s="2" t="str">
        <x:v>https://tpwd.texas.gov/huntwild/hunt/public/public_hunt_drawing/hunt-category-details.phtml?OCat=GDA</x:v>
      </x:c>
      <x:c r="W233" s="2" t="n">
        <x:v>2</x:v>
      </x:c>
      <x:c r="X233" s="2" t="n">
        <x:v>4</x:v>
      </x:c>
      <x:c r="Y233" s="2" t="n">
        <x:v>4</x:v>
      </x:c>
      <x:c r="Z233" s="2" t="n">
        <x:v>3</x:v>
      </x:c>
      <x:c r="AA233" s="2" t="n">
        <x:v>2</x:v>
      </x:c>
      <x:c r="AB233" s="2" t="n">
        <x:v>0</x:v>
      </x:c>
      <x:c r="AC233" s="96" t="n">
        <x:v>2.6</x:v>
      </x:c>
      <x:c r="AD233" s="2"/>
      <x:c r="AE233" s="2" t="str">
        <x:v>2026-09-15</x:v>
      </x:c>
      <x:c r="AF233" s="2"/>
      <x:c r="AG233" s="97"/>
      <x:c r="AH233" s="2"/>
      <x:c r="AI233" s="2"/>
      <x:c r="AJ233" s="97"/>
      <x:c r="AK233" s="2"/>
      <x:c r="AL233" s="2"/>
      <x:c r="AM233" s="2" t="str">
        <x:v>https://tpwd.texas.gov/huntwild/hunt/public/public_hunt_drawing/hunt-category-details.phtml?OCat=GDA</x:v>
      </x:c>
      <x:c r="AN233" s="2" t="str">
        <x:v>https://tpwd.texas.gov/search/?q=San+Angelo+SP+public+hunting+brochure</x:v>
      </x:c>
      <x:c r="AO233" s="2" t="str">
        <x:v>https://apps.tpwd.state.tx.us/huntwild/hunt/public/public_hunt_drawing/</x:v>
      </x:c>
      <x:c r="AP233" s="2" t="str">
        <x:v>https://www.google.com/maps/search/?api=1&amp;query=San+Angelo+SP%2C+Texas</x:v>
      </x:c>
      <x:c r="AQ233" s="96" t="n">
        <x:v>0</x:v>
      </x:c>
      <x:c r="AR233" s="2" t="str">
        <x:v>Standard Hastings ranking</x:v>
      </x:c>
    </x:row>
    <x:row r="234">
      <x:c r="A234" s="2" t="str">
        <x:v>No</x:v>
      </x:c>
      <x:c r="B234" s="2" t="str">
        <x:v>A</x:v>
      </x:c>
      <x:c r="C234" s="2" t="str">
        <x:v>Whitetail Deer</x:v>
      </x:c>
      <x:c r="D234" s="2" t="str">
        <x:v>San Angelo SP</x:v>
      </x:c>
      <x:c r="E234" s="2" t="str">
        <x:v>West-Central Texas</x:v>
      </x:c>
      <x:c r="F234" s="2" t="str">
        <x:v>Gun Deer - Either Sex</x:v>
      </x:c>
      <x:c r="G234" s="2" t="str">
        <x:v>Yes</x:v>
      </x:c>
      <x:c r="H234" s="2" t="str">
        <x:v>Yes</x:v>
      </x:c>
      <x:c r="I234" s="97" t="str">
        <x:v>2026-09-15</x:v>
      </x:c>
      <x:c r="J234" s="2" t="str">
        <x:v>See TPWD category page</x:v>
      </x:c>
      <x:c r="K234" s="111" t="n">
        <x:v>3</x:v>
      </x:c>
      <x:c r="L234" s="111"/>
      <x:c r="M234" s="2"/>
      <x:c r="N234" s="2"/>
      <x:c r="O234" s="113"/>
      <x:c r="P234" s="2" t="n">
        <x:v>300</x:v>
      </x:c>
      <x:c r="Q234" s="2" t="str">
        <x:v>Extended</x:v>
      </x:c>
      <x:c r="R234" s="2" t="str">
        <x:v>Research before draw; property brochure linked from TPWD</x:v>
      </x:c>
      <x:c r="S234" s="2" t="str">
        <x:v>Low</x:v>
      </x:c>
      <x:c r="T234" s="2" t="str">
        <x:v>No</x:v>
      </x:c>
      <x:c r="U234" s="2" t="str">
        <x:v>Verified in TPWD 2026-2027 statewide deer category catalog.</x:v>
      </x:c>
      <x:c r="V234" s="2" t="str">
        <x:v>https://tpwd.texas.gov/huntwild/hunt/public/public_hunt_drawing/hunt-category-details.phtml?OCat=GDE</x:v>
      </x:c>
      <x:c r="W234" s="2" t="n">
        <x:v>2</x:v>
      </x:c>
      <x:c r="X234" s="2" t="n">
        <x:v>4</x:v>
      </x:c>
      <x:c r="Y234" s="2" t="n">
        <x:v>4</x:v>
      </x:c>
      <x:c r="Z234" s="2" t="n">
        <x:v>3</x:v>
      </x:c>
      <x:c r="AA234" s="2" t="n">
        <x:v>2</x:v>
      </x:c>
      <x:c r="AB234" s="2" t="n">
        <x:v>0</x:v>
      </x:c>
      <x:c r="AC234" s="96" t="n">
        <x:v>2.6</x:v>
      </x:c>
      <x:c r="AD234" s="2"/>
      <x:c r="AE234" s="2" t="str">
        <x:v>2026-09-15</x:v>
      </x:c>
      <x:c r="AF234" s="2"/>
      <x:c r="AG234" s="97"/>
      <x:c r="AH234" s="2"/>
      <x:c r="AI234" s="2"/>
      <x:c r="AJ234" s="97"/>
      <x:c r="AK234" s="2"/>
      <x:c r="AL234" s="2"/>
      <x:c r="AM234" s="2" t="str">
        <x:v>https://tpwd.texas.gov/huntwild/hunt/public/public_hunt_drawing/hunt-category-details.phtml?OCat=GDE</x:v>
      </x:c>
      <x:c r="AN234" s="2" t="str">
        <x:v>https://tpwd.texas.gov/search/?q=San+Angelo+SP+public+hunting+brochure</x:v>
      </x:c>
      <x:c r="AO234" s="2" t="str">
        <x:v>https://apps.tpwd.state.tx.us/huntwild/hunt/public/public_hunt_drawing/</x:v>
      </x:c>
      <x:c r="AP234" s="2" t="str">
        <x:v>https://www.google.com/maps/search/?api=1&amp;query=San+Angelo+SP%2C+Texas</x:v>
      </x:c>
      <x:c r="AQ234" s="96" t="n">
        <x:v>0</x:v>
      </x:c>
      <x:c r="AR234" s="2" t="str">
        <x:v>Standard Hastings ranking</x:v>
      </x:c>
    </x:row>
    <x:row r="235">
      <x:c r="A235" s="2" t="str">
        <x:v>No</x:v>
      </x:c>
      <x:c r="B235" s="2" t="str">
        <x:v>A</x:v>
      </x:c>
      <x:c r="C235" s="2" t="str">
        <x:v>Whitetail Deer</x:v>
      </x:c>
      <x:c r="D235" s="2" t="str">
        <x:v>Seminole Canyon SP / HS</x:v>
      </x:c>
      <x:c r="E235" s="2" t="str">
        <x:v>Trans-Pecos / West Texas</x:v>
      </x:c>
      <x:c r="F235" s="2" t="str">
        <x:v>Gun Deer - Antlerless/Spike</x:v>
      </x:c>
      <x:c r="G235" s="2" t="str">
        <x:v>Yes</x:v>
      </x:c>
      <x:c r="H235" s="2" t="str">
        <x:v>Yes</x:v>
      </x:c>
      <x:c r="I235" s="97" t="str">
        <x:v>2026-09-15</x:v>
      </x:c>
      <x:c r="J235" s="2" t="str">
        <x:v>See TPWD category page</x:v>
      </x:c>
      <x:c r="K235" s="111" t="n">
        <x:v>3</x:v>
      </x:c>
      <x:c r="L235" s="111"/>
      <x:c r="M235" s="2"/>
      <x:c r="N235" s="2"/>
      <x:c r="O235" s="113"/>
      <x:c r="P235" s="2" t="n">
        <x:v>520</x:v>
      </x:c>
      <x:c r="Q235" s="2" t="str">
        <x:v>Statewide</x:v>
      </x:c>
      <x:c r="R235" s="2" t="str">
        <x:v>Research before draw; property brochure linked from TPWD</x:v>
      </x:c>
      <x:c r="S235" s="2" t="str">
        <x:v>High</x:v>
      </x:c>
      <x:c r="T235" s="2" t="str">
        <x:v>No</x:v>
      </x:c>
      <x:c r="U235" s="2" t="str">
        <x:v>Verified in TPWD 2026-2027 statewide deer category catalog. West Texas/El Paso-region opportunity; prioritize for mule deer adventure value.</x:v>
      </x:c>
      <x:c r="V235" s="2" t="str">
        <x:v>https://tpwd.texas.gov/huntwild/hunt/public/public_hunt_drawing/hunt-category-details.phtml?OCat=GDA</x:v>
      </x:c>
      <x:c r="W235" s="2" t="n">
        <x:v>2</x:v>
      </x:c>
      <x:c r="X235" s="2" t="n">
        <x:v>2</x:v>
      </x:c>
      <x:c r="Y235" s="2" t="n">
        <x:v>4</x:v>
      </x:c>
      <x:c r="Z235" s="2" t="n">
        <x:v>3</x:v>
      </x:c>
      <x:c r="AA235" s="2" t="n">
        <x:v>4</x:v>
      </x:c>
      <x:c r="AB235" s="2" t="n">
        <x:v>0</x:v>
      </x:c>
      <x:c r="AC235" s="96" t="n">
        <x:v>2.5</x:v>
      </x:c>
      <x:c r="AD235" s="2"/>
      <x:c r="AE235" s="2" t="str">
        <x:v>2026-09-15</x:v>
      </x:c>
      <x:c r="AF235" s="2"/>
      <x:c r="AG235" s="97"/>
      <x:c r="AH235" s="2"/>
      <x:c r="AI235" s="2"/>
      <x:c r="AJ235" s="97"/>
      <x:c r="AK235" s="2"/>
      <x:c r="AL235" s="2"/>
      <x:c r="AM235" s="2" t="str">
        <x:v>https://tpwd.texas.gov/huntwild/hunt/public/public_hunt_drawing/hunt-category-details.phtml?OCat=GDA</x:v>
      </x:c>
      <x:c r="AN235" s="2" t="str">
        <x:v>https://tpwd.texas.gov/search/?q=Seminole+Canyon+SP+%2F+HS+public+hunting+brochure</x:v>
      </x:c>
      <x:c r="AO235" s="2" t="str">
        <x:v>https://apps.tpwd.state.tx.us/huntwild/hunt/public/public_hunt_drawing/</x:v>
      </x:c>
      <x:c r="AP235" s="2" t="str">
        <x:v>https://www.google.com/maps/search/?api=1&amp;query=Seminole+Canyon+SP+%2F+HS%2C+Texas</x:v>
      </x:c>
      <x:c r="AQ235" s="96" t="n">
        <x:v>0</x:v>
      </x:c>
      <x:c r="AR235" s="2" t="str">
        <x:v>Standard Hastings ranking</x:v>
      </x:c>
    </x:row>
    <x:row r="236">
      <x:c r="A236" s="2" t="str">
        <x:v>No</x:v>
      </x:c>
      <x:c r="B236" s="2" t="str">
        <x:v>A</x:v>
      </x:c>
      <x:c r="C236" s="2" t="str">
        <x:v>Whitetail Deer</x:v>
      </x:c>
      <x:c r="D236" s="2" t="str">
        <x:v>Seminole Canyon SP / HS</x:v>
      </x:c>
      <x:c r="E236" s="2" t="str">
        <x:v>Trans-Pecos / West Texas</x:v>
      </x:c>
      <x:c r="F236" s="2" t="str">
        <x:v>Gun Deer - Either Sex</x:v>
      </x:c>
      <x:c r="G236" s="2" t="str">
        <x:v>Yes</x:v>
      </x:c>
      <x:c r="H236" s="2" t="str">
        <x:v>Yes</x:v>
      </x:c>
      <x:c r="I236" s="97" t="str">
        <x:v>2026-09-15</x:v>
      </x:c>
      <x:c r="J236" s="2" t="str">
        <x:v>See TPWD category page</x:v>
      </x:c>
      <x:c r="K236" s="111" t="n">
        <x:v>3</x:v>
      </x:c>
      <x:c r="L236" s="111"/>
      <x:c r="M236" s="2"/>
      <x:c r="N236" s="2"/>
      <x:c r="O236" s="113"/>
      <x:c r="P236" s="2" t="n">
        <x:v>520</x:v>
      </x:c>
      <x:c r="Q236" s="2" t="str">
        <x:v>Statewide</x:v>
      </x:c>
      <x:c r="R236" s="2" t="str">
        <x:v>Research before draw; property brochure linked from TPWD</x:v>
      </x:c>
      <x:c r="S236" s="2" t="str">
        <x:v>High</x:v>
      </x:c>
      <x:c r="T236" s="2" t="str">
        <x:v>No</x:v>
      </x:c>
      <x:c r="U236" s="2" t="str">
        <x:v>Verified in TPWD 2026-2027 statewide deer category catalog. West Texas/El Paso-region opportunity; prioritize for mule deer adventure value.</x:v>
      </x:c>
      <x:c r="V236" s="2" t="str">
        <x:v>https://tpwd.texas.gov/huntwild/hunt/public/public_hunt_drawing/hunt-category-details.phtml?OCat=GDE</x:v>
      </x:c>
      <x:c r="W236" s="2" t="n">
        <x:v>2</x:v>
      </x:c>
      <x:c r="X236" s="2" t="n">
        <x:v>2</x:v>
      </x:c>
      <x:c r="Y236" s="2" t="n">
        <x:v>4</x:v>
      </x:c>
      <x:c r="Z236" s="2" t="n">
        <x:v>3</x:v>
      </x:c>
      <x:c r="AA236" s="2" t="n">
        <x:v>4</x:v>
      </x:c>
      <x:c r="AB236" s="2" t="n">
        <x:v>0</x:v>
      </x:c>
      <x:c r="AC236" s="96" t="n">
        <x:v>2.5</x:v>
      </x:c>
      <x:c r="AD236" s="2"/>
      <x:c r="AE236" s="2" t="str">
        <x:v>2026-09-15</x:v>
      </x:c>
      <x:c r="AF236" s="2"/>
      <x:c r="AG236" s="97"/>
      <x:c r="AH236" s="2"/>
      <x:c r="AI236" s="2"/>
      <x:c r="AJ236" s="97"/>
      <x:c r="AK236" s="2"/>
      <x:c r="AL236" s="2"/>
      <x:c r="AM236" s="2" t="str">
        <x:v>https://tpwd.texas.gov/huntwild/hunt/public/public_hunt_drawing/hunt-category-details.phtml?OCat=GDE</x:v>
      </x:c>
      <x:c r="AN236" s="2" t="str">
        <x:v>https://tpwd.texas.gov/search/?q=Seminole+Canyon+SP+%2F+HS+public+hunting+brochure</x:v>
      </x:c>
      <x:c r="AO236" s="2" t="str">
        <x:v>https://apps.tpwd.state.tx.us/huntwild/hunt/public/public_hunt_drawing/</x:v>
      </x:c>
      <x:c r="AP236" s="2" t="str">
        <x:v>https://www.google.com/maps/search/?api=1&amp;query=Seminole+Canyon+SP+%2F+HS%2C+Texas</x:v>
      </x:c>
      <x:c r="AQ236" s="96" t="n">
        <x:v>0</x:v>
      </x:c>
      <x:c r="AR236" s="2" t="str">
        <x:v>Standard Hastings ranking</x:v>
      </x:c>
    </x:row>
    <x:row r="237">
      <x:c r="A237" s="2" t="str">
        <x:v>No</x:v>
      </x:c>
      <x:c r="B237" s="2" t="str">
        <x:v>A</x:v>
      </x:c>
      <x:c r="C237" s="2" t="str">
        <x:v>Whitetail Deer</x:v>
      </x:c>
      <x:c r="D237" s="2" t="str">
        <x:v>Silver Lake State Park</x:v>
      </x:c>
      <x:c r="E237" s="2" t="str">
        <x:v>Statewide / Other</x:v>
      </x:c>
      <x:c r="F237" s="2" t="str">
        <x:v>Gun Deer - Either Sex</x:v>
      </x:c>
      <x:c r="G237" s="2" t="str">
        <x:v>Yes</x:v>
      </x:c>
      <x:c r="H237" s="2" t="str">
        <x:v>Yes</x:v>
      </x:c>
      <x:c r="I237" s="97" t="str">
        <x:v>2026-09-15</x:v>
      </x:c>
      <x:c r="J237" s="2" t="str">
        <x:v>See TPWD category page</x:v>
      </x:c>
      <x:c r="K237" s="111" t="n">
        <x:v>3</x:v>
      </x:c>
      <x:c r="L237" s="111"/>
      <x:c r="M237" s="2"/>
      <x:c r="N237" s="2"/>
      <x:c r="O237" s="113"/>
      <x:c r="P237" s="2" t="n">
        <x:v>500</x:v>
      </x:c>
      <x:c r="Q237" s="2" t="str">
        <x:v>Statewide</x:v>
      </x:c>
      <x:c r="R237" s="2" t="str">
        <x:v>Research before draw; property brochure linked from TPWD</x:v>
      </x:c>
      <x:c r="S237" s="2" t="str">
        <x:v>Low</x:v>
      </x:c>
      <x:c r="T237" s="2" t="str">
        <x:v>No</x:v>
      </x:c>
      <x:c r="U237" s="2" t="str">
        <x:v>Verified in TPWD 2026-2027 statewide deer category catalog.</x:v>
      </x:c>
      <x:c r="V237" s="2" t="str">
        <x:v>https://tpwd.texas.gov/huntwild/hunt/public/public_hunt_drawing/hunt-category-details.phtml?OCat=GDE</x:v>
      </x:c>
      <x:c r="W237" s="2" t="n">
        <x:v>2</x:v>
      </x:c>
      <x:c r="X237" s="2" t="n">
        <x:v>2</x:v>
      </x:c>
      <x:c r="Y237" s="2" t="n">
        <x:v>4</x:v>
      </x:c>
      <x:c r="Z237" s="2" t="n">
        <x:v>3</x:v>
      </x:c>
      <x:c r="AA237" s="2" t="n">
        <x:v>2</x:v>
      </x:c>
      <x:c r="AB237" s="2" t="n">
        <x:v>0</x:v>
      </x:c>
      <x:c r="AC237" s="96" t="n">
        <x:v>2.3</x:v>
      </x:c>
      <x:c r="AD237" s="2"/>
      <x:c r="AE237" s="2" t="str">
        <x:v>2026-09-15</x:v>
      </x:c>
      <x:c r="AF237" s="2"/>
      <x:c r="AG237" s="97"/>
      <x:c r="AH237" s="2"/>
      <x:c r="AI237" s="2"/>
      <x:c r="AJ237" s="97"/>
      <x:c r="AK237" s="2"/>
      <x:c r="AL237" s="2"/>
      <x:c r="AM237" s="2" t="str">
        <x:v>https://tpwd.texas.gov/huntwild/hunt/public/public_hunt_drawing/hunt-category-details.phtml?OCat=GDE</x:v>
      </x:c>
      <x:c r="AN237" s="2" t="str">
        <x:v>https://tpwd.texas.gov/search/?q=Silver+Lake+State+Park+public+hunting+brochure</x:v>
      </x:c>
      <x:c r="AO237" s="2" t="str">
        <x:v>https://apps.tpwd.state.tx.us/huntwild/hunt/public/public_hunt_drawing/</x:v>
      </x:c>
      <x:c r="AP237" s="2" t="str">
        <x:v>https://www.google.com/maps/search/?api=1&amp;query=Silver+Lake+State+Park%2C+Texas</x:v>
      </x:c>
      <x:c r="AQ237" s="96" t="n">
        <x:v>0</x:v>
      </x:c>
      <x:c r="AR237" s="2" t="str">
        <x:v>Standard Hastings ranking</x:v>
      </x:c>
    </x:row>
    <x:row r="238">
      <x:c r="A238" s="2" t="str">
        <x:v>No</x:v>
      </x:c>
      <x:c r="B238" s="2" t="str">
        <x:v>A</x:v>
      </x:c>
      <x:c r="C238" s="2" t="str">
        <x:v>Whitetail Deer</x:v>
      </x:c>
      <x:c r="D238" s="2" t="str">
        <x:v>South Llano River SP</x:v>
      </x:c>
      <x:c r="E238" s="2" t="str">
        <x:v>Hill Country / San Antonio</x:v>
      </x:c>
      <x:c r="F238" s="2" t="str">
        <x:v>Gun Deer - Antlerless/Spike</x:v>
      </x:c>
      <x:c r="G238" s="2" t="str">
        <x:v>Yes</x:v>
      </x:c>
      <x:c r="H238" s="2" t="str">
        <x:v>Yes</x:v>
      </x:c>
      <x:c r="I238" s="97" t="str">
        <x:v>2026-09-15</x:v>
      </x:c>
      <x:c r="J238" s="2" t="str">
        <x:v>See TPWD category page</x:v>
      </x:c>
      <x:c r="K238" s="111" t="n">
        <x:v>3</x:v>
      </x:c>
      <x:c r="L238" s="111"/>
      <x:c r="M238" s="2"/>
      <x:c r="N238" s="2"/>
      <x:c r="O238" s="113"/>
      <x:c r="P238" s="2" t="n">
        <x:v>520</x:v>
      </x:c>
      <x:c r="Q238" s="2" t="str">
        <x:v>Statewide</x:v>
      </x:c>
      <x:c r="R238" s="2" t="str">
        <x:v>Research before draw; property brochure linked from TPWD</x:v>
      </x:c>
      <x:c r="S238" s="2" t="str">
        <x:v>Low</x:v>
      </x:c>
      <x:c r="T238" s="2" t="str">
        <x:v>No</x:v>
      </x:c>
      <x:c r="U238" s="2" t="str">
        <x:v>Verified in TPWD 2026-2027 statewide deer category catalog.</x:v>
      </x:c>
      <x:c r="V238" s="2" t="str">
        <x:v>https://tpwd.texas.gov/huntwild/hunt/public/public_hunt_drawing/hunt-category-details.phtml?OCat=GDA</x:v>
      </x:c>
      <x:c r="W238" s="2" t="n">
        <x:v>2</x:v>
      </x:c>
      <x:c r="X238" s="2" t="n">
        <x:v>2</x:v>
      </x:c>
      <x:c r="Y238" s="2" t="n">
        <x:v>4</x:v>
      </x:c>
      <x:c r="Z238" s="2" t="n">
        <x:v>3</x:v>
      </x:c>
      <x:c r="AA238" s="2" t="n">
        <x:v>2</x:v>
      </x:c>
      <x:c r="AB238" s="2" t="n">
        <x:v>0</x:v>
      </x:c>
      <x:c r="AC238" s="96" t="n">
        <x:v>2.3</x:v>
      </x:c>
      <x:c r="AD238" s="2"/>
      <x:c r="AE238" s="2" t="str">
        <x:v>2026-09-15</x:v>
      </x:c>
      <x:c r="AF238" s="2"/>
      <x:c r="AG238" s="97"/>
      <x:c r="AH238" s="2"/>
      <x:c r="AI238" s="2"/>
      <x:c r="AJ238" s="97"/>
      <x:c r="AK238" s="2"/>
      <x:c r="AL238" s="2"/>
      <x:c r="AM238" s="2" t="str">
        <x:v>https://tpwd.texas.gov/huntwild/hunt/public/public_hunt_drawing/hunt-category-details.phtml?OCat=GDA</x:v>
      </x:c>
      <x:c r="AN238" s="2" t="str">
        <x:v>https://tpwd.texas.gov/search/?q=South+Llano+River+SP+public+hunting+brochure</x:v>
      </x:c>
      <x:c r="AO238" s="2" t="str">
        <x:v>https://apps.tpwd.state.tx.us/huntwild/hunt/public/public_hunt_drawing/</x:v>
      </x:c>
      <x:c r="AP238" s="2" t="str">
        <x:v>https://www.google.com/maps/search/?api=1&amp;query=South+Llano+River+SP%2C+Texas</x:v>
      </x:c>
      <x:c r="AQ238" s="96" t="n">
        <x:v>0</x:v>
      </x:c>
      <x:c r="AR238" s="2" t="str">
        <x:v>Standard Hastings ranking</x:v>
      </x:c>
    </x:row>
    <x:row r="239">
      <x:c r="A239" s="2" t="str">
        <x:v>No</x:v>
      </x:c>
      <x:c r="B239" s="2" t="str">
        <x:v>A</x:v>
      </x:c>
      <x:c r="C239" s="2" t="str">
        <x:v>Whitetail Deer</x:v>
      </x:c>
      <x:c r="D239" s="2" t="str">
        <x:v>Stephen F. Austin SP</x:v>
      </x:c>
      <x:c r="E239" s="2" t="str">
        <x:v>Central Texas / Austin</x:v>
      </x:c>
      <x:c r="F239" s="2" t="str">
        <x:v>Gun Deer - Management</x:v>
      </x:c>
      <x:c r="G239" s="2" t="str">
        <x:v>Yes</x:v>
      </x:c>
      <x:c r="H239" s="2" t="str">
        <x:v>Yes</x:v>
      </x:c>
      <x:c r="I239" s="97" t="str">
        <x:v>2026-09-15</x:v>
      </x:c>
      <x:c r="J239" s="2" t="str">
        <x:v>See TPWD category page</x:v>
      </x:c>
      <x:c r="K239" s="111" t="n">
        <x:v>3</x:v>
      </x:c>
      <x:c r="L239" s="111"/>
      <x:c r="M239" s="2"/>
      <x:c r="N239" s="2"/>
      <x:c r="O239" s="113"/>
      <x:c r="P239" s="2" t="n">
        <x:v>490</x:v>
      </x:c>
      <x:c r="Q239" s="2" t="str">
        <x:v>Statewide</x:v>
      </x:c>
      <x:c r="R239" s="2" t="str">
        <x:v>Research before draw; property brochure linked from TPWD</x:v>
      </x:c>
      <x:c r="S239" s="2" t="str">
        <x:v>Low</x:v>
      </x:c>
      <x:c r="T239" s="2" t="str">
        <x:v>No</x:v>
      </x:c>
      <x:c r="U239" s="2" t="str">
        <x:v>Verified in TPWD 2026-2027 statewide deer category catalog.</x:v>
      </x:c>
      <x:c r="V239" s="2" t="str">
        <x:v>https://tpwd.texas.gov/huntwild/hunt/public/public_hunt_drawing/hunt-category-details.phtml?OCat=GDM</x:v>
      </x:c>
      <x:c r="W239" s="2" t="n">
        <x:v>2</x:v>
      </x:c>
      <x:c r="X239" s="2" t="n">
        <x:v>2</x:v>
      </x:c>
      <x:c r="Y239" s="2" t="n">
        <x:v>4</x:v>
      </x:c>
      <x:c r="Z239" s="2" t="n">
        <x:v>3</x:v>
      </x:c>
      <x:c r="AA239" s="2" t="n">
        <x:v>2</x:v>
      </x:c>
      <x:c r="AB239" s="2" t="n">
        <x:v>0</x:v>
      </x:c>
      <x:c r="AC239" s="96" t="n">
        <x:v>2.3</x:v>
      </x:c>
      <x:c r="AD239" s="2"/>
      <x:c r="AE239" s="2" t="str">
        <x:v>2026-09-15</x:v>
      </x:c>
      <x:c r="AF239" s="2"/>
      <x:c r="AG239" s="97"/>
      <x:c r="AH239" s="2"/>
      <x:c r="AI239" s="2"/>
      <x:c r="AJ239" s="97"/>
      <x:c r="AK239" s="2"/>
      <x:c r="AL239" s="2"/>
      <x:c r="AM239" s="2" t="str">
        <x:v>https://tpwd.texas.gov/huntwild/hunt/public/public_hunt_drawing/hunt-category-details.phtml?OCat=GDM</x:v>
      </x:c>
      <x:c r="AN239" s="2" t="str">
        <x:v>https://tpwd.texas.gov/search/?q=Stephen+F.+Austin+SP+public+hunting+brochure</x:v>
      </x:c>
      <x:c r="AO239" s="2" t="str">
        <x:v>https://apps.tpwd.state.tx.us/huntwild/hunt/public/public_hunt_drawing/</x:v>
      </x:c>
      <x:c r="AP239" s="2" t="str">
        <x:v>https://www.google.com/maps/search/?api=1&amp;query=Stephen+F.+Austin+SP%2C+Texas</x:v>
      </x:c>
      <x:c r="AQ239" s="96" t="n">
        <x:v>0</x:v>
      </x:c>
      <x:c r="AR239" s="2" t="str">
        <x:v>Standard Hastings ranking</x:v>
      </x:c>
    </x:row>
    <x:row r="240">
      <x:c r="A240" s="2" t="str">
        <x:v>No</x:v>
      </x:c>
      <x:c r="B240" s="2" t="str">
        <x:v>A</x:v>
      </x:c>
      <x:c r="C240" s="2" t="str">
        <x:v>Whitetail Deer</x:v>
      </x:c>
      <x:c r="D240" s="2" t="str">
        <x:v>Teacup Mountain WMA</x:v>
      </x:c>
      <x:c r="E240" s="2" t="str">
        <x:v>Panhandle / Rolling Plains</x:v>
      </x:c>
      <x:c r="F240" s="2" t="str">
        <x:v>Gun Deer - Either Sex</x:v>
      </x:c>
      <x:c r="G240" s="2" t="str">
        <x:v>Yes</x:v>
      </x:c>
      <x:c r="H240" s="2" t="str">
        <x:v>Yes</x:v>
      </x:c>
      <x:c r="I240" s="97" t="str">
        <x:v>2026-09-15</x:v>
      </x:c>
      <x:c r="J240" s="2" t="str">
        <x:v>See TPWD category page</x:v>
      </x:c>
      <x:c r="K240" s="111" t="n">
        <x:v>3</x:v>
      </x:c>
      <x:c r="L240" s="111"/>
      <x:c r="M240" s="2"/>
      <x:c r="N240" s="2"/>
      <x:c r="O240" s="113"/>
      <x:c r="P240" s="2" t="n">
        <x:v>130</x:v>
      </x:c>
      <x:c r="Q240" s="2" t="str">
        <x:v>Core</x:v>
      </x:c>
      <x:c r="R240" s="2" t="str">
        <x:v>Research before draw; property brochure linked from TPWD</x:v>
      </x:c>
      <x:c r="S240" s="2" t="str">
        <x:v>High</x:v>
      </x:c>
      <x:c r="T240" s="2" t="str">
        <x:v>No</x:v>
      </x:c>
      <x:c r="U240" s="2" t="str">
        <x:v>Verified in TPWD 2026-2027 statewide deer category catalog.</x:v>
      </x:c>
      <x:c r="V240" s="2" t="str">
        <x:v>https://tpwd.texas.gov/huntwild/hunt/public/public_hunt_drawing/hunt-category-details.phtml?OCat=GDE</x:v>
      </x:c>
      <x:c r="W240" s="2" t="n">
        <x:v>2</x:v>
      </x:c>
      <x:c r="X240" s="2" t="n">
        <x:v>5</x:v>
      </x:c>
      <x:c r="Y240" s="2" t="n">
        <x:v>4</x:v>
      </x:c>
      <x:c r="Z240" s="2" t="n">
        <x:v>3</x:v>
      </x:c>
      <x:c r="AA240" s="2" t="n">
        <x:v>4</x:v>
      </x:c>
      <x:c r="AB240" s="2" t="n">
        <x:v>0</x:v>
      </x:c>
      <x:c r="AC240" s="96" t="n">
        <x:v>2.9</x:v>
      </x:c>
      <x:c r="AD240" s="2"/>
      <x:c r="AE240" s="2" t="str">
        <x:v>2026-09-15</x:v>
      </x:c>
      <x:c r="AF240" s="2"/>
      <x:c r="AG240" s="97"/>
      <x:c r="AH240" s="2"/>
      <x:c r="AI240" s="2"/>
      <x:c r="AJ240" s="97"/>
      <x:c r="AK240" s="2"/>
      <x:c r="AL240" s="2"/>
      <x:c r="AM240" s="2" t="str">
        <x:v>https://tpwd.texas.gov/huntwild/hunt/public/public_hunt_drawing/hunt-category-details.phtml?OCat=GDE</x:v>
      </x:c>
      <x:c r="AN240" s="2" t="str">
        <x:v>https://tpwd.texas.gov/search/?q=Teacup+Mountain+WMA+public+hunting+brochure</x:v>
      </x:c>
      <x:c r="AO240" s="2" t="str">
        <x:v>https://apps.tpwd.state.tx.us/huntwild/hunt/public/public_hunt_drawing/</x:v>
      </x:c>
      <x:c r="AP240" s="2" t="str">
        <x:v>https://www.google.com/maps/search/?api=1&amp;query=Teacup+Mountain+WMA%2C+Texas</x:v>
      </x:c>
      <x:c r="AQ240" s="96" t="n">
        <x:v>0</x:v>
      </x:c>
      <x:c r="AR240" s="2" t="str">
        <x:v>Standard Hastings ranking</x:v>
      </x:c>
    </x:row>
    <x:row r="241">
      <x:c r="A241" s="2" t="str">
        <x:v>No</x:v>
      </x:c>
      <x:c r="B241" s="2" t="str">
        <x:v>A</x:v>
      </x:c>
      <x:c r="C241" s="2" t="str">
        <x:v>Whitetail Deer</x:v>
      </x:c>
      <x:c r="D241" s="2" t="str">
        <x:v>Trinity River NWR - Boars Den</x:v>
      </x:c>
      <x:c r="E241" s="2" t="str">
        <x:v>East Texas / Pineywoods</x:v>
      </x:c>
      <x:c r="F241" s="2" t="str">
        <x:v>National Refuge General Deer</x:v>
      </x:c>
      <x:c r="G241" s="2" t="str">
        <x:v>Yes</x:v>
      </x:c>
      <x:c r="H241" s="2" t="str">
        <x:v>Yes</x:v>
      </x:c>
      <x:c r="I241" s="97" t="str">
        <x:v>2026-09-15</x:v>
      </x:c>
      <x:c r="J241" s="2" t="str">
        <x:v>See TPWD category page</x:v>
      </x:c>
      <x:c r="K241" s="111" t="n">
        <x:v>3</x:v>
      </x:c>
      <x:c r="L241" s="111"/>
      <x:c r="M241" s="2"/>
      <x:c r="N241" s="2"/>
      <x:c r="O241" s="113"/>
      <x:c r="P241" s="2" t="n">
        <x:v>570</x:v>
      </x:c>
      <x:c r="Q241" s="2" t="str">
        <x:v>Statewide</x:v>
      </x:c>
      <x:c r="R241" s="2" t="str">
        <x:v>Research before draw; property brochure linked from TPWD</x:v>
      </x:c>
      <x:c r="S241" s="2" t="str">
        <x:v>Low</x:v>
      </x:c>
      <x:c r="T241" s="2" t="str">
        <x:v>No</x:v>
      </x:c>
      <x:c r="U241" s="2" t="str">
        <x:v>Verified in TPWD 2026-2027 statewide deer category catalog. Refuge-specific rules and permit fees may apply.</x:v>
      </x:c>
      <x:c r="V241" s="2" t="str">
        <x:v>https://tpwd.texas.gov/huntwild/hunt/public/public_hunt_drawing/hunt-category-details.phtml?OCat=NGE</x:v>
      </x:c>
      <x:c r="W241" s="2" t="n">
        <x:v>2</x:v>
      </x:c>
      <x:c r="X241" s="2" t="n">
        <x:v>2</x:v>
      </x:c>
      <x:c r="Y241" s="2" t="n">
        <x:v>4</x:v>
      </x:c>
      <x:c r="Z241" s="2" t="n">
        <x:v>3</x:v>
      </x:c>
      <x:c r="AA241" s="2" t="n">
        <x:v>2</x:v>
      </x:c>
      <x:c r="AB241" s="2" t="n">
        <x:v>0</x:v>
      </x:c>
      <x:c r="AC241" s="96" t="n">
        <x:v>2.3</x:v>
      </x:c>
      <x:c r="AD241" s="2"/>
      <x:c r="AE241" s="2" t="str">
        <x:v>2026-09-15</x:v>
      </x:c>
      <x:c r="AF241" s="2"/>
      <x:c r="AG241" s="97"/>
      <x:c r="AH241" s="2"/>
      <x:c r="AI241" s="2"/>
      <x:c r="AJ241" s="97"/>
      <x:c r="AK241" s="2"/>
      <x:c r="AL241" s="2"/>
      <x:c r="AM241" s="2" t="str">
        <x:v>https://tpwd.texas.gov/huntwild/hunt/public/public_hunt_drawing/hunt-category-details.phtml?OCat=NGE</x:v>
      </x:c>
      <x:c r="AN241" s="2" t="str">
        <x:v>https://tpwd.texas.gov/search/?q=Trinity+River+NWR+-+Boars+Den+public+hunting+brochure</x:v>
      </x:c>
      <x:c r="AO241" s="2" t="str">
        <x:v>https://apps.tpwd.state.tx.us/huntwild/hunt/public/public_hunt_drawing/</x:v>
      </x:c>
      <x:c r="AP241" s="2" t="str">
        <x:v>https://www.google.com/maps/search/?api=1&amp;query=Trinity+River+NWR+-+Boars+Den%2C+Texas</x:v>
      </x:c>
      <x:c r="AQ241" s="96" t="n">
        <x:v>0</x:v>
      </x:c>
      <x:c r="AR241" s="2" t="str">
        <x:v>Standard Hastings ranking</x:v>
      </x:c>
    </x:row>
    <x:row r="242">
      <x:c r="A242" s="2" t="str">
        <x:v>No</x:v>
      </x:c>
      <x:c r="B242" s="2" t="str">
        <x:v>A</x:v>
      </x:c>
      <x:c r="C242" s="2" t="str">
        <x:v>Whitetail Deer</x:v>
      </x:c>
      <x:c r="D242" s="2" t="str">
        <x:v>Trinity River NWR - Brierwood</x:v>
      </x:c>
      <x:c r="E242" s="2" t="str">
        <x:v>East Texas / Pineywoods</x:v>
      </x:c>
      <x:c r="F242" s="2" t="str">
        <x:v>National Refuge General Deer</x:v>
      </x:c>
      <x:c r="G242" s="2" t="str">
        <x:v>Yes</x:v>
      </x:c>
      <x:c r="H242" s="2" t="str">
        <x:v>Yes</x:v>
      </x:c>
      <x:c r="I242" s="97" t="str">
        <x:v>2026-09-15</x:v>
      </x:c>
      <x:c r="J242" s="2" t="str">
        <x:v>See TPWD category page</x:v>
      </x:c>
      <x:c r="K242" s="111" t="n">
        <x:v>3</x:v>
      </x:c>
      <x:c r="L242" s="111"/>
      <x:c r="M242" s="2"/>
      <x:c r="N242" s="2"/>
      <x:c r="O242" s="113"/>
      <x:c r="P242" s="2" t="n">
        <x:v>570</x:v>
      </x:c>
      <x:c r="Q242" s="2" t="str">
        <x:v>Statewide</x:v>
      </x:c>
      <x:c r="R242" s="2" t="str">
        <x:v>Research before draw; property brochure linked from TPWD</x:v>
      </x:c>
      <x:c r="S242" s="2" t="str">
        <x:v>Low</x:v>
      </x:c>
      <x:c r="T242" s="2" t="str">
        <x:v>No</x:v>
      </x:c>
      <x:c r="U242" s="2" t="str">
        <x:v>Verified in TPWD 2026-2027 statewide deer category catalog. Refuge-specific rules and permit fees may apply.</x:v>
      </x:c>
      <x:c r="V242" s="2" t="str">
        <x:v>https://tpwd.texas.gov/huntwild/hunt/public/public_hunt_drawing/hunt-category-details.phtml?OCat=NGE</x:v>
      </x:c>
      <x:c r="W242" s="2" t="n">
        <x:v>2</x:v>
      </x:c>
      <x:c r="X242" s="2" t="n">
        <x:v>2</x:v>
      </x:c>
      <x:c r="Y242" s="2" t="n">
        <x:v>4</x:v>
      </x:c>
      <x:c r="Z242" s="2" t="n">
        <x:v>3</x:v>
      </x:c>
      <x:c r="AA242" s="2" t="n">
        <x:v>2</x:v>
      </x:c>
      <x:c r="AB242" s="2" t="n">
        <x:v>0</x:v>
      </x:c>
      <x:c r="AC242" s="96" t="n">
        <x:v>2.3</x:v>
      </x:c>
      <x:c r="AD242" s="2"/>
      <x:c r="AE242" s="2" t="str">
        <x:v>2026-09-15</x:v>
      </x:c>
      <x:c r="AF242" s="2"/>
      <x:c r="AG242" s="97"/>
      <x:c r="AH242" s="2"/>
      <x:c r="AI242" s="2"/>
      <x:c r="AJ242" s="97"/>
      <x:c r="AK242" s="2"/>
      <x:c r="AL242" s="2"/>
      <x:c r="AM242" s="2" t="str">
        <x:v>https://tpwd.texas.gov/huntwild/hunt/public/public_hunt_drawing/hunt-category-details.phtml?OCat=NGE</x:v>
      </x:c>
      <x:c r="AN242" s="2" t="str">
        <x:v>https://tpwd.texas.gov/search/?q=Trinity+River+NWR+-+Brierwood+public+hunting+brochure</x:v>
      </x:c>
      <x:c r="AO242" s="2" t="str">
        <x:v>https://apps.tpwd.state.tx.us/huntwild/hunt/public/public_hunt_drawing/</x:v>
      </x:c>
      <x:c r="AP242" s="2" t="str">
        <x:v>https://www.google.com/maps/search/?api=1&amp;query=Trinity+River+NWR+-+Brierwood%2C+Texas</x:v>
      </x:c>
      <x:c r="AQ242" s="96" t="n">
        <x:v>0</x:v>
      </x:c>
      <x:c r="AR242" s="2" t="str">
        <x:v>Standard Hastings ranking</x:v>
      </x:c>
    </x:row>
    <x:row r="243">
      <x:c r="A243" s="2" t="str">
        <x:v>No</x:v>
      </x:c>
      <x:c r="B243" s="2" t="str">
        <x:v>A</x:v>
      </x:c>
      <x:c r="C243" s="2" t="str">
        <x:v>Whitetail Deer</x:v>
      </x:c>
      <x:c r="D243" s="2" t="str">
        <x:v>Trinity River NWR - Butler</x:v>
      </x:c>
      <x:c r="E243" s="2" t="str">
        <x:v>East Texas / Pineywoods</x:v>
      </x:c>
      <x:c r="F243" s="2" t="str">
        <x:v>National Refuge General Deer</x:v>
      </x:c>
      <x:c r="G243" s="2" t="str">
        <x:v>Yes</x:v>
      </x:c>
      <x:c r="H243" s="2" t="str">
        <x:v>Yes</x:v>
      </x:c>
      <x:c r="I243" s="97" t="str">
        <x:v>2026-09-15</x:v>
      </x:c>
      <x:c r="J243" s="2" t="str">
        <x:v>See TPWD category page</x:v>
      </x:c>
      <x:c r="K243" s="111" t="n">
        <x:v>3</x:v>
      </x:c>
      <x:c r="L243" s="111"/>
      <x:c r="M243" s="2"/>
      <x:c r="N243" s="2"/>
      <x:c r="O243" s="113"/>
      <x:c r="P243" s="2" t="n">
        <x:v>570</x:v>
      </x:c>
      <x:c r="Q243" s="2" t="str">
        <x:v>Statewide</x:v>
      </x:c>
      <x:c r="R243" s="2" t="str">
        <x:v>Research before draw; property brochure linked from TPWD</x:v>
      </x:c>
      <x:c r="S243" s="2" t="str">
        <x:v>Low</x:v>
      </x:c>
      <x:c r="T243" s="2" t="str">
        <x:v>No</x:v>
      </x:c>
      <x:c r="U243" s="2" t="str">
        <x:v>Verified in TPWD 2026-2027 statewide deer category catalog. Refuge-specific rules and permit fees may apply.</x:v>
      </x:c>
      <x:c r="V243" s="2" t="str">
        <x:v>https://tpwd.texas.gov/huntwild/hunt/public/public_hunt_drawing/hunt-category-details.phtml?OCat=NGE</x:v>
      </x:c>
      <x:c r="W243" s="2" t="n">
        <x:v>2</x:v>
      </x:c>
      <x:c r="X243" s="2" t="n">
        <x:v>2</x:v>
      </x:c>
      <x:c r="Y243" s="2" t="n">
        <x:v>4</x:v>
      </x:c>
      <x:c r="Z243" s="2" t="n">
        <x:v>3</x:v>
      </x:c>
      <x:c r="AA243" s="2" t="n">
        <x:v>2</x:v>
      </x:c>
      <x:c r="AB243" s="2" t="n">
        <x:v>0</x:v>
      </x:c>
      <x:c r="AC243" s="96" t="n">
        <x:v>2.3</x:v>
      </x:c>
      <x:c r="AD243" s="2"/>
      <x:c r="AE243" s="2" t="str">
        <x:v>2026-09-15</x:v>
      </x:c>
      <x:c r="AF243" s="2"/>
      <x:c r="AG243" s="97"/>
      <x:c r="AH243" s="2"/>
      <x:c r="AI243" s="2"/>
      <x:c r="AJ243" s="97"/>
      <x:c r="AK243" s="2"/>
      <x:c r="AL243" s="2"/>
      <x:c r="AM243" s="2" t="str">
        <x:v>https://tpwd.texas.gov/huntwild/hunt/public/public_hunt_drawing/hunt-category-details.phtml?OCat=NGE</x:v>
      </x:c>
      <x:c r="AN243" s="2" t="str">
        <x:v>https://tpwd.texas.gov/search/?q=Trinity+River+NWR+-+Butler+public+hunting+brochure</x:v>
      </x:c>
      <x:c r="AO243" s="2" t="str">
        <x:v>https://apps.tpwd.state.tx.us/huntwild/hunt/public/public_hunt_drawing/</x:v>
      </x:c>
      <x:c r="AP243" s="2" t="str">
        <x:v>https://www.google.com/maps/search/?api=1&amp;query=Trinity+River+NWR+-+Butler%2C+Texas</x:v>
      </x:c>
      <x:c r="AQ243" s="96" t="n">
        <x:v>0</x:v>
      </x:c>
      <x:c r="AR243" s="2" t="str">
        <x:v>Standard Hastings ranking</x:v>
      </x:c>
    </x:row>
    <x:row r="244">
      <x:c r="A244" s="2" t="str">
        <x:v>No</x:v>
      </x:c>
      <x:c r="B244" s="2" t="str">
        <x:v>A</x:v>
      </x:c>
      <x:c r="C244" s="2" t="str">
        <x:v>Whitetail Deer</x:v>
      </x:c>
      <x:c r="D244" s="2" t="str">
        <x:v>Trinity River NWR - Hirsch</x:v>
      </x:c>
      <x:c r="E244" s="2" t="str">
        <x:v>East Texas / Pineywoods</x:v>
      </x:c>
      <x:c r="F244" s="2" t="str">
        <x:v>National Refuge General Deer</x:v>
      </x:c>
      <x:c r="G244" s="2" t="str">
        <x:v>Yes</x:v>
      </x:c>
      <x:c r="H244" s="2" t="str">
        <x:v>Yes</x:v>
      </x:c>
      <x:c r="I244" s="97" t="str">
        <x:v>2026-09-15</x:v>
      </x:c>
      <x:c r="J244" s="2" t="str">
        <x:v>See TPWD category page</x:v>
      </x:c>
      <x:c r="K244" s="111" t="n">
        <x:v>3</x:v>
      </x:c>
      <x:c r="L244" s="111"/>
      <x:c r="M244" s="2"/>
      <x:c r="N244" s="2"/>
      <x:c r="O244" s="113"/>
      <x:c r="P244" s="2" t="n">
        <x:v>570</x:v>
      </x:c>
      <x:c r="Q244" s="2" t="str">
        <x:v>Statewide</x:v>
      </x:c>
      <x:c r="R244" s="2" t="str">
        <x:v>Research before draw; property brochure linked from TPWD</x:v>
      </x:c>
      <x:c r="S244" s="2" t="str">
        <x:v>Low</x:v>
      </x:c>
      <x:c r="T244" s="2" t="str">
        <x:v>No</x:v>
      </x:c>
      <x:c r="U244" s="2" t="str">
        <x:v>Verified in TPWD 2026-2027 statewide deer category catalog. Refuge-specific rules and permit fees may apply.</x:v>
      </x:c>
      <x:c r="V244" s="2" t="str">
        <x:v>https://tpwd.texas.gov/huntwild/hunt/public/public_hunt_drawing/hunt-category-details.phtml?OCat=NGE</x:v>
      </x:c>
      <x:c r="W244" s="2" t="n">
        <x:v>2</x:v>
      </x:c>
      <x:c r="X244" s="2" t="n">
        <x:v>2</x:v>
      </x:c>
      <x:c r="Y244" s="2" t="n">
        <x:v>4</x:v>
      </x:c>
      <x:c r="Z244" s="2" t="n">
        <x:v>3</x:v>
      </x:c>
      <x:c r="AA244" s="2" t="n">
        <x:v>2</x:v>
      </x:c>
      <x:c r="AB244" s="2" t="n">
        <x:v>0</x:v>
      </x:c>
      <x:c r="AC244" s="96" t="n">
        <x:v>2.3</x:v>
      </x:c>
      <x:c r="AD244" s="2"/>
      <x:c r="AE244" s="2" t="str">
        <x:v>2026-09-15</x:v>
      </x:c>
      <x:c r="AF244" s="2"/>
      <x:c r="AG244" s="97"/>
      <x:c r="AH244" s="2"/>
      <x:c r="AI244" s="2"/>
      <x:c r="AJ244" s="97"/>
      <x:c r="AK244" s="2"/>
      <x:c r="AL244" s="2"/>
      <x:c r="AM244" s="2" t="str">
        <x:v>https://tpwd.texas.gov/huntwild/hunt/public/public_hunt_drawing/hunt-category-details.phtml?OCat=NGE</x:v>
      </x:c>
      <x:c r="AN244" s="2" t="str">
        <x:v>https://tpwd.texas.gov/search/?q=Trinity+River+NWR+-+Hirsch+public+hunting+brochure</x:v>
      </x:c>
      <x:c r="AO244" s="2" t="str">
        <x:v>https://apps.tpwd.state.tx.us/huntwild/hunt/public/public_hunt_drawing/</x:v>
      </x:c>
      <x:c r="AP244" s="2" t="str">
        <x:v>https://www.google.com/maps/search/?api=1&amp;query=Trinity+River+NWR+-+Hirsch%2C+Texas</x:v>
      </x:c>
      <x:c r="AQ244" s="96" t="n">
        <x:v>0</x:v>
      </x:c>
      <x:c r="AR244" s="2" t="str">
        <x:v>Standard Hastings ranking</x:v>
      </x:c>
    </x:row>
    <x:row r="245">
      <x:c r="A245" s="2" t="str">
        <x:v>No</x:v>
      </x:c>
      <x:c r="B245" s="2" t="str">
        <x:v>A</x:v>
      </x:c>
      <x:c r="C245" s="2" t="str">
        <x:v>Whitetail Deer</x:v>
      </x:c>
      <x:c r="D245" s="2" t="str">
        <x:v>Trinity River NWR - Mcguire</x:v>
      </x:c>
      <x:c r="E245" s="2" t="str">
        <x:v>East Texas / Pineywoods</x:v>
      </x:c>
      <x:c r="F245" s="2" t="str">
        <x:v>National Refuge General Deer</x:v>
      </x:c>
      <x:c r="G245" s="2" t="str">
        <x:v>Yes</x:v>
      </x:c>
      <x:c r="H245" s="2" t="str">
        <x:v>Yes</x:v>
      </x:c>
      <x:c r="I245" s="97" t="str">
        <x:v>2026-09-15</x:v>
      </x:c>
      <x:c r="J245" s="2" t="str">
        <x:v>See TPWD category page</x:v>
      </x:c>
      <x:c r="K245" s="111" t="n">
        <x:v>3</x:v>
      </x:c>
      <x:c r="L245" s="111"/>
      <x:c r="M245" s="2"/>
      <x:c r="N245" s="2"/>
      <x:c r="O245" s="113"/>
      <x:c r="P245" s="2" t="n">
        <x:v>570</x:v>
      </x:c>
      <x:c r="Q245" s="2" t="str">
        <x:v>Statewide</x:v>
      </x:c>
      <x:c r="R245" s="2" t="str">
        <x:v>Research before draw; property brochure linked from TPWD</x:v>
      </x:c>
      <x:c r="S245" s="2" t="str">
        <x:v>Low</x:v>
      </x:c>
      <x:c r="T245" s="2" t="str">
        <x:v>No</x:v>
      </x:c>
      <x:c r="U245" s="2" t="str">
        <x:v>Verified in TPWD 2026-2027 statewide deer category catalog. Refuge-specific rules and permit fees may apply.</x:v>
      </x:c>
      <x:c r="V245" s="2" t="str">
        <x:v>https://tpwd.texas.gov/huntwild/hunt/public/public_hunt_drawing/hunt-category-details.phtml?OCat=NGE</x:v>
      </x:c>
      <x:c r="W245" s="2" t="n">
        <x:v>2</x:v>
      </x:c>
      <x:c r="X245" s="2" t="n">
        <x:v>2</x:v>
      </x:c>
      <x:c r="Y245" s="2" t="n">
        <x:v>4</x:v>
      </x:c>
      <x:c r="Z245" s="2" t="n">
        <x:v>3</x:v>
      </x:c>
      <x:c r="AA245" s="2" t="n">
        <x:v>2</x:v>
      </x:c>
      <x:c r="AB245" s="2" t="n">
        <x:v>0</x:v>
      </x:c>
      <x:c r="AC245" s="96" t="n">
        <x:v>2.3</x:v>
      </x:c>
      <x:c r="AD245" s="2"/>
      <x:c r="AE245" s="2" t="str">
        <x:v>2026-09-15</x:v>
      </x:c>
      <x:c r="AF245" s="2"/>
      <x:c r="AG245" s="97"/>
      <x:c r="AH245" s="2"/>
      <x:c r="AI245" s="2"/>
      <x:c r="AJ245" s="97"/>
      <x:c r="AK245" s="2"/>
      <x:c r="AL245" s="2"/>
      <x:c r="AM245" s="2" t="str">
        <x:v>https://tpwd.texas.gov/huntwild/hunt/public/public_hunt_drawing/hunt-category-details.phtml?OCat=NGE</x:v>
      </x:c>
      <x:c r="AN245" s="2" t="str">
        <x:v>https://tpwd.texas.gov/search/?q=Trinity+River+NWR+-+Mcguire+public+hunting+brochure</x:v>
      </x:c>
      <x:c r="AO245" s="2" t="str">
        <x:v>https://apps.tpwd.state.tx.us/huntwild/hunt/public/public_hunt_drawing/</x:v>
      </x:c>
      <x:c r="AP245" s="2" t="str">
        <x:v>https://www.google.com/maps/search/?api=1&amp;query=Trinity+River+NWR+-+Mcguire%2C+Texas</x:v>
      </x:c>
      <x:c r="AQ245" s="96" t="n">
        <x:v>0</x:v>
      </x:c>
      <x:c r="AR245" s="2" t="str">
        <x:v>Standard Hastings ranking</x:v>
      </x:c>
    </x:row>
    <x:row r="246">
      <x:c r="A246" s="2" t="str">
        <x:v>No</x:v>
      </x:c>
      <x:c r="B246" s="2" t="str">
        <x:v>A</x:v>
      </x:c>
      <x:c r="C246" s="2" t="str">
        <x:v>Whitetail Deer</x:v>
      </x:c>
      <x:c r="D246" s="2" t="str">
        <x:v>Trinity River NWR - Page</x:v>
      </x:c>
      <x:c r="E246" s="2" t="str">
        <x:v>East Texas / Pineywoods</x:v>
      </x:c>
      <x:c r="F246" s="2" t="str">
        <x:v>National Refuge General Deer</x:v>
      </x:c>
      <x:c r="G246" s="2" t="str">
        <x:v>Yes</x:v>
      </x:c>
      <x:c r="H246" s="2" t="str">
        <x:v>Yes</x:v>
      </x:c>
      <x:c r="I246" s="97" t="str">
        <x:v>2026-09-15</x:v>
      </x:c>
      <x:c r="J246" s="2" t="str">
        <x:v>See TPWD category page</x:v>
      </x:c>
      <x:c r="K246" s="111" t="n">
        <x:v>3</x:v>
      </x:c>
      <x:c r="L246" s="111"/>
      <x:c r="M246" s="2"/>
      <x:c r="N246" s="2"/>
      <x:c r="O246" s="113"/>
      <x:c r="P246" s="2" t="n">
        <x:v>570</x:v>
      </x:c>
      <x:c r="Q246" s="2" t="str">
        <x:v>Statewide</x:v>
      </x:c>
      <x:c r="R246" s="2" t="str">
        <x:v>Research before draw; property brochure linked from TPWD</x:v>
      </x:c>
      <x:c r="S246" s="2" t="str">
        <x:v>Low</x:v>
      </x:c>
      <x:c r="T246" s="2" t="str">
        <x:v>No</x:v>
      </x:c>
      <x:c r="U246" s="2" t="str">
        <x:v>Verified in TPWD 2026-2027 statewide deer category catalog. Refuge-specific rules and permit fees may apply.</x:v>
      </x:c>
      <x:c r="V246" s="2" t="str">
        <x:v>https://tpwd.texas.gov/huntwild/hunt/public/public_hunt_drawing/hunt-category-details.phtml?OCat=NGE</x:v>
      </x:c>
      <x:c r="W246" s="2" t="n">
        <x:v>2</x:v>
      </x:c>
      <x:c r="X246" s="2" t="n">
        <x:v>2</x:v>
      </x:c>
      <x:c r="Y246" s="2" t="n">
        <x:v>4</x:v>
      </x:c>
      <x:c r="Z246" s="2" t="n">
        <x:v>3</x:v>
      </x:c>
      <x:c r="AA246" s="2" t="n">
        <x:v>2</x:v>
      </x:c>
      <x:c r="AB246" s="2" t="n">
        <x:v>0</x:v>
      </x:c>
      <x:c r="AC246" s="96" t="n">
        <x:v>2.3</x:v>
      </x:c>
      <x:c r="AD246" s="2"/>
      <x:c r="AE246" s="2" t="str">
        <x:v>2026-09-15</x:v>
      </x:c>
      <x:c r="AF246" s="2"/>
      <x:c r="AG246" s="97"/>
      <x:c r="AH246" s="2"/>
      <x:c r="AI246" s="2"/>
      <x:c r="AJ246" s="97"/>
      <x:c r="AK246" s="2"/>
      <x:c r="AL246" s="2"/>
      <x:c r="AM246" s="2" t="str">
        <x:v>https://tpwd.texas.gov/huntwild/hunt/public/public_hunt_drawing/hunt-category-details.phtml?OCat=NGE</x:v>
      </x:c>
      <x:c r="AN246" s="2" t="str">
        <x:v>https://tpwd.texas.gov/search/?q=Trinity+River+NWR+-+Page+public+hunting+brochure</x:v>
      </x:c>
      <x:c r="AO246" s="2" t="str">
        <x:v>https://apps.tpwd.state.tx.us/huntwild/hunt/public/public_hunt_drawing/</x:v>
      </x:c>
      <x:c r="AP246" s="2" t="str">
        <x:v>https://www.google.com/maps/search/?api=1&amp;query=Trinity+River+NWR+-+Page%2C+Texas</x:v>
      </x:c>
      <x:c r="AQ246" s="96" t="n">
        <x:v>0</x:v>
      </x:c>
      <x:c r="AR246" s="2" t="str">
        <x:v>Standard Hastings ranking</x:v>
      </x:c>
    </x:row>
    <x:row r="247">
      <x:c r="A247" s="2" t="str">
        <x:v>No</x:v>
      </x:c>
      <x:c r="B247" s="2" t="str">
        <x:v>A</x:v>
      </x:c>
      <x:c r="C247" s="2" t="str">
        <x:v>Whitetail Deer</x:v>
      </x:c>
      <x:c r="D247" s="2" t="str">
        <x:v>Trinity River WMA</x:v>
      </x:c>
      <x:c r="E247" s="2" t="str">
        <x:v>East Texas / Pineywoods</x:v>
      </x:c>
      <x:c r="F247" s="2" t="str">
        <x:v>Gun Deer - Antlerless/Spike</x:v>
      </x:c>
      <x:c r="G247" s="2" t="str">
        <x:v>Yes</x:v>
      </x:c>
      <x:c r="H247" s="2" t="str">
        <x:v>Yes</x:v>
      </x:c>
      <x:c r="I247" s="97" t="str">
        <x:v>2026-09-15</x:v>
      </x:c>
      <x:c r="J247" s="2" t="str">
        <x:v>See TPWD category page</x:v>
      </x:c>
      <x:c r="K247" s="111" t="n">
        <x:v>3</x:v>
      </x:c>
      <x:c r="L247" s="111"/>
      <x:c r="M247" s="2"/>
      <x:c r="N247" s="2"/>
      <x:c r="O247" s="113"/>
      <x:c r="P247" s="2" t="n">
        <x:v>570</x:v>
      </x:c>
      <x:c r="Q247" s="2" t="str">
        <x:v>Statewide</x:v>
      </x:c>
      <x:c r="R247" s="2" t="str">
        <x:v>Research before draw; property brochure linked from TPWD</x:v>
      </x:c>
      <x:c r="S247" s="2" t="str">
        <x:v>Low</x:v>
      </x:c>
      <x:c r="T247" s="2" t="str">
        <x:v>No</x:v>
      </x:c>
      <x:c r="U247" s="2" t="str">
        <x:v>Verified in TPWD 2026-2027 statewide deer category catalog.</x:v>
      </x:c>
      <x:c r="V247" s="2" t="str">
        <x:v>https://tpwd.texas.gov/huntwild/hunt/public/public_hunt_drawing/hunt-category-details.phtml?OCat=GDA</x:v>
      </x:c>
      <x:c r="W247" s="2" t="n">
        <x:v>2</x:v>
      </x:c>
      <x:c r="X247" s="2" t="n">
        <x:v>2</x:v>
      </x:c>
      <x:c r="Y247" s="2" t="n">
        <x:v>4</x:v>
      </x:c>
      <x:c r="Z247" s="2" t="n">
        <x:v>3</x:v>
      </x:c>
      <x:c r="AA247" s="2" t="n">
        <x:v>2</x:v>
      </x:c>
      <x:c r="AB247" s="2" t="n">
        <x:v>0</x:v>
      </x:c>
      <x:c r="AC247" s="96" t="n">
        <x:v>2.3</x:v>
      </x:c>
      <x:c r="AD247" s="2"/>
      <x:c r="AE247" s="2" t="str">
        <x:v>2026-09-15</x:v>
      </x:c>
      <x:c r="AF247" s="2"/>
      <x:c r="AG247" s="97"/>
      <x:c r="AH247" s="2"/>
      <x:c r="AI247" s="2"/>
      <x:c r="AJ247" s="97"/>
      <x:c r="AK247" s="2"/>
      <x:c r="AL247" s="2"/>
      <x:c r="AM247" s="2" t="str">
        <x:v>https://tpwd.texas.gov/huntwild/hunt/public/public_hunt_drawing/hunt-category-details.phtml?OCat=GDA</x:v>
      </x:c>
      <x:c r="AN247" s="2" t="str">
        <x:v>https://tpwd.texas.gov/search/?q=Trinity+River+WMA+public+hunting+brochure</x:v>
      </x:c>
      <x:c r="AO247" s="2" t="str">
        <x:v>https://apps.tpwd.state.tx.us/huntwild/hunt/public/public_hunt_drawing/</x:v>
      </x:c>
      <x:c r="AP247" s="2" t="str">
        <x:v>https://www.google.com/maps/search/?api=1&amp;query=Trinity+River+WMA%2C+Texas</x:v>
      </x:c>
      <x:c r="AQ247" s="96" t="n">
        <x:v>0</x:v>
      </x:c>
      <x:c r="AR247" s="2" t="str">
        <x:v>Standard Hastings ranking</x:v>
      </x:c>
    </x:row>
    <x:row r="248">
      <x:c r="A248" s="2" t="str">
        <x:v>No</x:v>
      </x:c>
      <x:c r="B248" s="2" t="str">
        <x:v>A</x:v>
      </x:c>
      <x:c r="C248" s="2" t="str">
        <x:v>Whitetail Deer</x:v>
      </x:c>
      <x:c r="D248" s="2" t="str">
        <x:v>Village Creek SP</x:v>
      </x:c>
      <x:c r="E248" s="2" t="str">
        <x:v>East Texas / Pineywoods</x:v>
      </x:c>
      <x:c r="F248" s="2" t="str">
        <x:v>Gun Deer - Either Sex</x:v>
      </x:c>
      <x:c r="G248" s="2" t="str">
        <x:v>Yes</x:v>
      </x:c>
      <x:c r="H248" s="2" t="str">
        <x:v>Yes</x:v>
      </x:c>
      <x:c r="I248" s="97" t="str">
        <x:v>2026-09-15</x:v>
      </x:c>
      <x:c r="J248" s="2" t="str">
        <x:v>See TPWD category page</x:v>
      </x:c>
      <x:c r="K248" s="111" t="n">
        <x:v>3</x:v>
      </x:c>
      <x:c r="L248" s="111"/>
      <x:c r="M248" s="2"/>
      <x:c r="N248" s="2"/>
      <x:c r="O248" s="113"/>
      <x:c r="P248" s="2" t="n">
        <x:v>570</x:v>
      </x:c>
      <x:c r="Q248" s="2" t="str">
        <x:v>Statewide</x:v>
      </x:c>
      <x:c r="R248" s="2" t="str">
        <x:v>Research before draw; property brochure linked from TPWD</x:v>
      </x:c>
      <x:c r="S248" s="2" t="str">
        <x:v>Low</x:v>
      </x:c>
      <x:c r="T248" s="2" t="str">
        <x:v>No</x:v>
      </x:c>
      <x:c r="U248" s="2" t="str">
        <x:v>Verified in TPWD 2026-2027 statewide deer category catalog.</x:v>
      </x:c>
      <x:c r="V248" s="2" t="str">
        <x:v>https://tpwd.texas.gov/huntwild/hunt/public/public_hunt_drawing/hunt-category-details.phtml?OCat=GDE</x:v>
      </x:c>
      <x:c r="W248" s="2" t="n">
        <x:v>2</x:v>
      </x:c>
      <x:c r="X248" s="2" t="n">
        <x:v>2</x:v>
      </x:c>
      <x:c r="Y248" s="2" t="n">
        <x:v>4</x:v>
      </x:c>
      <x:c r="Z248" s="2" t="n">
        <x:v>3</x:v>
      </x:c>
      <x:c r="AA248" s="2" t="n">
        <x:v>2</x:v>
      </x:c>
      <x:c r="AB248" s="2" t="n">
        <x:v>0</x:v>
      </x:c>
      <x:c r="AC248" s="96" t="n">
        <x:v>2.3</x:v>
      </x:c>
      <x:c r="AD248" s="2"/>
      <x:c r="AE248" s="2" t="str">
        <x:v>2026-09-15</x:v>
      </x:c>
      <x:c r="AF248" s="2"/>
      <x:c r="AG248" s="97"/>
      <x:c r="AH248" s="2"/>
      <x:c r="AI248" s="2"/>
      <x:c r="AJ248" s="97"/>
      <x:c r="AK248" s="2"/>
      <x:c r="AL248" s="2"/>
      <x:c r="AM248" s="2" t="str">
        <x:v>https://tpwd.texas.gov/huntwild/hunt/public/public_hunt_drawing/hunt-category-details.phtml?OCat=GDE</x:v>
      </x:c>
      <x:c r="AN248" s="2" t="str">
        <x:v>https://tpwd.texas.gov/search/?q=Village+Creek+SP+public+hunting+brochure</x:v>
      </x:c>
      <x:c r="AO248" s="2" t="str">
        <x:v>https://apps.tpwd.state.tx.us/huntwild/hunt/public/public_hunt_drawing/</x:v>
      </x:c>
      <x:c r="AP248" s="2" t="str">
        <x:v>https://www.google.com/maps/search/?api=1&amp;query=Village+Creek+SP%2C+Texas</x:v>
      </x:c>
      <x:c r="AQ248" s="96" t="n">
        <x:v>0</x:v>
      </x:c>
      <x:c r="AR248" s="2" t="str">
        <x:v>Standard Hastings ranking</x:v>
      </x:c>
    </x:row>
    <x:row r="249">
      <x:c r="A249" s="2" t="str">
        <x:v>No</x:v>
      </x:c>
      <x:c r="B249" s="2" t="str">
        <x:v>A</x:v>
      </x:c>
      <x:c r="C249" s="2" t="str">
        <x:v>Whitetail Deer</x:v>
      </x:c>
      <x:c r="D249" s="2" t="str">
        <x:v>White Oak Creek WMA</x:v>
      </x:c>
      <x:c r="E249" s="2" t="str">
        <x:v>East Texas / Pineywoods</x:v>
      </x:c>
      <x:c r="F249" s="2" t="str">
        <x:v>Gun Deer - Either Sex</x:v>
      </x:c>
      <x:c r="G249" s="2" t="str">
        <x:v>Yes</x:v>
      </x:c>
      <x:c r="H249" s="2" t="str">
        <x:v>Yes</x:v>
      </x:c>
      <x:c r="I249" s="97" t="str">
        <x:v>2026-09-15</x:v>
      </x:c>
      <x:c r="J249" s="2" t="str">
        <x:v>See TPWD category page</x:v>
      </x:c>
      <x:c r="K249" s="111" t="n">
        <x:v>3</x:v>
      </x:c>
      <x:c r="L249" s="111"/>
      <x:c r="M249" s="2"/>
      <x:c r="N249" s="2"/>
      <x:c r="O249" s="113"/>
      <x:c r="P249" s="2" t="n">
        <x:v>570</x:v>
      </x:c>
      <x:c r="Q249" s="2" t="str">
        <x:v>Statewide</x:v>
      </x:c>
      <x:c r="R249" s="2" t="str">
        <x:v>Research before draw; property brochure linked from TPWD</x:v>
      </x:c>
      <x:c r="S249" s="2" t="str">
        <x:v>Low</x:v>
      </x:c>
      <x:c r="T249" s="2" t="str">
        <x:v>No</x:v>
      </x:c>
      <x:c r="U249" s="2" t="str">
        <x:v>Verified in TPWD 2026-2027 statewide deer category catalog.</x:v>
      </x:c>
      <x:c r="V249" s="2" t="str">
        <x:v>https://tpwd.texas.gov/huntwild/hunt/public/public_hunt_drawing/hunt-category-details.phtml?OCat=GDE</x:v>
      </x:c>
      <x:c r="W249" s="2" t="n">
        <x:v>2</x:v>
      </x:c>
      <x:c r="X249" s="2" t="n">
        <x:v>2</x:v>
      </x:c>
      <x:c r="Y249" s="2" t="n">
        <x:v>4</x:v>
      </x:c>
      <x:c r="Z249" s="2" t="n">
        <x:v>3</x:v>
      </x:c>
      <x:c r="AA249" s="2" t="n">
        <x:v>2</x:v>
      </x:c>
      <x:c r="AB249" s="2" t="n">
        <x:v>0</x:v>
      </x:c>
      <x:c r="AC249" s="96" t="n">
        <x:v>2.3</x:v>
      </x:c>
      <x:c r="AD249" s="2"/>
      <x:c r="AE249" s="2" t="str">
        <x:v>2026-09-15</x:v>
      </x:c>
      <x:c r="AF249" s="2"/>
      <x:c r="AG249" s="97"/>
      <x:c r="AH249" s="2"/>
      <x:c r="AI249" s="2"/>
      <x:c r="AJ249" s="97"/>
      <x:c r="AK249" s="2"/>
      <x:c r="AL249" s="2"/>
      <x:c r="AM249" s="2" t="str">
        <x:v>https://tpwd.texas.gov/huntwild/hunt/public/public_hunt_drawing/hunt-category-details.phtml?OCat=GDE</x:v>
      </x:c>
      <x:c r="AN249" s="2" t="str">
        <x:v>https://tpwd.texas.gov/search/?q=White+Oak+Creek+WMA+public+hunting+brochure</x:v>
      </x:c>
      <x:c r="AO249" s="2" t="str">
        <x:v>https://apps.tpwd.state.tx.us/huntwild/hunt/public/public_hunt_drawing/</x:v>
      </x:c>
      <x:c r="AP249" s="2" t="str">
        <x:v>https://www.google.com/maps/search/?api=1&amp;query=White+Oak+Creek+WMA%2C+Texas</x:v>
      </x:c>
      <x:c r="AQ249" s="96" t="n">
        <x:v>0</x:v>
      </x:c>
      <x:c r="AR249" s="2" t="str">
        <x:v>Standard Hastings ranking</x:v>
      </x:c>
    </x:row>
    <x:row r="250">
      <x:c r="A250" s="2" t="str">
        <x:v>No</x:v>
      </x:c>
      <x:c r="B250" s="2" t="str">
        <x:v>A</x:v>
      </x:c>
      <x:c r="C250" s="2" t="str">
        <x:v>Whitetail Deer</x:v>
      </x:c>
      <x:c r="D250" s="2" t="str">
        <x:v>Balcones Canyonlands NWR</x:v>
      </x:c>
      <x:c r="E250" s="2" t="str">
        <x:v>Statewide / Other</x:v>
      </x:c>
      <x:c r="F250" s="2" t="str">
        <x:v>National Refuge Youth Deer</x:v>
      </x:c>
      <x:c r="G250" s="2" t="str">
        <x:v>No</x:v>
      </x:c>
      <x:c r="H250" s="2" t="str">
        <x:v>Yes</x:v>
      </x:c>
      <x:c r="I250" s="97" t="str">
        <x:v>2026-10-01</x:v>
      </x:c>
      <x:c r="J250" s="2" t="str">
        <x:v>See TPWD category page</x:v>
      </x:c>
      <x:c r="K250" s="111" t="n">
        <x:v>0</x:v>
      </x:c>
      <x:c r="L250" s="111" t="n">
        <x:v>0</x:v>
      </x:c>
      <x:c r="M250" s="2"/>
      <x:c r="N250" s="2"/>
      <x:c r="O250" s="113"/>
      <x:c r="P250" s="2" t="n">
        <x:v>500</x:v>
      </x:c>
      <x:c r="Q250" s="2" t="str">
        <x:v>Statewide</x:v>
      </x:c>
      <x:c r="R250" s="2" t="str">
        <x:v>Research before draw; property brochure linked from TPWD</x:v>
      </x:c>
      <x:c r="S250" s="2" t="str">
        <x:v>Low</x:v>
      </x:c>
      <x:c r="T250" s="2" t="str">
        <x:v>No</x:v>
      </x:c>
      <x:c r="U250" s="2" t="str">
        <x:v>Verified in TPWD 2026-2027 statewide deer category catalog. Refuge-specific rules and permit fees may apply.</x:v>
      </x:c>
      <x:c r="V250" s="2" t="str">
        <x:v>https://tpwd.texas.gov/huntwild/hunt/public/public_hunt_drawing/hunt-category-details.phtml?OCat=NYD</x:v>
      </x:c>
      <x:c r="W250" s="2" t="n">
        <x:v>2</x:v>
      </x:c>
      <x:c r="X250" s="2" t="n">
        <x:v>2</x:v>
      </x:c>
      <x:c r="Y250" s="2" t="n">
        <x:v>5</x:v>
      </x:c>
      <x:c r="Z250" s="2" t="n">
        <x:v>3</x:v>
      </x:c>
      <x:c r="AA250" s="2" t="n">
        <x:v>2</x:v>
      </x:c>
      <x:c r="AB250" s="2" t="n">
        <x:v>0</x:v>
      </x:c>
      <x:c r="AC250" s="96" t="n">
        <x:v>2.5</x:v>
      </x:c>
      <x:c r="AD250" s="2" t="n">
        <x:v>0</x:v>
      </x:c>
      <x:c r="AE250" s="2" t="str">
        <x:v>2026-10-01</x:v>
      </x:c>
      <x:c r="AF250" s="2"/>
      <x:c r="AG250" s="97"/>
      <x:c r="AH250" s="2"/>
      <x:c r="AI250" s="2"/>
      <x:c r="AJ250" s="97"/>
      <x:c r="AK250" s="2"/>
      <x:c r="AL250" s="2"/>
      <x:c r="AM250" s="2" t="str">
        <x:v>https://tpwd.texas.gov/huntwild/hunt/public/public_hunt_drawing/hunt-category-details.phtml?OCat=NYD</x:v>
      </x:c>
      <x:c r="AN250" s="2" t="str">
        <x:v>https://tpwd.texas.gov/search/?q=Balcones+Canyonlands+NWR+public+hunting+brochure</x:v>
      </x:c>
      <x:c r="AO250" s="2" t="str">
        <x:v>https://apps.tpwd.state.tx.us/huntwild/hunt/public/public_hunt_drawing/</x:v>
      </x:c>
      <x:c r="AP250" s="2" t="str">
        <x:v>https://www.google.com/maps/search/?api=1&amp;query=Balcones+Canyonlands+NWR%2C+Texas</x:v>
      </x:c>
      <x:c r="AQ250" s="96" t="n">
        <x:v>0</x:v>
      </x:c>
      <x:c r="AR250" s="2" t="str">
        <x:v>Standard Hastings ranking</x:v>
      </x:c>
    </x:row>
    <x:row r="251">
      <x:c r="A251" s="2" t="str">
        <x:v>No</x:v>
      </x:c>
      <x:c r="B251" s="2" t="str">
        <x:v>A</x:v>
      </x:c>
      <x:c r="C251" s="2" t="str">
        <x:v>Whitetail Deer</x:v>
      </x:c>
      <x:c r="D251" s="2" t="str">
        <x:v>Buffalo Lake NWR</x:v>
      </x:c>
      <x:c r="E251" s="2" t="str">
        <x:v>Panhandle / Rolling Plains</x:v>
      </x:c>
      <x:c r="F251" s="2" t="str">
        <x:v>National Refuge Youth Deer</x:v>
      </x:c>
      <x:c r="G251" s="2" t="str">
        <x:v>No</x:v>
      </x:c>
      <x:c r="H251" s="2" t="str">
        <x:v>Yes</x:v>
      </x:c>
      <x:c r="I251" s="97" t="str">
        <x:v>2026-10-01</x:v>
      </x:c>
      <x:c r="J251" s="2" t="str">
        <x:v>See TPWD category page</x:v>
      </x:c>
      <x:c r="K251" s="111" t="n">
        <x:v>0</x:v>
      </x:c>
      <x:c r="L251" s="111" t="n">
        <x:v>0</x:v>
      </x:c>
      <x:c r="M251" s="2"/>
      <x:c r="N251" s="2"/>
      <x:c r="O251" s="113"/>
      <x:c r="P251" s="2" t="n">
        <x:v>130</x:v>
      </x:c>
      <x:c r="Q251" s="2" t="str">
        <x:v>Core</x:v>
      </x:c>
      <x:c r="R251" s="2" t="str">
        <x:v>Research before draw; property brochure linked from TPWD</x:v>
      </x:c>
      <x:c r="S251" s="2" t="str">
        <x:v>High</x:v>
      </x:c>
      <x:c r="T251" s="2" t="str">
        <x:v>No</x:v>
      </x:c>
      <x:c r="U251" s="2" t="str">
        <x:v>Verified in TPWD 2026-2027 statewide deer category catalog. Refuge-specific rules and permit fees may apply.</x:v>
      </x:c>
      <x:c r="V251" s="2" t="str">
        <x:v>https://tpwd.texas.gov/huntwild/hunt/public/public_hunt_drawing/hunt-category-details.phtml?OCat=NYD</x:v>
      </x:c>
      <x:c r="W251" s="2" t="n">
        <x:v>2</x:v>
      </x:c>
      <x:c r="X251" s="2" t="n">
        <x:v>5</x:v>
      </x:c>
      <x:c r="Y251" s="2" t="n">
        <x:v>5</x:v>
      </x:c>
      <x:c r="Z251" s="2" t="n">
        <x:v>3</x:v>
      </x:c>
      <x:c r="AA251" s="2" t="n">
        <x:v>4</x:v>
      </x:c>
      <x:c r="AB251" s="2" t="n">
        <x:v>0</x:v>
      </x:c>
      <x:c r="AC251" s="96" t="n">
        <x:v>3.2</x:v>
      </x:c>
      <x:c r="AD251" s="2" t="n">
        <x:v>0</x:v>
      </x:c>
      <x:c r="AE251" s="2" t="str">
        <x:v>2026-10-01</x:v>
      </x:c>
      <x:c r="AF251" s="2"/>
      <x:c r="AG251" s="97"/>
      <x:c r="AH251" s="2"/>
      <x:c r="AI251" s="2"/>
      <x:c r="AJ251" s="97"/>
      <x:c r="AK251" s="2"/>
      <x:c r="AL251" s="2"/>
      <x:c r="AM251" s="2" t="str">
        <x:v>https://tpwd.texas.gov/huntwild/hunt/public/public_hunt_drawing/hunt-category-details.phtml?OCat=NYD</x:v>
      </x:c>
      <x:c r="AN251" s="2" t="str">
        <x:v>https://tpwd.texas.gov/search/?q=Buffalo+Lake+NWR+public+hunting+brochure</x:v>
      </x:c>
      <x:c r="AO251" s="2" t="str">
        <x:v>https://apps.tpwd.state.tx.us/huntwild/hunt/public/public_hunt_drawing/</x:v>
      </x:c>
      <x:c r="AP251" s="2" t="str">
        <x:v>https://www.google.com/maps/search/?api=1&amp;query=Buffalo+Lake+NWR%2C+Texas</x:v>
      </x:c>
      <x:c r="AQ251" s="96" t="n">
        <x:v>0</x:v>
      </x:c>
      <x:c r="AR251" s="2" t="str">
        <x:v>Standard Hastings ranking</x:v>
      </x:c>
    </x:row>
    <x:row r="252">
      <x:c r="A252" s="2" t="str">
        <x:v>No</x:v>
      </x:c>
      <x:c r="B252" s="2" t="str">
        <x:v>A</x:v>
      </x:c>
      <x:c r="C252" s="2" t="str">
        <x:v>Whitetail Deer</x:v>
      </x:c>
      <x:c r="D252" s="2" t="str">
        <x:v>Caddo Lake NWR</x:v>
      </x:c>
      <x:c r="E252" s="2" t="str">
        <x:v>East Texas / Pineywoods</x:v>
      </x:c>
      <x:c r="F252" s="2" t="str">
        <x:v>National Refuge Youth Deer</x:v>
      </x:c>
      <x:c r="G252" s="2" t="str">
        <x:v>No</x:v>
      </x:c>
      <x:c r="H252" s="2" t="str">
        <x:v>Yes</x:v>
      </x:c>
      <x:c r="I252" s="97" t="str">
        <x:v>2026-10-01</x:v>
      </x:c>
      <x:c r="J252" s="2" t="str">
        <x:v>See TPWD category page</x:v>
      </x:c>
      <x:c r="K252" s="111" t="n">
        <x:v>0</x:v>
      </x:c>
      <x:c r="L252" s="111" t="n">
        <x:v>0</x:v>
      </x:c>
      <x:c r="M252" s="2"/>
      <x:c r="N252" s="2"/>
      <x:c r="O252" s="113"/>
      <x:c r="P252" s="2" t="n">
        <x:v>570</x:v>
      </x:c>
      <x:c r="Q252" s="2" t="str">
        <x:v>Statewide</x:v>
      </x:c>
      <x:c r="R252" s="2" t="str">
        <x:v>Research before draw; property brochure linked from TPWD</x:v>
      </x:c>
      <x:c r="S252" s="2" t="str">
        <x:v>Low</x:v>
      </x:c>
      <x:c r="T252" s="2" t="str">
        <x:v>No</x:v>
      </x:c>
      <x:c r="U252" s="2" t="str">
        <x:v>Verified in TPWD 2026-2027 statewide deer category catalog. Refuge-specific rules and permit fees may apply.</x:v>
      </x:c>
      <x:c r="V252" s="2" t="str">
        <x:v>https://tpwd.texas.gov/huntwild/hunt/public/public_hunt_drawing/hunt-category-details.phtml?OCat=NYD</x:v>
      </x:c>
      <x:c r="W252" s="2" t="n">
        <x:v>2</x:v>
      </x:c>
      <x:c r="X252" s="2" t="n">
        <x:v>2</x:v>
      </x:c>
      <x:c r="Y252" s="2" t="n">
        <x:v>5</x:v>
      </x:c>
      <x:c r="Z252" s="2" t="n">
        <x:v>3</x:v>
      </x:c>
      <x:c r="AA252" s="2" t="n">
        <x:v>2</x:v>
      </x:c>
      <x:c r="AB252" s="2" t="n">
        <x:v>0</x:v>
      </x:c>
      <x:c r="AC252" s="96" t="n">
        <x:v>2.5</x:v>
      </x:c>
      <x:c r="AD252" s="2" t="n">
        <x:v>0</x:v>
      </x:c>
      <x:c r="AE252" s="2" t="str">
        <x:v>2026-10-01</x:v>
      </x:c>
      <x:c r="AF252" s="2"/>
      <x:c r="AG252" s="97"/>
      <x:c r="AH252" s="2"/>
      <x:c r="AI252" s="2"/>
      <x:c r="AJ252" s="97"/>
      <x:c r="AK252" s="2"/>
      <x:c r="AL252" s="2"/>
      <x:c r="AM252" s="2" t="str">
        <x:v>https://tpwd.texas.gov/huntwild/hunt/public/public_hunt_drawing/hunt-category-details.phtml?OCat=NYD</x:v>
      </x:c>
      <x:c r="AN252" s="2" t="str">
        <x:v>https://tpwd.texas.gov/search/?q=Caddo+Lake+NWR+public+hunting+brochure</x:v>
      </x:c>
      <x:c r="AO252" s="2" t="str">
        <x:v>https://apps.tpwd.state.tx.us/huntwild/hunt/public/public_hunt_drawing/</x:v>
      </x:c>
      <x:c r="AP252" s="2" t="str">
        <x:v>https://www.google.com/maps/search/?api=1&amp;query=Caddo+Lake+NWR%2C+Texas</x:v>
      </x:c>
      <x:c r="AQ252" s="96" t="n">
        <x:v>0</x:v>
      </x:c>
      <x:c r="AR252" s="2" t="str">
        <x:v>Standard Hastings ranking</x:v>
      </x:c>
    </x:row>
    <x:row r="253">
      <x:c r="A253" s="2" t="str">
        <x:v>No</x:v>
      </x:c>
      <x:c r="B253" s="2" t="str">
        <x:v>A</x:v>
      </x:c>
      <x:c r="C253" s="2" t="str">
        <x:v>Whitetail Deer</x:v>
      </x:c>
      <x:c r="D253" s="2" t="str">
        <x:v>Laguna Atascosa NWR</x:v>
      </x:c>
      <x:c r="E253" s="2" t="str">
        <x:v>South Texas / Rio Grande Valley</x:v>
      </x:c>
      <x:c r="F253" s="2" t="str">
        <x:v>National Refuge Youth Deer</x:v>
      </x:c>
      <x:c r="G253" s="2" t="str">
        <x:v>No</x:v>
      </x:c>
      <x:c r="H253" s="2" t="str">
        <x:v>Yes</x:v>
      </x:c>
      <x:c r="I253" s="97" t="str">
        <x:v>2026-10-01</x:v>
      </x:c>
      <x:c r="J253" s="2" t="str">
        <x:v>See TPWD category page</x:v>
      </x:c>
      <x:c r="K253" s="111" t="n">
        <x:v>0</x:v>
      </x:c>
      <x:c r="L253" s="111" t="n">
        <x:v>0</x:v>
      </x:c>
      <x:c r="M253" s="2"/>
      <x:c r="N253" s="2"/>
      <x:c r="O253" s="113"/>
      <x:c r="P253" s="2" t="n">
        <x:v>700</x:v>
      </x:c>
      <x:c r="Q253" s="2" t="str">
        <x:v>Long Haul</x:v>
      </x:c>
      <x:c r="R253" s="2" t="str">
        <x:v>Research before draw; property brochure linked from TPWD</x:v>
      </x:c>
      <x:c r="S253" s="2" t="str">
        <x:v>Low</x:v>
      </x:c>
      <x:c r="T253" s="2" t="str">
        <x:v>No</x:v>
      </x:c>
      <x:c r="U253" s="2" t="str">
        <x:v>Verified in TPWD 2026-2027 statewide deer category catalog. Refuge-specific rules and permit fees may apply.</x:v>
      </x:c>
      <x:c r="V253" s="2" t="str">
        <x:v>https://tpwd.texas.gov/huntwild/hunt/public/public_hunt_drawing/hunt-category-details.phtml?OCat=NYD</x:v>
      </x:c>
      <x:c r="W253" s="2" t="n">
        <x:v>2</x:v>
      </x:c>
      <x:c r="X253" s="2" t="n">
        <x:v>1</x:v>
      </x:c>
      <x:c r="Y253" s="2" t="n">
        <x:v>5</x:v>
      </x:c>
      <x:c r="Z253" s="2" t="n">
        <x:v>3</x:v>
      </x:c>
      <x:c r="AA253" s="2" t="n">
        <x:v>2</x:v>
      </x:c>
      <x:c r="AB253" s="2" t="n">
        <x:v>0</x:v>
      </x:c>
      <x:c r="AC253" s="96" t="n">
        <x:v>2.4</x:v>
      </x:c>
      <x:c r="AD253" s="2" t="n">
        <x:v>0</x:v>
      </x:c>
      <x:c r="AE253" s="2" t="str">
        <x:v>2026-10-01</x:v>
      </x:c>
      <x:c r="AF253" s="2"/>
      <x:c r="AG253" s="97"/>
      <x:c r="AH253" s="2"/>
      <x:c r="AI253" s="2"/>
      <x:c r="AJ253" s="97"/>
      <x:c r="AK253" s="2"/>
      <x:c r="AL253" s="2"/>
      <x:c r="AM253" s="2" t="str">
        <x:v>https://tpwd.texas.gov/huntwild/hunt/public/public_hunt_drawing/hunt-category-details.phtml?OCat=NYD</x:v>
      </x:c>
      <x:c r="AN253" s="2" t="str">
        <x:v>https://tpwd.texas.gov/search/?q=Laguna+Atascosa+NWR+public+hunting+brochure</x:v>
      </x:c>
      <x:c r="AO253" s="2" t="str">
        <x:v>https://apps.tpwd.state.tx.us/huntwild/hunt/public/public_hunt_drawing/</x:v>
      </x:c>
      <x:c r="AP253" s="2" t="str">
        <x:v>https://www.google.com/maps/search/?api=1&amp;query=Laguna+Atascosa+NWR%2C+Texas</x:v>
      </x:c>
      <x:c r="AQ253" s="96" t="n">
        <x:v>0</x:v>
      </x:c>
      <x:c r="AR253" s="2" t="str">
        <x:v>Standard Hastings ranking</x:v>
      </x:c>
    </x:row>
    <x:row r="254">
      <x:c r="A254" s="2" t="str">
        <x:v>No</x:v>
      </x:c>
      <x:c r="B254" s="2" t="str">
        <x:v>A</x:v>
      </x:c>
      <x:c r="C254" s="2" t="str">
        <x:v>Whitetail Deer</x:v>
      </x:c>
      <x:c r="D254" s="2" t="str">
        <x:v>Lower Rio Grande Valley NWR - Teniente</x:v>
      </x:c>
      <x:c r="E254" s="2" t="str">
        <x:v>South Texas / Rio Grande Valley</x:v>
      </x:c>
      <x:c r="F254" s="2" t="str">
        <x:v>National Refuge Youth Deer</x:v>
      </x:c>
      <x:c r="G254" s="2" t="str">
        <x:v>No</x:v>
      </x:c>
      <x:c r="H254" s="2" t="str">
        <x:v>Yes</x:v>
      </x:c>
      <x:c r="I254" s="97" t="str">
        <x:v>2026-10-01</x:v>
      </x:c>
      <x:c r="J254" s="2" t="str">
        <x:v>See TPWD category page</x:v>
      </x:c>
      <x:c r="K254" s="111" t="n">
        <x:v>0</x:v>
      </x:c>
      <x:c r="L254" s="111" t="n">
        <x:v>0</x:v>
      </x:c>
      <x:c r="M254" s="2"/>
      <x:c r="N254" s="2"/>
      <x:c r="O254" s="113"/>
      <x:c r="P254" s="2" t="n">
        <x:v>700</x:v>
      </x:c>
      <x:c r="Q254" s="2" t="str">
        <x:v>Long Haul</x:v>
      </x:c>
      <x:c r="R254" s="2" t="str">
        <x:v>Research before draw; property brochure linked from TPWD</x:v>
      </x:c>
      <x:c r="S254" s="2" t="str">
        <x:v>Low</x:v>
      </x:c>
      <x:c r="T254" s="2" t="str">
        <x:v>No</x:v>
      </x:c>
      <x:c r="U254" s="2" t="str">
        <x:v>Verified in TPWD 2026-2027 statewide deer category catalog. Refuge-specific rules and permit fees may apply.</x:v>
      </x:c>
      <x:c r="V254" s="2" t="str">
        <x:v>https://tpwd.texas.gov/huntwild/hunt/public/public_hunt_drawing/hunt-category-details.phtml?OCat=NYD</x:v>
      </x:c>
      <x:c r="W254" s="2" t="n">
        <x:v>2</x:v>
      </x:c>
      <x:c r="X254" s="2" t="n">
        <x:v>1</x:v>
      </x:c>
      <x:c r="Y254" s="2" t="n">
        <x:v>5</x:v>
      </x:c>
      <x:c r="Z254" s="2" t="n">
        <x:v>3</x:v>
      </x:c>
      <x:c r="AA254" s="2" t="n">
        <x:v>2</x:v>
      </x:c>
      <x:c r="AB254" s="2" t="n">
        <x:v>0</x:v>
      </x:c>
      <x:c r="AC254" s="96" t="n">
        <x:v>2.4</x:v>
      </x:c>
      <x:c r="AD254" s="2" t="n">
        <x:v>0</x:v>
      </x:c>
      <x:c r="AE254" s="2" t="str">
        <x:v>2026-10-01</x:v>
      </x:c>
      <x:c r="AF254" s="2"/>
      <x:c r="AG254" s="97"/>
      <x:c r="AH254" s="2"/>
      <x:c r="AI254" s="2"/>
      <x:c r="AJ254" s="97"/>
      <x:c r="AK254" s="2"/>
      <x:c r="AL254" s="2"/>
      <x:c r="AM254" s="2" t="str">
        <x:v>https://tpwd.texas.gov/huntwild/hunt/public/public_hunt_drawing/hunt-category-details.phtml?OCat=NYD</x:v>
      </x:c>
      <x:c r="AN254" s="2" t="str">
        <x:v>https://tpwd.texas.gov/search/?q=Lower+Rio+Grande+Valley+NWR+-+Teniente+public+hunting+brochure</x:v>
      </x:c>
      <x:c r="AO254" s="2" t="str">
        <x:v>https://apps.tpwd.state.tx.us/huntwild/hunt/public/public_hunt_drawing/</x:v>
      </x:c>
      <x:c r="AP254" s="2" t="str">
        <x:v>https://www.google.com/maps/search/?api=1&amp;query=Lower+Rio+Grande+Valley+NWR+-+Teniente%2C+Texas</x:v>
      </x:c>
      <x:c r="AQ254" s="96" t="n">
        <x:v>0</x:v>
      </x:c>
      <x:c r="AR254" s="2" t="str">
        <x:v>Standard Hastings ranking</x:v>
      </x:c>
    </x:row>
    <x:row r="255">
      <x:c r="A255" s="2" t="str">
        <x:v>No</x:v>
      </x:c>
      <x:c r="B255" s="2" t="str">
        <x:v>A</x:v>
      </x:c>
      <x:c r="C255" s="2" t="str">
        <x:v>Mule Deer</x:v>
      </x:c>
      <x:c r="D255" s="2" t="str">
        <x:v>Big Bend Ranch SP</x:v>
      </x:c>
      <x:c r="E255" s="2" t="str">
        <x:v>Trans-Pecos / West Texas</x:v>
      </x:c>
      <x:c r="F255" s="2" t="str">
        <x:v>Gun Mule Deer</x:v>
      </x:c>
      <x:c r="G255" s="2" t="str">
        <x:v>Yes</x:v>
      </x:c>
      <x:c r="H255" s="2" t="str">
        <x:v>Yes</x:v>
      </x:c>
      <x:c r="I255" s="97" t="str">
        <x:v>2026-10-01</x:v>
      </x:c>
      <x:c r="J255" s="2" t="str">
        <x:v>See TPWD category page</x:v>
      </x:c>
      <x:c r="K255" s="111" t="n">
        <x:v>3</x:v>
      </x:c>
      <x:c r="L255" s="111"/>
      <x:c r="M255" s="2"/>
      <x:c r="N255" s="2"/>
      <x:c r="O255" s="113"/>
      <x:c r="P255" s="2" t="n">
        <x:v>520</x:v>
      </x:c>
      <x:c r="Q255" s="2" t="str">
        <x:v>Statewide</x:v>
      </x:c>
      <x:c r="R255" s="2" t="str">
        <x:v>Research before draw; property brochure linked from TPWD</x:v>
      </x:c>
      <x:c r="S255" s="2" t="str">
        <x:v>High</x:v>
      </x:c>
      <x:c r="T255" s="2" t="str">
        <x:v>No</x:v>
      </x:c>
      <x:c r="U255" s="2" t="str">
        <x:v>Verified in TPWD 2026-2027 statewide deer category catalog. West Texas/El Paso-region opportunity; prioritize for mule deer adventure value.</x:v>
      </x:c>
      <x:c r="V255" s="2" t="str">
        <x:v>https://tpwd.texas.gov/huntwild/hunt/public/public_hunt_drawing/hunt-category-details.phtml?OCat=MDG</x:v>
      </x:c>
      <x:c r="W255" s="2" t="n">
        <x:v>2</x:v>
      </x:c>
      <x:c r="X255" s="2" t="n">
        <x:v>2</x:v>
      </x:c>
      <x:c r="Y255" s="2" t="n">
        <x:v>4</x:v>
      </x:c>
      <x:c r="Z255" s="2" t="n">
        <x:v>3</x:v>
      </x:c>
      <x:c r="AA255" s="2" t="n">
        <x:v>4</x:v>
      </x:c>
      <x:c r="AB255" s="2" t="n">
        <x:v>0</x:v>
      </x:c>
      <x:c r="AC255" s="96" t="n">
        <x:v>2.5</x:v>
      </x:c>
      <x:c r="AD255" s="2"/>
      <x:c r="AE255" s="2" t="str">
        <x:v>2026-10-01</x:v>
      </x:c>
      <x:c r="AF255" s="2"/>
      <x:c r="AG255" s="97"/>
      <x:c r="AH255" s="2"/>
      <x:c r="AI255" s="2"/>
      <x:c r="AJ255" s="97"/>
      <x:c r="AK255" s="2"/>
      <x:c r="AL255" s="2"/>
      <x:c r="AM255" s="2" t="str">
        <x:v>https://tpwd.texas.gov/huntwild/hunt/public/public_hunt_drawing/hunt-category-details.phtml?OCat=MDG</x:v>
      </x:c>
      <x:c r="AN255" s="2" t="str">
        <x:v>https://tpwd.texas.gov/search/?q=Big+Bend+Ranch+SP+public+hunting+brochure</x:v>
      </x:c>
      <x:c r="AO255" s="2" t="str">
        <x:v>https://apps.tpwd.state.tx.us/huntwild/hunt/public/public_hunt_drawing/</x:v>
      </x:c>
      <x:c r="AP255" s="2" t="str">
        <x:v>https://www.google.com/maps/search/?api=1&amp;query=Big+Bend+Ranch+SP%2C+Texas</x:v>
      </x:c>
      <x:c r="AQ255" s="96" t="n">
        <x:v>0</x:v>
      </x:c>
      <x:c r="AR255" s="2" t="str">
        <x:v>Standard Hastings ranking</x:v>
      </x:c>
    </x:row>
    <x:row r="256">
      <x:c r="A256" s="2" t="str">
        <x:v>No</x:v>
      </x:c>
      <x:c r="B256" s="2" t="str">
        <x:v>A</x:v>
      </x:c>
      <x:c r="C256" s="2" t="str">
        <x:v>Mule Deer</x:v>
      </x:c>
      <x:c r="D256" s="2" t="str">
        <x:v>Black Gap WMA</x:v>
      </x:c>
      <x:c r="E256" s="2" t="str">
        <x:v>Trans-Pecos / West Texas</x:v>
      </x:c>
      <x:c r="F256" s="2" t="str">
        <x:v>Gun Mule Deer</x:v>
      </x:c>
      <x:c r="G256" s="2" t="str">
        <x:v>Yes</x:v>
      </x:c>
      <x:c r="H256" s="2" t="str">
        <x:v>Yes</x:v>
      </x:c>
      <x:c r="I256" s="97" t="str">
        <x:v>2026-10-01</x:v>
      </x:c>
      <x:c r="J256" s="2" t="str">
        <x:v>See TPWD category page</x:v>
      </x:c>
      <x:c r="K256" s="111" t="n">
        <x:v>3</x:v>
      </x:c>
      <x:c r="L256" s="111"/>
      <x:c r="M256" s="2"/>
      <x:c r="N256" s="2"/>
      <x:c r="O256" s="113"/>
      <x:c r="P256" s="2" t="n">
        <x:v>520</x:v>
      </x:c>
      <x:c r="Q256" s="2" t="str">
        <x:v>Statewide</x:v>
      </x:c>
      <x:c r="R256" s="2" t="str">
        <x:v>Research before draw; property brochure linked from TPWD</x:v>
      </x:c>
      <x:c r="S256" s="2" t="str">
        <x:v>High</x:v>
      </x:c>
      <x:c r="T256" s="2" t="str">
        <x:v>No</x:v>
      </x:c>
      <x:c r="U256" s="2" t="str">
        <x:v>Verified in TPWD 2026-2027 statewide deer category catalog. West Texas/El Paso-region opportunity; prioritize for mule deer adventure value.</x:v>
      </x:c>
      <x:c r="V256" s="2" t="str">
        <x:v>https://tpwd.texas.gov/huntwild/hunt/public/public_hunt_drawing/hunt-category-details.phtml?OCat=MDG</x:v>
      </x:c>
      <x:c r="W256" s="2" t="n">
        <x:v>2</x:v>
      </x:c>
      <x:c r="X256" s="2" t="n">
        <x:v>2</x:v>
      </x:c>
      <x:c r="Y256" s="2" t="n">
        <x:v>4</x:v>
      </x:c>
      <x:c r="Z256" s="2" t="n">
        <x:v>3</x:v>
      </x:c>
      <x:c r="AA256" s="2" t="n">
        <x:v>4</x:v>
      </x:c>
      <x:c r="AB256" s="2" t="n">
        <x:v>0</x:v>
      </x:c>
      <x:c r="AC256" s="96" t="n">
        <x:v>2.5</x:v>
      </x:c>
      <x:c r="AD256" s="2"/>
      <x:c r="AE256" s="2" t="str">
        <x:v>2026-10-01</x:v>
      </x:c>
      <x:c r="AF256" s="2"/>
      <x:c r="AG256" s="97"/>
      <x:c r="AH256" s="2"/>
      <x:c r="AI256" s="2"/>
      <x:c r="AJ256" s="97"/>
      <x:c r="AK256" s="2"/>
      <x:c r="AL256" s="2"/>
      <x:c r="AM256" s="2" t="str">
        <x:v>https://tpwd.texas.gov/huntwild/hunt/public/public_hunt_drawing/hunt-category-details.phtml?OCat=MDG</x:v>
      </x:c>
      <x:c r="AN256" s="2" t="str">
        <x:v>https://tpwd.texas.gov/search/?q=Black+Gap+WMA+public+hunting+brochure</x:v>
      </x:c>
      <x:c r="AO256" s="2" t="str">
        <x:v>https://apps.tpwd.state.tx.us/huntwild/hunt/public/public_hunt_drawing/</x:v>
      </x:c>
      <x:c r="AP256" s="2" t="str">
        <x:v>https://www.google.com/maps/search/?api=1&amp;query=Black+Gap+WMA%2C+Texas</x:v>
      </x:c>
      <x:c r="AQ256" s="96" t="n">
        <x:v>0</x:v>
      </x:c>
      <x:c r="AR256" s="2" t="str">
        <x:v>Standard Hastings ranking</x:v>
      </x:c>
    </x:row>
    <x:row r="257">
      <x:c r="A257" s="2" t="str">
        <x:v>No</x:v>
      </x:c>
      <x:c r="B257" s="2" t="str">
        <x:v>A</x:v>
      </x:c>
      <x:c r="C257" s="2" t="str">
        <x:v>Mule Deer</x:v>
      </x:c>
      <x:c r="D257" s="2" t="str">
        <x:v>Caprock Canyons SP</x:v>
      </x:c>
      <x:c r="E257" s="2" t="str">
        <x:v>Panhandle / Rolling Plains</x:v>
      </x:c>
      <x:c r="F257" s="2" t="str">
        <x:v>Gun Mule Deer</x:v>
      </x:c>
      <x:c r="G257" s="2" t="str">
        <x:v>Yes</x:v>
      </x:c>
      <x:c r="H257" s="2" t="str">
        <x:v>Yes</x:v>
      </x:c>
      <x:c r="I257" s="97" t="str">
        <x:v>2026-10-01</x:v>
      </x:c>
      <x:c r="J257" s="2" t="str">
        <x:v>See TPWD category page</x:v>
      </x:c>
      <x:c r="K257" s="111" t="n">
        <x:v>3</x:v>
      </x:c>
      <x:c r="L257" s="111"/>
      <x:c r="M257" s="2"/>
      <x:c r="N257" s="2"/>
      <x:c r="O257" s="113"/>
      <x:c r="P257" s="2" t="n">
        <x:v>130</x:v>
      </x:c>
      <x:c r="Q257" s="2" t="str">
        <x:v>Core</x:v>
      </x:c>
      <x:c r="R257" s="2" t="str">
        <x:v>Research before draw; property brochure linked from TPWD</x:v>
      </x:c>
      <x:c r="S257" s="2" t="str">
        <x:v>High</x:v>
      </x:c>
      <x:c r="T257" s="2" t="str">
        <x:v>No</x:v>
      </x:c>
      <x:c r="U257" s="2" t="str">
        <x:v>Verified in TPWD 2026-2027 statewide deer category catalog.</x:v>
      </x:c>
      <x:c r="V257" s="2" t="str">
        <x:v>https://tpwd.texas.gov/huntwild/hunt/public/public_hunt_drawing/hunt-category-details.phtml?OCat=MDG</x:v>
      </x:c>
      <x:c r="W257" s="2" t="n">
        <x:v>2</x:v>
      </x:c>
      <x:c r="X257" s="2" t="n">
        <x:v>5</x:v>
      </x:c>
      <x:c r="Y257" s="2" t="n">
        <x:v>4</x:v>
      </x:c>
      <x:c r="Z257" s="2" t="n">
        <x:v>3</x:v>
      </x:c>
      <x:c r="AA257" s="2" t="n">
        <x:v>4</x:v>
      </x:c>
      <x:c r="AB257" s="2" t="n">
        <x:v>0</x:v>
      </x:c>
      <x:c r="AC257" s="96" t="n">
        <x:v>2.9</x:v>
      </x:c>
      <x:c r="AD257" s="2"/>
      <x:c r="AE257" s="2" t="str">
        <x:v>2026-10-01</x:v>
      </x:c>
      <x:c r="AF257" s="2"/>
      <x:c r="AG257" s="97"/>
      <x:c r="AH257" s="2"/>
      <x:c r="AI257" s="2"/>
      <x:c r="AJ257" s="97"/>
      <x:c r="AK257" s="2"/>
      <x:c r="AL257" s="2"/>
      <x:c r="AM257" s="2" t="str">
        <x:v>https://tpwd.texas.gov/huntwild/hunt/public/public_hunt_drawing/hunt-category-details.phtml?OCat=MDG</x:v>
      </x:c>
      <x:c r="AN257" s="2" t="str">
        <x:v>https://tpwd.texas.gov/search/?q=Caprock+Canyons+SP+public+hunting+brochure</x:v>
      </x:c>
      <x:c r="AO257" s="2" t="str">
        <x:v>https://apps.tpwd.state.tx.us/huntwild/hunt/public/public_hunt_drawing/</x:v>
      </x:c>
      <x:c r="AP257" s="2" t="str">
        <x:v>https://www.google.com/maps/search/?api=1&amp;query=Caprock+Canyons+SP%2C+Texas</x:v>
      </x:c>
      <x:c r="AQ257" s="96" t="n">
        <x:v>0</x:v>
      </x:c>
      <x:c r="AR257" s="2" t="str">
        <x:v>Standard Hastings ranking</x:v>
      </x:c>
    </x:row>
    <x:row r="258">
      <x:c r="A258" s="2" t="str">
        <x:v>No</x:v>
      </x:c>
      <x:c r="B258" s="2" t="str">
        <x:v>A</x:v>
      </x:c>
      <x:c r="C258" s="2" t="str">
        <x:v>Mule Deer</x:v>
      </x:c>
      <x:c r="D258" s="2" t="str">
        <x:v>Elephant Mountain WMA</x:v>
      </x:c>
      <x:c r="E258" s="2" t="str">
        <x:v>Trans-Pecos / West Texas</x:v>
      </x:c>
      <x:c r="F258" s="2" t="str">
        <x:v>Gun Mule Deer</x:v>
      </x:c>
      <x:c r="G258" s="2" t="str">
        <x:v>Yes</x:v>
      </x:c>
      <x:c r="H258" s="2" t="str">
        <x:v>Yes</x:v>
      </x:c>
      <x:c r="I258" s="97" t="str">
        <x:v>2026-10-01</x:v>
      </x:c>
      <x:c r="J258" s="2" t="str">
        <x:v>See TPWD category page</x:v>
      </x:c>
      <x:c r="K258" s="111" t="n">
        <x:v>3</x:v>
      </x:c>
      <x:c r="L258" s="111"/>
      <x:c r="M258" s="2"/>
      <x:c r="N258" s="2"/>
      <x:c r="O258" s="113"/>
      <x:c r="P258" s="2" t="n">
        <x:v>520</x:v>
      </x:c>
      <x:c r="Q258" s="2" t="str">
        <x:v>Statewide</x:v>
      </x:c>
      <x:c r="R258" s="2" t="str">
        <x:v>Research before draw; property brochure linked from TPWD</x:v>
      </x:c>
      <x:c r="S258" s="2" t="str">
        <x:v>High</x:v>
      </x:c>
      <x:c r="T258" s="2" t="str">
        <x:v>No</x:v>
      </x:c>
      <x:c r="U258" s="2" t="str">
        <x:v>Verified in TPWD 2026-2027 statewide deer category catalog. West Texas/El Paso-region opportunity; prioritize for mule deer adventure value.</x:v>
      </x:c>
      <x:c r="V258" s="2" t="str">
        <x:v>https://tpwd.texas.gov/huntwild/hunt/public/public_hunt_drawing/hunt-category-details.phtml?OCat=MDG</x:v>
      </x:c>
      <x:c r="W258" s="2" t="n">
        <x:v>2</x:v>
      </x:c>
      <x:c r="X258" s="2" t="n">
        <x:v>2</x:v>
      </x:c>
      <x:c r="Y258" s="2" t="n">
        <x:v>4</x:v>
      </x:c>
      <x:c r="Z258" s="2" t="n">
        <x:v>3</x:v>
      </x:c>
      <x:c r="AA258" s="2" t="n">
        <x:v>4</x:v>
      </x:c>
      <x:c r="AB258" s="2" t="n">
        <x:v>0</x:v>
      </x:c>
      <x:c r="AC258" s="96" t="n">
        <x:v>2.5</x:v>
      </x:c>
      <x:c r="AD258" s="2"/>
      <x:c r="AE258" s="2" t="str">
        <x:v>2026-10-01</x:v>
      </x:c>
      <x:c r="AF258" s="2"/>
      <x:c r="AG258" s="97"/>
      <x:c r="AH258" s="2"/>
      <x:c r="AI258" s="2"/>
      <x:c r="AJ258" s="97"/>
      <x:c r="AK258" s="2"/>
      <x:c r="AL258" s="2"/>
      <x:c r="AM258" s="2" t="str">
        <x:v>https://tpwd.texas.gov/huntwild/hunt/public/public_hunt_drawing/hunt-category-details.phtml?OCat=MDG</x:v>
      </x:c>
      <x:c r="AN258" s="2" t="str">
        <x:v>https://tpwd.texas.gov/search/?q=Elephant+Mountain+WMA+public+hunting+brochure</x:v>
      </x:c>
      <x:c r="AO258" s="2" t="str">
        <x:v>https://apps.tpwd.state.tx.us/huntwild/hunt/public/public_hunt_drawing/</x:v>
      </x:c>
      <x:c r="AP258" s="2" t="str">
        <x:v>https://www.google.com/maps/search/?api=1&amp;query=Elephant+Mountain+WMA%2C+Texas</x:v>
      </x:c>
      <x:c r="AQ258" s="96" t="n">
        <x:v>0</x:v>
      </x:c>
      <x:c r="AR258" s="2" t="str">
        <x:v>Standard Hastings ranking</x:v>
      </x:c>
    </x:row>
    <x:row r="259">
      <x:c r="A259" s="2" t="str">
        <x:v>No</x:v>
      </x:c>
      <x:c r="B259" s="2" t="str">
        <x:v>A</x:v>
      </x:c>
      <x:c r="C259" s="2" t="str">
        <x:v>Mule Deer</x:v>
      </x:c>
      <x:c r="D259" s="2" t="str">
        <x:v>Gene Howe WMA</x:v>
      </x:c>
      <x:c r="E259" s="2" t="str">
        <x:v>Panhandle / Rolling Plains</x:v>
      </x:c>
      <x:c r="F259" s="2" t="str">
        <x:v>Gun Mule Deer</x:v>
      </x:c>
      <x:c r="G259" s="2" t="str">
        <x:v>Yes</x:v>
      </x:c>
      <x:c r="H259" s="2" t="str">
        <x:v>Yes</x:v>
      </x:c>
      <x:c r="I259" s="97" t="str">
        <x:v>2026-10-01</x:v>
      </x:c>
      <x:c r="J259" s="2" t="str">
        <x:v>See TPWD category page</x:v>
      </x:c>
      <x:c r="K259" s="111" t="n">
        <x:v>3</x:v>
      </x:c>
      <x:c r="L259" s="111"/>
      <x:c r="M259" s="2"/>
      <x:c r="N259" s="2"/>
      <x:c r="O259" s="113"/>
      <x:c r="P259" s="2" t="n">
        <x:v>130</x:v>
      </x:c>
      <x:c r="Q259" s="2" t="str">
        <x:v>Core</x:v>
      </x:c>
      <x:c r="R259" s="2" t="str">
        <x:v>Research before draw; property brochure linked from TPWD</x:v>
      </x:c>
      <x:c r="S259" s="2" t="str">
        <x:v>High</x:v>
      </x:c>
      <x:c r="T259" s="2" t="str">
        <x:v>No</x:v>
      </x:c>
      <x:c r="U259" s="2" t="str">
        <x:v>Verified in TPWD 2026-2027 statewide deer category catalog.</x:v>
      </x:c>
      <x:c r="V259" s="2" t="str">
        <x:v>https://tpwd.texas.gov/huntwild/hunt/public/public_hunt_drawing/hunt-category-details.phtml?OCat=MDG</x:v>
      </x:c>
      <x:c r="W259" s="2" t="n">
        <x:v>2</x:v>
      </x:c>
      <x:c r="X259" s="2" t="n">
        <x:v>5</x:v>
      </x:c>
      <x:c r="Y259" s="2" t="n">
        <x:v>4</x:v>
      </x:c>
      <x:c r="Z259" s="2" t="n">
        <x:v>3</x:v>
      </x:c>
      <x:c r="AA259" s="2" t="n">
        <x:v>4</x:v>
      </x:c>
      <x:c r="AB259" s="2" t="n">
        <x:v>0</x:v>
      </x:c>
      <x:c r="AC259" s="96" t="n">
        <x:v>2.9</x:v>
      </x:c>
      <x:c r="AD259" s="2"/>
      <x:c r="AE259" s="2" t="str">
        <x:v>2026-10-01</x:v>
      </x:c>
      <x:c r="AF259" s="2"/>
      <x:c r="AG259" s="97"/>
      <x:c r="AH259" s="2"/>
      <x:c r="AI259" s="2"/>
      <x:c r="AJ259" s="97"/>
      <x:c r="AK259" s="2"/>
      <x:c r="AL259" s="2"/>
      <x:c r="AM259" s="2" t="str">
        <x:v>https://tpwd.texas.gov/huntwild/hunt/public/public_hunt_drawing/hunt-category-details.phtml?OCat=MDG</x:v>
      </x:c>
      <x:c r="AN259" s="2" t="str">
        <x:v>https://tpwd.texas.gov/search/?q=Gene+Howe+WMA+public+hunting+brochure</x:v>
      </x:c>
      <x:c r="AO259" s="2" t="str">
        <x:v>https://apps.tpwd.state.tx.us/huntwild/hunt/public/public_hunt_drawing/</x:v>
      </x:c>
      <x:c r="AP259" s="2" t="str">
        <x:v>https://www.google.com/maps/search/?api=1&amp;query=Gene+Howe+WMA%2C+Texas</x:v>
      </x:c>
      <x:c r="AQ259" s="96" t="n">
        <x:v>0</x:v>
      </x:c>
      <x:c r="AR259" s="2" t="str">
        <x:v>Standard Hastings ranking</x:v>
      </x:c>
    </x:row>
    <x:row r="260">
      <x:c r="A260" s="2" t="str">
        <x:v>No</x:v>
      </x:c>
      <x:c r="B260" s="2" t="str">
        <x:v>A</x:v>
      </x:c>
      <x:c r="C260" s="2" t="str">
        <x:v>Mule Deer</x:v>
      </x:c>
      <x:c r="D260" s="2" t="str">
        <x:v>Matador WMA</x:v>
      </x:c>
      <x:c r="E260" s="2" t="str">
        <x:v>Panhandle / Rolling Plains</x:v>
      </x:c>
      <x:c r="F260" s="2" t="str">
        <x:v>Gun Mule Deer</x:v>
      </x:c>
      <x:c r="G260" s="2" t="str">
        <x:v>Yes</x:v>
      </x:c>
      <x:c r="H260" s="2" t="str">
        <x:v>Yes</x:v>
      </x:c>
      <x:c r="I260" s="97" t="str">
        <x:v>2026-10-01</x:v>
      </x:c>
      <x:c r="J260" s="2" t="str">
        <x:v>See TPWD category page</x:v>
      </x:c>
      <x:c r="K260" s="111" t="n">
        <x:v>3</x:v>
      </x:c>
      <x:c r="L260" s="111"/>
      <x:c r="M260" s="2"/>
      <x:c r="N260" s="2"/>
      <x:c r="O260" s="113"/>
      <x:c r="P260" s="2" t="n">
        <x:v>130</x:v>
      </x:c>
      <x:c r="Q260" s="2" t="str">
        <x:v>Core</x:v>
      </x:c>
      <x:c r="R260" s="2" t="str">
        <x:v>Research before draw; property brochure linked from TPWD</x:v>
      </x:c>
      <x:c r="S260" s="2" t="str">
        <x:v>High</x:v>
      </x:c>
      <x:c r="T260" s="2" t="str">
        <x:v>No</x:v>
      </x:c>
      <x:c r="U260" s="2" t="str">
        <x:v>Verified in TPWD 2026-2027 statewide deer category catalog.</x:v>
      </x:c>
      <x:c r="V260" s="2" t="str">
        <x:v>https://tpwd.texas.gov/huntwild/hunt/public/public_hunt_drawing/hunt-category-details.phtml?OCat=MDG</x:v>
      </x:c>
      <x:c r="W260" s="2" t="n">
        <x:v>2</x:v>
      </x:c>
      <x:c r="X260" s="2" t="n">
        <x:v>5</x:v>
      </x:c>
      <x:c r="Y260" s="2" t="n">
        <x:v>4</x:v>
      </x:c>
      <x:c r="Z260" s="2" t="n">
        <x:v>3</x:v>
      </x:c>
      <x:c r="AA260" s="2" t="n">
        <x:v>4</x:v>
      </x:c>
      <x:c r="AB260" s="2" t="n">
        <x:v>0</x:v>
      </x:c>
      <x:c r="AC260" s="96" t="n">
        <x:v>2.9</x:v>
      </x:c>
      <x:c r="AD260" s="2"/>
      <x:c r="AE260" s="2" t="str">
        <x:v>2026-10-01</x:v>
      </x:c>
      <x:c r="AF260" s="2"/>
      <x:c r="AG260" s="97"/>
      <x:c r="AH260" s="2"/>
      <x:c r="AI260" s="2"/>
      <x:c r="AJ260" s="97"/>
      <x:c r="AK260" s="2"/>
      <x:c r="AL260" s="2"/>
      <x:c r="AM260" s="2" t="str">
        <x:v>https://tpwd.texas.gov/huntwild/hunt/public/public_hunt_drawing/hunt-category-details.phtml?OCat=MDG</x:v>
      </x:c>
      <x:c r="AN260" s="2" t="str">
        <x:v>https://tpwd.texas.gov/search/?q=Matador+WMA+public+hunting+brochure</x:v>
      </x:c>
      <x:c r="AO260" s="2" t="str">
        <x:v>https://apps.tpwd.state.tx.us/huntwild/hunt/public/public_hunt_drawing/</x:v>
      </x:c>
      <x:c r="AP260" s="2" t="str">
        <x:v>https://www.google.com/maps/search/?api=1&amp;query=Matador+WMA%2C+Texas</x:v>
      </x:c>
      <x:c r="AQ260" s="96" t="n">
        <x:v>0</x:v>
      </x:c>
      <x:c r="AR260" s="2" t="str">
        <x:v>Standard Hastings ranking</x:v>
      </x:c>
    </x:row>
    <x:row r="261">
      <x:c r="A261" s="2" t="str">
        <x:v>No</x:v>
      </x:c>
      <x:c r="B261" s="2" t="str">
        <x:v>A</x:v>
      </x:c>
      <x:c r="C261" s="2" t="str">
        <x:v>Mule Deer</x:v>
      </x:c>
      <x:c r="D261" s="2" t="str">
        <x:v>Sierra Diablo WMA</x:v>
      </x:c>
      <x:c r="E261" s="2" t="str">
        <x:v>Trans-Pecos / West Texas</x:v>
      </x:c>
      <x:c r="F261" s="2" t="str">
        <x:v>Gun Mule Deer</x:v>
      </x:c>
      <x:c r="G261" s="2" t="str">
        <x:v>Yes</x:v>
      </x:c>
      <x:c r="H261" s="2" t="str">
        <x:v>Yes</x:v>
      </x:c>
      <x:c r="I261" s="97" t="str">
        <x:v>2026-10-01</x:v>
      </x:c>
      <x:c r="J261" s="2" t="str">
        <x:v>See TPWD category page</x:v>
      </x:c>
      <x:c r="K261" s="111" t="n">
        <x:v>3</x:v>
      </x:c>
      <x:c r="L261" s="111"/>
      <x:c r="M261" s="2"/>
      <x:c r="N261" s="2"/>
      <x:c r="O261" s="113"/>
      <x:c r="P261" s="2" t="n">
        <x:v>520</x:v>
      </x:c>
      <x:c r="Q261" s="2" t="str">
        <x:v>Statewide</x:v>
      </x:c>
      <x:c r="R261" s="2" t="str">
        <x:v>Research before draw; property brochure linked from TPWD</x:v>
      </x:c>
      <x:c r="S261" s="2" t="str">
        <x:v>High</x:v>
      </x:c>
      <x:c r="T261" s="2" t="str">
        <x:v>No</x:v>
      </x:c>
      <x:c r="U261" s="2" t="str">
        <x:v>Verified in TPWD 2026-2027 statewide deer category catalog. West Texas/El Paso-region opportunity; prioritize for mule deer adventure value.</x:v>
      </x:c>
      <x:c r="V261" s="2" t="str">
        <x:v>https://tpwd.texas.gov/huntwild/hunt/public/public_hunt_drawing/hunt-category-details.phtml?OCat=MDG</x:v>
      </x:c>
      <x:c r="W261" s="2" t="n">
        <x:v>2</x:v>
      </x:c>
      <x:c r="X261" s="2" t="n">
        <x:v>2</x:v>
      </x:c>
      <x:c r="Y261" s="2" t="n">
        <x:v>4</x:v>
      </x:c>
      <x:c r="Z261" s="2" t="n">
        <x:v>3</x:v>
      </x:c>
      <x:c r="AA261" s="2" t="n">
        <x:v>4</x:v>
      </x:c>
      <x:c r="AB261" s="2" t="n">
        <x:v>0</x:v>
      </x:c>
      <x:c r="AC261" s="96" t="n">
        <x:v>2.5</x:v>
      </x:c>
      <x:c r="AD261" s="2"/>
      <x:c r="AE261" s="2" t="str">
        <x:v>2026-10-01</x:v>
      </x:c>
      <x:c r="AF261" s="2"/>
      <x:c r="AG261" s="97"/>
      <x:c r="AH261" s="2"/>
      <x:c r="AI261" s="2"/>
      <x:c r="AJ261" s="97"/>
      <x:c r="AK261" s="2"/>
      <x:c r="AL261" s="2"/>
      <x:c r="AM261" s="2" t="str">
        <x:v>https://tpwd.texas.gov/huntwild/hunt/public/public_hunt_drawing/hunt-category-details.phtml?OCat=MDG</x:v>
      </x:c>
      <x:c r="AN261" s="2" t="str">
        <x:v>https://tpwd.texas.gov/search/?q=Sierra+Diablo+WMA+public+hunting+brochure</x:v>
      </x:c>
      <x:c r="AO261" s="2" t="str">
        <x:v>https://apps.tpwd.state.tx.us/huntwild/hunt/public/public_hunt_drawing/</x:v>
      </x:c>
      <x:c r="AP261" s="2" t="str">
        <x:v>https://www.google.com/maps/search/?api=1&amp;query=Sierra+Diablo+WMA%2C+Texas</x:v>
      </x:c>
      <x:c r="AQ261" s="96" t="n">
        <x:v>0</x:v>
      </x:c>
      <x:c r="AR261" s="2" t="str">
        <x:v>Standard Hastings ranking</x:v>
      </x:c>
    </x:row>
    <x:row r="262">
      <x:c r="A262" s="2" t="str">
        <x:v>No</x:v>
      </x:c>
      <x:c r="B262" s="2" t="str">
        <x:v>A</x:v>
      </x:c>
      <x:c r="C262" s="2" t="str">
        <x:v>Mule Deer</x:v>
      </x:c>
      <x:c r="D262" s="2" t="str">
        <x:v>Yoakum Dunes WMA</x:v>
      </x:c>
      <x:c r="E262" s="2" t="str">
        <x:v>Panhandle / Rolling Plains</x:v>
      </x:c>
      <x:c r="F262" s="2" t="str">
        <x:v>Gun Mule Deer</x:v>
      </x:c>
      <x:c r="G262" s="2" t="str">
        <x:v>Yes</x:v>
      </x:c>
      <x:c r="H262" s="2" t="str">
        <x:v>Yes</x:v>
      </x:c>
      <x:c r="I262" s="97" t="str">
        <x:v>2026-10-01</x:v>
      </x:c>
      <x:c r="J262" s="2" t="str">
        <x:v>See TPWD category page</x:v>
      </x:c>
      <x:c r="K262" s="111" t="n">
        <x:v>3</x:v>
      </x:c>
      <x:c r="L262" s="111"/>
      <x:c r="M262" s="2"/>
      <x:c r="N262" s="2"/>
      <x:c r="O262" s="113"/>
      <x:c r="P262" s="2" t="n">
        <x:v>130</x:v>
      </x:c>
      <x:c r="Q262" s="2" t="str">
        <x:v>Core</x:v>
      </x:c>
      <x:c r="R262" s="2" t="str">
        <x:v>Research before draw; property brochure linked from TPWD</x:v>
      </x:c>
      <x:c r="S262" s="2" t="str">
        <x:v>High</x:v>
      </x:c>
      <x:c r="T262" s="2" t="str">
        <x:v>No</x:v>
      </x:c>
      <x:c r="U262" s="2" t="str">
        <x:v>Verified in TPWD 2026-2027 statewide deer category catalog.</x:v>
      </x:c>
      <x:c r="V262" s="2" t="str">
        <x:v>https://tpwd.texas.gov/huntwild/hunt/public/public_hunt_drawing/hunt-category-details.phtml?OCat=MDG</x:v>
      </x:c>
      <x:c r="W262" s="2" t="n">
        <x:v>2</x:v>
      </x:c>
      <x:c r="X262" s="2" t="n">
        <x:v>5</x:v>
      </x:c>
      <x:c r="Y262" s="2" t="n">
        <x:v>4</x:v>
      </x:c>
      <x:c r="Z262" s="2" t="n">
        <x:v>3</x:v>
      </x:c>
      <x:c r="AA262" s="2" t="n">
        <x:v>4</x:v>
      </x:c>
      <x:c r="AB262" s="2" t="n">
        <x:v>0</x:v>
      </x:c>
      <x:c r="AC262" s="96" t="n">
        <x:v>2.9</x:v>
      </x:c>
      <x:c r="AD262" s="2"/>
      <x:c r="AE262" s="2" t="str">
        <x:v>2026-10-01</x:v>
      </x:c>
      <x:c r="AF262" s="2"/>
      <x:c r="AG262" s="97"/>
      <x:c r="AH262" s="2"/>
      <x:c r="AI262" s="2"/>
      <x:c r="AJ262" s="97"/>
      <x:c r="AK262" s="2"/>
      <x:c r="AL262" s="2"/>
      <x:c r="AM262" s="2" t="str">
        <x:v>https://tpwd.texas.gov/huntwild/hunt/public/public_hunt_drawing/hunt-category-details.phtml?OCat=MDG</x:v>
      </x:c>
      <x:c r="AN262" s="2" t="str">
        <x:v>https://tpwd.texas.gov/search/?q=Yoakum+Dunes+WMA+public+hunting+brochure</x:v>
      </x:c>
      <x:c r="AO262" s="2" t="str">
        <x:v>https://apps.tpwd.state.tx.us/huntwild/hunt/public/public_hunt_drawing/</x:v>
      </x:c>
      <x:c r="AP262" s="2" t="str">
        <x:v>https://www.google.com/maps/search/?api=1&amp;query=Yoakum+Dunes+WMA%2C+Texas</x:v>
      </x:c>
      <x:c r="AQ262" s="96" t="n">
        <x:v>0</x:v>
      </x:c>
      <x:c r="AR262" s="2" t="str">
        <x:v>Standard Hastings ranking</x:v>
      </x:c>
    </x:row>
    <x:row r="263">
      <x:c r="A263" s="2" t="str">
        <x:v>No</x:v>
      </x:c>
      <x:c r="B263" s="2" t="str">
        <x:v>A</x:v>
      </x:c>
      <x:c r="C263" s="2" t="str">
        <x:v>Whitetail Deer</x:v>
      </x:c>
      <x:c r="D263" s="2" t="str">
        <x:v>Neches River NWR - Dead Water Unit</x:v>
      </x:c>
      <x:c r="E263" s="2" t="str">
        <x:v>East Texas / Pineywoods</x:v>
      </x:c>
      <x:c r="F263" s="2" t="str">
        <x:v>National Refuge Deer Antlerless/Spike</x:v>
      </x:c>
      <x:c r="G263" s="2" t="str">
        <x:v>Yes</x:v>
      </x:c>
      <x:c r="H263" s="2" t="str">
        <x:v>Yes</x:v>
      </x:c>
      <x:c r="I263" s="97" t="str">
        <x:v>2026-10-01</x:v>
      </x:c>
      <x:c r="J263" s="2" t="str">
        <x:v>See TPWD category page</x:v>
      </x:c>
      <x:c r="K263" s="111" t="n">
        <x:v>3</x:v>
      </x:c>
      <x:c r="L263" s="111"/>
      <x:c r="M263" s="2"/>
      <x:c r="N263" s="2"/>
      <x:c r="O263" s="113"/>
      <x:c r="P263" s="2" t="n">
        <x:v>570</x:v>
      </x:c>
      <x:c r="Q263" s="2" t="str">
        <x:v>Statewide</x:v>
      </x:c>
      <x:c r="R263" s="2" t="str">
        <x:v>Research before draw; property brochure linked from TPWD</x:v>
      </x:c>
      <x:c r="S263" s="2" t="str">
        <x:v>Low</x:v>
      </x:c>
      <x:c r="T263" s="2" t="str">
        <x:v>No</x:v>
      </x:c>
      <x:c r="U263" s="2" t="str">
        <x:v>Verified in TPWD 2026-2027 statewide deer category catalog. Refuge-specific rules and permit fees may apply.</x:v>
      </x:c>
      <x:c r="V263" s="2" t="str">
        <x:v>https://tpwd.texas.gov/huntwild/hunt/public/public_hunt_drawing/hunt-category-details.phtml?OCat=NGA</x:v>
      </x:c>
      <x:c r="W263" s="2" t="n">
        <x:v>2</x:v>
      </x:c>
      <x:c r="X263" s="2" t="n">
        <x:v>2</x:v>
      </x:c>
      <x:c r="Y263" s="2" t="n">
        <x:v>4</x:v>
      </x:c>
      <x:c r="Z263" s="2" t="n">
        <x:v>3</x:v>
      </x:c>
      <x:c r="AA263" s="2" t="n">
        <x:v>2</x:v>
      </x:c>
      <x:c r="AB263" s="2" t="n">
        <x:v>0</x:v>
      </x:c>
      <x:c r="AC263" s="96" t="n">
        <x:v>2.3</x:v>
      </x:c>
      <x:c r="AD263" s="2"/>
      <x:c r="AE263" s="2" t="str">
        <x:v>2026-10-01</x:v>
      </x:c>
      <x:c r="AF263" s="2"/>
      <x:c r="AG263" s="97"/>
      <x:c r="AH263" s="2"/>
      <x:c r="AI263" s="2"/>
      <x:c r="AJ263" s="97"/>
      <x:c r="AK263" s="2"/>
      <x:c r="AL263" s="2"/>
      <x:c r="AM263" s="2" t="str">
        <x:v>https://tpwd.texas.gov/huntwild/hunt/public/public_hunt_drawing/hunt-category-details.phtml?OCat=NGA</x:v>
      </x:c>
      <x:c r="AN263" s="2" t="str">
        <x:v>https://tpwd.texas.gov/search/?q=Neches+River+NWR+-+Dead+Water+Unit+public+hunting+brochure</x:v>
      </x:c>
      <x:c r="AO263" s="2" t="str">
        <x:v>https://apps.tpwd.state.tx.us/huntwild/hunt/public/public_hunt_drawing/</x:v>
      </x:c>
      <x:c r="AP263" s="2" t="str">
        <x:v>https://www.google.com/maps/search/?api=1&amp;query=Neches+River+NWR+-+Dead+Water+Unit%2C+Texas</x:v>
      </x:c>
      <x:c r="AQ263" s="96" t="n">
        <x:v>0</x:v>
      </x:c>
      <x:c r="AR263" s="2" t="str">
        <x:v>Standard Hastings ranking</x:v>
      </x:c>
    </x:row>
    <x:row r="264">
      <x:c r="A264" s="2" t="str">
        <x:v>No</x:v>
      </x:c>
      <x:c r="B264" s="2" t="str">
        <x:v>A</x:v>
      </x:c>
      <x:c r="C264" s="2" t="str">
        <x:v>Whitetail Deer</x:v>
      </x:c>
      <x:c r="D264" s="2" t="str">
        <x:v>Neches River NWR - Rocky Point Unit</x:v>
      </x:c>
      <x:c r="E264" s="2" t="str">
        <x:v>East Texas / Pineywoods</x:v>
      </x:c>
      <x:c r="F264" s="2" t="str">
        <x:v>National Refuge Deer Antlerless/Spike</x:v>
      </x:c>
      <x:c r="G264" s="2" t="str">
        <x:v>Yes</x:v>
      </x:c>
      <x:c r="H264" s="2" t="str">
        <x:v>Yes</x:v>
      </x:c>
      <x:c r="I264" s="97" t="str">
        <x:v>2026-10-01</x:v>
      </x:c>
      <x:c r="J264" s="2" t="str">
        <x:v>See TPWD category page</x:v>
      </x:c>
      <x:c r="K264" s="111" t="n">
        <x:v>3</x:v>
      </x:c>
      <x:c r="L264" s="111"/>
      <x:c r="M264" s="2"/>
      <x:c r="N264" s="2"/>
      <x:c r="O264" s="113"/>
      <x:c r="P264" s="2" t="n">
        <x:v>570</x:v>
      </x:c>
      <x:c r="Q264" s="2" t="str">
        <x:v>Statewide</x:v>
      </x:c>
      <x:c r="R264" s="2" t="str">
        <x:v>Research before draw; property brochure linked from TPWD</x:v>
      </x:c>
      <x:c r="S264" s="2" t="str">
        <x:v>Low</x:v>
      </x:c>
      <x:c r="T264" s="2" t="str">
        <x:v>No</x:v>
      </x:c>
      <x:c r="U264" s="2" t="str">
        <x:v>Verified in TPWD 2026-2027 statewide deer category catalog. Refuge-specific rules and permit fees may apply.</x:v>
      </x:c>
      <x:c r="V264" s="2" t="str">
        <x:v>https://tpwd.texas.gov/huntwild/hunt/public/public_hunt_drawing/hunt-category-details.phtml?OCat=NGA</x:v>
      </x:c>
      <x:c r="W264" s="2" t="n">
        <x:v>2</x:v>
      </x:c>
      <x:c r="X264" s="2" t="n">
        <x:v>2</x:v>
      </x:c>
      <x:c r="Y264" s="2" t="n">
        <x:v>4</x:v>
      </x:c>
      <x:c r="Z264" s="2" t="n">
        <x:v>3</x:v>
      </x:c>
      <x:c r="AA264" s="2" t="n">
        <x:v>2</x:v>
      </x:c>
      <x:c r="AB264" s="2" t="n">
        <x:v>0</x:v>
      </x:c>
      <x:c r="AC264" s="96" t="n">
        <x:v>2.3</x:v>
      </x:c>
      <x:c r="AD264" s="2"/>
      <x:c r="AE264" s="2" t="str">
        <x:v>2026-10-01</x:v>
      </x:c>
      <x:c r="AF264" s="2"/>
      <x:c r="AG264" s="97"/>
      <x:c r="AH264" s="2"/>
      <x:c r="AI264" s="2"/>
      <x:c r="AJ264" s="97"/>
      <x:c r="AK264" s="2"/>
      <x:c r="AL264" s="2"/>
      <x:c r="AM264" s="2" t="str">
        <x:v>https://tpwd.texas.gov/huntwild/hunt/public/public_hunt_drawing/hunt-category-details.phtml?OCat=NGA</x:v>
      </x:c>
      <x:c r="AN264" s="2" t="str">
        <x:v>https://tpwd.texas.gov/search/?q=Neches+River+NWR+-+Rocky+Point+Unit+public+hunting+brochure</x:v>
      </x:c>
      <x:c r="AO264" s="2" t="str">
        <x:v>https://apps.tpwd.state.tx.us/huntwild/hunt/public/public_hunt_drawing/</x:v>
      </x:c>
      <x:c r="AP264" s="2" t="str">
        <x:v>https://www.google.com/maps/search/?api=1&amp;query=Neches+River+NWR+-+Rocky+Point+Unit%2C+Texas</x:v>
      </x:c>
      <x:c r="AQ264" s="96" t="n">
        <x:v>0</x:v>
      </x:c>
      <x:c r="AR264" s="2" t="str">
        <x:v>Standard Hastings ranking</x:v>
      </x:c>
    </x:row>
    <x:row r="265">
      <x:c r="A265" s="2" t="str">
        <x:v>No</x:v>
      </x:c>
      <x:c r="B265" s="2" t="str">
        <x:v>A</x:v>
      </x:c>
      <x:c r="C265" s="2" t="str">
        <x:v>Whitetail Deer</x:v>
      </x:c>
      <x:c r="D265" s="2" t="str">
        <x:v>Neches River NWR - Sandy Bluff Unit</x:v>
      </x:c>
      <x:c r="E265" s="2" t="str">
        <x:v>East Texas / Pineywoods</x:v>
      </x:c>
      <x:c r="F265" s="2" t="str">
        <x:v>National Refuge Deer Antlerless/Spike</x:v>
      </x:c>
      <x:c r="G265" s="2" t="str">
        <x:v>Yes</x:v>
      </x:c>
      <x:c r="H265" s="2" t="str">
        <x:v>Yes</x:v>
      </x:c>
      <x:c r="I265" s="97" t="str">
        <x:v>2026-10-01</x:v>
      </x:c>
      <x:c r="J265" s="2" t="str">
        <x:v>See TPWD category page</x:v>
      </x:c>
      <x:c r="K265" s="111" t="n">
        <x:v>3</x:v>
      </x:c>
      <x:c r="L265" s="111"/>
      <x:c r="M265" s="2"/>
      <x:c r="N265" s="2"/>
      <x:c r="O265" s="113"/>
      <x:c r="P265" s="2" t="n">
        <x:v>570</x:v>
      </x:c>
      <x:c r="Q265" s="2" t="str">
        <x:v>Statewide</x:v>
      </x:c>
      <x:c r="R265" s="2" t="str">
        <x:v>Research before draw; property brochure linked from TPWD</x:v>
      </x:c>
      <x:c r="S265" s="2" t="str">
        <x:v>Low</x:v>
      </x:c>
      <x:c r="T265" s="2" t="str">
        <x:v>No</x:v>
      </x:c>
      <x:c r="U265" s="2" t="str">
        <x:v>Verified in TPWD 2026-2027 statewide deer category catalog. Refuge-specific rules and permit fees may apply.</x:v>
      </x:c>
      <x:c r="V265" s="2" t="str">
        <x:v>https://tpwd.texas.gov/huntwild/hunt/public/public_hunt_drawing/hunt-category-details.phtml?OCat=NGA</x:v>
      </x:c>
      <x:c r="W265" s="2" t="n">
        <x:v>2</x:v>
      </x:c>
      <x:c r="X265" s="2" t="n">
        <x:v>2</x:v>
      </x:c>
      <x:c r="Y265" s="2" t="n">
        <x:v>4</x:v>
      </x:c>
      <x:c r="Z265" s="2" t="n">
        <x:v>3</x:v>
      </x:c>
      <x:c r="AA265" s="2" t="n">
        <x:v>2</x:v>
      </x:c>
      <x:c r="AB265" s="2" t="n">
        <x:v>0</x:v>
      </x:c>
      <x:c r="AC265" s="96" t="n">
        <x:v>2.3</x:v>
      </x:c>
      <x:c r="AD265" s="2"/>
      <x:c r="AE265" s="2" t="str">
        <x:v>2026-10-01</x:v>
      </x:c>
      <x:c r="AF265" s="2"/>
      <x:c r="AG265" s="97"/>
      <x:c r="AH265" s="2"/>
      <x:c r="AI265" s="2"/>
      <x:c r="AJ265" s="97"/>
      <x:c r="AK265" s="2"/>
      <x:c r="AL265" s="2"/>
      <x:c r="AM265" s="2" t="str">
        <x:v>https://tpwd.texas.gov/huntwild/hunt/public/public_hunt_drawing/hunt-category-details.phtml?OCat=NGA</x:v>
      </x:c>
      <x:c r="AN265" s="2" t="str">
        <x:v>https://tpwd.texas.gov/search/?q=Neches+River+NWR+-+Sandy+Bluff+Unit+public+hunting+brochure</x:v>
      </x:c>
      <x:c r="AO265" s="2" t="str">
        <x:v>https://apps.tpwd.state.tx.us/huntwild/hunt/public/public_hunt_drawing/</x:v>
      </x:c>
      <x:c r="AP265" s="2" t="str">
        <x:v>https://www.google.com/maps/search/?api=1&amp;query=Neches+River+NWR+-+Sandy+Bluff+Unit%2C+Texas</x:v>
      </x:c>
      <x:c r="AQ265" s="96" t="n">
        <x:v>0</x:v>
      </x:c>
      <x:c r="AR265" s="2" t="str">
        <x:v>Standard Hastings ranking</x:v>
      </x:c>
    </x:row>
    <x:row r="266">
      <x:c r="A266" s="2" t="str">
        <x:v>No</x:v>
      </x:c>
      <x:c r="B266" s="2" t="str">
        <x:v>A</x:v>
      </x:c>
      <x:c r="C266" s="2" t="str">
        <x:v>Whitetail Deer</x:v>
      </x:c>
      <x:c r="D266" s="2" t="str">
        <x:v>Neches River NWR - Walnut Branch Unit</x:v>
      </x:c>
      <x:c r="E266" s="2" t="str">
        <x:v>East Texas / Pineywoods</x:v>
      </x:c>
      <x:c r="F266" s="2" t="str">
        <x:v>National Refuge Deer Antlerless/Spike</x:v>
      </x:c>
      <x:c r="G266" s="2" t="str">
        <x:v>Yes</x:v>
      </x:c>
      <x:c r="H266" s="2" t="str">
        <x:v>Yes</x:v>
      </x:c>
      <x:c r="I266" s="97" t="str">
        <x:v>2026-10-01</x:v>
      </x:c>
      <x:c r="J266" s="2" t="str">
        <x:v>See TPWD category page</x:v>
      </x:c>
      <x:c r="K266" s="111" t="n">
        <x:v>3</x:v>
      </x:c>
      <x:c r="L266" s="111"/>
      <x:c r="M266" s="2"/>
      <x:c r="N266" s="2"/>
      <x:c r="O266" s="113"/>
      <x:c r="P266" s="2" t="n">
        <x:v>570</x:v>
      </x:c>
      <x:c r="Q266" s="2" t="str">
        <x:v>Statewide</x:v>
      </x:c>
      <x:c r="R266" s="2" t="str">
        <x:v>Research before draw; property brochure linked from TPWD</x:v>
      </x:c>
      <x:c r="S266" s="2" t="str">
        <x:v>Low</x:v>
      </x:c>
      <x:c r="T266" s="2" t="str">
        <x:v>No</x:v>
      </x:c>
      <x:c r="U266" s="2" t="str">
        <x:v>Verified in TPWD 2026-2027 statewide deer category catalog. Refuge-specific rules and permit fees may apply.</x:v>
      </x:c>
      <x:c r="V266" s="2" t="str">
        <x:v>https://tpwd.texas.gov/huntwild/hunt/public/public_hunt_drawing/hunt-category-details.phtml?OCat=NGA</x:v>
      </x:c>
      <x:c r="W266" s="2" t="n">
        <x:v>2</x:v>
      </x:c>
      <x:c r="X266" s="2" t="n">
        <x:v>2</x:v>
      </x:c>
      <x:c r="Y266" s="2" t="n">
        <x:v>4</x:v>
      </x:c>
      <x:c r="Z266" s="2" t="n">
        <x:v>3</x:v>
      </x:c>
      <x:c r="AA266" s="2" t="n">
        <x:v>2</x:v>
      </x:c>
      <x:c r="AB266" s="2" t="n">
        <x:v>0</x:v>
      </x:c>
      <x:c r="AC266" s="96" t="n">
        <x:v>2.3</x:v>
      </x:c>
      <x:c r="AD266" s="2"/>
      <x:c r="AE266" s="2" t="str">
        <x:v>2026-10-01</x:v>
      </x:c>
      <x:c r="AF266" s="2"/>
      <x:c r="AG266" s="97"/>
      <x:c r="AH266" s="2"/>
      <x:c r="AI266" s="2"/>
      <x:c r="AJ266" s="97"/>
      <x:c r="AK266" s="2"/>
      <x:c r="AL266" s="2"/>
      <x:c r="AM266" s="2" t="str">
        <x:v>https://tpwd.texas.gov/huntwild/hunt/public/public_hunt_drawing/hunt-category-details.phtml?OCat=NGA</x:v>
      </x:c>
      <x:c r="AN266" s="2" t="str">
        <x:v>https://tpwd.texas.gov/search/?q=Neches+River+NWR+-+Walnut+Branch+Unit+public+hunting+brochure</x:v>
      </x:c>
      <x:c r="AO266" s="2" t="str">
        <x:v>https://apps.tpwd.state.tx.us/huntwild/hunt/public/public_hunt_drawing/</x:v>
      </x:c>
      <x:c r="AP266" s="2" t="str">
        <x:v>https://www.google.com/maps/search/?api=1&amp;query=Neches+River+NWR+-+Walnut+Branch+Unit%2C+Texas</x:v>
      </x:c>
      <x:c r="AQ266" s="96" t="n">
        <x:v>0</x:v>
      </x:c>
      <x:c r="AR266" s="2" t="str">
        <x:v>Standard Hastings ranking</x:v>
      </x:c>
    </x:row>
    <x:row r="267">
      <x:c r="A267" s="2" t="str">
        <x:v>No</x:v>
      </x:c>
      <x:c r="B267" s="2" t="str">
        <x:v>A</x:v>
      </x:c>
      <x:c r="C267" s="2" t="str">
        <x:v>Whitetail Deer</x:v>
      </x:c>
      <x:c r="D267" s="2" t="str">
        <x:v>Trinity River NWR - Boars Den</x:v>
      </x:c>
      <x:c r="E267" s="2" t="str">
        <x:v>East Texas / Pineywoods</x:v>
      </x:c>
      <x:c r="F267" s="2" t="str">
        <x:v>National Refuge Muzzleloader Deer</x:v>
      </x:c>
      <x:c r="G267" s="2" t="str">
        <x:v>Yes</x:v>
      </x:c>
      <x:c r="H267" s="2" t="str">
        <x:v>Yes</x:v>
      </x:c>
      <x:c r="I267" s="97" t="str">
        <x:v>2026-10-15</x:v>
      </x:c>
      <x:c r="J267" s="2" t="str">
        <x:v>See TPWD category page</x:v>
      </x:c>
      <x:c r="K267" s="111" t="n">
        <x:v>3</x:v>
      </x:c>
      <x:c r="L267" s="111"/>
      <x:c r="M267" s="2"/>
      <x:c r="N267" s="2"/>
      <x:c r="O267" s="113"/>
      <x:c r="P267" s="2" t="n">
        <x:v>570</x:v>
      </x:c>
      <x:c r="Q267" s="2" t="str">
        <x:v>Statewide</x:v>
      </x:c>
      <x:c r="R267" s="2" t="str">
        <x:v>Research before draw; property brochure linked from TPWD</x:v>
      </x:c>
      <x:c r="S267" s="2" t="str">
        <x:v>Low</x:v>
      </x:c>
      <x:c r="T267" s="2" t="str">
        <x:v>No</x:v>
      </x:c>
      <x:c r="U267" s="2" t="str">
        <x:v>Verified in TPWD 2026-2027 statewide deer category catalog. Refuge-specific rules and permit fees may apply.</x:v>
      </x:c>
      <x:c r="V267" s="2" t="str">
        <x:v>https://tpwd.texas.gov/huntwild/hunt/public/public_hunt_drawing/hunt-category-details.phtml?OCat=NMD</x:v>
      </x:c>
      <x:c r="W267" s="2" t="n">
        <x:v>2</x:v>
      </x:c>
      <x:c r="X267" s="2" t="n">
        <x:v>2</x:v>
      </x:c>
      <x:c r="Y267" s="2" t="n">
        <x:v>4</x:v>
      </x:c>
      <x:c r="Z267" s="2" t="n">
        <x:v>3</x:v>
      </x:c>
      <x:c r="AA267" s="2" t="n">
        <x:v>2</x:v>
      </x:c>
      <x:c r="AB267" s="2" t="n">
        <x:v>0</x:v>
      </x:c>
      <x:c r="AC267" s="96" t="n">
        <x:v>2.3</x:v>
      </x:c>
      <x:c r="AD267" s="2"/>
      <x:c r="AE267" s="2" t="str">
        <x:v>2026-10-15</x:v>
      </x:c>
      <x:c r="AF267" s="2"/>
      <x:c r="AG267" s="97"/>
      <x:c r="AH267" s="2"/>
      <x:c r="AI267" s="2"/>
      <x:c r="AJ267" s="97"/>
      <x:c r="AK267" s="2"/>
      <x:c r="AL267" s="2"/>
      <x:c r="AM267" s="2" t="str">
        <x:v>https://tpwd.texas.gov/huntwild/hunt/public/public_hunt_drawing/hunt-category-details.phtml?OCat=NMD</x:v>
      </x:c>
      <x:c r="AN267" s="2" t="str">
        <x:v>https://tpwd.texas.gov/search/?q=Trinity+River+NWR+-+Boars+Den+public+hunting+brochure</x:v>
      </x:c>
      <x:c r="AO267" s="2" t="str">
        <x:v>https://apps.tpwd.state.tx.us/huntwild/hunt/public/public_hunt_drawing/</x:v>
      </x:c>
      <x:c r="AP267" s="2" t="str">
        <x:v>https://www.google.com/maps/search/?api=1&amp;query=Trinity+River+NWR+-+Boars+Den%2C+Texas</x:v>
      </x:c>
      <x:c r="AQ267" s="96" t="n">
        <x:v>0</x:v>
      </x:c>
      <x:c r="AR267" s="2" t="str">
        <x:v>Standard Hastings ranking</x:v>
      </x:c>
    </x:row>
    <x:row r="268">
      <x:c r="A268" s="2" t="str">
        <x:v>No</x:v>
      </x:c>
      <x:c r="B268" s="2" t="str">
        <x:v>A</x:v>
      </x:c>
      <x:c r="C268" s="2" t="str">
        <x:v>Whitetail Deer</x:v>
      </x:c>
      <x:c r="D268" s="2" t="str">
        <x:v>Trinity River NWR - Brierwood</x:v>
      </x:c>
      <x:c r="E268" s="2" t="str">
        <x:v>East Texas / Pineywoods</x:v>
      </x:c>
      <x:c r="F268" s="2" t="str">
        <x:v>National Refuge Muzzleloader Deer</x:v>
      </x:c>
      <x:c r="G268" s="2" t="str">
        <x:v>Yes</x:v>
      </x:c>
      <x:c r="H268" s="2" t="str">
        <x:v>Yes</x:v>
      </x:c>
      <x:c r="I268" s="97" t="str">
        <x:v>2026-10-15</x:v>
      </x:c>
      <x:c r="J268" s="2" t="str">
        <x:v>See TPWD category page</x:v>
      </x:c>
      <x:c r="K268" s="111" t="n">
        <x:v>3</x:v>
      </x:c>
      <x:c r="L268" s="111"/>
      <x:c r="M268" s="2"/>
      <x:c r="N268" s="2"/>
      <x:c r="O268" s="113"/>
      <x:c r="P268" s="2" t="n">
        <x:v>570</x:v>
      </x:c>
      <x:c r="Q268" s="2" t="str">
        <x:v>Statewide</x:v>
      </x:c>
      <x:c r="R268" s="2" t="str">
        <x:v>Research before draw; property brochure linked from TPWD</x:v>
      </x:c>
      <x:c r="S268" s="2" t="str">
        <x:v>Low</x:v>
      </x:c>
      <x:c r="T268" s="2" t="str">
        <x:v>No</x:v>
      </x:c>
      <x:c r="U268" s="2" t="str">
        <x:v>Verified in TPWD 2026-2027 statewide deer category catalog. Refuge-specific rules and permit fees may apply.</x:v>
      </x:c>
      <x:c r="V268" s="2" t="str">
        <x:v>https://tpwd.texas.gov/huntwild/hunt/public/public_hunt_drawing/hunt-category-details.phtml?OCat=NMD</x:v>
      </x:c>
      <x:c r="W268" s="2" t="n">
        <x:v>2</x:v>
      </x:c>
      <x:c r="X268" s="2" t="n">
        <x:v>2</x:v>
      </x:c>
      <x:c r="Y268" s="2" t="n">
        <x:v>4</x:v>
      </x:c>
      <x:c r="Z268" s="2" t="n">
        <x:v>3</x:v>
      </x:c>
      <x:c r="AA268" s="2" t="n">
        <x:v>2</x:v>
      </x:c>
      <x:c r="AB268" s="2" t="n">
        <x:v>0</x:v>
      </x:c>
      <x:c r="AC268" s="96" t="n">
        <x:v>2.3</x:v>
      </x:c>
      <x:c r="AD268" s="2"/>
      <x:c r="AE268" s="2" t="str">
        <x:v>2026-10-15</x:v>
      </x:c>
      <x:c r="AF268" s="2"/>
      <x:c r="AG268" s="97"/>
      <x:c r="AH268" s="2"/>
      <x:c r="AI268" s="2"/>
      <x:c r="AJ268" s="97"/>
      <x:c r="AK268" s="2"/>
      <x:c r="AL268" s="2"/>
      <x:c r="AM268" s="2" t="str">
        <x:v>https://tpwd.texas.gov/huntwild/hunt/public/public_hunt_drawing/hunt-category-details.phtml?OCat=NMD</x:v>
      </x:c>
      <x:c r="AN268" s="2" t="str">
        <x:v>https://tpwd.texas.gov/search/?q=Trinity+River+NWR+-+Brierwood+public+hunting+brochure</x:v>
      </x:c>
      <x:c r="AO268" s="2" t="str">
        <x:v>https://apps.tpwd.state.tx.us/huntwild/hunt/public/public_hunt_drawing/</x:v>
      </x:c>
      <x:c r="AP268" s="2" t="str">
        <x:v>https://www.google.com/maps/search/?api=1&amp;query=Trinity+River+NWR+-+Brierwood%2C+Texas</x:v>
      </x:c>
      <x:c r="AQ268" s="96" t="n">
        <x:v>0</x:v>
      </x:c>
      <x:c r="AR268" s="2" t="str">
        <x:v>Standard Hastings ranking</x:v>
      </x:c>
    </x:row>
    <x:row r="269">
      <x:c r="A269" s="2" t="str">
        <x:v>No</x:v>
      </x:c>
      <x:c r="B269" s="2" t="str">
        <x:v>A</x:v>
      </x:c>
      <x:c r="C269" s="2" t="str">
        <x:v>Whitetail Deer</x:v>
      </x:c>
      <x:c r="D269" s="2" t="str">
        <x:v>Trinity River NWR - Butler</x:v>
      </x:c>
      <x:c r="E269" s="2" t="str">
        <x:v>East Texas / Pineywoods</x:v>
      </x:c>
      <x:c r="F269" s="2" t="str">
        <x:v>National Refuge Muzzleloader Deer</x:v>
      </x:c>
      <x:c r="G269" s="2" t="str">
        <x:v>Yes</x:v>
      </x:c>
      <x:c r="H269" s="2" t="str">
        <x:v>Yes</x:v>
      </x:c>
      <x:c r="I269" s="97" t="str">
        <x:v>2026-10-15</x:v>
      </x:c>
      <x:c r="J269" s="2" t="str">
        <x:v>See TPWD category page</x:v>
      </x:c>
      <x:c r="K269" s="111" t="n">
        <x:v>3</x:v>
      </x:c>
      <x:c r="L269" s="111"/>
      <x:c r="M269" s="2"/>
      <x:c r="N269" s="2"/>
      <x:c r="O269" s="113"/>
      <x:c r="P269" s="2" t="n">
        <x:v>570</x:v>
      </x:c>
      <x:c r="Q269" s="2" t="str">
        <x:v>Statewide</x:v>
      </x:c>
      <x:c r="R269" s="2" t="str">
        <x:v>Research before draw; property brochure linked from TPWD</x:v>
      </x:c>
      <x:c r="S269" s="2" t="str">
        <x:v>Low</x:v>
      </x:c>
      <x:c r="T269" s="2" t="str">
        <x:v>No</x:v>
      </x:c>
      <x:c r="U269" s="2" t="str">
        <x:v>Verified in TPWD 2026-2027 statewide deer category catalog. Refuge-specific rules and permit fees may apply.</x:v>
      </x:c>
      <x:c r="V269" s="2" t="str">
        <x:v>https://tpwd.texas.gov/huntwild/hunt/public/public_hunt_drawing/hunt-category-details.phtml?OCat=NMD</x:v>
      </x:c>
      <x:c r="W269" s="2" t="n">
        <x:v>2</x:v>
      </x:c>
      <x:c r="X269" s="2" t="n">
        <x:v>2</x:v>
      </x:c>
      <x:c r="Y269" s="2" t="n">
        <x:v>4</x:v>
      </x:c>
      <x:c r="Z269" s="2" t="n">
        <x:v>3</x:v>
      </x:c>
      <x:c r="AA269" s="2" t="n">
        <x:v>2</x:v>
      </x:c>
      <x:c r="AB269" s="2" t="n">
        <x:v>0</x:v>
      </x:c>
      <x:c r="AC269" s="96" t="n">
        <x:v>2.3</x:v>
      </x:c>
      <x:c r="AD269" s="2"/>
      <x:c r="AE269" s="2" t="str">
        <x:v>2026-10-15</x:v>
      </x:c>
      <x:c r="AF269" s="2"/>
      <x:c r="AG269" s="97"/>
      <x:c r="AH269" s="2"/>
      <x:c r="AI269" s="2"/>
      <x:c r="AJ269" s="97"/>
      <x:c r="AK269" s="2"/>
      <x:c r="AL269" s="2"/>
      <x:c r="AM269" s="2" t="str">
        <x:v>https://tpwd.texas.gov/huntwild/hunt/public/public_hunt_drawing/hunt-category-details.phtml?OCat=NMD</x:v>
      </x:c>
      <x:c r="AN269" s="2" t="str">
        <x:v>https://tpwd.texas.gov/search/?q=Trinity+River+NWR+-+Butler+public+hunting+brochure</x:v>
      </x:c>
      <x:c r="AO269" s="2" t="str">
        <x:v>https://apps.tpwd.state.tx.us/huntwild/hunt/public/public_hunt_drawing/</x:v>
      </x:c>
      <x:c r="AP269" s="2" t="str">
        <x:v>https://www.google.com/maps/search/?api=1&amp;query=Trinity+River+NWR+-+Butler%2C+Texas</x:v>
      </x:c>
      <x:c r="AQ269" s="96" t="n">
        <x:v>0</x:v>
      </x:c>
      <x:c r="AR269" s="2" t="str">
        <x:v>Standard Hastings ranking</x:v>
      </x:c>
    </x:row>
    <x:row r="270">
      <x:c r="A270" s="2" t="str">
        <x:v>No</x:v>
      </x:c>
      <x:c r="B270" s="2" t="str">
        <x:v>A</x:v>
      </x:c>
      <x:c r="C270" s="2" t="str">
        <x:v>Whitetail Deer</x:v>
      </x:c>
      <x:c r="D270" s="2" t="str">
        <x:v>Trinity River NWR - Hirsch</x:v>
      </x:c>
      <x:c r="E270" s="2" t="str">
        <x:v>East Texas / Pineywoods</x:v>
      </x:c>
      <x:c r="F270" s="2" t="str">
        <x:v>National Refuge Muzzleloader Deer</x:v>
      </x:c>
      <x:c r="G270" s="2" t="str">
        <x:v>Yes</x:v>
      </x:c>
      <x:c r="H270" s="2" t="str">
        <x:v>Yes</x:v>
      </x:c>
      <x:c r="I270" s="97" t="str">
        <x:v>2026-10-15</x:v>
      </x:c>
      <x:c r="J270" s="2" t="str">
        <x:v>See TPWD category page</x:v>
      </x:c>
      <x:c r="K270" s="111" t="n">
        <x:v>3</x:v>
      </x:c>
      <x:c r="L270" s="111"/>
      <x:c r="M270" s="2"/>
      <x:c r="N270" s="2"/>
      <x:c r="O270" s="113"/>
      <x:c r="P270" s="2" t="n">
        <x:v>570</x:v>
      </x:c>
      <x:c r="Q270" s="2" t="str">
        <x:v>Statewide</x:v>
      </x:c>
      <x:c r="R270" s="2" t="str">
        <x:v>Research before draw; property brochure linked from TPWD</x:v>
      </x:c>
      <x:c r="S270" s="2" t="str">
        <x:v>Low</x:v>
      </x:c>
      <x:c r="T270" s="2" t="str">
        <x:v>No</x:v>
      </x:c>
      <x:c r="U270" s="2" t="str">
        <x:v>Verified in TPWD 2026-2027 statewide deer category catalog. Refuge-specific rules and permit fees may apply.</x:v>
      </x:c>
      <x:c r="V270" s="2" t="str">
        <x:v>https://tpwd.texas.gov/huntwild/hunt/public/public_hunt_drawing/hunt-category-details.phtml?OCat=NMD</x:v>
      </x:c>
      <x:c r="W270" s="2" t="n">
        <x:v>2</x:v>
      </x:c>
      <x:c r="X270" s="2" t="n">
        <x:v>2</x:v>
      </x:c>
      <x:c r="Y270" s="2" t="n">
        <x:v>4</x:v>
      </x:c>
      <x:c r="Z270" s="2" t="n">
        <x:v>3</x:v>
      </x:c>
      <x:c r="AA270" s="2" t="n">
        <x:v>2</x:v>
      </x:c>
      <x:c r="AB270" s="2" t="n">
        <x:v>0</x:v>
      </x:c>
      <x:c r="AC270" s="96" t="n">
        <x:v>2.3</x:v>
      </x:c>
      <x:c r="AD270" s="2"/>
      <x:c r="AE270" s="2" t="str">
        <x:v>2026-10-15</x:v>
      </x:c>
      <x:c r="AF270" s="2"/>
      <x:c r="AG270" s="97"/>
      <x:c r="AH270" s="2"/>
      <x:c r="AI270" s="2"/>
      <x:c r="AJ270" s="97"/>
      <x:c r="AK270" s="2"/>
      <x:c r="AL270" s="2"/>
      <x:c r="AM270" s="2" t="str">
        <x:v>https://tpwd.texas.gov/huntwild/hunt/public/public_hunt_drawing/hunt-category-details.phtml?OCat=NMD</x:v>
      </x:c>
      <x:c r="AN270" s="2" t="str">
        <x:v>https://tpwd.texas.gov/search/?q=Trinity+River+NWR+-+Hirsch+public+hunting+brochure</x:v>
      </x:c>
      <x:c r="AO270" s="2" t="str">
        <x:v>https://apps.tpwd.state.tx.us/huntwild/hunt/public/public_hunt_drawing/</x:v>
      </x:c>
      <x:c r="AP270" s="2" t="str">
        <x:v>https://www.google.com/maps/search/?api=1&amp;query=Trinity+River+NWR+-+Hirsch%2C+Texas</x:v>
      </x:c>
      <x:c r="AQ270" s="96" t="n">
        <x:v>0</x:v>
      </x:c>
      <x:c r="AR270" s="2" t="str">
        <x:v>Standard Hastings ranking</x:v>
      </x:c>
    </x:row>
    <x:row r="271">
      <x:c r="A271" s="2" t="str">
        <x:v>No</x:v>
      </x:c>
      <x:c r="B271" s="2" t="str">
        <x:v>A</x:v>
      </x:c>
      <x:c r="C271" s="2" t="str">
        <x:v>Whitetail Deer</x:v>
      </x:c>
      <x:c r="D271" s="2" t="str">
        <x:v>Trinity River NWR - Mcguire</x:v>
      </x:c>
      <x:c r="E271" s="2" t="str">
        <x:v>East Texas / Pineywoods</x:v>
      </x:c>
      <x:c r="F271" s="2" t="str">
        <x:v>National Refuge Muzzleloader Deer</x:v>
      </x:c>
      <x:c r="G271" s="2" t="str">
        <x:v>Yes</x:v>
      </x:c>
      <x:c r="H271" s="2" t="str">
        <x:v>Yes</x:v>
      </x:c>
      <x:c r="I271" s="97" t="str">
        <x:v>2026-10-15</x:v>
      </x:c>
      <x:c r="J271" s="2" t="str">
        <x:v>See TPWD category page</x:v>
      </x:c>
      <x:c r="K271" s="111" t="n">
        <x:v>3</x:v>
      </x:c>
      <x:c r="L271" s="111"/>
      <x:c r="M271" s="2"/>
      <x:c r="N271" s="2"/>
      <x:c r="O271" s="113"/>
      <x:c r="P271" s="2" t="n">
        <x:v>570</x:v>
      </x:c>
      <x:c r="Q271" s="2" t="str">
        <x:v>Statewide</x:v>
      </x:c>
      <x:c r="R271" s="2" t="str">
        <x:v>Research before draw; property brochure linked from TPWD</x:v>
      </x:c>
      <x:c r="S271" s="2" t="str">
        <x:v>Low</x:v>
      </x:c>
      <x:c r="T271" s="2" t="str">
        <x:v>No</x:v>
      </x:c>
      <x:c r="U271" s="2" t="str">
        <x:v>Verified in TPWD 2026-2027 statewide deer category catalog. Refuge-specific rules and permit fees may apply.</x:v>
      </x:c>
      <x:c r="V271" s="2" t="str">
        <x:v>https://tpwd.texas.gov/huntwild/hunt/public/public_hunt_drawing/hunt-category-details.phtml?OCat=NMD</x:v>
      </x:c>
      <x:c r="W271" s="2" t="n">
        <x:v>2</x:v>
      </x:c>
      <x:c r="X271" s="2" t="n">
        <x:v>2</x:v>
      </x:c>
      <x:c r="Y271" s="2" t="n">
        <x:v>4</x:v>
      </x:c>
      <x:c r="Z271" s="2" t="n">
        <x:v>3</x:v>
      </x:c>
      <x:c r="AA271" s="2" t="n">
        <x:v>2</x:v>
      </x:c>
      <x:c r="AB271" s="2" t="n">
        <x:v>0</x:v>
      </x:c>
      <x:c r="AC271" s="96" t="n">
        <x:v>2.3</x:v>
      </x:c>
      <x:c r="AD271" s="2"/>
      <x:c r="AE271" s="2" t="str">
        <x:v>2026-10-15</x:v>
      </x:c>
      <x:c r="AF271" s="2"/>
      <x:c r="AG271" s="97"/>
      <x:c r="AH271" s="2"/>
      <x:c r="AI271" s="2"/>
      <x:c r="AJ271" s="97"/>
      <x:c r="AK271" s="2"/>
      <x:c r="AL271" s="2"/>
      <x:c r="AM271" s="2" t="str">
        <x:v>https://tpwd.texas.gov/huntwild/hunt/public/public_hunt_drawing/hunt-category-details.phtml?OCat=NMD</x:v>
      </x:c>
      <x:c r="AN271" s="2" t="str">
        <x:v>https://tpwd.texas.gov/search/?q=Trinity+River+NWR+-+Mcguire+public+hunting+brochure</x:v>
      </x:c>
      <x:c r="AO271" s="2" t="str">
        <x:v>https://apps.tpwd.state.tx.us/huntwild/hunt/public/public_hunt_drawing/</x:v>
      </x:c>
      <x:c r="AP271" s="2" t="str">
        <x:v>https://www.google.com/maps/search/?api=1&amp;query=Trinity+River+NWR+-+Mcguire%2C+Texas</x:v>
      </x:c>
      <x:c r="AQ271" s="96" t="n">
        <x:v>0</x:v>
      </x:c>
      <x:c r="AR271" s="2" t="str">
        <x:v>Standard Hastings ranking</x:v>
      </x:c>
    </x:row>
    <x:row r="272">
      <x:c r="A272" s="2" t="str">
        <x:v>No</x:v>
      </x:c>
      <x:c r="B272" s="2" t="str">
        <x:v>A</x:v>
      </x:c>
      <x:c r="C272" s="2" t="str">
        <x:v>Whitetail Deer</x:v>
      </x:c>
      <x:c r="D272" s="2" t="str">
        <x:v>Trinity River NWR - Page</x:v>
      </x:c>
      <x:c r="E272" s="2" t="str">
        <x:v>East Texas / Pineywoods</x:v>
      </x:c>
      <x:c r="F272" s="2" t="str">
        <x:v>National Refuge Muzzleloader Deer</x:v>
      </x:c>
      <x:c r="G272" s="2" t="str">
        <x:v>Yes</x:v>
      </x:c>
      <x:c r="H272" s="2" t="str">
        <x:v>Yes</x:v>
      </x:c>
      <x:c r="I272" s="97" t="str">
        <x:v>2026-10-15</x:v>
      </x:c>
      <x:c r="J272" s="2" t="str">
        <x:v>See TPWD category page</x:v>
      </x:c>
      <x:c r="K272" s="111" t="n">
        <x:v>3</x:v>
      </x:c>
      <x:c r="L272" s="111"/>
      <x:c r="M272" s="2"/>
      <x:c r="N272" s="2"/>
      <x:c r="O272" s="113"/>
      <x:c r="P272" s="2" t="n">
        <x:v>570</x:v>
      </x:c>
      <x:c r="Q272" s="2" t="str">
        <x:v>Statewide</x:v>
      </x:c>
      <x:c r="R272" s="2" t="str">
        <x:v>Research before draw; property brochure linked from TPWD</x:v>
      </x:c>
      <x:c r="S272" s="2" t="str">
        <x:v>Low</x:v>
      </x:c>
      <x:c r="T272" s="2" t="str">
        <x:v>No</x:v>
      </x:c>
      <x:c r="U272" s="2" t="str">
        <x:v>Verified in TPWD 2026-2027 statewide deer category catalog. Refuge-specific rules and permit fees may apply.</x:v>
      </x:c>
      <x:c r="V272" s="2" t="str">
        <x:v>https://tpwd.texas.gov/huntwild/hunt/public/public_hunt_drawing/hunt-category-details.phtml?OCat=NMD</x:v>
      </x:c>
      <x:c r="W272" s="2" t="n">
        <x:v>2</x:v>
      </x:c>
      <x:c r="X272" s="2" t="n">
        <x:v>2</x:v>
      </x:c>
      <x:c r="Y272" s="2" t="n">
        <x:v>4</x:v>
      </x:c>
      <x:c r="Z272" s="2" t="n">
        <x:v>3</x:v>
      </x:c>
      <x:c r="AA272" s="2" t="n">
        <x:v>2</x:v>
      </x:c>
      <x:c r="AB272" s="2" t="n">
        <x:v>0</x:v>
      </x:c>
      <x:c r="AC272" s="96" t="n">
        <x:v>2.3</x:v>
      </x:c>
      <x:c r="AD272" s="2"/>
      <x:c r="AE272" s="2" t="str">
        <x:v>2026-10-15</x:v>
      </x:c>
      <x:c r="AF272" s="2"/>
      <x:c r="AG272" s="97"/>
      <x:c r="AH272" s="2"/>
      <x:c r="AI272" s="2"/>
      <x:c r="AJ272" s="97"/>
      <x:c r="AK272" s="2"/>
      <x:c r="AL272" s="2"/>
      <x:c r="AM272" s="2" t="str">
        <x:v>https://tpwd.texas.gov/huntwild/hunt/public/public_hunt_drawing/hunt-category-details.phtml?OCat=NMD</x:v>
      </x:c>
      <x:c r="AN272" s="2" t="str">
        <x:v>https://tpwd.texas.gov/search/?q=Trinity+River+NWR+-+Page+public+hunting+brochure</x:v>
      </x:c>
      <x:c r="AO272" s="2" t="str">
        <x:v>https://apps.tpwd.state.tx.us/huntwild/hunt/public/public_hunt_drawing/</x:v>
      </x:c>
      <x:c r="AP272" s="2" t="str">
        <x:v>https://www.google.com/maps/search/?api=1&amp;query=Trinity+River+NWR+-+Page%2C+Texas</x:v>
      </x:c>
      <x:c r="AQ272" s="96" t="n">
        <x:v>0</x:v>
      </x:c>
      <x:c r="AR272" s="2" t="str">
        <x:v>Standard Hastings ranking</x:v>
      </x:c>
    </x:row>
    <x:row r="273">
      <x:c r="A273" s="2" t="str">
        <x:v>No</x:v>
      </x:c>
      <x:c r="B273" s="2" t="str">
        <x:v>A</x:v>
      </x:c>
      <x:c r="C273" s="2" t="str">
        <x:v>Feral Hog</x:v>
      </x:c>
      <x:c r="D273" s="2" t="str">
        <x:v>Gene Howe WMA</x:v>
      </x:c>
      <x:c r="E273" s="2" t="str">
        <x:v>Panhandle/Rolling Plains</x:v>
      </x:c>
      <x:c r="F273" s="2" t="str">
        <x:v>Feral Hog</x:v>
      </x:c>
      <x:c r="G273" s="2" t="str">
        <x:v>Yes</x:v>
      </x:c>
      <x:c r="H273" s="2" t="str">
        <x:v>Yes</x:v>
      </x:c>
      <x:c r="I273" s="97" t="str">
        <x:v>2026-11-01</x:v>
      </x:c>
      <x:c r="J273" s="2" t="str">
        <x:v>Feb 20-24, 2027</x:v>
      </x:c>
      <x:c r="K273" s="111" t="n">
        <x:v>3</x:v>
      </x:c>
      <x:c r="L273" s="111" t="n">
        <x:v>130</x:v>
      </x:c>
      <x:c r="M273" s="2" t="n">
        <x:v>6</x:v>
      </x:c>
      <x:c r="N273" s="2" t="n">
        <x:v>344</x:v>
      </x:c>
      <x:c r="O273" s="113" t="n">
        <x:v>0.33</x:v>
      </x:c>
      <x:c r="P273" s="2" t="n">
        <x:v>132</x:v>
      </x:c>
      <x:c r="Q273" s="2" t="str">
        <x:v>Core</x:v>
      </x:c>
      <x:c r="R273" s="2" t="str">
        <x:v>Primitive camping nearby</x:v>
      </x:c>
      <x:c r="S273" s="2" t="str">
        <x:v>Medium</x:v>
      </x:c>
      <x:c r="T273" s="2" t="str">
        <x:v>No</x:v>
      </x:c>
      <x:c r="U273" s="2" t="str">
        <x:v>TPWD listed 344 applicants, 6 groups, 33% success rate last year.</x:v>
      </x:c>
      <x:c r="V273" s="2" t="str">
        <x:v>https://tpwd.texas.gov/huntwild/hunt/public/public_hunt_drawing/hunt-category-details.phtml?OCat=GFH</x:v>
      </x:c>
      <x:c r="W273" s="2" t="n">
        <x:v>4</x:v>
      </x:c>
      <x:c r="X273" s="2" t="n">
        <x:v>4</x:v>
      </x:c>
      <x:c r="Y273" s="2" t="n">
        <x:v>5</x:v>
      </x:c>
      <x:c r="Z273" s="2" t="n">
        <x:v>4</x:v>
      </x:c>
      <x:c r="AA273" s="2" t="n">
        <x:v>3</x:v>
      </x:c>
      <x:c r="AB273" s="2" t="n">
        <x:v>0</x:v>
      </x:c>
      <x:c r="AC273" s="96" t="n">
        <x:v>3.7</x:v>
      </x:c>
      <x:c r="AD273" s="2" t="n">
        <x:v>133</x:v>
      </x:c>
      <x:c r="AE273" s="2" t="str">
        <x:v>2026-11-01</x:v>
      </x:c>
      <x:c r="AF273" s="2"/>
      <x:c r="AG273" s="97"/>
      <x:c r="AH273" s="2"/>
      <x:c r="AI273" s="2"/>
      <x:c r="AJ273" s="97"/>
      <x:c r="AK273" s="2"/>
      <x:c r="AL273" s="2"/>
      <x:c r="AM273" s="2" t="str">
        <x:v>https://tpwd.texas.gov/huntwild/hunt/public/public_hunt_drawing/hunt-category-details.phtml?OCat=GFH</x:v>
      </x:c>
      <x:c r="AN273" s="2" t="str">
        <x:v>https://tpwd.texas.gov/search/?q=Gene+Howe+WMA+public+hunting+brochure</x:v>
      </x:c>
      <x:c r="AO273" s="2" t="str">
        <x:v>https://apps.tpwd.state.tx.us/huntwild/hunt/public/public_hunt_drawing/</x:v>
      </x:c>
      <x:c r="AP273" s="2" t="str">
        <x:v>https://www.google.com/maps/search/?api=1&amp;query=Gene+Howe+WMA%2C+Texas</x:v>
      </x:c>
      <x:c r="AQ273" s="96" t="n">
        <x:v>0</x:v>
      </x:c>
      <x:c r="AR273" s="2" t="str">
        <x:v>Standard Hastings ranking</x:v>
      </x:c>
    </x:row>
    <x:row r="274">
      <x:c r="A274" s="2" t="str">
        <x:v>No</x:v>
      </x:c>
      <x:c r="B274" s="2" t="str">
        <x:v>A</x:v>
      </x:c>
      <x:c r="C274" s="2" t="str">
        <x:v>Turkey</x:v>
      </x:c>
      <x:c r="D274" s="2" t="str">
        <x:v>Gene Howe WMA</x:v>
      </x:c>
      <x:c r="E274" s="2" t="str">
        <x:v>Panhandle/Rolling Plains</x:v>
      </x:c>
      <x:c r="F274" s="2" t="str">
        <x:v>Spring Turkey / Youth Spring Turkey</x:v>
      </x:c>
      <x:c r="G274" s="2" t="str">
        <x:v>Yes</x:v>
      </x:c>
      <x:c r="H274" s="2" t="str">
        <x:v>Yes</x:v>
      </x:c>
      <x:c r="I274" s="97" t="str">
        <x:v>2027-01-15</x:v>
      </x:c>
      <x:c r="J274" s="2" t="str">
        <x:v>Spring 2027 varies</x:v>
      </x:c>
      <x:c r="K274" s="111" t="n">
        <x:v>3</x:v>
      </x:c>
      <x:c r="L274" s="111" t="n">
        <x:v>80</x:v>
      </x:c>
      <x:c r="M274" s="2"/>
      <x:c r="N274" s="2"/>
      <x:c r="O274" s="113"/>
      <x:c r="P274" s="2" t="n">
        <x:v>132</x:v>
      </x:c>
      <x:c r="Q274" s="2" t="str">
        <x:v>Core</x:v>
      </x:c>
      <x:c r="R274" s="2" t="str">
        <x:v>Primitive camping nearby</x:v>
      </x:c>
      <x:c r="S274" s="2" t="str">
        <x:v>Medium</x:v>
      </x:c>
      <x:c r="T274" s="2" t="str">
        <x:v>No</x:v>
      </x:c>
      <x:c r="U274" s="2" t="str">
        <x:v>Good multi-season property to keep in the annual plan.</x:v>
      </x:c>
      <x:c r="V274" s="2" t="str">
        <x:v>https://tpwd.texas.gov/huntwild/hunt/public/public_hunt_drawing/hunt-area-details.phtml?OArea=GE</x:v>
      </x:c>
      <x:c r="W274" s="2" t="n">
        <x:v>2</x:v>
      </x:c>
      <x:c r="X274" s="2" t="n">
        <x:v>4</x:v>
      </x:c>
      <x:c r="Y274" s="2" t="n">
        <x:v>5</x:v>
      </x:c>
      <x:c r="Z274" s="2" t="n">
        <x:v>4</x:v>
      </x:c>
      <x:c r="AA274" s="2" t="n">
        <x:v>3</x:v>
      </x:c>
      <x:c r="AB274" s="2" t="n">
        <x:v>0</x:v>
      </x:c>
      <x:c r="AC274" s="96" t="n">
        <x:v>3</x:v>
      </x:c>
      <x:c r="AD274" s="2" t="n">
        <x:v>83</x:v>
      </x:c>
      <x:c r="AE274" s="2" t="str">
        <x:v>2027-01-15</x:v>
      </x:c>
      <x:c r="AF274" s="2"/>
      <x:c r="AG274" s="97"/>
      <x:c r="AH274" s="2"/>
      <x:c r="AI274" s="2"/>
      <x:c r="AJ274" s="97"/>
      <x:c r="AK274" s="2"/>
      <x:c r="AL274" s="2"/>
      <x:c r="AM274" s="2" t="str">
        <x:v>https://tpwd.texas.gov/huntwild/hunt/public/public_hunt_drawing/hunt-area-details.phtml?OArea=GE</x:v>
      </x:c>
      <x:c r="AN274" s="2" t="str">
        <x:v>https://tpwd.texas.gov/search/?q=Gene+Howe+WMA+public+hunting+brochure</x:v>
      </x:c>
      <x:c r="AO274" s="2" t="str">
        <x:v>https://apps.tpwd.state.tx.us/huntwild/hunt/public/public_hunt_drawing/</x:v>
      </x:c>
      <x:c r="AP274" s="2" t="str">
        <x:v>https://www.google.com/maps/search/?api=1&amp;query=Gene+Howe+WMA%2C+Texas</x:v>
      </x:c>
      <x:c r="AQ274" s="96" t="n">
        <x:v>0</x:v>
      </x:c>
      <x:c r="AR274" s="2" t="str">
        <x:v>Standard Hastings ranking</x:v>
      </x:c>
    </x:row>
    <x:row r="275">
      <x:c r="A275" s="2" t="str">
        <x:v>No</x:v>
      </x:c>
      <x:c r="B275" s="2" t="str">
        <x:v>A</x:v>
      </x:c>
      <x:c r="C275" s="2" t="str">
        <x:v>Feral Hog</x:v>
      </x:c>
      <x:c r="D275" s="2" t="str">
        <x:v>Matador WMA</x:v>
      </x:c>
      <x:c r="E275" s="2" t="str">
        <x:v>Rolling Plains</x:v>
      </x:c>
      <x:c r="F275" s="2" t="str">
        <x:v>Youth Only Feral Hog</x:v>
      </x:c>
      <x:c r="G275" s="2" t="str">
        <x:v>No</x:v>
      </x:c>
      <x:c r="H275" s="2" t="str">
        <x:v>Yes</x:v>
      </x:c>
      <x:c r="I275" s="97" t="str">
        <x:v>2026-11-01</x:v>
      </x:c>
      <x:c r="J275" s="2" t="str">
        <x:v>Mar 6-7, 2027</x:v>
      </x:c>
      <x:c r="K275" s="111" t="n">
        <x:v>0</x:v>
      </x:c>
      <x:c r="L275" s="111" t="n">
        <x:v>0</x:v>
      </x:c>
      <x:c r="M275" s="2" t="n">
        <x:v>26</x:v>
      </x:c>
      <x:c r="N275" s="2" t="n">
        <x:v>347</x:v>
      </x:c>
      <x:c r="O275" s="113" t="n">
        <x:v>0.18</x:v>
      </x:c>
      <x:c r="P275" s="2" t="n">
        <x:v>105</x:v>
      </x:c>
      <x:c r="Q275" s="2" t="str">
        <x:v>Core</x:v>
      </x:c>
      <x:c r="R275" s="2" t="str">
        <x:v>Primitive camping</x:v>
      </x:c>
      <x:c r="S275" s="2" t="str">
        <x:v>High</x:v>
      </x:c>
      <x:c r="T275" s="2" t="str">
        <x:v>No</x:v>
      </x:c>
      <x:c r="U275" s="2" t="str">
        <x:v>TPWD youth hog page listed 18% last-year success for Matador.</x:v>
      </x:c>
      <x:c r="V275" s="2" t="str">
        <x:v>https://tpwd.texas.gov/huntwild/hunt/public/public_hunt_drawing/hunt-category-details.phtml?OCat=YFH</x:v>
      </x:c>
      <x:c r="W275" s="2" t="n">
        <x:v>3</x:v>
      </x:c>
      <x:c r="X275" s="2" t="n">
        <x:v>4</x:v>
      </x:c>
      <x:c r="Y275" s="2" t="n">
        <x:v>5</x:v>
      </x:c>
      <x:c r="Z275" s="2" t="n">
        <x:v>4</x:v>
      </x:c>
      <x:c r="AA275" s="2" t="n">
        <x:v>5</x:v>
      </x:c>
      <x:c r="AB275" s="2" t="n">
        <x:v>0</x:v>
      </x:c>
      <x:c r="AC275" s="96" t="n">
        <x:v>3.6</x:v>
      </x:c>
      <x:c r="AD275" s="2" t="n">
        <x:v>0</x:v>
      </x:c>
      <x:c r="AE275" s="2" t="str">
        <x:v>2026-11-01</x:v>
      </x:c>
      <x:c r="AF275" s="2"/>
      <x:c r="AG275" s="97"/>
      <x:c r="AH275" s="2"/>
      <x:c r="AI275" s="2"/>
      <x:c r="AJ275" s="97"/>
      <x:c r="AK275" s="2"/>
      <x:c r="AL275" s="2"/>
      <x:c r="AM275" s="2" t="str">
        <x:v>https://tpwd.texas.gov/huntwild/hunt/public/public_hunt_drawing/hunt-category-details.phtml?OCat=YFH</x:v>
      </x:c>
      <x:c r="AN275" s="2" t="str">
        <x:v>https://tpwd.texas.gov/search/?q=Matador+WMA+public+hunting+brochure</x:v>
      </x:c>
      <x:c r="AO275" s="2" t="str">
        <x:v>https://apps.tpwd.state.tx.us/huntwild/hunt/public/public_hunt_drawing/</x:v>
      </x:c>
      <x:c r="AP275" s="2" t="str">
        <x:v>https://www.google.com/maps/search/?api=1&amp;query=Matador+WMA%2C+Texas</x:v>
      </x:c>
      <x:c r="AQ275" s="96" t="n">
        <x:v>0</x:v>
      </x:c>
      <x:c r="AR275" s="2" t="str">
        <x:v>Standard Hastings ranking</x:v>
      </x:c>
    </x:row>
    <x:row r="276">
      <x:c r="A276" s="2" t="str">
        <x:v>No</x:v>
      </x:c>
      <x:c r="B276" s="2" t="str">
        <x:v>A</x:v>
      </x:c>
      <x:c r="C276" s="2" t="str">
        <x:v>Feral Hog</x:v>
      </x:c>
      <x:c r="D276" s="2" t="str">
        <x:v>Matador WMA</x:v>
      </x:c>
      <x:c r="E276" s="2" t="str">
        <x:v>Rolling Plains</x:v>
      </x:c>
      <x:c r="F276" s="2" t="str">
        <x:v>Feral Hog</x:v>
      </x:c>
      <x:c r="G276" s="2" t="str">
        <x:v>Yes</x:v>
      </x:c>
      <x:c r="H276" s="2" t="str">
        <x:v>Yes</x:v>
      </x:c>
      <x:c r="I276" s="97" t="str">
        <x:v>2026-11-01</x:v>
      </x:c>
      <x:c r="J276" s="2" t="str">
        <x:v>Mar 8-12, 2027</x:v>
      </x:c>
      <x:c r="K276" s="111" t="n">
        <x:v>3</x:v>
      </x:c>
      <x:c r="L276" s="111" t="n">
        <x:v>130</x:v>
      </x:c>
      <x:c r="M276" s="2" t="n">
        <x:v>21</x:v>
      </x:c>
      <x:c r="N276" s="2"/>
      <x:c r="O276" s="113"/>
      <x:c r="P276" s="2" t="n">
        <x:v>105</x:v>
      </x:c>
      <x:c r="Q276" s="2" t="str">
        <x:v>Core</x:v>
      </x:c>
      <x:c r="R276" s="2" t="str">
        <x:v>Primitive camping</x:v>
      </x:c>
      <x:c r="S276" s="2" t="str">
        <x:v>High</x:v>
      </x:c>
      <x:c r="T276" s="2" t="str">
        <x:v>No</x:v>
      </x:c>
      <x:c r="U276" s="2" t="str">
        <x:v>Good off-season opportunity; unlimited hogs/coyotes.</x:v>
      </x:c>
      <x:c r="V276" s="2" t="str">
        <x:v>https://tpwd.texas.gov/huntwild/hunt/public/public_hunt_drawing/hunt-category-details.phtml?OCat=GFH</x:v>
      </x:c>
      <x:c r="W276" s="2" t="n">
        <x:v>2</x:v>
      </x:c>
      <x:c r="X276" s="2" t="n">
        <x:v>4</x:v>
      </x:c>
      <x:c r="Y276" s="2" t="n">
        <x:v>5</x:v>
      </x:c>
      <x:c r="Z276" s="2" t="n">
        <x:v>4</x:v>
      </x:c>
      <x:c r="AA276" s="2" t="n">
        <x:v>5</x:v>
      </x:c>
      <x:c r="AB276" s="2" t="n">
        <x:v>0</x:v>
      </x:c>
      <x:c r="AC276" s="96" t="n">
        <x:v>3.2</x:v>
      </x:c>
      <x:c r="AD276" s="2" t="n">
        <x:v>133</x:v>
      </x:c>
      <x:c r="AE276" s="2" t="str">
        <x:v>2026-11-01</x:v>
      </x:c>
      <x:c r="AF276" s="2"/>
      <x:c r="AG276" s="97"/>
      <x:c r="AH276" s="2"/>
      <x:c r="AI276" s="2"/>
      <x:c r="AJ276" s="97"/>
      <x:c r="AK276" s="2"/>
      <x:c r="AL276" s="2"/>
      <x:c r="AM276" s="2" t="str">
        <x:v>https://tpwd.texas.gov/huntwild/hunt/public/public_hunt_drawing/hunt-category-details.phtml?OCat=GFH</x:v>
      </x:c>
      <x:c r="AN276" s="2" t="str">
        <x:v>https://tpwd.texas.gov/search/?q=Matador+WMA+public+hunting+brochure</x:v>
      </x:c>
      <x:c r="AO276" s="2" t="str">
        <x:v>https://apps.tpwd.state.tx.us/huntwild/hunt/public/public_hunt_drawing/</x:v>
      </x:c>
      <x:c r="AP276" s="2" t="str">
        <x:v>https://www.google.com/maps/search/?api=1&amp;query=Matador+WMA%2C+Texas</x:v>
      </x:c>
      <x:c r="AQ276" s="96" t="n">
        <x:v>0</x:v>
      </x:c>
      <x:c r="AR276" s="2" t="str">
        <x:v>Standard Hastings ranking</x:v>
      </x:c>
    </x:row>
    <x:row r="277">
      <x:c r="A277" s="2" t="str">
        <x:v>No</x:v>
      </x:c>
      <x:c r="B277" s="2" t="str">
        <x:v>A</x:v>
      </x:c>
      <x:c r="C277" s="2" t="str">
        <x:v>Turkey</x:v>
      </x:c>
      <x:c r="D277" s="2" t="str">
        <x:v>Matador WMA</x:v>
      </x:c>
      <x:c r="E277" s="2" t="str">
        <x:v>Rolling Plains</x:v>
      </x:c>
      <x:c r="F277" s="2" t="str">
        <x:v>Spring Turkey / Youth Spring Turkey</x:v>
      </x:c>
      <x:c r="G277" s="2" t="str">
        <x:v>Yes</x:v>
      </x:c>
      <x:c r="H277" s="2" t="str">
        <x:v>Yes</x:v>
      </x:c>
      <x:c r="I277" s="97" t="str">
        <x:v>2027-01-15</x:v>
      </x:c>
      <x:c r="J277" s="2" t="str">
        <x:v>Spring 2027 varies</x:v>
      </x:c>
      <x:c r="K277" s="111" t="n">
        <x:v>3</x:v>
      </x:c>
      <x:c r="L277" s="111" t="n">
        <x:v>80</x:v>
      </x:c>
      <x:c r="M277" s="2"/>
      <x:c r="N277" s="2"/>
      <x:c r="O277" s="113"/>
      <x:c r="P277" s="2" t="n">
        <x:v>105</x:v>
      </x:c>
      <x:c r="Q277" s="2" t="str">
        <x:v>Core</x:v>
      </x:c>
      <x:c r="R277" s="2" t="str">
        <x:v>Primitive camping</x:v>
      </x:c>
      <x:c r="S277" s="2" t="str">
        <x:v>High</x:v>
      </x:c>
      <x:c r="T277" s="2" t="str">
        <x:v>No</x:v>
      </x:c>
      <x:c r="U277" s="2" t="str">
        <x:v>Keep paired with deer/hog applications.</x:v>
      </x:c>
      <x:c r="V277" s="2" t="str">
        <x:v>https://tpwd.texas.gov/huntwild/hunt/public/public_hunt_drawing/hunt-area-details.phtml?OArea=MA</x:v>
      </x:c>
      <x:c r="W277" s="2" t="n">
        <x:v>2</x:v>
      </x:c>
      <x:c r="X277" s="2" t="n">
        <x:v>4</x:v>
      </x:c>
      <x:c r="Y277" s="2" t="n">
        <x:v>5</x:v>
      </x:c>
      <x:c r="Z277" s="2" t="n">
        <x:v>4</x:v>
      </x:c>
      <x:c r="AA277" s="2" t="n">
        <x:v>5</x:v>
      </x:c>
      <x:c r="AB277" s="2" t="n">
        <x:v>0</x:v>
      </x:c>
      <x:c r="AC277" s="96" t="n">
        <x:v>3.2</x:v>
      </x:c>
      <x:c r="AD277" s="2" t="n">
        <x:v>83</x:v>
      </x:c>
      <x:c r="AE277" s="2" t="str">
        <x:v>2027-01-15</x:v>
      </x:c>
      <x:c r="AF277" s="2"/>
      <x:c r="AG277" s="97"/>
      <x:c r="AH277" s="2"/>
      <x:c r="AI277" s="2"/>
      <x:c r="AJ277" s="97"/>
      <x:c r="AK277" s="2"/>
      <x:c r="AL277" s="2"/>
      <x:c r="AM277" s="2" t="str">
        <x:v>https://tpwd.texas.gov/huntwild/hunt/public/public_hunt_drawing/hunt-area-details.phtml?OArea=MA</x:v>
      </x:c>
      <x:c r="AN277" s="2" t="str">
        <x:v>https://tpwd.texas.gov/search/?q=Matador+WMA+public+hunting+brochure</x:v>
      </x:c>
      <x:c r="AO277" s="2" t="str">
        <x:v>https://apps.tpwd.state.tx.us/huntwild/hunt/public/public_hunt_drawing/</x:v>
      </x:c>
      <x:c r="AP277" s="2" t="str">
        <x:v>https://www.google.com/maps/search/?api=1&amp;query=Matador+WMA%2C+Texas</x:v>
      </x:c>
      <x:c r="AQ277" s="96" t="n">
        <x:v>0</x:v>
      </x:c>
      <x:c r="AR277" s="2" t="str">
        <x:v>Standard Hastings ranking</x:v>
      </x:c>
    </x:row>
    <x:row r="278">
      <x:c r="A278" s="2" t="str">
        <x:v>No</x:v>
      </x:c>
      <x:c r="B278" s="2" t="str">
        <x:v>A</x:v>
      </x:c>
      <x:c r="C278" s="2" t="str">
        <x:v>Feral Hog</x:v>
      </x:c>
      <x:c r="D278" s="2" t="str">
        <x:v>Teacup Mountain WMA</x:v>
      </x:c>
      <x:c r="E278" s="2" t="str">
        <x:v>Rolling Plains</x:v>
      </x:c>
      <x:c r="F278" s="2" t="str">
        <x:v>Youth Only Feral Hog</x:v>
      </x:c>
      <x:c r="G278" s="2" t="str">
        <x:v>No</x:v>
      </x:c>
      <x:c r="H278" s="2" t="str">
        <x:v>Yes</x:v>
      </x:c>
      <x:c r="I278" s="97" t="str">
        <x:v>2026-11-01</x:v>
      </x:c>
      <x:c r="J278" s="2" t="str">
        <x:v>Mar 13-14, 2027</x:v>
      </x:c>
      <x:c r="K278" s="111" t="n">
        <x:v>0</x:v>
      </x:c>
      <x:c r="L278" s="111" t="n">
        <x:v>0</x:v>
      </x:c>
      <x:c r="M278" s="2" t="n">
        <x:v>8</x:v>
      </x:c>
      <x:c r="N278" s="2"/>
      <x:c r="O278" s="113"/>
      <x:c r="P278" s="2" t="n">
        <x:v>145</x:v>
      </x:c>
      <x:c r="Q278" s="2" t="str">
        <x:v>Core</x:v>
      </x:c>
      <x:c r="R278" s="2" t="str">
        <x:v>Primitive camping</x:v>
      </x:c>
      <x:c r="S278" s="2" t="str">
        <x:v>High</x:v>
      </x:c>
      <x:c r="T278" s="2" t="str">
        <x:v>No</x:v>
      </x:c>
      <x:c r="U278" s="2" t="str">
        <x:v>Free youth application; close enough to be worth it.</x:v>
      </x:c>
      <x:c r="V278" s="2" t="str">
        <x:v>https://tpwd.texas.gov/huntwild/hunt/public/public_hunt_drawing/hunt-category-details.phtml?OCat=YFH</x:v>
      </x:c>
      <x:c r="W278" s="2" t="n">
        <x:v>2</x:v>
      </x:c>
      <x:c r="X278" s="2" t="n">
        <x:v>4</x:v>
      </x:c>
      <x:c r="Y278" s="2" t="n">
        <x:v>5</x:v>
      </x:c>
      <x:c r="Z278" s="2" t="n">
        <x:v>4</x:v>
      </x:c>
      <x:c r="AA278" s="2" t="n">
        <x:v>5</x:v>
      </x:c>
      <x:c r="AB278" s="2" t="n">
        <x:v>0</x:v>
      </x:c>
      <x:c r="AC278" s="96" t="n">
        <x:v>3.2</x:v>
      </x:c>
      <x:c r="AD278" s="2" t="n">
        <x:v>0</x:v>
      </x:c>
      <x:c r="AE278" s="2" t="str">
        <x:v>2026-11-01</x:v>
      </x:c>
      <x:c r="AF278" s="2"/>
      <x:c r="AG278" s="97"/>
      <x:c r="AH278" s="2"/>
      <x:c r="AI278" s="2"/>
      <x:c r="AJ278" s="97"/>
      <x:c r="AK278" s="2"/>
      <x:c r="AL278" s="2"/>
      <x:c r="AM278" s="2" t="str">
        <x:v>https://tpwd.texas.gov/huntwild/hunt/public/public_hunt_drawing/hunt-category-details.phtml?OCat=YFH</x:v>
      </x:c>
      <x:c r="AN278" s="2" t="str">
        <x:v>https://tpwd.texas.gov/search/?q=Teacup+Mountain+WMA+public+hunting+brochure</x:v>
      </x:c>
      <x:c r="AO278" s="2" t="str">
        <x:v>https://apps.tpwd.state.tx.us/huntwild/hunt/public/public_hunt_drawing/</x:v>
      </x:c>
      <x:c r="AP278" s="2" t="str">
        <x:v>https://www.google.com/maps/search/?api=1&amp;query=Teacup+Mountain+WMA%2C+Texas</x:v>
      </x:c>
      <x:c r="AQ278" s="96" t="n">
        <x:v>0</x:v>
      </x:c>
      <x:c r="AR278" s="2" t="str">
        <x:v>Standard Hastings ranking</x:v>
      </x:c>
    </x:row>
    <x:row r="279">
      <x:c r="A279" s="2" t="str">
        <x:v>No</x:v>
      </x:c>
      <x:c r="B279" s="2" t="str">
        <x:v>A</x:v>
      </x:c>
      <x:c r="C279" s="2" t="str">
        <x:v>Feral Hog</x:v>
      </x:c>
      <x:c r="D279" s="2" t="str">
        <x:v>Teacup Mountain WMA</x:v>
      </x:c>
      <x:c r="E279" s="2" t="str">
        <x:v>Rolling Plains</x:v>
      </x:c>
      <x:c r="F279" s="2" t="str">
        <x:v>Feral Hog</x:v>
      </x:c>
      <x:c r="G279" s="2" t="str">
        <x:v>Yes</x:v>
      </x:c>
      <x:c r="H279" s="2" t="str">
        <x:v>Yes</x:v>
      </x:c>
      <x:c r="I279" s="97" t="str">
        <x:v>2026-11-01</x:v>
      </x:c>
      <x:c r="J279" s="2" t="str">
        <x:v>Mar 1-5 / Mar 8-12, 2027</x:v>
      </x:c>
      <x:c r="K279" s="111" t="n">
        <x:v>3</x:v>
      </x:c>
      <x:c r="L279" s="111" t="n">
        <x:v>0</x:v>
      </x:c>
      <x:c r="M279" s="2" t="n">
        <x:v>16</x:v>
      </x:c>
      <x:c r="N279" s="2"/>
      <x:c r="O279" s="113"/>
      <x:c r="P279" s="2" t="n">
        <x:v>145</x:v>
      </x:c>
      <x:c r="Q279" s="2" t="str">
        <x:v>Core</x:v>
      </x:c>
      <x:c r="R279" s="2" t="str">
        <x:v>Primitive camping</x:v>
      </x:c>
      <x:c r="S279" s="2" t="str">
        <x:v>High</x:v>
      </x:c>
      <x:c r="T279" s="2" t="str">
        <x:v>No</x:v>
      </x:c>
      <x:c r="U279" s="2" t="str">
        <x:v>Adult permit fee listed as $0 on TPWD hog category page.</x:v>
      </x:c>
      <x:c r="V279" s="2" t="str">
        <x:v>https://tpwd.texas.gov/huntwild/hunt/public/public_hunt_drawing/hunt-category-details.phtml?OCat=GFH</x:v>
      </x:c>
      <x:c r="W279" s="2" t="n">
        <x:v>2</x:v>
      </x:c>
      <x:c r="X279" s="2" t="n">
        <x:v>4</x:v>
      </x:c>
      <x:c r="Y279" s="2" t="n">
        <x:v>5</x:v>
      </x:c>
      <x:c r="Z279" s="2" t="n">
        <x:v>4</x:v>
      </x:c>
      <x:c r="AA279" s="2" t="n">
        <x:v>5</x:v>
      </x:c>
      <x:c r="AB279" s="2" t="n">
        <x:v>0</x:v>
      </x:c>
      <x:c r="AC279" s="96" t="n">
        <x:v>3.2</x:v>
      </x:c>
      <x:c r="AD279" s="2" t="n">
        <x:v>3</x:v>
      </x:c>
      <x:c r="AE279" s="2" t="str">
        <x:v>2026-11-01</x:v>
      </x:c>
      <x:c r="AF279" s="2"/>
      <x:c r="AG279" s="97"/>
      <x:c r="AH279" s="2"/>
      <x:c r="AI279" s="2"/>
      <x:c r="AJ279" s="97"/>
      <x:c r="AK279" s="2"/>
      <x:c r="AL279" s="2"/>
      <x:c r="AM279" s="2" t="str">
        <x:v>https://tpwd.texas.gov/huntwild/hunt/public/public_hunt_drawing/hunt-category-details.phtml?OCat=GFH</x:v>
      </x:c>
      <x:c r="AN279" s="2" t="str">
        <x:v>https://tpwd.texas.gov/search/?q=Teacup+Mountain+WMA+public+hunting+brochure</x:v>
      </x:c>
      <x:c r="AO279" s="2" t="str">
        <x:v>https://apps.tpwd.state.tx.us/huntwild/hunt/public/public_hunt_drawing/</x:v>
      </x:c>
      <x:c r="AP279" s="2" t="str">
        <x:v>https://www.google.com/maps/search/?api=1&amp;query=Teacup+Mountain+WMA%2C+Texas</x:v>
      </x:c>
      <x:c r="AQ279" s="96" t="n">
        <x:v>0</x:v>
      </x:c>
      <x:c r="AR279" s="2" t="str">
        <x:v>Standard Hastings ranking</x:v>
      </x:c>
    </x:row>
    <x:row r="280">
      <x:c r="A280" s="2" t="str">
        <x:v>No</x:v>
      </x:c>
      <x:c r="B280" s="2" t="str">
        <x:v>A</x:v>
      </x:c>
      <x:c r="C280" s="2" t="str">
        <x:v>Turkey</x:v>
      </x:c>
      <x:c r="D280" s="2" t="str">
        <x:v>Teacup Mountain WMA</x:v>
      </x:c>
      <x:c r="E280" s="2" t="str">
        <x:v>Rolling Plains</x:v>
      </x:c>
      <x:c r="F280" s="2" t="str">
        <x:v>E-Postcard Turkey</x:v>
      </x:c>
      <x:c r="G280" s="2" t="str">
        <x:v>Yes</x:v>
      </x:c>
      <x:c r="H280" s="2" t="str">
        <x:v>Yes</x:v>
      </x:c>
      <x:c r="I280" s="97" t="str">
        <x:v>2026-08-15</x:v>
      </x:c>
      <x:c r="J280" s="2" t="str">
        <x:v>Spring 2027 varies</x:v>
      </x:c>
      <x:c r="K280" s="111" t="n">
        <x:v>0</x:v>
      </x:c>
      <x:c r="L280" s="111" t="n">
        <x:v>0</x:v>
      </x:c>
      <x:c r="M280" s="2"/>
      <x:c r="N280" s="2"/>
      <x:c r="O280" s="113"/>
      <x:c r="P280" s="2" t="n">
        <x:v>145</x:v>
      </x:c>
      <x:c r="Q280" s="2" t="str">
        <x:v>Core</x:v>
      </x:c>
      <x:c r="R280" s="2" t="str">
        <x:v>Primitive camping</x:v>
      </x:c>
      <x:c r="S280" s="2" t="str">
        <x:v>High</x:v>
      </x:c>
      <x:c r="T280" s="2" t="str">
        <x:v>No</x:v>
      </x:c>
      <x:c r="U280" s="2" t="str">
        <x:v>E-postcard requires Annual Public Hunting Permit.</x:v>
      </x:c>
      <x:c r="V280" s="2" t="str">
        <x:v>https://tpwd.texas.gov/huntwild/hunt/public/public_hunt_drawing/hunt-area-details.phtml?OArea=TE</x:v>
      </x:c>
      <x:c r="W280" s="2" t="n">
        <x:v>2</x:v>
      </x:c>
      <x:c r="X280" s="2" t="n">
        <x:v>4</x:v>
      </x:c>
      <x:c r="Y280" s="2" t="n">
        <x:v>5</x:v>
      </x:c>
      <x:c r="Z280" s="2" t="n">
        <x:v>4</x:v>
      </x:c>
      <x:c r="AA280" s="2" t="n">
        <x:v>5</x:v>
      </x:c>
      <x:c r="AB280" s="2" t="n">
        <x:v>0</x:v>
      </x:c>
      <x:c r="AC280" s="96" t="n">
        <x:v>3.2</x:v>
      </x:c>
      <x:c r="AD280" s="2" t="n">
        <x:v>0</x:v>
      </x:c>
      <x:c r="AE280" s="2" t="str">
        <x:v>2026-08-15</x:v>
      </x:c>
      <x:c r="AF280" s="2"/>
      <x:c r="AG280" s="97"/>
      <x:c r="AH280" s="2"/>
      <x:c r="AI280" s="2"/>
      <x:c r="AJ280" s="97"/>
      <x:c r="AK280" s="2"/>
      <x:c r="AL280" s="2"/>
      <x:c r="AM280" s="2" t="str">
        <x:v>https://tpwd.texas.gov/huntwild/hunt/public/public_hunt_drawing/hunt-area-details.phtml?OArea=TE</x:v>
      </x:c>
      <x:c r="AN280" s="2" t="str">
        <x:v>https://tpwd.texas.gov/search/?q=Teacup+Mountain+WMA+public+hunting+brochure</x:v>
      </x:c>
      <x:c r="AO280" s="2" t="str">
        <x:v>https://apps.tpwd.state.tx.us/huntwild/hunt/public/public_hunt_drawing/</x:v>
      </x:c>
      <x:c r="AP280" s="2" t="str">
        <x:v>https://www.google.com/maps/search/?api=1&amp;query=Teacup+Mountain+WMA%2C+Texas</x:v>
      </x:c>
      <x:c r="AQ280" s="96" t="n">
        <x:v>0</x:v>
      </x:c>
      <x:c r="AR280" s="2" t="str">
        <x:v>Standard Hastings ranking</x:v>
      </x:c>
    </x:row>
    <x:row r="281">
      <x:c r="A281" s="2" t="str">
        <x:v>No</x:v>
      </x:c>
      <x:c r="B281" s="2" t="str">
        <x:v>B</x:v>
      </x:c>
      <x:c r="C281" s="2" t="str">
        <x:v>Waterfowl/Upland</x:v>
      </x:c>
      <x:c r="D281" s="2" t="str">
        <x:v>Copper Breaks SP</x:v>
      </x:c>
      <x:c r="E281" s="2" t="str">
        <x:v>Rolling Plains</x:v>
      </x:c>
      <x:c r="F281" s="2" t="str">
        <x:v>E-Postcard Waterfowl</x:v>
      </x:c>
      <x:c r="G281" s="2" t="str">
        <x:v>Yes</x:v>
      </x:c>
      <x:c r="H281" s="2" t="str">
        <x:v>Yes</x:v>
      </x:c>
      <x:c r="I281" s="97" t="str">
        <x:v>2026-08-15</x:v>
      </x:c>
      <x:c r="J281" s="2" t="str">
        <x:v>Waterfowl season varies</x:v>
      </x:c>
      <x:c r="K281" s="111" t="n">
        <x:v>0</x:v>
      </x:c>
      <x:c r="L281" s="111" t="n">
        <x:v>0</x:v>
      </x:c>
      <x:c r="M281" s="2"/>
      <x:c r="N281" s="2"/>
      <x:c r="O281" s="113"/>
      <x:c r="P281" s="2" t="n">
        <x:v>165</x:v>
      </x:c>
      <x:c r="Q281" s="2" t="str">
        <x:v>Core</x:v>
      </x:c>
      <x:c r="R281" s="2" t="str">
        <x:v>State park camping</x:v>
      </x:c>
      <x:c r="S281" s="2" t="str">
        <x:v>Low</x:v>
      </x:c>
      <x:c r="T281" s="2" t="str">
        <x:v>No</x:v>
      </x:c>
      <x:c r="U281" s="2" t="str">
        <x:v>E-postcard add-on if you have APH.</x:v>
      </x:c>
      <x:c r="V281" s="2" t="str">
        <x:v>https://tpwd.texas.gov/huntwild/hunt/public/public_hunt_drawing/hunt-area-details.phtml?OArea=CO</x:v>
      </x:c>
      <x:c r="W281" s="2" t="n">
        <x:v>2</x:v>
      </x:c>
      <x:c r="X281" s="2" t="n">
        <x:v>4</x:v>
      </x:c>
      <x:c r="Y281" s="2" t="n">
        <x:v>5</x:v>
      </x:c>
      <x:c r="Z281" s="2" t="n">
        <x:v>5</x:v>
      </x:c>
      <x:c r="AA281" s="2" t="n">
        <x:v>1</x:v>
      </x:c>
      <x:c r="AB281" s="2" t="n">
        <x:v>0</x:v>
      </x:c>
      <x:c r="AC281" s="96" t="n">
        <x:v>2.9</x:v>
      </x:c>
      <x:c r="AD281" s="2" t="n">
        <x:v>0</x:v>
      </x:c>
      <x:c r="AE281" s="2" t="str">
        <x:v>2026-08-15</x:v>
      </x:c>
      <x:c r="AF281" s="2"/>
      <x:c r="AG281" s="97"/>
      <x:c r="AH281" s="2"/>
      <x:c r="AI281" s="2"/>
      <x:c r="AJ281" s="97"/>
      <x:c r="AK281" s="2"/>
      <x:c r="AL281" s="2"/>
      <x:c r="AM281" s="2" t="str">
        <x:v>https://tpwd.texas.gov/huntwild/hunt/public/public_hunt_drawing/hunt-area-details.phtml?OArea=CO</x:v>
      </x:c>
      <x:c r="AN281" s="2" t="str">
        <x:v>https://tpwd.texas.gov/search/?q=Copper+Breaks+SP+public+hunting+brochure</x:v>
      </x:c>
      <x:c r="AO281" s="2" t="str">
        <x:v>https://apps.tpwd.state.tx.us/huntwild/hunt/public/public_hunt_drawing/</x:v>
      </x:c>
      <x:c r="AP281" s="2" t="str">
        <x:v>https://www.google.com/maps/search/?api=1&amp;query=Copper+Breaks+SP%2C+Texas</x:v>
      </x:c>
      <x:c r="AQ281" s="96" t="n">
        <x:v>0</x:v>
      </x:c>
      <x:c r="AR281" s="2" t="str">
        <x:v>Standard Hastings ranking</x:v>
      </x:c>
    </x:row>
    <x:row r="282">
      <x:c r="A282" s="2" t="str">
        <x:v>No</x:v>
      </x:c>
      <x:c r="B282" s="2" t="str">
        <x:v>A</x:v>
      </x:c>
      <x:c r="C282" s="2" t="str">
        <x:v>Waterfowl/Upland</x:v>
      </x:c>
      <x:c r="D282" s="2" t="str">
        <x:v>Dimmitt Playa WMA</x:v>
      </x:c>
      <x:c r="E282" s="2" t="str">
        <x:v>Panhandle</x:v>
      </x:c>
      <x:c r="F282" s="2" t="str">
        <x:v>E-Postcard Waterfowl / Waterfowl-Pheasant</x:v>
      </x:c>
      <x:c r="G282" s="2" t="str">
        <x:v>Yes</x:v>
      </x:c>
      <x:c r="H282" s="2" t="str">
        <x:v>Yes</x:v>
      </x:c>
      <x:c r="I282" s="97" t="str">
        <x:v>2026-08-15</x:v>
      </x:c>
      <x:c r="J282" s="2" t="str">
        <x:v>Waterfowl/pheasant season varies</x:v>
      </x:c>
      <x:c r="K282" s="111" t="n">
        <x:v>0</x:v>
      </x:c>
      <x:c r="L282" s="111" t="n">
        <x:v>0</x:v>
      </x:c>
      <x:c r="M282" s="2"/>
      <x:c r="N282" s="2"/>
      <x:c r="O282" s="113"/>
      <x:c r="P282" s="2" t="n">
        <x:v>70</x:v>
      </x:c>
      <x:c r="Q282" s="2" t="str">
        <x:v>Core</x:v>
      </x:c>
      <x:c r="R282" s="2" t="str">
        <x:v>Limited/nearby lodging</x:v>
      </x:c>
      <x:c r="S282" s="2" t="str">
        <x:v>Low</x:v>
      </x:c>
      <x:c r="T282" s="2" t="str">
        <x:v>No</x:v>
      </x:c>
      <x:c r="U282" s="2" t="str">
        <x:v>Close, cheap opportunity if APH is already purchased.</x:v>
      </x:c>
      <x:c r="V282" s="2" t="str">
        <x:v>https://tpwd.texas.gov/huntwild/hunt/public/public_hunt_drawing/hunt-area-details.phtml?OArea=DP</x:v>
      </x:c>
      <x:c r="W282" s="2" t="n">
        <x:v>2</x:v>
      </x:c>
      <x:c r="X282" s="2" t="n">
        <x:v>5</x:v>
      </x:c>
      <x:c r="Y282" s="2" t="n">
        <x:v>5</x:v>
      </x:c>
      <x:c r="Z282" s="2" t="n">
        <x:v>3</x:v>
      </x:c>
      <x:c r="AA282" s="2" t="n">
        <x:v>1</x:v>
      </x:c>
      <x:c r="AB282" s="2" t="n">
        <x:v>0</x:v>
      </x:c>
      <x:c r="AC282" s="96" t="n">
        <x:v>2.9</x:v>
      </x:c>
      <x:c r="AD282" s="2" t="n">
        <x:v>0</x:v>
      </x:c>
      <x:c r="AE282" s="2" t="str">
        <x:v>2026-08-15</x:v>
      </x:c>
      <x:c r="AF282" s="2"/>
      <x:c r="AG282" s="97"/>
      <x:c r="AH282" s="2"/>
      <x:c r="AI282" s="2"/>
      <x:c r="AJ282" s="97"/>
      <x:c r="AK282" s="2"/>
      <x:c r="AL282" s="2"/>
      <x:c r="AM282" s="2" t="str">
        <x:v>https://tpwd.texas.gov/huntwild/hunt/public/public_hunt_drawing/hunt-area-details.phtml?OArea=DP</x:v>
      </x:c>
      <x:c r="AN282" s="2" t="str">
        <x:v>https://tpwd.texas.gov/search/?q=Dimmitt+Playa+WMA+public+hunting+brochure</x:v>
      </x:c>
      <x:c r="AO282" s="2" t="str">
        <x:v>https://apps.tpwd.state.tx.us/huntwild/hunt/public/public_hunt_drawing/</x:v>
      </x:c>
      <x:c r="AP282" s="2" t="str">
        <x:v>https://www.google.com/maps/search/?api=1&amp;query=Dimmitt+Playa+WMA%2C+Texas</x:v>
      </x:c>
      <x:c r="AQ282" s="96" t="n">
        <x:v>0</x:v>
      </x:c>
      <x:c r="AR282" s="2" t="str">
        <x:v>Standard Hastings ranking</x:v>
      </x:c>
    </x:row>
    <x:row r="283">
      <x:c r="A283" s="2" t="str">
        <x:v>No</x:v>
      </x:c>
      <x:c r="B283" s="2" t="str">
        <x:v>B</x:v>
      </x:c>
      <x:c r="C283" s="2" t="str">
        <x:v>Waterfowl/Upland</x:v>
      </x:c>
      <x:c r="D283" s="2" t="str">
        <x:v>Taylor Lakes WMA</x:v>
      </x:c>
      <x:c r="E283" s="2" t="str">
        <x:v>Panhandle</x:v>
      </x:c>
      <x:c r="F283" s="2" t="str">
        <x:v>E-Postcard Waterfowl / Youth-Adult Waterfowl</x:v>
      </x:c>
      <x:c r="G283" s="2" t="str">
        <x:v>Yes</x:v>
      </x:c>
      <x:c r="H283" s="2" t="str">
        <x:v>Yes</x:v>
      </x:c>
      <x:c r="I283" s="97" t="str">
        <x:v>2026-08-15</x:v>
      </x:c>
      <x:c r="J283" s="2" t="str">
        <x:v>Waterfowl season varies</x:v>
      </x:c>
      <x:c r="K283" s="111" t="n">
        <x:v>0</x:v>
      </x:c>
      <x:c r="L283" s="111" t="n">
        <x:v>0</x:v>
      </x:c>
      <x:c r="M283" s="2"/>
      <x:c r="N283" s="2"/>
      <x:c r="O283" s="113"/>
      <x:c r="P283" s="2" t="n">
        <x:v>90</x:v>
      </x:c>
      <x:c r="Q283" s="2" t="str">
        <x:v>Core</x:v>
      </x:c>
      <x:c r="R283" s="2" t="str">
        <x:v>Nearby camping/lodging</x:v>
      </x:c>
      <x:c r="S283" s="2" t="str">
        <x:v>Low</x:v>
      </x:c>
      <x:c r="T283" s="2" t="str">
        <x:v>No</x:v>
      </x:c>
      <x:c r="U283" s="2" t="str">
        <x:v>Useful youth/adult waterfowl option.</x:v>
      </x:c>
      <x:c r="V283" s="2" t="str">
        <x:v>https://tpwd.texas.gov/huntwild/hunt/public/public_hunt_drawing/hunt-area-details.phtml?OArea=TL</x:v>
      </x:c>
      <x:c r="W283" s="2" t="n">
        <x:v>2</x:v>
      </x:c>
      <x:c r="X283" s="2" t="n">
        <x:v>5</x:v>
      </x:c>
      <x:c r="Y283" s="2" t="n">
        <x:v>5</x:v>
      </x:c>
      <x:c r="Z283" s="2" t="n">
        <x:v>3</x:v>
      </x:c>
      <x:c r="AA283" s="2" t="n">
        <x:v>1</x:v>
      </x:c>
      <x:c r="AB283" s="2" t="n">
        <x:v>0</x:v>
      </x:c>
      <x:c r="AC283" s="96" t="n">
        <x:v>2.9</x:v>
      </x:c>
      <x:c r="AD283" s="2" t="n">
        <x:v>0</x:v>
      </x:c>
      <x:c r="AE283" s="2" t="str">
        <x:v>2026-08-15</x:v>
      </x:c>
      <x:c r="AF283" s="2"/>
      <x:c r="AG283" s="97"/>
      <x:c r="AH283" s="2"/>
      <x:c r="AI283" s="2"/>
      <x:c r="AJ283" s="97"/>
      <x:c r="AK283" s="2"/>
      <x:c r="AL283" s="2"/>
      <x:c r="AM283" s="2" t="str">
        <x:v>https://tpwd.texas.gov/huntwild/hunt/public/public_hunt_drawing/hunt-area-details.phtml?OArea=TL</x:v>
      </x:c>
      <x:c r="AN283" s="2" t="str">
        <x:v>https://tpwd.texas.gov/search/?q=Taylor+Lakes+WMA+public+hunting+brochure</x:v>
      </x:c>
      <x:c r="AO283" s="2" t="str">
        <x:v>https://apps.tpwd.state.tx.us/huntwild/hunt/public/public_hunt_drawing/</x:v>
      </x:c>
      <x:c r="AP283" s="2" t="str">
        <x:v>https://www.google.com/maps/search/?api=1&amp;query=Taylor+Lakes+WMA%2C+Texas</x:v>
      </x:c>
      <x:c r="AQ283" s="96" t="n">
        <x:v>0</x:v>
      </x:c>
      <x:c r="AR283" s="2" t="str">
        <x:v>Standard Hastings ranking</x:v>
      </x:c>
    </x:row>
    <x:row r="284">
      <x:c r="A284" s="2" t="str">
        <x:v>No</x:v>
      </x:c>
      <x:c r="B284" s="2" t="str">
        <x:v>B</x:v>
      </x:c>
      <x:c r="C284" s="2" t="str">
        <x:v>Turkey</x:v>
      </x:c>
      <x:c r="D284" s="2" t="str">
        <x:v>Taylor Lakes WMA</x:v>
      </x:c>
      <x:c r="E284" s="2" t="str">
        <x:v>Panhandle</x:v>
      </x:c>
      <x:c r="F284" s="2" t="str">
        <x:v>Youth Spring Turkey</x:v>
      </x:c>
      <x:c r="G284" s="2" t="str">
        <x:v>No</x:v>
      </x:c>
      <x:c r="H284" s="2" t="str">
        <x:v>Yes</x:v>
      </x:c>
      <x:c r="I284" s="97" t="str">
        <x:v>2027-01-15</x:v>
      </x:c>
      <x:c r="J284" s="2" t="str">
        <x:v>Spring 2027 varies</x:v>
      </x:c>
      <x:c r="K284" s="111" t="n">
        <x:v>0</x:v>
      </x:c>
      <x:c r="L284" s="111" t="n">
        <x:v>0</x:v>
      </x:c>
      <x:c r="M284" s="2"/>
      <x:c r="N284" s="2"/>
      <x:c r="O284" s="113"/>
      <x:c r="P284" s="2" t="n">
        <x:v>90</x:v>
      </x:c>
      <x:c r="Q284" s="2" t="str">
        <x:v>Core</x:v>
      </x:c>
      <x:c r="R284" s="2" t="str">
        <x:v>Nearby camping/lodging</x:v>
      </x:c>
      <x:c r="S284" s="2" t="str">
        <x:v>Low</x:v>
      </x:c>
      <x:c r="T284" s="2" t="str">
        <x:v>No</x:v>
      </x:c>
      <x:c r="U284" s="2" t="str">
        <x:v>Add to youth spring list.</x:v>
      </x:c>
      <x:c r="V284" s="2" t="str">
        <x:v>https://tpwd.texas.gov/huntwild/hunt/public/public_hunt_drawing/hunt-area-details.phtml?OArea=TL</x:v>
      </x:c>
      <x:c r="W284" s="2" t="n">
        <x:v>2</x:v>
      </x:c>
      <x:c r="X284" s="2" t="n">
        <x:v>5</x:v>
      </x:c>
      <x:c r="Y284" s="2" t="n">
        <x:v>5</x:v>
      </x:c>
      <x:c r="Z284" s="2" t="n">
        <x:v>3</x:v>
      </x:c>
      <x:c r="AA284" s="2" t="n">
        <x:v>1</x:v>
      </x:c>
      <x:c r="AB284" s="2" t="n">
        <x:v>0</x:v>
      </x:c>
      <x:c r="AC284" s="96" t="n">
        <x:v>2.9</x:v>
      </x:c>
      <x:c r="AD284" s="2" t="n">
        <x:v>0</x:v>
      </x:c>
      <x:c r="AE284" s="2" t="str">
        <x:v>2027-01-15</x:v>
      </x:c>
      <x:c r="AF284" s="2"/>
      <x:c r="AG284" s="97"/>
      <x:c r="AH284" s="2"/>
      <x:c r="AI284" s="2"/>
      <x:c r="AJ284" s="97"/>
      <x:c r="AK284" s="2"/>
      <x:c r="AL284" s="2"/>
      <x:c r="AM284" s="2" t="str">
        <x:v>https://tpwd.texas.gov/huntwild/hunt/public/public_hunt_drawing/hunt-area-details.phtml?OArea=TL</x:v>
      </x:c>
      <x:c r="AN284" s="2" t="str">
        <x:v>https://tpwd.texas.gov/search/?q=Taylor+Lakes+WMA+public+hunting+brochure</x:v>
      </x:c>
      <x:c r="AO284" s="2" t="str">
        <x:v>https://apps.tpwd.state.tx.us/huntwild/hunt/public/public_hunt_drawing/</x:v>
      </x:c>
      <x:c r="AP284" s="2" t="str">
        <x:v>https://www.google.com/maps/search/?api=1&amp;query=Taylor+Lakes+WMA%2C+Texas</x:v>
      </x:c>
      <x:c r="AQ284" s="96" t="n">
        <x:v>0</x:v>
      </x:c>
      <x:c r="AR284" s="2" t="str">
        <x:v>Standard Hastings ranking</x:v>
      </x:c>
    </x:row>
    <x:row r="285">
      <x:c r="A285" s="2" t="str">
        <x:v>No</x:v>
      </x:c>
      <x:c r="B285" s="2" t="str">
        <x:v>B</x:v>
      </x:c>
      <x:c r="C285" s="2" t="str">
        <x:v>Waterfowl/Upland</x:v>
      </x:c>
      <x:c r="D285" s="2" t="str">
        <x:v>Muleshoe NWR</x:v>
      </x:c>
      <x:c r="E285" s="2" t="str">
        <x:v>Panhandle</x:v>
      </x:c>
      <x:c r="F285" s="2" t="str">
        <x:v>National Refuge Upland Game</x:v>
      </x:c>
      <x:c r="G285" s="2" t="str">
        <x:v>Yes</x:v>
      </x:c>
      <x:c r="H285" s="2" t="str">
        <x:v>Yes</x:v>
      </x:c>
      <x:c r="I285" s="97" t="str">
        <x:v>2026-09-01</x:v>
      </x:c>
      <x:c r="J285" s="2" t="str">
        <x:v>Upland season varies</x:v>
      </x:c>
      <x:c r="K285" s="111" t="n">
        <x:v>3</x:v>
      </x:c>
      <x:c r="L285" s="111" t="n">
        <x:v>0</x:v>
      </x:c>
      <x:c r="M285" s="2"/>
      <x:c r="N285" s="2"/>
      <x:c r="O285" s="113"/>
      <x:c r="P285" s="2" t="n">
        <x:v>100</x:v>
      </x:c>
      <x:c r="Q285" s="2" t="str">
        <x:v>Core</x:v>
      </x:c>
      <x:c r="R285" s="2" t="str">
        <x:v>Nearby camping/lodging</x:v>
      </x:c>
      <x:c r="S285" s="2" t="str">
        <x:v>Medium</x:v>
      </x:c>
      <x:c r="T285" s="2" t="str">
        <x:v>No</x:v>
      </x:c>
      <x:c r="U285" s="2" t="str">
        <x:v>Quail/upland add-on.</x:v>
      </x:c>
      <x:c r="V285" s="2" t="str">
        <x:v>https://tpwd.texas.gov/huntwild/hunt/public/public_hunt_drawing/hunt-area-details.phtml?OArea=UN</x:v>
      </x:c>
      <x:c r="W285" s="2" t="n">
        <x:v>2</x:v>
      </x:c>
      <x:c r="X285" s="2" t="n">
        <x:v>5</x:v>
      </x:c>
      <x:c r="Y285" s="2" t="n">
        <x:v>5</x:v>
      </x:c>
      <x:c r="Z285" s="2" t="n">
        <x:v>3</x:v>
      </x:c>
      <x:c r="AA285" s="2" t="n">
        <x:v>3</x:v>
      </x:c>
      <x:c r="AB285" s="2" t="n">
        <x:v>0</x:v>
      </x:c>
      <x:c r="AC285" s="96" t="n">
        <x:v>3.1</x:v>
      </x:c>
      <x:c r="AD285" s="2" t="n">
        <x:v>3</x:v>
      </x:c>
      <x:c r="AE285" s="2" t="str">
        <x:v>2026-09-01</x:v>
      </x:c>
      <x:c r="AF285" s="2"/>
      <x:c r="AG285" s="97"/>
      <x:c r="AH285" s="2"/>
      <x:c r="AI285" s="2"/>
      <x:c r="AJ285" s="97"/>
      <x:c r="AK285" s="2"/>
      <x:c r="AL285" s="2"/>
      <x:c r="AM285" s="2" t="str">
        <x:v>https://tpwd.texas.gov/huntwild/hunt/public/public_hunt_drawing/hunt-area-details.phtml?OArea=UN</x:v>
      </x:c>
      <x:c r="AN285" s="2" t="str">
        <x:v>https://tpwd.texas.gov/search/?q=Muleshoe+NWR+public+hunting+brochure</x:v>
      </x:c>
      <x:c r="AO285" s="2" t="str">
        <x:v>https://apps.tpwd.state.tx.us/huntwild/hunt/public/public_hunt_drawing/</x:v>
      </x:c>
      <x:c r="AP285" s="2" t="str">
        <x:v>https://www.google.com/maps/search/?api=1&amp;query=Muleshoe+NWR%2C+Texas</x:v>
      </x:c>
      <x:c r="AQ285" s="96" t="n">
        <x:v>0</x:v>
      </x:c>
      <x:c r="AR285" s="2" t="str">
        <x:v>Standard Hastings ranking</x:v>
      </x:c>
    </x:row>
    <x:row r="286">
      <x:c r="A286" s="2" t="str">
        <x:v>No</x:v>
      </x:c>
      <x:c r="B286" s="2" t="str">
        <x:v>A</x:v>
      </x:c>
      <x:c r="C286" s="2" t="str">
        <x:v>Pronghorn</x:v>
      </x:c>
      <x:c r="D286" s="2" t="str">
        <x:v>Rita Blanca National Grasslands</x:v>
      </x:c>
      <x:c r="E286" s="2" t="str">
        <x:v>Panhandle</x:v>
      </x:c>
      <x:c r="F286" s="2" t="str">
        <x:v>Pronghorn</x:v>
      </x:c>
      <x:c r="G286" s="2" t="str">
        <x:v>Yes</x:v>
      </x:c>
      <x:c r="H286" s="2" t="str">
        <x:v>No</x:v>
      </x:c>
      <x:c r="I286" s="97" t="str">
        <x:v>2026-08-15</x:v>
      </x:c>
      <x:c r="J286" s="2" t="str">
        <x:v>Oct 3-18, 2026</x:v>
      </x:c>
      <x:c r="K286" s="111" t="n">
        <x:v>3</x:v>
      </x:c>
      <x:c r="L286" s="111" t="n">
        <x:v>80</x:v>
      </x:c>
      <x:c r="M286" s="2"/>
      <x:c r="N286" s="2"/>
      <x:c r="O286" s="113"/>
      <x:c r="P286" s="2" t="n">
        <x:v>88</x:v>
      </x:c>
      <x:c r="Q286" s="2" t="str">
        <x:v>Core</x:v>
      </x:c>
      <x:c r="R286" s="2" t="str">
        <x:v>Primitive/nearby camping</x:v>
      </x:c>
      <x:c r="S286" s="2" t="str">
        <x:v>High</x:v>
      </x:c>
      <x:c r="T286" s="2" t="str">
        <x:v>No</x:v>
      </x:c>
      <x:c r="U286" s="2" t="str">
        <x:v>Always apply for close pronghorn if eligible.</x:v>
      </x:c>
      <x:c r="V286" s="2" t="str">
        <x:v>https://tpwd.texas.gov/huntwild/hunt/public/public_hunt_drawing/hunt-area-details.phtml?OArea=RB</x:v>
      </x:c>
      <x:c r="W286" s="2" t="n">
        <x:v>2</x:v>
      </x:c>
      <x:c r="X286" s="2" t="n">
        <x:v>5</x:v>
      </x:c>
      <x:c r="Y286" s="2" t="n">
        <x:v>2</x:v>
      </x:c>
      <x:c r="Z286" s="2" t="n">
        <x:v>4</x:v>
      </x:c>
      <x:c r="AA286" s="2" t="n">
        <x:v>5</x:v>
      </x:c>
      <x:c r="AB286" s="2" t="n">
        <x:v>0</x:v>
      </x:c>
      <x:c r="AC286" s="96" t="n">
        <x:v>2.8</x:v>
      </x:c>
      <x:c r="AD286" s="2" t="n">
        <x:v>83</x:v>
      </x:c>
      <x:c r="AE286" s="2" t="str">
        <x:v>2026-08-15</x:v>
      </x:c>
      <x:c r="AF286" s="2"/>
      <x:c r="AG286" s="97"/>
      <x:c r="AH286" s="2"/>
      <x:c r="AI286" s="2"/>
      <x:c r="AJ286" s="97"/>
      <x:c r="AK286" s="2"/>
      <x:c r="AL286" s="2"/>
      <x:c r="AM286" s="2" t="str">
        <x:v>https://tpwd.texas.gov/huntwild/hunt/public/public_hunt_drawing/hunt-area-details.phtml?OArea=RB</x:v>
      </x:c>
      <x:c r="AN286" s="2" t="str">
        <x:v>https://tpwd.texas.gov/search/?q=Rita+Blanca+National+Grasslands+public+hunting+brochure</x:v>
      </x:c>
      <x:c r="AO286" s="2" t="str">
        <x:v>https://apps.tpwd.state.tx.us/huntwild/hunt/public/public_hunt_drawing/</x:v>
      </x:c>
      <x:c r="AP286" s="2" t="str">
        <x:v>https://www.google.com/maps/search/?api=1&amp;query=Rita+Blanca+National+Grasslands%2C+Texas</x:v>
      </x:c>
      <x:c r="AQ286" s="96" t="n">
        <x:v>0</x:v>
      </x:c>
      <x:c r="AR286" s="2" t="str">
        <x:v>Standard Hastings ranking</x:v>
      </x:c>
    </x:row>
    <x:row r="287">
      <x:c r="A287" s="2" t="str">
        <x:v>No</x:v>
      </x:c>
      <x:c r="B287" s="2" t="str">
        <x:v>A</x:v>
      </x:c>
      <x:c r="C287" s="2" t="str">
        <x:v>Pronghorn</x:v>
      </x:c>
      <x:c r="D287" s="2" t="str">
        <x:v>Canadian River Complex</x:v>
      </x:c>
      <x:c r="E287" s="2" t="str">
        <x:v>Panhandle</x:v>
      </x:c>
      <x:c r="F287" s="2" t="str">
        <x:v>Private Lands Pronghorn</x:v>
      </x:c>
      <x:c r="G287" s="2" t="str">
        <x:v>Yes</x:v>
      </x:c>
      <x:c r="H287" s="2" t="str">
        <x:v>No</x:v>
      </x:c>
      <x:c r="I287" s="97" t="str">
        <x:v>2026-08-15</x:v>
      </x:c>
      <x:c r="J287" s="2" t="str">
        <x:v>Oct 2026 varies</x:v>
      </x:c>
      <x:c r="K287" s="111" t="n">
        <x:v>10</x:v>
      </x:c>
      <x:c r="L287" s="111" t="n">
        <x:v>80</x:v>
      </x:c>
      <x:c r="M287" s="2"/>
      <x:c r="N287" s="2"/>
      <x:c r="O287" s="113"/>
      <x:c r="P287" s="2" t="n">
        <x:v>60</x:v>
      </x:c>
      <x:c r="Q287" s="2" t="str">
        <x:v>Core</x:v>
      </x:c>
      <x:c r="R287" s="2" t="str">
        <x:v>Varies by property</x:v>
      </x:c>
      <x:c r="S287" s="2" t="str">
        <x:v>Medium</x:v>
      </x:c>
      <x:c r="T287" s="2" t="str">
        <x:v>No</x:v>
      </x:c>
      <x:c r="U287" s="2" t="str">
        <x:v>Private lands pronghorn; higher app fee but close.</x:v>
      </x:c>
      <x:c r="V287" s="2" t="str">
        <x:v>https://tpwd.texas.gov/huntwild/hunt/public/public_hunt_drawing/hunt-area-details.phtml?OArea=CI</x:v>
      </x:c>
      <x:c r="W287" s="2" t="n">
        <x:v>2</x:v>
      </x:c>
      <x:c r="X287" s="2" t="n">
        <x:v>5</x:v>
      </x:c>
      <x:c r="Y287" s="2" t="n">
        <x:v>2</x:v>
      </x:c>
      <x:c r="Z287" s="2" t="n">
        <x:v>2</x:v>
      </x:c>
      <x:c r="AA287" s="2" t="n">
        <x:v>3</x:v>
      </x:c>
      <x:c r="AB287" s="2" t="n">
        <x:v>0</x:v>
      </x:c>
      <x:c r="AC287" s="96" t="n">
        <x:v>2.4</x:v>
      </x:c>
      <x:c r="AD287" s="2" t="n">
        <x:v>90</x:v>
      </x:c>
      <x:c r="AE287" s="2" t="str">
        <x:v>2026-08-15</x:v>
      </x:c>
      <x:c r="AF287" s="2"/>
      <x:c r="AG287" s="97"/>
      <x:c r="AH287" s="2"/>
      <x:c r="AI287" s="2"/>
      <x:c r="AJ287" s="97"/>
      <x:c r="AK287" s="2"/>
      <x:c r="AL287" s="2"/>
      <x:c r="AM287" s="2" t="str">
        <x:v>https://tpwd.texas.gov/huntwild/hunt/public/public_hunt_drawing/hunt-area-details.phtml?OArea=CI</x:v>
      </x:c>
      <x:c r="AN287" s="2" t="str">
        <x:v>https://tpwd.texas.gov/search/?q=Canadian+River+Complex+public+hunting+brochure</x:v>
      </x:c>
      <x:c r="AO287" s="2" t="str">
        <x:v>https://apps.tpwd.state.tx.us/huntwild/hunt/public/public_hunt_drawing/</x:v>
      </x:c>
      <x:c r="AP287" s="2" t="str">
        <x:v>https://www.google.com/maps/search/?api=1&amp;query=Canadian+River+Complex%2C+Texas</x:v>
      </x:c>
      <x:c r="AQ287" s="96" t="n">
        <x:v>0</x:v>
      </x:c>
      <x:c r="AR287" s="2" t="str">
        <x:v>Standard Hastings ranking</x:v>
      </x:c>
    </x:row>
    <x:row r="288">
      <x:c r="A288" s="2" t="str">
        <x:v>No</x:v>
      </x:c>
      <x:c r="B288" s="2" t="str">
        <x:v>A</x:v>
      </x:c>
      <x:c r="C288" s="2" t="str">
        <x:v>Pronghorn</x:v>
      </x:c>
      <x:c r="D288" s="2" t="str">
        <x:v>Lipscomb/Hemphill County Ranch</x:v>
      </x:c>
      <x:c r="E288" s="2" t="str">
        <x:v>Panhandle</x:v>
      </x:c>
      <x:c r="F288" s="2" t="str">
        <x:v>Private Lands Pronghorn</x:v>
      </x:c>
      <x:c r="G288" s="2" t="str">
        <x:v>Yes</x:v>
      </x:c>
      <x:c r="H288" s="2" t="str">
        <x:v>No</x:v>
      </x:c>
      <x:c r="I288" s="97" t="str">
        <x:v>2026-08-15</x:v>
      </x:c>
      <x:c r="J288" s="2" t="str">
        <x:v>Oct 2026 varies</x:v>
      </x:c>
      <x:c r="K288" s="111" t="n">
        <x:v>10</x:v>
      </x:c>
      <x:c r="L288" s="111" t="n">
        <x:v>80</x:v>
      </x:c>
      <x:c r="M288" s="2"/>
      <x:c r="N288" s="2"/>
      <x:c r="O288" s="113"/>
      <x:c r="P288" s="2" t="n">
        <x:v>160</x:v>
      </x:c>
      <x:c r="Q288" s="2" t="str">
        <x:v>Core</x:v>
      </x:c>
      <x:c r="R288" s="2" t="str">
        <x:v>Varies by property</x:v>
      </x:c>
      <x:c r="S288" s="2" t="str">
        <x:v>Medium</x:v>
      </x:c>
      <x:c r="T288" s="2" t="str">
        <x:v>No</x:v>
      </x:c>
      <x:c r="U288" s="2" t="str">
        <x:v>Good Panhandle pronghorn option.</x:v>
      </x:c>
      <x:c r="V288" s="2" t="str">
        <x:v>https://tpwd.texas.gov/huntwild/hunt/public/public_hunt_drawing/hunt-area-details.phtml?OArea=ZI</x:v>
      </x:c>
      <x:c r="W288" s="2" t="n">
        <x:v>2</x:v>
      </x:c>
      <x:c r="X288" s="2" t="n">
        <x:v>4</x:v>
      </x:c>
      <x:c r="Y288" s="2" t="n">
        <x:v>2</x:v>
      </x:c>
      <x:c r="Z288" s="2" t="n">
        <x:v>2</x:v>
      </x:c>
      <x:c r="AA288" s="2" t="n">
        <x:v>3</x:v>
      </x:c>
      <x:c r="AB288" s="2" t="n">
        <x:v>0</x:v>
      </x:c>
      <x:c r="AC288" s="96" t="n">
        <x:v>2.2</x:v>
      </x:c>
      <x:c r="AD288" s="2" t="n">
        <x:v>90</x:v>
      </x:c>
      <x:c r="AE288" s="2" t="str">
        <x:v>2026-08-15</x:v>
      </x:c>
      <x:c r="AF288" s="2"/>
      <x:c r="AG288" s="97"/>
      <x:c r="AH288" s="2"/>
      <x:c r="AI288" s="2"/>
      <x:c r="AJ288" s="97"/>
      <x:c r="AK288" s="2"/>
      <x:c r="AL288" s="2"/>
      <x:c r="AM288" s="2" t="str">
        <x:v>https://tpwd.texas.gov/huntwild/hunt/public/public_hunt_drawing/hunt-area-details.phtml?OArea=ZI</x:v>
      </x:c>
      <x:c r="AN288" s="2" t="str">
        <x:v>https://tpwd.texas.gov/search/?q=Lipscomb%2FHemphill+County+Ranch+public+hunting+brochure</x:v>
      </x:c>
      <x:c r="AO288" s="2" t="str">
        <x:v>https://apps.tpwd.state.tx.us/huntwild/hunt/public/public_hunt_drawing/</x:v>
      </x:c>
      <x:c r="AP288" s="2" t="str">
        <x:v>https://www.google.com/maps/search/?api=1&amp;query=Lipscomb%2FHemphill+County+Ranch%2C+Texas</x:v>
      </x:c>
      <x:c r="AQ288" s="96" t="n">
        <x:v>0</x:v>
      </x:c>
      <x:c r="AR288" s="2" t="str">
        <x:v>Standard Hastings ranking</x:v>
      </x:c>
    </x:row>
    <x:row r="289">
      <x:c r="A289" s="2" t="str">
        <x:v>No</x:v>
      </x:c>
      <x:c r="B289" s="2" t="str">
        <x:v>B</x:v>
      </x:c>
      <x:c r="C289" s="2" t="str">
        <x:v>Waterfowl/Upland</x:v>
      </x:c>
      <x:c r="D289" s="2" t="str">
        <x:v>Lipscomb County Ranch</x:v>
      </x:c>
      <x:c r="E289" s="2" t="str">
        <x:v>Panhandle</x:v>
      </x:c>
      <x:c r="F289" s="2" t="str">
        <x:v>Private Lands Quail</x:v>
      </x:c>
      <x:c r="G289" s="2" t="str">
        <x:v>Yes</x:v>
      </x:c>
      <x:c r="H289" s="2" t="str">
        <x:v>Yes</x:v>
      </x:c>
      <x:c r="I289" s="97" t="str">
        <x:v>2026-10-01</x:v>
      </x:c>
      <x:c r="J289" s="2" t="str">
        <x:v>Quail season varies</x:v>
      </x:c>
      <x:c r="K289" s="111" t="n">
        <x:v>10</x:v>
      </x:c>
      <x:c r="L289" s="111" t="n">
        <x:v>0</x:v>
      </x:c>
      <x:c r="M289" s="2"/>
      <x:c r="N289" s="2"/>
      <x:c r="O289" s="113"/>
      <x:c r="P289" s="2" t="n">
        <x:v>160</x:v>
      </x:c>
      <x:c r="Q289" s="2" t="str">
        <x:v>Core</x:v>
      </x:c>
      <x:c r="R289" s="2" t="str">
        <x:v>Varies by property</x:v>
      </x:c>
      <x:c r="S289" s="2" t="str">
        <x:v>Low</x:v>
      </x:c>
      <x:c r="T289" s="2" t="str">
        <x:v>No</x:v>
      </x:c>
      <x:c r="U289" s="2" t="str">
        <x:v>Add if quail is in the budget.</x:v>
      </x:c>
      <x:c r="V289" s="2" t="str">
        <x:v>https://tpwd.texas.gov/huntwild/hunt/public/public_hunt_drawing/hunt-area-details.phtml?OArea=XV</x:v>
      </x:c>
      <x:c r="W289" s="2" t="n">
        <x:v>2</x:v>
      </x:c>
      <x:c r="X289" s="2" t="n">
        <x:v>4</x:v>
      </x:c>
      <x:c r="Y289" s="2" t="n">
        <x:v>5</x:v>
      </x:c>
      <x:c r="Z289" s="2" t="n">
        <x:v>2</x:v>
      </x:c>
      <x:c r="AA289" s="2" t="n">
        <x:v>1</x:v>
      </x:c>
      <x:c r="AB289" s="2" t="n">
        <x:v>0</x:v>
      </x:c>
      <x:c r="AC289" s="96" t="n">
        <x:v>2.6</x:v>
      </x:c>
      <x:c r="AD289" s="2" t="n">
        <x:v>10</x:v>
      </x:c>
      <x:c r="AE289" s="2" t="str">
        <x:v>2026-10-01</x:v>
      </x:c>
      <x:c r="AF289" s="2"/>
      <x:c r="AG289" s="97"/>
      <x:c r="AH289" s="2"/>
      <x:c r="AI289" s="2"/>
      <x:c r="AJ289" s="97"/>
      <x:c r="AK289" s="2"/>
      <x:c r="AL289" s="2"/>
      <x:c r="AM289" s="2" t="str">
        <x:v>https://tpwd.texas.gov/huntwild/hunt/public/public_hunt_drawing/hunt-area-details.phtml?OArea=XV</x:v>
      </x:c>
      <x:c r="AN289" s="2" t="str">
        <x:v>https://tpwd.texas.gov/search/?q=Lipscomb+County+Ranch+public+hunting+brochure</x:v>
      </x:c>
      <x:c r="AO289" s="2" t="str">
        <x:v>https://apps.tpwd.state.tx.us/huntwild/hunt/public/public_hunt_drawing/</x:v>
      </x:c>
      <x:c r="AP289" s="2" t="str">
        <x:v>https://www.google.com/maps/search/?api=1&amp;query=Lipscomb+County+Ranch%2C+Texas</x:v>
      </x:c>
      <x:c r="AQ289" s="96" t="n">
        <x:v>0</x:v>
      </x:c>
      <x:c r="AR289" s="2" t="str">
        <x:v>Standard Hastings ranking</x:v>
      </x:c>
    </x:row>
    <x:row r="290">
      <x:c r="A290" s="2" t="str">
        <x:v>No</x:v>
      </x:c>
      <x:c r="B290" s="2" t="str">
        <x:v>B</x:v>
      </x:c>
      <x:c r="C290" s="2" t="str">
        <x:v>Feral Hog</x:v>
      </x:c>
      <x:c r="D290" s="2" t="str">
        <x:v>Cooper WMA</x:v>
      </x:c>
      <x:c r="E290" s="2" t="str">
        <x:v>DFW/North Texas</x:v>
      </x:c>
      <x:c r="F290" s="2" t="str">
        <x:v>Feral Hog / E-Postcard Hog if offered</x:v>
      </x:c>
      <x:c r="G290" s="2" t="str">
        <x:v>Yes</x:v>
      </x:c>
      <x:c r="H290" s="2" t="str">
        <x:v>Yes</x:v>
      </x:c>
      <x:c r="I290" s="97" t="str">
        <x:v>2026-11-01</x:v>
      </x:c>
      <x:c r="J290" s="2" t="str">
        <x:v>Winter 2027 varies</x:v>
      </x:c>
      <x:c r="K290" s="111" t="n">
        <x:v>3</x:v>
      </x:c>
      <x:c r="L290" s="111" t="n">
        <x:v>80</x:v>
      </x:c>
      <x:c r="M290" s="2"/>
      <x:c r="N290" s="2"/>
      <x:c r="O290" s="113"/>
      <x:c r="P290" s="2" t="n">
        <x:v>355</x:v>
      </x:c>
      <x:c r="Q290" s="2" t="str">
        <x:v>DFW</x:v>
      </x:c>
      <x:c r="R290" s="2" t="str">
        <x:v>Nearby state park/lake camping</x:v>
      </x:c>
      <x:c r="S290" s="2" t="str">
        <x:v>Low</x:v>
      </x:c>
      <x:c r="T290" s="2" t="str">
        <x:v>No</x:v>
      </x:c>
      <x:c r="U290" s="2" t="str">
        <x:v>DFW expansion opportunity; verify exact hunt category before applying.</x:v>
      </x:c>
      <x:c r="V290" s="2" t="str">
        <x:v>https://tpwd.texas.gov/huntwild/hunt/public/public_hunt_drawing/hunt-area-details.phtml?OArea=CP</x:v>
      </x:c>
      <x:c r="W290" s="2" t="n">
        <x:v>2</x:v>
      </x:c>
      <x:c r="X290" s="2" t="n">
        <x:v>2</x:v>
      </x:c>
      <x:c r="Y290" s="2" t="n">
        <x:v>5</x:v>
      </x:c>
      <x:c r="Z290" s="2" t="n">
        <x:v>5</x:v>
      </x:c>
      <x:c r="AA290" s="2" t="n">
        <x:v>1</x:v>
      </x:c>
      <x:c r="AB290" s="2" t="n">
        <x:v>0</x:v>
      </x:c>
      <x:c r="AC290" s="96" t="n">
        <x:v>2.6</x:v>
      </x:c>
      <x:c r="AD290" s="2" t="n">
        <x:v>83</x:v>
      </x:c>
      <x:c r="AE290" s="2" t="str">
        <x:v>2026-11-01</x:v>
      </x:c>
      <x:c r="AF290" s="2"/>
      <x:c r="AG290" s="97"/>
      <x:c r="AH290" s="2"/>
      <x:c r="AI290" s="2"/>
      <x:c r="AJ290" s="97"/>
      <x:c r="AK290" s="2"/>
      <x:c r="AL290" s="2"/>
      <x:c r="AM290" s="2" t="str">
        <x:v>https://tpwd.texas.gov/huntwild/hunt/public/public_hunt_drawing/hunt-area-details.phtml?OArea=CP</x:v>
      </x:c>
      <x:c r="AN290" s="2" t="str">
        <x:v>https://tpwd.texas.gov/search/?q=Cooper+WMA+public+hunting+brochure</x:v>
      </x:c>
      <x:c r="AO290" s="2" t="str">
        <x:v>https://apps.tpwd.state.tx.us/huntwild/hunt/public/public_hunt_drawing/</x:v>
      </x:c>
      <x:c r="AP290" s="2" t="str">
        <x:v>https://www.google.com/maps/search/?api=1&amp;query=Cooper+WMA%2C+Texas</x:v>
      </x:c>
      <x:c r="AQ290" s="96" t="n">
        <x:v>0</x:v>
      </x:c>
      <x:c r="AR290" s="2" t="str">
        <x:v>Standard Hastings ranking</x:v>
      </x:c>
    </x:row>
    <x:row r="291">
      <x:c r="A291" s="2" t="str">
        <x:v>No</x:v>
      </x:c>
      <x:c r="B291" s="2" t="str">
        <x:v>B</x:v>
      </x:c>
      <x:c r="C291" s="2" t="str">
        <x:v>Waterfowl/Upland</x:v>
      </x:c>
      <x:c r="D291" s="2" t="str">
        <x:v>Lake Tawakoni WMA</x:v>
      </x:c>
      <x:c r="E291" s="2" t="str">
        <x:v>DFW/North Texas</x:v>
      </x:c>
      <x:c r="F291" s="2" t="str">
        <x:v>Waterfowl</x:v>
      </x:c>
      <x:c r="G291" s="2" t="str">
        <x:v>Yes</x:v>
      </x:c>
      <x:c r="H291" s="2" t="str">
        <x:v>Yes</x:v>
      </x:c>
      <x:c r="I291" s="97" t="str">
        <x:v>2026-08-15</x:v>
      </x:c>
      <x:c r="J291" s="2" t="str">
        <x:v>Waterfowl season varies</x:v>
      </x:c>
      <x:c r="K291" s="111" t="n">
        <x:v>0</x:v>
      </x:c>
      <x:c r="L291" s="111" t="n">
        <x:v>0</x:v>
      </x:c>
      <x:c r="M291" s="2"/>
      <x:c r="N291" s="2"/>
      <x:c r="O291" s="113"/>
      <x:c r="P291" s="2" t="n">
        <x:v>380</x:v>
      </x:c>
      <x:c r="Q291" s="2" t="str">
        <x:v>DFW</x:v>
      </x:c>
      <x:c r="R291" s="2" t="str">
        <x:v>State park/lake camping nearby</x:v>
      </x:c>
      <x:c r="S291" s="2" t="str">
        <x:v>Low</x:v>
      </x:c>
      <x:c r="T291" s="2" t="str">
        <x:v>No</x:v>
      </x:c>
      <x:c r="U291" s="2" t="str">
        <x:v>APH/e-postcard style opportunity if listed.</x:v>
      </x:c>
      <x:c r="V291" s="2" t="str">
        <x:v>https://tpwd.texas.gov/huntwild/hunt/public/public_hunt_drawing/hunt-area-details.phtml?OArea=LW</x:v>
      </x:c>
      <x:c r="W291" s="2" t="n">
        <x:v>2</x:v>
      </x:c>
      <x:c r="X291" s="2" t="n">
        <x:v>2</x:v>
      </x:c>
      <x:c r="Y291" s="2" t="n">
        <x:v>5</x:v>
      </x:c>
      <x:c r="Z291" s="2" t="n">
        <x:v>5</x:v>
      </x:c>
      <x:c r="AA291" s="2" t="n">
        <x:v>1</x:v>
      </x:c>
      <x:c r="AB291" s="2" t="n">
        <x:v>0</x:v>
      </x:c>
      <x:c r="AC291" s="96" t="n">
        <x:v>2.6</x:v>
      </x:c>
      <x:c r="AD291" s="2" t="n">
        <x:v>0</x:v>
      </x:c>
      <x:c r="AE291" s="2" t="str">
        <x:v>2026-08-15</x:v>
      </x:c>
      <x:c r="AF291" s="2"/>
      <x:c r="AG291" s="97"/>
      <x:c r="AH291" s="2"/>
      <x:c r="AI291" s="2"/>
      <x:c r="AJ291" s="97"/>
      <x:c r="AK291" s="2"/>
      <x:c r="AL291" s="2"/>
      <x:c r="AM291" s="2" t="str">
        <x:v>https://tpwd.texas.gov/huntwild/hunt/public/public_hunt_drawing/hunt-area-details.phtml?OArea=LW</x:v>
      </x:c>
      <x:c r="AN291" s="2" t="str">
        <x:v>https://tpwd.texas.gov/search/?q=Lake+Tawakoni+WMA+public+hunting+brochure</x:v>
      </x:c>
      <x:c r="AO291" s="2" t="str">
        <x:v>https://apps.tpwd.state.tx.us/huntwild/hunt/public/public_hunt_drawing/</x:v>
      </x:c>
      <x:c r="AP291" s="2" t="str">
        <x:v>https://www.google.com/maps/search/?api=1&amp;query=Lake+Tawakoni+WMA%2C+Texas</x:v>
      </x:c>
      <x:c r="AQ291" s="96" t="n">
        <x:v>0</x:v>
      </x:c>
      <x:c r="AR291" s="2" t="str">
        <x:v>Standard Hastings ranking</x:v>
      </x:c>
    </x:row>
    <x:row r="292">
      <x:c r="A292" s="2" t="str">
        <x:v>No</x:v>
      </x:c>
      <x:c r="B292" s="2" t="str">
        <x:v>C</x:v>
      </x:c>
      <x:c r="C292" s="2" t="str">
        <x:v>Feral Hog</x:v>
      </x:c>
      <x:c r="D292" s="2" t="str">
        <x:v>Gus Engeling WMA</x:v>
      </x:c>
      <x:c r="E292" s="2" t="str">
        <x:v>East TX Stretch</x:v>
      </x:c>
      <x:c r="F292" s="2" t="str">
        <x:v>Feral Hog / Deer</x:v>
      </x:c>
      <x:c r="G292" s="2" t="str">
        <x:v>Yes</x:v>
      </x:c>
      <x:c r="H292" s="2" t="str">
        <x:v>Yes</x:v>
      </x:c>
      <x:c r="I292" s="97" t="str">
        <x:v>2026-09-15</x:v>
      </x:c>
      <x:c r="J292" s="2" t="str">
        <x:v>Winter 2027 varies</x:v>
      </x:c>
      <x:c r="K292" s="111" t="n">
        <x:v>3</x:v>
      </x:c>
      <x:c r="L292" s="111" t="n">
        <x:v>80</x:v>
      </x:c>
      <x:c r="M292" s="2"/>
      <x:c r="N292" s="2"/>
      <x:c r="O292" s="113"/>
      <x:c r="P292" s="2" t="n">
        <x:v>470</x:v>
      </x:c>
      <x:c r="Q292" s="2" t="str">
        <x:v>Stretch</x:v>
      </x:c>
      <x:c r="R292" s="2" t="str">
        <x:v>Primitive/nearby camping</x:v>
      </x:c>
      <x:c r="S292" s="2" t="str">
        <x:v>Medium</x:v>
      </x:c>
      <x:c r="T292" s="2" t="str">
        <x:v>No</x:v>
      </x:c>
      <x:c r="U292" s="2" t="str">
        <x:v>Farther stretch; potentially good hog/deer diversity.</x:v>
      </x:c>
      <x:c r="V292" s="2" t="str">
        <x:v>https://tpwd.texas.gov/huntwild/hunt/public/public_hunt_drawing/hunt-area-details.phtml?OArea=GU</x:v>
      </x:c>
      <x:c r="W292" s="2" t="n">
        <x:v>2</x:v>
      </x:c>
      <x:c r="X292" s="2" t="n">
        <x:v>1</x:v>
      </x:c>
      <x:c r="Y292" s="2" t="n">
        <x:v>5</x:v>
      </x:c>
      <x:c r="Z292" s="2" t="n">
        <x:v>4</x:v>
      </x:c>
      <x:c r="AA292" s="2" t="n">
        <x:v>3</x:v>
      </x:c>
      <x:c r="AB292" s="2" t="n">
        <x:v>0</x:v>
      </x:c>
      <x:c r="AC292" s="96" t="n">
        <x:v>2.6</x:v>
      </x:c>
      <x:c r="AD292" s="2" t="n">
        <x:v>83</x:v>
      </x:c>
      <x:c r="AE292" s="2" t="str">
        <x:v>2026-09-15</x:v>
      </x:c>
      <x:c r="AF292" s="2"/>
      <x:c r="AG292" s="97"/>
      <x:c r="AH292" s="2"/>
      <x:c r="AI292" s="2"/>
      <x:c r="AJ292" s="97"/>
      <x:c r="AK292" s="2"/>
      <x:c r="AL292" s="2"/>
      <x:c r="AM292" s="2" t="str">
        <x:v>https://tpwd.texas.gov/huntwild/hunt/public/public_hunt_drawing/hunt-area-details.phtml?OArea=GU</x:v>
      </x:c>
      <x:c r="AN292" s="2" t="str">
        <x:v>https://tpwd.texas.gov/search/?q=Gus+Engeling+WMA+public+hunting+brochure</x:v>
      </x:c>
      <x:c r="AO292" s="2" t="str">
        <x:v>https://apps.tpwd.state.tx.us/huntwild/hunt/public/public_hunt_drawing/</x:v>
      </x:c>
      <x:c r="AP292" s="2" t="str">
        <x:v>https://www.google.com/maps/search/?api=1&amp;query=Gus+Engeling+WMA%2C+Texas</x:v>
      </x:c>
      <x:c r="AQ292" s="96" t="n">
        <x:v>0</x:v>
      </x:c>
      <x:c r="AR292" s="2" t="str">
        <x:v>Standard Hastings ranking</x:v>
      </x:c>
    </x:row>
    <x:row r="293">
      <x:c r="A293" s="2" t="str">
        <x:v>No</x:v>
      </x:c>
      <x:c r="B293" s="2" t="str">
        <x:v>C</x:v>
      </x:c>
      <x:c r="C293" s="2" t="str">
        <x:v>Feral Hog</x:v>
      </x:c>
      <x:c r="D293" s="2" t="str">
        <x:v>Fort Boggy SP</x:v>
      </x:c>
      <x:c r="E293" s="2" t="str">
        <x:v>East TX Stretch</x:v>
      </x:c>
      <x:c r="F293" s="2" t="str">
        <x:v>Feral Hog</x:v>
      </x:c>
      <x:c r="G293" s="2" t="str">
        <x:v>Yes</x:v>
      </x:c>
      <x:c r="H293" s="2" t="str">
        <x:v>Yes</x:v>
      </x:c>
      <x:c r="I293" s="97" t="str">
        <x:v>2026-11-01</x:v>
      </x:c>
      <x:c r="J293" s="2" t="str">
        <x:v>Jan 18-22, 2027</x:v>
      </x:c>
      <x:c r="K293" s="111" t="n">
        <x:v>3</x:v>
      </x:c>
      <x:c r="L293" s="111" t="n">
        <x:v>130</x:v>
      </x:c>
      <x:c r="M293" s="2" t="n">
        <x:v>5</x:v>
      </x:c>
      <x:c r="N293" s="2" t="n">
        <x:v>296</x:v>
      </x:c>
      <x:c r="O293" s="113" t="n">
        <x:v>0.2</x:v>
      </x:c>
      <x:c r="P293" s="2" t="n">
        <x:v>465</x:v>
      </x:c>
      <x:c r="Q293" s="2" t="str">
        <x:v>Stretch</x:v>
      </x:c>
      <x:c r="R293" s="2" t="str">
        <x:v>State park camping</x:v>
      </x:c>
      <x:c r="S293" s="2" t="str">
        <x:v>Low</x:v>
      </x:c>
      <x:c r="T293" s="2" t="str">
        <x:v>No</x:v>
      </x:c>
      <x:c r="U293" s="2" t="str">
        <x:v>TPWD listed 296 applicants, 5 permits, 20% success rate last year.</x:v>
      </x:c>
      <x:c r="V293" s="2" t="str">
        <x:v>https://tpwd.texas.gov/huntwild/hunt/public/public_hunt_drawing/hunt-category-details.phtml?OCat=GFH</x:v>
      </x:c>
      <x:c r="W293" s="2" t="n">
        <x:v>3</x:v>
      </x:c>
      <x:c r="X293" s="2" t="n">
        <x:v>1</x:v>
      </x:c>
      <x:c r="Y293" s="2" t="n">
        <x:v>5</x:v>
      </x:c>
      <x:c r="Z293" s="2" t="n">
        <x:v>5</x:v>
      </x:c>
      <x:c r="AA293" s="2" t="n">
        <x:v>1</x:v>
      </x:c>
      <x:c r="AB293" s="2" t="n">
        <x:v>0</x:v>
      </x:c>
      <x:c r="AC293" s="96" t="n">
        <x:v>2.8</x:v>
      </x:c>
      <x:c r="AD293" s="2" t="n">
        <x:v>133</x:v>
      </x:c>
      <x:c r="AE293" s="2" t="str">
        <x:v>2026-11-01</x:v>
      </x:c>
      <x:c r="AF293" s="2"/>
      <x:c r="AG293" s="97"/>
      <x:c r="AH293" s="2"/>
      <x:c r="AI293" s="2"/>
      <x:c r="AJ293" s="97"/>
      <x:c r="AK293" s="2"/>
      <x:c r="AL293" s="2"/>
      <x:c r="AM293" s="2" t="str">
        <x:v>https://tpwd.texas.gov/huntwild/hunt/public/public_hunt_drawing/hunt-category-details.phtml?OCat=GFH</x:v>
      </x:c>
      <x:c r="AN293" s="2" t="str">
        <x:v>https://tpwd.texas.gov/search/?q=Fort+Boggy+SP+public+hunting+brochure</x:v>
      </x:c>
      <x:c r="AO293" s="2" t="str">
        <x:v>https://apps.tpwd.state.tx.us/huntwild/hunt/public/public_hunt_drawing/</x:v>
      </x:c>
      <x:c r="AP293" s="2" t="str">
        <x:v>https://www.google.com/maps/search/?api=1&amp;query=Fort+Boggy+SP%2C+Texas</x:v>
      </x:c>
      <x:c r="AQ293" s="96" t="n">
        <x:v>0</x:v>
      </x:c>
      <x:c r="AR293" s="2" t="str">
        <x:v>Standard Hastings ranking</x:v>
      </x:c>
    </x:row>
    <x:row r="294">
      <x:c r="A294" s="2" t="str">
        <x:v>No</x:v>
      </x:c>
      <x:c r="B294" s="2" t="str">
        <x:v>C</x:v>
      </x:c>
      <x:c r="C294" s="2" t="str">
        <x:v>Feral Hog</x:v>
      </x:c>
      <x:c r="D294" s="2" t="str">
        <x:v>Justin Hurst WMA</x:v>
      </x:c>
      <x:c r="E294" s="2" t="str">
        <x:v>Far Stretch</x:v>
      </x:c>
      <x:c r="F294" s="2" t="str">
        <x:v>Youth Only Feral Hog</x:v>
      </x:c>
      <x:c r="G294" s="2" t="str">
        <x:v>No</x:v>
      </x:c>
      <x:c r="H294" s="2" t="str">
        <x:v>Yes</x:v>
      </x:c>
      <x:c r="I294" s="97" t="str">
        <x:v>2026-11-01</x:v>
      </x:c>
      <x:c r="J294" s="2" t="str">
        <x:v>Feb 6-7, 2027</x:v>
      </x:c>
      <x:c r="K294" s="111" t="n">
        <x:v>0</x:v>
      </x:c>
      <x:c r="L294" s="111" t="n">
        <x:v>0</x:v>
      </x:c>
      <x:c r="M294" s="2" t="n">
        <x:v>30</x:v>
      </x:c>
      <x:c r="N294" s="2" t="n">
        <x:v>529</x:v>
      </x:c>
      <x:c r="O294" s="113" t="n">
        <x:v>0.62</x:v>
      </x:c>
      <x:c r="P294" s="2" t="n">
        <x:v>630</x:v>
      </x:c>
      <x:c r="Q294" s="2" t="str">
        <x:v>Dream/Long</x:v>
      </x:c>
      <x:c r="R294" s="2" t="str">
        <x:v>Primitive/nearby lodging</x:v>
      </x:c>
      <x:c r="S294" s="2" t="str">
        <x:v>Medium</x:v>
      </x:c>
      <x:c r="T294" s="2" t="str">
        <x:v>No</x:v>
      </x:c>
      <x:c r="U294" s="2" t="str">
        <x:v>Not near DFW, but high youth hog draw odds from TPWD make it a dream/long option.</x:v>
      </x:c>
      <x:c r="V294" s="2" t="str">
        <x:v>https://tpwd.texas.gov/huntwild/hunt/public/public_hunt_drawing/hunt-category-details.phtml?OCat=YFH</x:v>
      </x:c>
      <x:c r="W294" s="2" t="n">
        <x:v>5</x:v>
      </x:c>
      <x:c r="X294" s="2" t="n">
        <x:v>1</x:v>
      </x:c>
      <x:c r="Y294" s="2" t="n">
        <x:v>5</x:v>
      </x:c>
      <x:c r="Z294" s="2" t="n">
        <x:v>4</x:v>
      </x:c>
      <x:c r="AA294" s="2" t="n">
        <x:v>3</x:v>
      </x:c>
      <x:c r="AB294" s="2" t="n">
        <x:v>0</x:v>
      </x:c>
      <x:c r="AC294" s="96" t="n">
        <x:v>3.6</x:v>
      </x:c>
      <x:c r="AD294" s="2" t="n">
        <x:v>0</x:v>
      </x:c>
      <x:c r="AE294" s="2" t="str">
        <x:v>2026-11-01</x:v>
      </x:c>
      <x:c r="AF294" s="2"/>
      <x:c r="AG294" s="97"/>
      <x:c r="AH294" s="2"/>
      <x:c r="AI294" s="2"/>
      <x:c r="AJ294" s="97"/>
      <x:c r="AK294" s="2"/>
      <x:c r="AL294" s="2"/>
      <x:c r="AM294" s="2" t="str">
        <x:v>https://tpwd.texas.gov/huntwild/hunt/public/public_hunt_drawing/hunt-category-details.phtml?OCat=YFH</x:v>
      </x:c>
      <x:c r="AN294" s="2" t="str">
        <x:v>https://tpwd.texas.gov/search/?q=Justin+Hurst+WMA+public+hunting+brochure</x:v>
      </x:c>
      <x:c r="AO294" s="2" t="str">
        <x:v>https://apps.tpwd.state.tx.us/huntwild/hunt/public/public_hunt_drawing/</x:v>
      </x:c>
      <x:c r="AP294" s="2" t="str">
        <x:v>https://www.google.com/maps/search/?api=1&amp;query=Justin+Hurst+WMA%2C+Texas</x:v>
      </x:c>
      <x:c r="AQ294" s="96" t="n">
        <x:v>0</x:v>
      </x:c>
      <x:c r="AR294" s="2" t="str">
        <x:v>Standard Hastings ranking</x:v>
      </x:c>
    </x:row>
    <x:row r="295">
      <x:c r="A295" s="2" t="str">
        <x:v>No</x:v>
      </x:c>
      <x:c r="B295" s="2" t="str">
        <x:v>C</x:v>
      </x:c>
      <x:c r="C295" s="2" t="str">
        <x:v>Exotics</x:v>
      </x:c>
      <x:c r="D295" s="2" t="str">
        <x:v>Guided Exotic Packages</x:v>
      </x:c>
      <x:c r="E295" s="2" t="str">
        <x:v>Statewide/Dream</x:v>
      </x:c>
      <x:c r="F295" s="2" t="str">
        <x:v>Guided Exotic / Gemsbok / Oryx</x:v>
      </x:c>
      <x:c r="G295" s="2" t="str">
        <x:v>Yes</x:v>
      </x:c>
      <x:c r="H295" s="2" t="str">
        <x:v>Maybe</x:v>
      </x:c>
      <x:c r="I295" s="97" t="str">
        <x:v>Varies</x:v>
      </x:c>
      <x:c r="J295" s="2" t="str">
        <x:v>Varies</x:v>
      </x:c>
      <x:c r="K295" s="111" t="n">
        <x:v>10</x:v>
      </x:c>
      <x:c r="L295" s="111" t="n">
        <x:v>0</x:v>
      </x:c>
      <x:c r="M295" s="2"/>
      <x:c r="N295" s="2"/>
      <x:c r="O295" s="113"/>
      <x:c r="P295" s="2"/>
      <x:c r="Q295" s="2" t="str">
        <x:v>Dream</x:v>
      </x:c>
      <x:c r="R295" s="2" t="str">
        <x:v>Varies</x:v>
      </x:c>
      <x:c r="S295" s="2" t="str">
        <x:v>Varies</x:v>
      </x:c>
      <x:c r="T295" s="2" t="str">
        <x:v>No</x:v>
      </x:c>
      <x:c r="U295" s="2" t="str">
        <x:v>Long-shot dream tab item only; apply only if budget allows.</x:v>
      </x:c>
      <x:c r="V295" s="2" t="str">
        <x:v>https://tpwd.texas.gov/huntwild/hunt/public/public_hunt_drawing/hunt-categories.phtml</x:v>
      </x:c>
      <x:c r="W295" s="2" t="n">
        <x:v>2</x:v>
      </x:c>
      <x:c r="X295" s="2" t="n">
        <x:v>2</x:v>
      </x:c>
      <x:c r="Y295" s="2" t="n">
        <x:v>2</x:v>
      </x:c>
      <x:c r="Z295" s="2" t="n">
        <x:v>2</x:v>
      </x:c>
      <x:c r="AA295" s="2" t="n">
        <x:v>2</x:v>
      </x:c>
      <x:c r="AB295" s="2" t="n">
        <x:v>0</x:v>
      </x:c>
      <x:c r="AC295" s="96" t="n">
        <x:v>1.8</x:v>
      </x:c>
      <x:c r="AD295" s="2" t="n">
        <x:v>10</x:v>
      </x:c>
      <x:c r="AE295" s="2" t="str">
        <x:v>Varies</x:v>
      </x:c>
      <x:c r="AF295" s="2"/>
      <x:c r="AG295" s="97"/>
      <x:c r="AH295" s="2"/>
      <x:c r="AI295" s="2"/>
      <x:c r="AJ295" s="97"/>
      <x:c r="AK295" s="2"/>
      <x:c r="AL295" s="2"/>
      <x:c r="AM295" s="2" t="str">
        <x:v>https://tpwd.texas.gov/huntwild/hunt/public/public_hunt_drawing/hunt-categories.phtml</x:v>
      </x:c>
      <x:c r="AN295" s="2" t="str">
        <x:v>https://tpwd.texas.gov/search/?q=Guided+Exotic+Packages+public+hunting+brochure</x:v>
      </x:c>
      <x:c r="AO295" s="2" t="str">
        <x:v>https://apps.tpwd.state.tx.us/huntwild/hunt/public/public_hunt_drawing/</x:v>
      </x:c>
      <x:c r="AP295" s="2" t="str">
        <x:v>https://www.google.com/maps/search/?api=1&amp;query=Guided+Exotic+Packages%2C+Texas</x:v>
      </x:c>
      <x:c r="AQ295" s="96" t="n">
        <x:v>0</x:v>
      </x:c>
      <x:c r="AR295" s="2" t="str">
        <x:v>Standard Hastings ranking</x:v>
      </x:c>
    </x:row>
  </x:sheetData>
  <x:conditionalFormatting sqref="AC2:AC54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A2:A54">
    <x:cfRule type="expression" dxfId="0" priority="2">
      <x:formula>A2="Yes"</x:formula>
    </x:cfRule>
    <x:cfRule type="expression" dxfId="8" priority="4">
      <x:formula>$A2="Yes"</x:formula>
    </x:cfRule>
  </x:conditionalFormatting>
  <x:conditionalFormatting sqref="H2:H54">
    <x:cfRule type="expression" dxfId="1" priority="3">
      <x:formula>H2="Yes"</x:formula>
    </x:cfRule>
  </x:conditionalFormatting>
  <x:conditionalFormatting sqref="AI2:AI54">
    <x:cfRule type="expression" dxfId="9" priority="5">
      <x:formula>$AI2="Drawn"</x:formula>
    </x:cfRule>
    <x:cfRule type="expression" dxfId="10" priority="6">
      <x:formula>$AI2="Not Drawn"</x:formula>
    </x:cfRule>
  </x:conditionalFormatting>
  <x:conditionalFormatting sqref="A2:A295">
    <x:cfRule type="expression" dxfId="11" priority="7">
      <x:formula>A2="Yes"</x:formula>
    </x:cfRule>
  </x:conditionalFormatting>
  <x:conditionalFormatting sqref="I2:I295">
    <x:cfRule type="expression" dxfId="12" priority="8">
      <x:formula>AND($A2="No",$I2&gt;=TODAY(),$I2&lt;=TODAY()+14)</x:formula>
    </x:cfRule>
    <x:cfRule type="expression" dxfId="13" priority="9">
      <x:formula>AND($A2="No",$I2&lt;TODAY())</x:formula>
    </x:cfRule>
  </x:conditionalFormatting>
  <x:conditionalFormatting sqref="AQ2:AQ295">
    <x:cfRule type="cellIs" dxfId="18" priority="10" operator="lessThan">
      <x:formula>0</x:formula>
    </x:cfRule>
    <x:cfRule type="cellIs" dxfId="19" priority="11" operator="greaterThan">
      <x:formula>0</x:formula>
    </x:cfRule>
  </x:conditionalFormatting>
  <x:dataValidations count="10">
    <x:dataValidation type="list" sqref="A2:A200">
      <x:formula1>"No,Yes,Maybe,Submitted"</x:formula1>
    </x:dataValidation>
    <x:dataValidation type="list" sqref="B2:B200">
      <x:formula1>"A,B,C"</x:formula1>
    </x:dataValidation>
    <x:dataValidation type="list" sqref="A2:A54">
      <x:formula1>"No,Yes"</x:formula1>
    </x:dataValidation>
    <x:dataValidation type="list" sqref="AF2:AF54">
      <x:formula1>"Jamie,Son,Jamie + Son,Family/Party,Other"</x:formula1>
    </x:dataValidation>
    <x:dataValidation type="list" sqref="AI2:AI54">
      <x:formula1>"Pending,Drawn,Not Drawn,Alternate,Declined,Did Not Apply"</x:formula1>
    </x:dataValidation>
    <x:dataValidation type="date" sqref="AJ2:AJ54"/>
    <x:dataValidation type="date" sqref="AG2:AG54"/>
    <x:dataValidation type="list" sqref="A2:A295">
      <x:formula1>"No,Yes"</x:formula1>
    </x:dataValidation>
    <x:dataValidation type="list" sqref="B2:B295">
      <x:formula1>"A,B,C,Dream"</x:formula1>
    </x:dataValidation>
    <x:dataValidation type="list" sqref="AI2:AI295">
      <x:formula1>"Pending,Drawn,Not Drawn,Alternate,Declined,Not Applied"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a397a9a5bfc48e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" hidden="0" customWidth="1"/>
    <x:col min="3" max="3" width="16" hidden="0" customWidth="1"/>
    <x:col min="4" max="4" width="32" hidden="0" customWidth="1"/>
    <x:col min="5" max="5" width="36" hidden="0" customWidth="1"/>
    <x:col min="6" max="6" width="14" hidden="0" customWidth="1"/>
    <x:col min="7" max="7" width="12" hidden="0" customWidth="1"/>
    <x:col min="8" max="8" width="10" hidden="0" customWidth="1"/>
    <x:col min="9" max="9" width="10" hidden="0" customWidth="1"/>
    <x:col min="10" max="10" width="12" hidden="0" customWidth="1"/>
    <x:col min="11" max="11" width="45" hidden="0" customWidth="1"/>
    <x:col min="12" max="12" width="42" hidden="0" customWidth="1"/>
    <x:col min="13" max="13" width="13" hidden="0" customWidth="1"/>
    <x:col min="14" max="14" width="16" hidden="0" customWidth="1"/>
    <x:col min="15" max="15" width="12" hidden="0" customWidth="1"/>
    <x:col min="16" max="16" width="16" hidden="0" customWidth="1"/>
    <x:col min="17" max="17" width="12" hidden="0" customWidth="1"/>
    <x:col min="18" max="18" width="24" hidden="0" customWidth="1"/>
    <x:col min="19" max="19" width="14" hidden="0" customWidth="1"/>
    <x:col min="20" max="20" width="16" hidden="0" customWidth="1"/>
    <x:col min="21" max="21" width="42" hidden="0" customWidth="1"/>
    <x:col min="22" max="22" width="44" hidden="0" customWidth="1"/>
    <x:col min="23" max="23" width="11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4" hidden="0" customWidth="1"/>
    <x:col min="30" max="30" width="16" hidden="0" customWidth="1"/>
    <x:col min="31" max="31" width="14" hidden="0" customWidth="1"/>
  </x:cols>
  <x:sheetData>
    <x:row r="1" ht="28" customHeight="1">
      <x:c r="A1" s="117" t="str">
        <x:v>Apply?</x:v>
      </x:c>
      <x:c r="B1" s="117" t="str">
        <x:v>Priority</x:v>
      </x:c>
      <x:c r="C1" s="117" t="str">
        <x:v>Species Group</x:v>
      </x:c>
      <x:c r="D1" s="117" t="str">
        <x:v>Hunt Area</x:v>
      </x:c>
      <x:c r="E1" s="117" t="str">
        <x:v>Hunt Category</x:v>
      </x:c>
      <x:c r="F1" s="117" t="str">
        <x:v>Deadline</x:v>
      </x:c>
      <x:c r="G1" s="117" t="str">
        <x:v>Approx Miles</x:v>
      </x:c>
      <x:c r="H1" s="117" t="str">
        <x:v>Draw Odds</x:v>
      </x:c>
      <x:c r="I1" s="117" t="str">
        <x:v>Permits</x:v>
      </x:c>
      <x:c r="J1" s="117" t="str">
        <x:v>Applicants</x:v>
      </x:c>
      <x:c r="K1" s="117" t="str">
        <x:v>Notes</x:v>
      </x:c>
      <x:c r="L1" s="117" t="str">
        <x:v>Source URL</x:v>
      </x:c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  <x:c r="AA1" s="9"/>
      <x:c r="AB1" s="9"/>
      <x:c r="AC1" s="9"/>
      <x:c r="AD1" s="9"/>
      <x:c r="AE1" s="9"/>
    </x:row>
    <x:row r="2">
      <x:c r="A2" s="4" t="str">
        <x:v>No</x:v>
      </x:c>
      <x:c r="B2" s="4" t="str">
        <x:v>A</x:v>
      </x:c>
      <x:c r="C2" s="4" t="str">
        <x:v>Mule Deer</x:v>
      </x:c>
      <x:c r="D2" s="4" t="str">
        <x:v>Big Bend Ranch SP</x:v>
      </x:c>
      <x:c r="E2" s="4" t="str">
        <x:v>Archery Mule Deer</x:v>
      </x:c>
      <x:c r="F2" s="24" t="str">
        <x:v>2026-08-15</x:v>
      </x:c>
      <x:c r="G2" s="4" t="n">
        <x:v>520</x:v>
      </x:c>
      <x:c r="H2" s="28"/>
      <x:c r="I2" s="4"/>
      <x:c r="J2" s="4"/>
      <x:c r="K2" s="4" t="str">
        <x:v>Verified in TPWD 2026-2027 statewide deer category catalog. West Texas/El Paso-region opportunity; prioritize for mule deer adventure value.</x:v>
      </x:c>
      <x:c r="L2" s="4" t="str">
        <x:v>https://tpwd.texas.gov/huntwild/hunt/public/public_hunt_drawing/hunt-category-details.phtml?OCat=AMD</x:v>
      </x:c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</x:row>
    <x:row r="3">
      <x:c r="A3" s="4" t="str">
        <x:v>No</x:v>
      </x:c>
      <x:c r="B3" s="4" t="str">
        <x:v>A</x:v>
      </x:c>
      <x:c r="C3" s="4" t="str">
        <x:v>Mule Deer</x:v>
      </x:c>
      <x:c r="D3" s="4" t="str">
        <x:v>Black Gap WMA</x:v>
      </x:c>
      <x:c r="E3" s="4" t="str">
        <x:v>Archery Mule Deer</x:v>
      </x:c>
      <x:c r="F3" s="24" t="str">
        <x:v>2026-08-15</x:v>
      </x:c>
      <x:c r="G3" s="4" t="n">
        <x:v>520</x:v>
      </x:c>
      <x:c r="H3" s="28"/>
      <x:c r="I3" s="4"/>
      <x:c r="J3" s="4"/>
      <x:c r="K3" s="4" t="str">
        <x:v>Verified in TPWD 2026-2027 statewide deer category catalog. West Texas/El Paso-region opportunity; prioritize for mule deer adventure value.</x:v>
      </x:c>
      <x:c r="L3" s="4" t="str">
        <x:v>https://tpwd.texas.gov/huntwild/hunt/public/public_hunt_drawing/hunt-category-details.phtml?OCat=AMD</x:v>
      </x:c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  <x:c r="AD3" s="4"/>
      <x:c r="AE3" s="4"/>
    </x:row>
    <x:row r="4">
      <x:c r="A4" s="4" t="str">
        <x:v>No</x:v>
      </x:c>
      <x:c r="B4" s="4" t="str">
        <x:v>A</x:v>
      </x:c>
      <x:c r="C4" s="4" t="str">
        <x:v>Mule Deer</x:v>
      </x:c>
      <x:c r="D4" s="4" t="str">
        <x:v>Elephant Mountain WMA</x:v>
      </x:c>
      <x:c r="E4" s="4" t="str">
        <x:v>Archery Mule Deer</x:v>
      </x:c>
      <x:c r="F4" s="24" t="str">
        <x:v>2026-08-15</x:v>
      </x:c>
      <x:c r="G4" s="4" t="n">
        <x:v>520</x:v>
      </x:c>
      <x:c r="H4" s="28"/>
      <x:c r="I4" s="4"/>
      <x:c r="J4" s="4"/>
      <x:c r="K4" s="4" t="str">
        <x:v>Verified in TPWD 2026-2027 statewide deer category catalog. West Texas/El Paso-region opportunity; prioritize for mule deer adventure value.</x:v>
      </x:c>
      <x:c r="L4" s="4" t="str">
        <x:v>https://tpwd.texas.gov/huntwild/hunt/public/public_hunt_drawing/hunt-category-details.phtml?OCat=AMD</x:v>
      </x:c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  <x:c r="AA4" s="4"/>
      <x:c r="AB4" s="4"/>
      <x:c r="AC4" s="4"/>
      <x:c r="AD4" s="4"/>
      <x:c r="AE4" s="4"/>
    </x:row>
    <x:row r="5">
      <x:c r="A5" s="4" t="str">
        <x:v>No</x:v>
      </x:c>
      <x:c r="B5" s="4" t="str">
        <x:v>A</x:v>
      </x:c>
      <x:c r="C5" s="4" t="str">
        <x:v>Mule Deer</x:v>
      </x:c>
      <x:c r="D5" s="4" t="str">
        <x:v>Matador WMA</x:v>
      </x:c>
      <x:c r="E5" s="4" t="str">
        <x:v>Archery Mule Deer</x:v>
      </x:c>
      <x:c r="F5" s="24" t="str">
        <x:v>2026-08-15</x:v>
      </x:c>
      <x:c r="G5" s="4" t="n">
        <x:v>130</x:v>
      </x:c>
      <x:c r="H5" s="28"/>
      <x:c r="I5" s="4"/>
      <x:c r="J5" s="4"/>
      <x:c r="K5" s="4" t="str">
        <x:v>Verified in TPWD 2026-2027 statewide deer category catalog.</x:v>
      </x:c>
      <x:c r="L5" s="4" t="str">
        <x:v>https://tpwd.texas.gov/huntwild/hunt/public/public_hunt_drawing/hunt-category-details.phtml?OCat=AMD</x:v>
      </x:c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  <x:c r="AA5" s="4"/>
      <x:c r="AB5" s="4"/>
      <x:c r="AC5" s="4"/>
      <x:c r="AD5" s="4"/>
      <x:c r="AE5" s="4"/>
    </x:row>
    <x:row r="6">
      <x:c r="A6" s="4" t="str">
        <x:v>No</x:v>
      </x:c>
      <x:c r="B6" s="4" t="str">
        <x:v>A</x:v>
      </x:c>
      <x:c r="C6" s="4" t="str">
        <x:v>Mule Deer</x:v>
      </x:c>
      <x:c r="D6" s="4" t="str">
        <x:v>Potter County - Cross Bar Mgt. Area</x:v>
      </x:c>
      <x:c r="E6" s="4" t="str">
        <x:v>Archery Mule Deer</x:v>
      </x:c>
      <x:c r="F6" s="24" t="str">
        <x:v>2026-08-15</x:v>
      </x:c>
      <x:c r="G6" s="4" t="n">
        <x:v>130</x:v>
      </x:c>
      <x:c r="H6" s="28"/>
      <x:c r="I6" s="4"/>
      <x:c r="J6" s="4"/>
      <x:c r="K6" s="4" t="str">
        <x:v>Verified in TPWD 2026-2027 statewide deer category catalog.</x:v>
      </x:c>
      <x:c r="L6" s="4" t="str">
        <x:v>https://tpwd.texas.gov/huntwild/hunt/public/public_hunt_drawing/hunt-category-details.phtml?OCat=AMD</x:v>
      </x:c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  <x:c r="AA6" s="4"/>
      <x:c r="AB6" s="4"/>
      <x:c r="AC6" s="4"/>
      <x:c r="AD6" s="4"/>
      <x:c r="AE6" s="4"/>
    </x:row>
    <x:row r="7">
      <x:c r="A7" s="4" t="str">
        <x:v>No</x:v>
      </x:c>
      <x:c r="B7" s="4" t="str">
        <x:v>A</x:v>
      </x:c>
      <x:c r="C7" s="4" t="str">
        <x:v>Whitetail Deer</x:v>
      </x:c>
      <x:c r="D7" s="4" t="str">
        <x:v>Abilene SP</x:v>
      </x:c>
      <x:c r="E7" s="4" t="str">
        <x:v>Archery Deer</x:v>
      </x:c>
      <x:c r="F7" s="24" t="str">
        <x:v>2026-08-15</x:v>
      </x:c>
      <x:c r="G7" s="4" t="n">
        <x:v>300</x:v>
      </x:c>
      <x:c r="H7" s="28"/>
      <x:c r="I7" s="4"/>
      <x:c r="J7" s="4"/>
      <x:c r="K7" s="4" t="str">
        <x:v>Verified in TPWD 2026-2027 statewide deer category catalog.</x:v>
      </x:c>
      <x:c r="L7" s="4" t="str">
        <x:v>https://tpwd.texas.gov/huntwild/hunt/public/public_hunt_drawing/hunt-category-details.phtml?OCat=ADE</x:v>
      </x:c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  <x:c r="AB7" s="4"/>
      <x:c r="AC7" s="4"/>
      <x:c r="AD7" s="4"/>
      <x:c r="AE7" s="4"/>
    </x:row>
    <x:row r="8">
      <x:c r="A8" s="4" t="str">
        <x:v>No</x:v>
      </x:c>
      <x:c r="B8" s="4" t="str">
        <x:v>A</x:v>
      </x:c>
      <x:c r="C8" s="4" t="str">
        <x:v>Whitetail Deer</x:v>
      </x:c>
      <x:c r="D8" s="4" t="str">
        <x:v>Chaparral WMA</x:v>
      </x:c>
      <x:c r="E8" s="4" t="str">
        <x:v>Archery Deer</x:v>
      </x:c>
      <x:c r="F8" s="24" t="str">
        <x:v>2026-08-15</x:v>
      </x:c>
      <x:c r="G8" s="4" t="n">
        <x:v>700</x:v>
      </x:c>
      <x:c r="H8" s="28"/>
      <x:c r="I8" s="4"/>
      <x:c r="J8" s="4"/>
      <x:c r="K8" s="4" t="str">
        <x:v>Verified in TPWD 2026-2027 statewide deer category catalog.</x:v>
      </x:c>
      <x:c r="L8" s="4" t="str">
        <x:v>https://tpwd.texas.gov/huntwild/hunt/public/public_hunt_drawing/hunt-category-details.phtml?OCat=ADE</x:v>
      </x:c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  <x:c r="AA8" s="4"/>
      <x:c r="AB8" s="4"/>
      <x:c r="AC8" s="4"/>
      <x:c r="AD8" s="4"/>
      <x:c r="AE8" s="4"/>
    </x:row>
    <x:row r="9">
      <x:c r="A9" s="4" t="str">
        <x:v>No</x:v>
      </x:c>
      <x:c r="B9" s="4" t="str">
        <x:v>A</x:v>
      </x:c>
      <x:c r="C9" s="4" t="str">
        <x:v>Whitetail Deer</x:v>
      </x:c>
      <x:c r="D9" s="4" t="str">
        <x:v>Choke Canyon SP - North Shore Unit</x:v>
      </x:c>
      <x:c r="E9" s="4" t="str">
        <x:v>Archery Deer</x:v>
      </x:c>
      <x:c r="F9" s="24" t="str">
        <x:v>2026-08-15</x:v>
      </x:c>
      <x:c r="G9" s="4" t="n">
        <x:v>700</x:v>
      </x:c>
      <x:c r="H9" s="28"/>
      <x:c r="I9" s="4"/>
      <x:c r="J9" s="4"/>
      <x:c r="K9" s="4" t="str">
        <x:v>Verified in TPWD 2026-2027 statewide deer category catalog.</x:v>
      </x:c>
      <x:c r="L9" s="4" t="str">
        <x:v>https://tpwd.texas.gov/huntwild/hunt/public/public_hunt_drawing/hunt-category-details.phtml?OCat=ADE</x:v>
      </x:c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  <x:c r="AA9" s="4"/>
      <x:c r="AB9" s="4"/>
      <x:c r="AC9" s="4"/>
      <x:c r="AD9" s="4"/>
      <x:c r="AE9" s="4"/>
    </x:row>
    <x:row r="10">
      <x:c r="A10" s="4" t="str">
        <x:v>No</x:v>
      </x:c>
      <x:c r="B10" s="4" t="str">
        <x:v>A</x:v>
      </x:c>
      <x:c r="C10" s="4" t="str">
        <x:v>Whitetail Deer</x:v>
      </x:c>
      <x:c r="D10" s="4" t="str">
        <x:v>Colorado Bend SP</x:v>
      </x:c>
      <x:c r="E10" s="4" t="str">
        <x:v>Archery Deer</x:v>
      </x:c>
      <x:c r="F10" s="24" t="str">
        <x:v>2026-08-15</x:v>
      </x:c>
      <x:c r="G10" s="4" t="n">
        <x:v>490</x:v>
      </x:c>
      <x:c r="H10" s="28"/>
      <x:c r="I10" s="4"/>
      <x:c r="J10" s="4"/>
      <x:c r="K10" s="4" t="str">
        <x:v>Verified in TPWD 2026-2027 statewide deer category catalog.</x:v>
      </x:c>
      <x:c r="L10" s="4" t="str">
        <x:v>https://tpwd.texas.gov/huntwild/hunt/public/public_hunt_drawing/hunt-category-details.phtml?OCat=ADE</x:v>
      </x:c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  <x:c r="AA10" s="4"/>
      <x:c r="AB10" s="4"/>
      <x:c r="AC10" s="4"/>
      <x:c r="AD10" s="4"/>
      <x:c r="AE10" s="4"/>
    </x:row>
    <x:row r="11">
      <x:c r="A11" s="4" t="str">
        <x:v>No</x:v>
      </x:c>
      <x:c r="B11" s="4" t="str">
        <x:v>A</x:v>
      </x:c>
      <x:c r="C11" s="4" t="str">
        <x:v>Whitetail Deer</x:v>
      </x:c>
      <x:c r="D11" s="4" t="str">
        <x:v>Copper Breaks SP</x:v>
      </x:c>
      <x:c r="E11" s="4" t="str">
        <x:v>Archery Deer</x:v>
      </x:c>
      <x:c r="F11" s="24" t="str">
        <x:v>2026-08-15</x:v>
      </x:c>
      <x:c r="G11" s="4" t="n">
        <x:v>300</x:v>
      </x:c>
      <x:c r="H11" s="28"/>
      <x:c r="I11" s="4"/>
      <x:c r="J11" s="4"/>
      <x:c r="K11" s="4" t="str">
        <x:v>Verified in TPWD 2026-2027 statewide deer category catalog.</x:v>
      </x:c>
      <x:c r="L11" s="4" t="str">
        <x:v>https://tpwd.texas.gov/huntwild/hunt/public/public_hunt_drawing/hunt-category-details.phtml?OCat=ADE</x:v>
      </x:c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  <x:c r="AA11" s="4"/>
      <x:c r="AB11" s="4"/>
      <x:c r="AC11" s="4"/>
      <x:c r="AD11" s="4"/>
      <x:c r="AE11" s="4"/>
    </x:row>
    <x:row r="12">
      <x:c r="A12" s="4" t="str">
        <x:v>No</x:v>
      </x:c>
      <x:c r="B12" s="4" t="str">
        <x:v>A</x:v>
      </x:c>
      <x:c r="C12" s="4" t="str">
        <x:v>Whitetail Deer</x:v>
      </x:c>
      <x:c r="D12" s="4" t="str">
        <x:v>Enchanted Rock SNA</x:v>
      </x:c>
      <x:c r="E12" s="4" t="str">
        <x:v>Archery Deer</x:v>
      </x:c>
      <x:c r="F12" s="24" t="str">
        <x:v>2026-08-15</x:v>
      </x:c>
      <x:c r="G12" s="4" t="n">
        <x:v>520</x:v>
      </x:c>
      <x:c r="H12" s="28"/>
      <x:c r="I12" s="4"/>
      <x:c r="J12" s="4"/>
      <x:c r="K12" s="4" t="str">
        <x:v>Verified in TPWD 2026-2027 statewide deer category catalog.</x:v>
      </x:c>
      <x:c r="L12" s="4" t="str">
        <x:v>https://tpwd.texas.gov/huntwild/hunt/public/public_hunt_drawing/hunt-category-details.phtml?OCat=ADE</x:v>
      </x:c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  <x:c r="AA12" s="4"/>
      <x:c r="AB12" s="4"/>
      <x:c r="AC12" s="4"/>
      <x:c r="AD12" s="4"/>
      <x:c r="AE12" s="4"/>
    </x:row>
    <x:row r="13">
      <x:c r="A13" s="4" t="str">
        <x:v>No</x:v>
      </x:c>
      <x:c r="B13" s="4" t="str">
        <x:v>A</x:v>
      </x:c>
      <x:c r="C13" s="4" t="str">
        <x:v>Whitetail Deer</x:v>
      </x:c>
      <x:c r="D13" s="4" t="str">
        <x:v>Fort Boggy SP</x:v>
      </x:c>
      <x:c r="E13" s="4" t="str">
        <x:v>Archery Deer</x:v>
      </x:c>
      <x:c r="F13" s="24" t="str">
        <x:v>2026-08-15</x:v>
      </x:c>
      <x:c r="G13" s="4" t="n">
        <x:v>360</x:v>
      </x:c>
      <x:c r="H13" s="28"/>
      <x:c r="I13" s="4"/>
      <x:c r="J13" s="4"/>
      <x:c r="K13" s="4" t="str">
        <x:v>Verified in TPWD 2026-2027 statewide deer category catalog.</x:v>
      </x:c>
      <x:c r="L13" s="4" t="str">
        <x:v>https://tpwd.texas.gov/huntwild/hunt/public/public_hunt_drawing/hunt-category-details.phtml?OCat=ADE</x:v>
      </x:c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  <x:c r="AA13" s="4"/>
      <x:c r="AB13" s="4"/>
      <x:c r="AC13" s="4"/>
      <x:c r="AD13" s="4"/>
      <x:c r="AE13" s="4"/>
    </x:row>
    <x:row r="14">
      <x:c r="A14" s="4" t="str">
        <x:v>No</x:v>
      </x:c>
      <x:c r="B14" s="4" t="str">
        <x:v>A</x:v>
      </x:c>
      <x:c r="C14" s="4" t="str">
        <x:v>Whitetail Deer</x:v>
      </x:c>
      <x:c r="D14" s="4" t="str">
        <x:v>Garner SP</x:v>
      </x:c>
      <x:c r="E14" s="4" t="str">
        <x:v>Archery Deer</x:v>
      </x:c>
      <x:c r="F14" s="24" t="str">
        <x:v>2026-08-15</x:v>
      </x:c>
      <x:c r="G14" s="4" t="n">
        <x:v>520</x:v>
      </x:c>
      <x:c r="H14" s="28"/>
      <x:c r="I14" s="4"/>
      <x:c r="J14" s="4"/>
      <x:c r="K14" s="4" t="str">
        <x:v>Verified in TPWD 2026-2027 statewide deer category catalog.</x:v>
      </x:c>
      <x:c r="L14" s="4" t="str">
        <x:v>https://tpwd.texas.gov/huntwild/hunt/public/public_hunt_drawing/hunt-category-details.phtml?OCat=ADE</x:v>
      </x:c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  <x:c r="AA14" s="4"/>
      <x:c r="AB14" s="4"/>
      <x:c r="AC14" s="4"/>
      <x:c r="AD14" s="4"/>
      <x:c r="AE14" s="4"/>
    </x:row>
    <x:row r="15">
      <x:c r="A15" s="4" t="str">
        <x:v>No</x:v>
      </x:c>
      <x:c r="B15" s="4" t="str">
        <x:v>A</x:v>
      </x:c>
      <x:c r="C15" s="4" t="str">
        <x:v>Whitetail Deer</x:v>
      </x:c>
      <x:c r="D15" s="4" t="str">
        <x:v>Gene Howe WMA</x:v>
      </x:c>
      <x:c r="E15" s="4" t="str">
        <x:v>Archery Deer</x:v>
      </x:c>
      <x:c r="F15" s="24" t="str">
        <x:v>2026-08-15</x:v>
      </x:c>
      <x:c r="G15" s="4" t="n">
        <x:v>130</x:v>
      </x:c>
      <x:c r="H15" s="28"/>
      <x:c r="I15" s="4"/>
      <x:c r="J15" s="4"/>
      <x:c r="K15" s="4" t="str">
        <x:v>Verified in TPWD 2026-2027 statewide deer category catalog.</x:v>
      </x:c>
      <x:c r="L15" s="4" t="str">
        <x:v>https://tpwd.texas.gov/huntwild/hunt/public/public_hunt_drawing/hunt-category-details.phtml?OCat=ADE</x:v>
      </x:c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  <x:c r="AA15" s="4"/>
      <x:c r="AB15" s="4"/>
      <x:c r="AC15" s="4"/>
      <x:c r="AD15" s="4"/>
      <x:c r="AE15" s="4"/>
    </x:row>
    <x:row r="16">
      <x:c r="A16" s="4" t="str">
        <x:v>No</x:v>
      </x:c>
      <x:c r="B16" s="4" t="str">
        <x:v>A</x:v>
      </x:c>
      <x:c r="C16" s="4" t="str">
        <x:v>Whitetail Deer</x:v>
      </x:c>
      <x:c r="D16" s="4" t="str">
        <x:v>Government Canyon SNA</x:v>
      </x:c>
      <x:c r="E16" s="4" t="str">
        <x:v>Archery Deer</x:v>
      </x:c>
      <x:c r="F16" s="24" t="str">
        <x:v>2026-08-15</x:v>
      </x:c>
      <x:c r="G16" s="4" t="n">
        <x:v>520</x:v>
      </x:c>
      <x:c r="H16" s="28"/>
      <x:c r="I16" s="4"/>
      <x:c r="J16" s="4"/>
      <x:c r="K16" s="4" t="str">
        <x:v>Verified in TPWD 2026-2027 statewide deer category catalog.</x:v>
      </x:c>
      <x:c r="L16" s="4" t="str">
        <x:v>https://tpwd.texas.gov/huntwild/hunt/public/public_hunt_drawing/hunt-category-details.phtml?OCat=ADE</x:v>
      </x:c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  <x:c r="AA16" s="4"/>
      <x:c r="AB16" s="4"/>
      <x:c r="AC16" s="4"/>
      <x:c r="AD16" s="4"/>
      <x:c r="AE16" s="4"/>
    </x:row>
    <x:row r="17">
      <x:c r="A17" s="4" t="str">
        <x:v>No</x:v>
      </x:c>
      <x:c r="B17" s="4" t="str">
        <x:v>A</x:v>
      </x:c>
      <x:c r="C17" s="4" t="str">
        <x:v>Whitetail Deer</x:v>
      </x:c>
      <x:c r="D17" s="4" t="str">
        <x:v>Gus Engeling WMA</x:v>
      </x:c>
      <x:c r="E17" s="4" t="str">
        <x:v>Archery Deer</x:v>
      </x:c>
      <x:c r="F17" s="24" t="str">
        <x:v>2026-08-15</x:v>
      </x:c>
      <x:c r="G17" s="4" t="n">
        <x:v>500</x:v>
      </x:c>
      <x:c r="H17" s="28"/>
      <x:c r="I17" s="4"/>
      <x:c r="J17" s="4"/>
      <x:c r="K17" s="4" t="str">
        <x:v>Verified in TPWD 2026-2027 statewide deer category catalog.</x:v>
      </x:c>
      <x:c r="L17" s="4" t="str">
        <x:v>https://tpwd.texas.gov/huntwild/hunt/public/public_hunt_drawing/hunt-category-details.phtml?OCat=ADE</x:v>
      </x:c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/>
      <x:c r="AB17" s="4"/>
      <x:c r="AC17" s="4"/>
      <x:c r="AD17" s="4"/>
      <x:c r="AE17" s="4"/>
    </x:row>
    <x:row r="18">
      <x:c r="A18" s="4" t="str">
        <x:v>No</x:v>
      </x:c>
      <x:c r="B18" s="4" t="str">
        <x:v>A</x:v>
      </x:c>
      <x:c r="C18" s="4" t="str">
        <x:v>Whitetail Deer</x:v>
      </x:c>
      <x:c r="D18" s="4" t="str">
        <x:v>James Daughtrey WMA</x:v>
      </x:c>
      <x:c r="E18" s="4" t="str">
        <x:v>Archery Deer</x:v>
      </x:c>
      <x:c r="F18" s="24" t="str">
        <x:v>2026-08-15</x:v>
      </x:c>
      <x:c r="G18" s="4" t="n">
        <x:v>700</x:v>
      </x:c>
      <x:c r="H18" s="28"/>
      <x:c r="I18" s="4"/>
      <x:c r="J18" s="4"/>
      <x:c r="K18" s="4" t="str">
        <x:v>Verified in TPWD 2026-2027 statewide deer category catalog.</x:v>
      </x:c>
      <x:c r="L18" s="4" t="str">
        <x:v>https://tpwd.texas.gov/huntwild/hunt/public/public_hunt_drawing/hunt-category-details.phtml?OCat=ADE</x:v>
      </x:c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  <x:c r="AA18" s="4"/>
      <x:c r="AB18" s="4"/>
      <x:c r="AC18" s="4"/>
      <x:c r="AD18" s="4"/>
      <x:c r="AE18" s="4"/>
    </x:row>
    <x:row r="19">
      <x:c r="A19" s="4" t="str">
        <x:v>No</x:v>
      </x:c>
      <x:c r="B19" s="4" t="str">
        <x:v>A</x:v>
      </x:c>
      <x:c r="C19" s="4" t="str">
        <x:v>Whitetail Deer</x:v>
      </x:c>
      <x:c r="D19" s="4" t="str">
        <x:v>Lake Brownwood SP</x:v>
      </x:c>
      <x:c r="E19" s="4" t="str">
        <x:v>Archery Deer</x:v>
      </x:c>
      <x:c r="F19" s="24" t="str">
        <x:v>2026-08-15</x:v>
      </x:c>
      <x:c r="G19" s="4" t="n">
        <x:v>300</x:v>
      </x:c>
      <x:c r="H19" s="28"/>
      <x:c r="I19" s="4"/>
      <x:c r="J19" s="4"/>
      <x:c r="K19" s="4" t="str">
        <x:v>Verified in TPWD 2026-2027 statewide deer category catalog.</x:v>
      </x:c>
      <x:c r="L19" s="4" t="str">
        <x:v>https://tpwd.texas.gov/huntwild/hunt/public/public_hunt_drawing/hunt-category-details.phtml?OCat=ADE</x:v>
      </x:c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</x:row>
    <x:row r="20">
      <x:c r="A20" s="4" t="str">
        <x:v>No</x:v>
      </x:c>
      <x:c r="B20" s="4" t="str">
        <x:v>A</x:v>
      </x:c>
      <x:c r="C20" s="4" t="str">
        <x:v>Whitetail Deer</x:v>
      </x:c>
      <x:c r="D20" s="4" t="str">
        <x:v>Lake Mineral Wells SP</x:v>
      </x:c>
      <x:c r="E20" s="4" t="str">
        <x:v>Archery Deer</x:v>
      </x:c>
      <x:c r="F20" s="24" t="str">
        <x:v>2026-08-15</x:v>
      </x:c>
      <x:c r="G20" s="4" t="n">
        <x:v>360</x:v>
      </x:c>
      <x:c r="H20" s="28"/>
      <x:c r="I20" s="4"/>
      <x:c r="J20" s="4"/>
      <x:c r="K20" s="4" t="str">
        <x:v>Verified in TPWD 2026-2027 statewide deer category catalog.</x:v>
      </x:c>
      <x:c r="L20" s="4" t="str">
        <x:v>https://tpwd.texas.gov/huntwild/hunt/public/public_hunt_drawing/hunt-category-details.phtml?OCat=ADE</x:v>
      </x:c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  <x:c r="AA20" s="4"/>
      <x:c r="AB20" s="4"/>
      <x:c r="AC20" s="4"/>
      <x:c r="AD20" s="4"/>
      <x:c r="AE20" s="4"/>
    </x:row>
    <x:row r="21">
      <x:c r="A21" s="4" t="str">
        <x:v>No</x:v>
      </x:c>
      <x:c r="B21" s="4" t="str">
        <x:v>A</x:v>
      </x:c>
      <x:c r="C21" s="4" t="str">
        <x:v>Whitetail Deer</x:v>
      </x:c>
      <x:c r="D21" s="4" t="str">
        <x:v>Las Palomas WMA - Arroyo Colorado Unit</x:v>
      </x:c>
      <x:c r="E21" s="4" t="str">
        <x:v>Archery Deer</x:v>
      </x:c>
      <x:c r="F21" s="24" t="str">
        <x:v>2026-08-15</x:v>
      </x:c>
      <x:c r="G21" s="4" t="n">
        <x:v>700</x:v>
      </x:c>
      <x:c r="H21" s="28"/>
      <x:c r="I21" s="4"/>
      <x:c r="J21" s="4"/>
      <x:c r="K21" s="4" t="str">
        <x:v>Verified in TPWD 2026-2027 statewide deer category catalog.</x:v>
      </x:c>
      <x:c r="L21" s="4" t="str">
        <x:v>https://tpwd.texas.gov/huntwild/hunt/public/public_hunt_drawing/hunt-category-details.phtml?OCat=ADE</x:v>
      </x:c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  <x:c r="AA21" s="4"/>
      <x:c r="AB21" s="4"/>
      <x:c r="AC21" s="4"/>
      <x:c r="AD21" s="4"/>
      <x:c r="AE21" s="4"/>
    </x:row>
    <x:row r="22">
      <x:c r="A22" s="4" t="str">
        <x:v>No</x:v>
      </x:c>
      <x:c r="B22" s="4" t="str">
        <x:v>A</x:v>
      </x:c>
      <x:c r="C22" s="4" t="str">
        <x:v>Whitetail Deer</x:v>
      </x:c>
      <x:c r="D22" s="4" t="str">
        <x:v>Matador WMA</x:v>
      </x:c>
      <x:c r="E22" s="4" t="str">
        <x:v>Archery Deer</x:v>
      </x:c>
      <x:c r="F22" s="24" t="str">
        <x:v>2026-08-15</x:v>
      </x:c>
      <x:c r="G22" s="4" t="n">
        <x:v>130</x:v>
      </x:c>
      <x:c r="H22" s="28"/>
      <x:c r="I22" s="4"/>
      <x:c r="J22" s="4"/>
      <x:c r="K22" s="4" t="str">
        <x:v>Verified in TPWD 2026-2027 statewide deer category catalog.</x:v>
      </x:c>
      <x:c r="L22" s="4" t="str">
        <x:v>https://tpwd.texas.gov/huntwild/hunt/public/public_hunt_drawing/hunt-category-details.phtml?OCat=ADE</x:v>
      </x:c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  <x:c r="AA22" s="4"/>
      <x:c r="AB22" s="4"/>
      <x:c r="AC22" s="4"/>
      <x:c r="AD22" s="4"/>
      <x:c r="AE22" s="4"/>
    </x:row>
    <x:row r="23">
      <x:c r="A23" s="4" t="str">
        <x:v>No</x:v>
      </x:c>
      <x:c r="B23" s="4" t="str">
        <x:v>A</x:v>
      </x:c>
      <x:c r="C23" s="4" t="str">
        <x:v>Whitetail Deer</x:v>
      </x:c>
      <x:c r="D23" s="4" t="str">
        <x:v>Muse WMA</x:v>
      </x:c>
      <x:c r="E23" s="4" t="str">
        <x:v>Archery Deer</x:v>
      </x:c>
      <x:c r="F23" s="24" t="str">
        <x:v>2026-08-15</x:v>
      </x:c>
      <x:c r="G23" s="4" t="n">
        <x:v>500</x:v>
      </x:c>
      <x:c r="H23" s="28"/>
      <x:c r="I23" s="4"/>
      <x:c r="J23" s="4"/>
      <x:c r="K23" s="4" t="str">
        <x:v>Verified in TPWD 2026-2027 statewide deer category catalog.</x:v>
      </x:c>
      <x:c r="L23" s="4" t="str">
        <x:v>https://tpwd.texas.gov/huntwild/hunt/public/public_hunt_drawing/hunt-category-details.phtml?OCat=ADE</x:v>
      </x:c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  <x:c r="AA23" s="4"/>
      <x:c r="AB23" s="4"/>
      <x:c r="AC23" s="4"/>
      <x:c r="AD23" s="4"/>
      <x:c r="AE23" s="4"/>
    </x:row>
    <x:row r="24">
      <x:c r="A24" s="4" t="str">
        <x:v>No</x:v>
      </x:c>
      <x:c r="B24" s="4" t="str">
        <x:v>A</x:v>
      </x:c>
      <x:c r="C24" s="4" t="str">
        <x:v>Whitetail Deer</x:v>
      </x:c>
      <x:c r="D24" s="4" t="str">
        <x:v>Nannie Stringfellow WMA</x:v>
      </x:c>
      <x:c r="E24" s="4" t="str">
        <x:v>Archery Deer</x:v>
      </x:c>
      <x:c r="F24" s="24" t="str">
        <x:v>2026-08-15</x:v>
      </x:c>
      <x:c r="G24" s="4" t="n">
        <x:v>610</x:v>
      </x:c>
      <x:c r="H24" s="28"/>
      <x:c r="I24" s="4"/>
      <x:c r="J24" s="4"/>
      <x:c r="K24" s="4" t="str">
        <x:v>Verified in TPWD 2026-2027 statewide deer category catalog.</x:v>
      </x:c>
      <x:c r="L24" s="4" t="str">
        <x:v>https://tpwd.texas.gov/huntwild/hunt/public/public_hunt_drawing/hunt-category-details.phtml?OCat=ADE</x:v>
      </x:c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  <x:c r="AA24" s="4"/>
      <x:c r="AB24" s="4"/>
      <x:c r="AC24" s="4"/>
      <x:c r="AD24" s="4"/>
      <x:c r="AE24" s="4"/>
    </x:row>
    <x:row r="25">
      <x:c r="A25" s="4" t="str">
        <x:v>No</x:v>
      </x:c>
      <x:c r="B25" s="4" t="str">
        <x:v>A</x:v>
      </x:c>
      <x:c r="C25" s="4" t="str">
        <x:v>Whitetail Deer</x:v>
      </x:c>
      <x:c r="D25" s="4" t="str">
        <x:v>Palo Duro Canyon SP</x:v>
      </x:c>
      <x:c r="E25" s="4" t="str">
        <x:v>Archery Deer</x:v>
      </x:c>
      <x:c r="F25" s="24" t="str">
        <x:v>2026-08-15</x:v>
      </x:c>
      <x:c r="G25" s="4" t="n">
        <x:v>130</x:v>
      </x:c>
      <x:c r="H25" s="28"/>
      <x:c r="I25" s="4"/>
      <x:c r="J25" s="4"/>
      <x:c r="K25" s="4" t="str">
        <x:v>Verified in TPWD 2026-2027 statewide deer category catalog.</x:v>
      </x:c>
      <x:c r="L25" s="4" t="str">
        <x:v>https://tpwd.texas.gov/huntwild/hunt/public/public_hunt_drawing/hunt-category-details.phtml?OCat=ADE</x:v>
      </x:c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  <x:c r="AA25" s="4"/>
      <x:c r="AB25" s="4"/>
      <x:c r="AC25" s="4"/>
      <x:c r="AD25" s="4"/>
      <x:c r="AE25" s="4"/>
    </x:row>
    <x:row r="26">
      <x:c r="A26" s="4" t="str">
        <x:v>No</x:v>
      </x:c>
      <x:c r="B26" s="4" t="str">
        <x:v>A</x:v>
      </x:c>
      <x:c r="C26" s="4" t="str">
        <x:v>Whitetail Deer</x:v>
      </x:c>
      <x:c r="D26" s="4" t="str">
        <x:v>Post Oak Ridge State Park</x:v>
      </x:c>
      <x:c r="E26" s="4" t="str">
        <x:v>Archery Deer</x:v>
      </x:c>
      <x:c r="F26" s="24" t="str">
        <x:v>2026-08-15</x:v>
      </x:c>
      <x:c r="G26" s="4" t="n">
        <x:v>500</x:v>
      </x:c>
      <x:c r="H26" s="28"/>
      <x:c r="I26" s="4"/>
      <x:c r="J26" s="4"/>
      <x:c r="K26" s="4" t="str">
        <x:v>Verified in TPWD 2026-2027 statewide deer category catalog.</x:v>
      </x:c>
      <x:c r="L26" s="4" t="str">
        <x:v>https://tpwd.texas.gov/huntwild/hunt/public/public_hunt_drawing/hunt-category-details.phtml?OCat=ADE</x:v>
      </x:c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  <x:c r="AA26" s="4"/>
      <x:c r="AB26" s="4"/>
      <x:c r="AC26" s="4"/>
      <x:c r="AD26" s="4"/>
      <x:c r="AE26" s="4"/>
    </x:row>
    <x:row r="27">
      <x:c r="A27" s="4" t="str">
        <x:v>No</x:v>
      </x:c>
      <x:c r="B27" s="4" t="str">
        <x:v>A</x:v>
      </x:c>
      <x:c r="C27" s="4" t="str">
        <x:v>Whitetail Deer</x:v>
      </x:c>
      <x:c r="D27" s="4" t="str">
        <x:v>Potter County - Cross Bar Mgt. Area</x:v>
      </x:c>
      <x:c r="E27" s="4" t="str">
        <x:v>Archery Deer</x:v>
      </x:c>
      <x:c r="F27" s="24" t="str">
        <x:v>2026-08-15</x:v>
      </x:c>
      <x:c r="G27" s="4" t="n">
        <x:v>130</x:v>
      </x:c>
      <x:c r="H27" s="28"/>
      <x:c r="I27" s="4"/>
      <x:c r="J27" s="4"/>
      <x:c r="K27" s="4" t="str">
        <x:v>Verified in TPWD 2026-2027 statewide deer category catalog.</x:v>
      </x:c>
      <x:c r="L27" s="4" t="str">
        <x:v>https://tpwd.texas.gov/huntwild/hunt/public/public_hunt_drawing/hunt-category-details.phtml?OCat=ADE</x:v>
      </x:c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  <x:c r="AA27" s="4"/>
      <x:c r="AB27" s="4"/>
      <x:c r="AC27" s="4"/>
      <x:c r="AD27" s="4"/>
      <x:c r="AE27" s="4"/>
    </x:row>
    <x:row r="28">
      <x:c r="A28" s="4" t="str">
        <x:v>No</x:v>
      </x:c>
      <x:c r="B28" s="4" t="str">
        <x:v>A</x:v>
      </x:c>
      <x:c r="C28" s="4" t="str">
        <x:v>Whitetail Deer</x:v>
      </x:c>
      <x:c r="D28" s="4" t="str">
        <x:v>Richland Creek WMA - Carl Frentress Unit</x:v>
      </x:c>
      <x:c r="E28" s="4" t="str">
        <x:v>Archery Deer</x:v>
      </x:c>
      <x:c r="F28" s="24" t="str">
        <x:v>2026-08-15</x:v>
      </x:c>
      <x:c r="G28" s="4" t="n">
        <x:v>500</x:v>
      </x:c>
      <x:c r="H28" s="28"/>
      <x:c r="I28" s="4"/>
      <x:c r="J28" s="4"/>
      <x:c r="K28" s="4" t="str">
        <x:v>Verified in TPWD 2026-2027 statewide deer category catalog.</x:v>
      </x:c>
      <x:c r="L28" s="4" t="str">
        <x:v>https://tpwd.texas.gov/huntwild/hunt/public/public_hunt_drawing/hunt-category-details.phtml?OCat=ADE</x:v>
      </x:c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  <x:c r="AA28" s="4"/>
      <x:c r="AB28" s="4"/>
      <x:c r="AC28" s="4"/>
      <x:c r="AD28" s="4"/>
      <x:c r="AE28" s="4"/>
    </x:row>
    <x:row r="29">
      <x:c r="A29" s="4" t="str">
        <x:v>No</x:v>
      </x:c>
      <x:c r="B29" s="4" t="str">
        <x:v>A</x:v>
      </x:c>
      <x:c r="C29" s="4" t="str">
        <x:v>Whitetail Deer</x:v>
      </x:c>
      <x:c r="D29" s="4" t="str">
        <x:v>Roger Fawcett WMA</x:v>
      </x:c>
      <x:c r="E29" s="4" t="str">
        <x:v>Archery Deer</x:v>
      </x:c>
      <x:c r="F29" s="24" t="str">
        <x:v>2026-08-15</x:v>
      </x:c>
      <x:c r="G29" s="4" t="n">
        <x:v>300</x:v>
      </x:c>
      <x:c r="H29" s="28"/>
      <x:c r="I29" s="4"/>
      <x:c r="J29" s="4"/>
      <x:c r="K29" s="4" t="str">
        <x:v>Verified in TPWD 2026-2027 statewide deer category catalog.</x:v>
      </x:c>
      <x:c r="L29" s="4" t="str">
        <x:v>https://tpwd.texas.gov/huntwild/hunt/public/public_hunt_drawing/hunt-category-details.phtml?OCat=ADE</x:v>
      </x:c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  <x:c r="AA29" s="4"/>
      <x:c r="AB29" s="4"/>
      <x:c r="AC29" s="4"/>
      <x:c r="AD29" s="4"/>
      <x:c r="AE29" s="4"/>
    </x:row>
    <x:row r="30">
      <x:c r="A30" s="4" t="str">
        <x:v>No</x:v>
      </x:c>
      <x:c r="B30" s="4" t="str">
        <x:v>A</x:v>
      </x:c>
      <x:c r="C30" s="4" t="str">
        <x:v>Mule Deer</x:v>
      </x:c>
      <x:c r="D30" s="4" t="str">
        <x:v>Big Bend Ranch SP</x:v>
      </x:c>
      <x:c r="E30" s="4" t="str">
        <x:v>Youth Gun Deer - Either Sex</x:v>
      </x:c>
      <x:c r="F30" s="24" t="str">
        <x:v>2026-09-01</x:v>
      </x:c>
      <x:c r="G30" s="4" t="n">
        <x:v>520</x:v>
      </x:c>
      <x:c r="H30" s="28"/>
      <x:c r="I30" s="4"/>
      <x:c r="J30" s="4"/>
      <x:c r="K30" s="4" t="str">
        <x:v>Verified in TPWD 2026-2027 statewide deer category catalog. West Texas/El Paso-region opportunity; prioritize for mule deer adventure value.</x:v>
      </x:c>
      <x:c r="L30" s="4" t="str">
        <x:v>https://tpwd.texas.gov/huntwild/hunt/public/public_hunt_drawing/hunt-category-details.phtml?OCat=YDE</x:v>
      </x:c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  <x:c r="AA30" s="4"/>
      <x:c r="AB30" s="4"/>
      <x:c r="AC30" s="4"/>
      <x:c r="AD30" s="4"/>
      <x:c r="AE30" s="4"/>
    </x:row>
    <x:row r="31">
      <x:c r="A31" s="4" t="str">
        <x:v>No</x:v>
      </x:c>
      <x:c r="B31" s="4" t="str">
        <x:v>A</x:v>
      </x:c>
      <x:c r="C31" s="4" t="str">
        <x:v>Mule Deer</x:v>
      </x:c>
      <x:c r="D31" s="4" t="str">
        <x:v>Caprock Canyons SP</x:v>
      </x:c>
      <x:c r="E31" s="4" t="str">
        <x:v>Youth Gun Deer - Either Sex</x:v>
      </x:c>
      <x:c r="F31" s="24" t="str">
        <x:v>2026-09-01</x:v>
      </x:c>
      <x:c r="G31" s="4" t="n">
        <x:v>130</x:v>
      </x:c>
      <x:c r="H31" s="28"/>
      <x:c r="I31" s="4"/>
      <x:c r="J31" s="4"/>
      <x:c r="K31" s="4" t="str">
        <x:v>Verified in TPWD 2026-2027 statewide deer category catalog.</x:v>
      </x:c>
      <x:c r="L31" s="4" t="str">
        <x:v>https://tpwd.texas.gov/huntwild/hunt/public/public_hunt_drawing/hunt-category-details.phtml?OCat=YDE</x:v>
      </x:c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  <x:c r="AA31" s="4"/>
      <x:c r="AB31" s="4"/>
      <x:c r="AC31" s="4"/>
      <x:c r="AD31" s="4"/>
      <x:c r="AE31" s="4"/>
    </x:row>
    <x:row r="32">
      <x:c r="A32" s="4" t="str">
        <x:v>No</x:v>
      </x:c>
      <x:c r="B32" s="4" t="str">
        <x:v>A</x:v>
      </x:c>
      <x:c r="C32" s="4" t="str">
        <x:v>Whitetail Deer</x:v>
      </x:c>
      <x:c r="D32" s="4" t="str">
        <x:v>Abilene SP</x:v>
      </x:c>
      <x:c r="E32" s="4" t="str">
        <x:v>Youth Gun Deer - Either Sex</x:v>
      </x:c>
      <x:c r="F32" s="24" t="str">
        <x:v>2026-09-01</x:v>
      </x:c>
      <x:c r="G32" s="4" t="n">
        <x:v>300</x:v>
      </x:c>
      <x:c r="H32" s="28"/>
      <x:c r="I32" s="4"/>
      <x:c r="J32" s="4"/>
      <x:c r="K32" s="4" t="str">
        <x:v>Verified in TPWD 2026-2027 statewide deer category catalog.</x:v>
      </x:c>
      <x:c r="L32" s="4" t="str">
        <x:v>https://tpwd.texas.gov/huntwild/hunt/public/public_hunt_drawing/hunt-category-details.phtml?OCat=YDE</x:v>
      </x:c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  <x:c r="AA32" s="4"/>
      <x:c r="AB32" s="4"/>
      <x:c r="AC32" s="4"/>
      <x:c r="AD32" s="4"/>
      <x:c r="AE32" s="4"/>
    </x:row>
    <x:row r="33">
      <x:c r="A33" s="4" t="str">
        <x:v>No</x:v>
      </x:c>
      <x:c r="B33" s="4" t="str">
        <x:v>A</x:v>
      </x:c>
      <x:c r="C33" s="4" t="str">
        <x:v>Whitetail Deer</x:v>
      </x:c>
      <x:c r="D33" s="4" t="str">
        <x:v>Alazan Bayou WMA</x:v>
      </x:c>
      <x:c r="E33" s="4" t="str">
        <x:v>Youth Gun Deer - Either Sex</x:v>
      </x:c>
      <x:c r="F33" s="24" t="str">
        <x:v>2026-09-01</x:v>
      </x:c>
      <x:c r="G33" s="4" t="n">
        <x:v>570</x:v>
      </x:c>
      <x:c r="H33" s="28"/>
      <x:c r="I33" s="4"/>
      <x:c r="J33" s="4"/>
      <x:c r="K33" s="4" t="str">
        <x:v>Verified in TPWD 2026-2027 statewide deer category catalog.</x:v>
      </x:c>
      <x:c r="L33" s="4" t="str">
        <x:v>https://tpwd.texas.gov/huntwild/hunt/public/public_hunt_drawing/hunt-category-details.phtml?OCat=YDE</x:v>
      </x:c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  <x:c r="AA33" s="4"/>
      <x:c r="AB33" s="4"/>
      <x:c r="AC33" s="4"/>
      <x:c r="AD33" s="4"/>
      <x:c r="AE33" s="4"/>
    </x:row>
    <x:row r="34">
      <x:c r="A34" s="4" t="str">
        <x:v>No</x:v>
      </x:c>
      <x:c r="B34" s="4" t="str">
        <x:v>A</x:v>
      </x:c>
      <x:c r="C34" s="4" t="str">
        <x:v>Whitetail Deer</x:v>
      </x:c>
      <x:c r="D34" s="4" t="str">
        <x:v>Aransas NWR</x:v>
      </x:c>
      <x:c r="E34" s="4" t="str">
        <x:v>National Refuge Archery Deer</x:v>
      </x:c>
      <x:c r="F34" s="24" t="str">
        <x:v>2026-09-01</x:v>
      </x:c>
      <x:c r="G34" s="4" t="n">
        <x:v>610</x:v>
      </x:c>
      <x:c r="H34" s="28"/>
      <x:c r="I34" s="4"/>
      <x:c r="J34" s="4"/>
      <x:c r="K34" s="4" t="str">
        <x:v>Verified in TPWD 2026-2027 statewide deer category catalog. Refuge-specific rules and permit fees may apply.</x:v>
      </x:c>
      <x:c r="L34" s="4" t="str">
        <x:v>https://tpwd.texas.gov/huntwild/hunt/public/public_hunt_drawing/hunt-category-details.phtml?OCat=NAD</x:v>
      </x:c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  <x:c r="AA34" s="4"/>
      <x:c r="AB34" s="4"/>
      <x:c r="AC34" s="4"/>
      <x:c r="AD34" s="4"/>
      <x:c r="AE34" s="4"/>
    </x:row>
    <x:row r="35">
      <x:c r="A35" s="4" t="str">
        <x:v>No</x:v>
      </x:c>
      <x:c r="B35" s="4" t="str">
        <x:v>A</x:v>
      </x:c>
      <x:c r="C35" s="4" t="str">
        <x:v>Whitetail Deer</x:v>
      </x:c>
      <x:c r="D35" s="4" t="str">
        <x:v>Atlanta SP</x:v>
      </x:c>
      <x:c r="E35" s="4" t="str">
        <x:v>Youth Gun Deer - Either Sex</x:v>
      </x:c>
      <x:c r="F35" s="24" t="str">
        <x:v>2026-09-01</x:v>
      </x:c>
      <x:c r="G35" s="4" t="n">
        <x:v>570</x:v>
      </x:c>
      <x:c r="H35" s="28"/>
      <x:c r="I35" s="4"/>
      <x:c r="J35" s="4"/>
      <x:c r="K35" s="4" t="str">
        <x:v>Verified in TPWD 2026-2027 statewide deer category catalog.</x:v>
      </x:c>
      <x:c r="L35" s="4" t="str">
        <x:v>https://tpwd.texas.gov/huntwild/hunt/public/public_hunt_drawing/hunt-category-details.phtml?OCat=YDE</x:v>
      </x:c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  <x:c r="AA35" s="4"/>
      <x:c r="AB35" s="4"/>
      <x:c r="AC35" s="4"/>
      <x:c r="AD35" s="4"/>
      <x:c r="AE35" s="4"/>
    </x:row>
    <x:row r="36">
      <x:c r="A36" s="4" t="str">
        <x:v>No</x:v>
      </x:c>
      <x:c r="B36" s="4" t="str">
        <x:v>A</x:v>
      </x:c>
      <x:c r="C36" s="4" t="str">
        <x:v>Whitetail Deer</x:v>
      </x:c>
      <x:c r="D36" s="4" t="str">
        <x:v>Balcones Canyonlands NWR</x:v>
      </x:c>
      <x:c r="E36" s="4" t="str">
        <x:v>E-Postcard Archery Deer</x:v>
      </x:c>
      <x:c r="F36" s="24" t="str">
        <x:v>2026-09-01</x:v>
      </x:c>
      <x:c r="G36" s="4" t="n">
        <x:v>500</x:v>
      </x:c>
      <x:c r="H36" s="28"/>
      <x:c r="I36" s="4"/>
      <x:c r="J36" s="4"/>
      <x:c r="K36" s="4" t="str">
        <x:v>Verified in TPWD 2026-2027 statewide deer category catalog. APH/eligibility rules apply; confirm account and permit requirements.</x:v>
      </x:c>
      <x:c r="L36" s="4" t="str">
        <x:v>https://tpwd.texas.gov/huntwild/hunt/public/public_hunt_drawing/hunt-category-details.phtml?OCat=EAD</x:v>
      </x:c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  <x:c r="AA36" s="4"/>
      <x:c r="AB36" s="4"/>
      <x:c r="AC36" s="4"/>
      <x:c r="AD36" s="4"/>
      <x:c r="AE36" s="4"/>
    </x:row>
    <x:row r="37">
      <x:c r="A37" s="4" t="str">
        <x:v>No</x:v>
      </x:c>
      <x:c r="B37" s="4" t="str">
        <x:v>A</x:v>
      </x:c>
      <x:c r="C37" s="4" t="str">
        <x:v>Whitetail Deer</x:v>
      </x:c>
      <x:c r="D37" s="4" t="str">
        <x:v>Bandera County - The Nature Conservancy</x:v>
      </x:c>
      <x:c r="E37" s="4" t="str">
        <x:v>Private Lands - Antlerless/Spike</x:v>
      </x:c>
      <x:c r="F37" s="24" t="str">
        <x:v>2026-09-01</x:v>
      </x:c>
      <x:c r="G37" s="4" t="n">
        <x:v>520</x:v>
      </x:c>
      <x:c r="H37" s="28"/>
      <x:c r="I37" s="4"/>
      <x:c r="J37" s="4"/>
      <x:c r="K37" s="4" t="str">
        <x:v>Verified in TPWD 2026-2027 statewide deer category catalog.</x:v>
      </x:c>
      <x:c r="L37" s="4" t="str">
        <x:v>https://tpwd.texas.gov/huntwild/hunt/public/public_hunt_drawing/hunt-category-details.phtml?OCat=PLA</x:v>
      </x:c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  <x:c r="AA37" s="4"/>
      <x:c r="AB37" s="4"/>
      <x:c r="AC37" s="4"/>
      <x:c r="AD37" s="4"/>
      <x:c r="AE37" s="4"/>
    </x:row>
    <x:row r="38">
      <x:c r="A38" s="4" t="str">
        <x:v>No</x:v>
      </x:c>
      <x:c r="B38" s="4" t="str">
        <x:v>A</x:v>
      </x:c>
      <x:c r="C38" s="4" t="str">
        <x:v>Whitetail Deer</x:v>
      </x:c>
      <x:c r="D38" s="4" t="str">
        <x:v>Bandera County - The Nature Conservancy</x:v>
      </x:c>
      <x:c r="E38" s="4" t="str">
        <x:v>Private Lands - Either Sex</x:v>
      </x:c>
      <x:c r="F38" s="24" t="str">
        <x:v>2026-09-01</x:v>
      </x:c>
      <x:c r="G38" s="4" t="n">
        <x:v>520</x:v>
      </x:c>
      <x:c r="H38" s="28"/>
      <x:c r="I38" s="4"/>
      <x:c r="J38" s="4"/>
      <x:c r="K38" s="4" t="str">
        <x:v>Verified in TPWD 2026-2027 statewide deer category catalog.</x:v>
      </x:c>
      <x:c r="L38" s="4" t="str">
        <x:v>https://tpwd.texas.gov/huntwild/hunt/public/public_hunt_drawing/hunt-category-details.phtml?OCat=PLE</x:v>
      </x:c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</x:row>
    <x:row r="39">
      <x:c r="A39" s="4" t="str">
        <x:v>No</x:v>
      </x:c>
      <x:c r="B39" s="4" t="str">
        <x:v>A</x:v>
      </x:c>
      <x:c r="C39" s="4" t="str">
        <x:v>Whitetail Deer</x:v>
      </x:c>
      <x:c r="D39" s="4" t="str">
        <x:v>Bastrop SP</x:v>
      </x:c>
      <x:c r="E39" s="4" t="str">
        <x:v>Youth Gun Deer - Either Sex</x:v>
      </x:c>
      <x:c r="F39" s="24" t="str">
        <x:v>2026-09-01</x:v>
      </x:c>
      <x:c r="G39" s="4" t="n">
        <x:v>490</x:v>
      </x:c>
      <x:c r="H39" s="28"/>
      <x:c r="I39" s="4"/>
      <x:c r="J39" s="4"/>
      <x:c r="K39" s="4" t="str">
        <x:v>Verified in TPWD 2026-2027 statewide deer category catalog.</x:v>
      </x:c>
      <x:c r="L39" s="4" t="str">
        <x:v>https://tpwd.texas.gov/huntwild/hunt/public/public_hunt_drawing/hunt-category-details.phtml?OCat=YDE</x:v>
      </x:c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  <x:c r="AA39" s="4"/>
      <x:c r="AB39" s="4"/>
      <x:c r="AC39" s="4"/>
      <x:c r="AD39" s="4"/>
      <x:c r="AE39" s="4"/>
    </x:row>
    <x:row r="40">
      <x:c r="A40" s="4" t="str">
        <x:v>No</x:v>
      </x:c>
      <x:c r="B40" s="4" t="str">
        <x:v>A</x:v>
      </x:c>
      <x:c r="C40" s="4" t="str">
        <x:v>Whitetail Deer</x:v>
      </x:c>
      <x:c r="D40" s="4" t="str">
        <x:v>Big Lake Bottom WMA</x:v>
      </x:c>
      <x:c r="E40" s="4" t="str">
        <x:v>E-Postcard Archery Deer</x:v>
      </x:c>
      <x:c r="F40" s="24" t="str">
        <x:v>2026-09-01</x:v>
      </x:c>
      <x:c r="G40" s="4" t="n">
        <x:v>500</x:v>
      </x:c>
      <x:c r="H40" s="28"/>
      <x:c r="I40" s="4"/>
      <x:c r="J40" s="4"/>
      <x:c r="K40" s="4" t="str">
        <x:v>Verified in TPWD 2026-2027 statewide deer category catalog. APH/eligibility rules apply; confirm account and permit requirements.</x:v>
      </x:c>
      <x:c r="L40" s="4" t="str">
        <x:v>https://tpwd.texas.gov/huntwild/hunt/public/public_hunt_drawing/hunt-category-details.phtml?OCat=EAD</x:v>
      </x:c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  <x:c r="AA40" s="4"/>
      <x:c r="AB40" s="4"/>
      <x:c r="AC40" s="4"/>
      <x:c r="AD40" s="4"/>
      <x:c r="AE40" s="4"/>
    </x:row>
    <x:row r="41">
      <x:c r="A41" s="4" t="str">
        <x:v>No</x:v>
      </x:c>
      <x:c r="B41" s="4" t="str">
        <x:v>A</x:v>
      </x:c>
      <x:c r="C41" s="4" t="str">
        <x:v>Whitetail Deer</x:v>
      </x:c>
      <x:c r="D41" s="4" t="str">
        <x:v>Buffalo Lake NWR</x:v>
      </x:c>
      <x:c r="E41" s="4" t="str">
        <x:v>National Refuge Archery Deer</x:v>
      </x:c>
      <x:c r="F41" s="24" t="str">
        <x:v>2026-09-01</x:v>
      </x:c>
      <x:c r="G41" s="4" t="n">
        <x:v>130</x:v>
      </x:c>
      <x:c r="H41" s="28"/>
      <x:c r="I41" s="4"/>
      <x:c r="J41" s="4"/>
      <x:c r="K41" s="4" t="str">
        <x:v>Verified in TPWD 2026-2027 statewide deer category catalog. Refuge-specific rules and permit fees may apply.</x:v>
      </x:c>
      <x:c r="L41" s="4" t="str">
        <x:v>https://tpwd.texas.gov/huntwild/hunt/public/public_hunt_drawing/hunt-category-details.phtml?OCat=NAD</x:v>
      </x:c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  <x:c r="AA41" s="4"/>
      <x:c r="AB41" s="4"/>
      <x:c r="AC41" s="4"/>
      <x:c r="AD41" s="4"/>
      <x:c r="AE41" s="4"/>
    </x:row>
    <x:row r="42">
      <x:c r="A42" s="4" t="str">
        <x:v>No</x:v>
      </x:c>
      <x:c r="B42" s="4" t="str">
        <x:v>A</x:v>
      </x:c>
      <x:c r="C42" s="4" t="str">
        <x:v>Whitetail Deer</x:v>
      </x:c>
      <x:c r="D42" s="4" t="str">
        <x:v>Chaparral WMA</x:v>
      </x:c>
      <x:c r="E42" s="4" t="str">
        <x:v>Youth Gun Deer - Either Sex</x:v>
      </x:c>
      <x:c r="F42" s="24" t="str">
        <x:v>2026-09-01</x:v>
      </x:c>
      <x:c r="G42" s="4" t="n">
        <x:v>700</x:v>
      </x:c>
      <x:c r="H42" s="4"/>
      <x:c r="I42" s="4"/>
      <x:c r="J42" s="4"/>
      <x:c r="K42" s="4" t="str">
        <x:v>Verified in TPWD 2026-2027 statewide deer category catalog.</x:v>
      </x:c>
      <x:c r="L42" s="4" t="str">
        <x:v>https://tpwd.texas.gov/huntwild/hunt/public/public_hunt_drawing/hunt-category-details.phtml?OCat=YDE</x:v>
      </x:c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  <x:c r="AA42" s="4"/>
      <x:c r="AB42" s="4"/>
      <x:c r="AC42" s="4"/>
      <x:c r="AD42" s="4"/>
      <x:c r="AE42" s="4"/>
    </x:row>
    <x:row r="43">
      <x:c r="A43" s="4" t="str">
        <x:v>No</x:v>
      </x:c>
      <x:c r="B43" s="4" t="str">
        <x:v>A</x:v>
      </x:c>
      <x:c r="C43" s="4" t="str">
        <x:v>Whitetail Deer</x:v>
      </x:c>
      <x:c r="D43" s="4" t="str">
        <x:v>Choke Canyon SP - North Shore Unit</x:v>
      </x:c>
      <x:c r="E43" s="4" t="str">
        <x:v>Youth Gun Deer - Either Sex</x:v>
      </x:c>
      <x:c r="F43" s="24" t="str">
        <x:v>2026-09-01</x:v>
      </x:c>
      <x:c r="G43" s="4" t="n">
        <x:v>700</x:v>
      </x:c>
      <x:c r="H43" s="4"/>
      <x:c r="I43" s="4"/>
      <x:c r="J43" s="4"/>
      <x:c r="K43" s="4" t="str">
        <x:v>Verified in TPWD 2026-2027 statewide deer category catalog.</x:v>
      </x:c>
      <x:c r="L43" s="4" t="str">
        <x:v>https://tpwd.texas.gov/huntwild/hunt/public/public_hunt_drawing/hunt-category-details.phtml?OCat=YDE</x:v>
      </x:c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  <x:c r="AA43" s="4"/>
      <x:c r="AB43" s="4"/>
      <x:c r="AC43" s="4"/>
      <x:c r="AD43" s="4"/>
      <x:c r="AE43" s="4"/>
    </x:row>
    <x:row r="44">
      <x:c r="A44" s="4" t="str">
        <x:v>No</x:v>
      </x:c>
      <x:c r="B44" s="4" t="str">
        <x:v>A</x:v>
      </x:c>
      <x:c r="C44" s="4" t="str">
        <x:v>Whitetail Deer</x:v>
      </x:c>
      <x:c r="D44" s="4" t="str">
        <x:v>Colorado Bend SP</x:v>
      </x:c>
      <x:c r="E44" s="4" t="str">
        <x:v>Youth Gun Deer - Either Sex</x:v>
      </x:c>
      <x:c r="F44" s="24" t="str">
        <x:v>2026-09-01</x:v>
      </x:c>
      <x:c r="G44" s="4" t="n">
        <x:v>490</x:v>
      </x:c>
      <x:c r="H44" s="4"/>
      <x:c r="I44" s="4"/>
      <x:c r="J44" s="4"/>
      <x:c r="K44" s="4" t="str">
        <x:v>Verified in TPWD 2026-2027 statewide deer category catalog.</x:v>
      </x:c>
      <x:c r="L44" s="4" t="str">
        <x:v>https://tpwd.texas.gov/huntwild/hunt/public/public_hunt_drawing/hunt-category-details.phtml?OCat=YDE</x:v>
      </x:c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  <x:c r="AA44" s="4"/>
      <x:c r="AB44" s="4"/>
      <x:c r="AC44" s="4"/>
      <x:c r="AD44" s="4"/>
      <x:c r="AE44" s="4"/>
    </x:row>
    <x:row r="45">
      <x:c r="A45" s="4" t="str">
        <x:v>No</x:v>
      </x:c>
      <x:c r="B45" s="4" t="str">
        <x:v>A</x:v>
      </x:c>
      <x:c r="C45" s="4" t="str">
        <x:v>Whitetail Deer</x:v>
      </x:c>
      <x:c r="D45" s="4" t="str">
        <x:v>Comal County Ranch - The Nature Conservancy</x:v>
      </x:c>
      <x:c r="E45" s="4" t="str">
        <x:v>Private Lands - Antlerless/Spike</x:v>
      </x:c>
      <x:c r="F45" s="24" t="str">
        <x:v>2026-09-01</x:v>
      </x:c>
      <x:c r="G45" s="4" t="n">
        <x:v>520</x:v>
      </x:c>
      <x:c r="H45" s="4"/>
      <x:c r="I45" s="4"/>
      <x:c r="J45" s="4"/>
      <x:c r="K45" s="4" t="str">
        <x:v>Verified in TPWD 2026-2027 statewide deer category catalog.</x:v>
      </x:c>
      <x:c r="L45" s="4" t="str">
        <x:v>https://tpwd.texas.gov/huntwild/hunt/public/public_hunt_drawing/hunt-category-details.phtml?OCat=PLA</x:v>
      </x:c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  <x:c r="AA45" s="4"/>
      <x:c r="AB45" s="4"/>
      <x:c r="AC45" s="4"/>
      <x:c r="AD45" s="4"/>
      <x:c r="AE45" s="4"/>
    </x:row>
    <x:row r="46">
      <x:c r="A46" s="4" t="str">
        <x:v>No</x:v>
      </x:c>
      <x:c r="B46" s="4" t="str">
        <x:v>A</x:v>
      </x:c>
      <x:c r="C46" s="4" t="str">
        <x:v>Whitetail Deer</x:v>
      </x:c>
      <x:c r="D46" s="4" t="str">
        <x:v>Comal County Ranch - The Nature Conservancy</x:v>
      </x:c>
      <x:c r="E46" s="4" t="str">
        <x:v>Private Lands - Either Sex</x:v>
      </x:c>
      <x:c r="F46" s="24" t="str">
        <x:v>2026-09-01</x:v>
      </x:c>
      <x:c r="G46" s="4" t="n">
        <x:v>520</x:v>
      </x:c>
      <x:c r="H46" s="4"/>
      <x:c r="I46" s="4"/>
      <x:c r="J46" s="4"/>
      <x:c r="K46" s="4" t="str">
        <x:v>Verified in TPWD 2026-2027 statewide deer category catalog.</x:v>
      </x:c>
      <x:c r="L46" s="4" t="str">
        <x:v>https://tpwd.texas.gov/huntwild/hunt/public/public_hunt_drawing/hunt-category-details.phtml?OCat=PLE</x:v>
      </x:c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  <x:c r="AA46" s="4"/>
      <x:c r="AB46" s="4"/>
      <x:c r="AC46" s="4"/>
      <x:c r="AD46" s="4"/>
      <x:c r="AE46" s="4"/>
    </x:row>
    <x:row r="47">
      <x:c r="A47" s="4" t="str">
        <x:v>No</x:v>
      </x:c>
      <x:c r="B47" s="4" t="str">
        <x:v>A</x:v>
      </x:c>
      <x:c r="C47" s="4" t="str">
        <x:v>Whitetail Deer</x:v>
      </x:c>
      <x:c r="D47" s="4" t="str">
        <x:v>Cooper WMA</x:v>
      </x:c>
      <x:c r="E47" s="4" t="str">
        <x:v>Youth Gun Deer - Either Sex</x:v>
      </x:c>
      <x:c r="F47" s="24" t="str">
        <x:v>2026-09-01</x:v>
      </x:c>
      <x:c r="G47" s="4" t="n">
        <x:v>360</x:v>
      </x:c>
      <x:c r="H47" s="4"/>
      <x:c r="I47" s="4"/>
      <x:c r="J47" s="4"/>
      <x:c r="K47" s="4" t="str">
        <x:v>Verified in TPWD 2026-2027 statewide deer category catalog.</x:v>
      </x:c>
      <x:c r="L47" s="4" t="str">
        <x:v>https://tpwd.texas.gov/huntwild/hunt/public/public_hunt_drawing/hunt-category-details.phtml?OCat=YDE</x:v>
      </x:c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  <x:c r="AA47" s="4"/>
      <x:c r="AB47" s="4"/>
      <x:c r="AC47" s="4"/>
      <x:c r="AD47" s="4"/>
      <x:c r="AE47" s="4"/>
    </x:row>
    <x:row r="48">
      <x:c r="A48" s="4" t="str">
        <x:v>No</x:v>
      </x:c>
      <x:c r="B48" s="4" t="str">
        <x:v>A</x:v>
      </x:c>
      <x:c r="C48" s="4" t="str">
        <x:v>Whitetail Deer</x:v>
      </x:c>
      <x:c r="D48" s="4" t="str">
        <x:v>DeWitt County Ranch</x:v>
      </x:c>
      <x:c r="E48" s="4" t="str">
        <x:v>Private Lands - Antlerless/Spike</x:v>
      </x:c>
      <x:c r="F48" s="24" t="str">
        <x:v>2026-09-01</x:v>
      </x:c>
      <x:c r="G48" s="4" t="n">
        <x:v>610</x:v>
      </x:c>
      <x:c r="H48" s="4"/>
      <x:c r="I48" s="4"/>
      <x:c r="J48" s="4"/>
      <x:c r="K48" s="4" t="str">
        <x:v>Verified in TPWD 2026-2027 statewide deer category catalog.</x:v>
      </x:c>
      <x:c r="L48" s="4" t="str">
        <x:v>https://tpwd.texas.gov/huntwild/hunt/public/public_hunt_drawing/hunt-category-details.phtml?OCat=PLA</x:v>
      </x:c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  <x:c r="AA48" s="4"/>
      <x:c r="AB48" s="4"/>
      <x:c r="AC48" s="4"/>
      <x:c r="AD48" s="4"/>
      <x:c r="AE48" s="4"/>
    </x:row>
    <x:row r="49">
      <x:c r="A49" s="4" t="str">
        <x:v>No</x:v>
      </x:c>
      <x:c r="B49" s="4" t="str">
        <x:v>A</x:v>
      </x:c>
      <x:c r="C49" s="4" t="str">
        <x:v>Whitetail Deer</x:v>
      </x:c>
      <x:c r="D49" s="4" t="str">
        <x:v>DeWitt County Ranch</x:v>
      </x:c>
      <x:c r="E49" s="4" t="str">
        <x:v>Private Lands - Either Sex</x:v>
      </x:c>
      <x:c r="F49" s="24" t="str">
        <x:v>2026-09-01</x:v>
      </x:c>
      <x:c r="G49" s="4" t="n">
        <x:v>610</x:v>
      </x:c>
      <x:c r="H49" s="4"/>
      <x:c r="I49" s="4"/>
      <x:c r="J49" s="4"/>
      <x:c r="K49" s="4" t="str">
        <x:v>Verified in TPWD 2026-2027 statewide deer category catalog.</x:v>
      </x:c>
      <x:c r="L49" s="4" t="str">
        <x:v>https://tpwd.texas.gov/huntwild/hunt/public/public_hunt_drawing/hunt-category-details.phtml?OCat=PLE</x:v>
      </x:c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  <x:c r="AA49" s="4"/>
      <x:c r="AB49" s="4"/>
      <x:c r="AC49" s="4"/>
      <x:c r="AD49" s="4"/>
      <x:c r="AE49" s="4"/>
    </x:row>
    <x:row r="50">
      <x:c r="A50" s="4" t="str">
        <x:v>No</x:v>
      </x:c>
      <x:c r="B50" s="4" t="str">
        <x:v>A</x:v>
      </x:c>
      <x:c r="C50" s="4" t="str">
        <x:v>Whitetail Deer</x:v>
      </x:c>
      <x:c r="D50" s="4" t="str">
        <x:v>Devil's Sinkhole SNA</x:v>
      </x:c>
      <x:c r="E50" s="4" t="str">
        <x:v>Youth Gun Deer - Either Sex</x:v>
      </x:c>
      <x:c r="F50" s="24" t="str">
        <x:v>2026-09-01</x:v>
      </x:c>
      <x:c r="G50" s="4" t="n">
        <x:v>520</x:v>
      </x:c>
      <x:c r="H50" s="4"/>
      <x:c r="I50" s="4"/>
      <x:c r="J50" s="4"/>
      <x:c r="K50" s="4" t="str">
        <x:v>Verified in TPWD 2026-2027 statewide deer category catalog.</x:v>
      </x:c>
      <x:c r="L50" s="4" t="str">
        <x:v>https://tpwd.texas.gov/huntwild/hunt/public/public_hunt_drawing/hunt-category-details.phtml?OCat=YDE</x:v>
      </x:c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  <x:c r="AA50" s="4"/>
      <x:c r="AB50" s="4"/>
      <x:c r="AC50" s="4"/>
      <x:c r="AD50" s="4"/>
      <x:c r="AE50" s="4"/>
    </x:row>
    <x:row r="51">
      <x:c r="A51" s="4" t="str">
        <x:v>No</x:v>
      </x:c>
      <x:c r="B51" s="4" t="str">
        <x:v>A</x:v>
      </x:c>
      <x:c r="C51" s="4" t="str">
        <x:v>Whitetail Deer</x:v>
      </x:c>
      <x:c r="D51" s="4" t="str">
        <x:v>Devils River SNA - Dan Allen Hughes</x:v>
      </x:c>
      <x:c r="E51" s="4" t="str">
        <x:v>Youth Gun Deer - Either Sex</x:v>
      </x:c>
      <x:c r="F51" s="24" t="str">
        <x:v>2026-09-01</x:v>
      </x:c>
      <x:c r="G51" s="4" t="n">
        <x:v>520</x:v>
      </x:c>
      <x:c r="H51" s="4"/>
      <x:c r="I51" s="4"/>
      <x:c r="J51" s="4"/>
      <x:c r="K51" s="4" t="str">
        <x:v>Verified in TPWD 2026-2027 statewide deer category catalog. West Texas/El Paso-region opportunity; prioritize for mule deer adventure value.</x:v>
      </x:c>
      <x:c r="L51" s="4" t="str">
        <x:v>https://tpwd.texas.gov/huntwild/hunt/public/public_hunt_drawing/hunt-category-details.phtml?OCat=YDE</x:v>
      </x:c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  <x:c r="AA51" s="4"/>
      <x:c r="AB51" s="4"/>
      <x:c r="AC51" s="4"/>
      <x:c r="AD51" s="4"/>
      <x:c r="AE51" s="4"/>
    </x:row>
    <x:row r="52">
      <x:c r="A52" s="4" t="str">
        <x:v>No</x:v>
      </x:c>
      <x:c r="B52" s="4" t="str">
        <x:v>A</x:v>
      </x:c>
      <x:c r="C52" s="4" t="str">
        <x:v>Whitetail Deer</x:v>
      </x:c>
      <x:c r="D52" s="4" t="str">
        <x:v>E.O. Siecke State Forest</x:v>
      </x:c>
      <x:c r="E52" s="4" t="str">
        <x:v>Youth Gun Deer - Either Sex</x:v>
      </x:c>
      <x:c r="F52" s="24" t="str">
        <x:v>2026-09-01</x:v>
      </x:c>
      <x:c r="G52" s="4" t="n">
        <x:v>570</x:v>
      </x:c>
      <x:c r="H52" s="4"/>
      <x:c r="I52" s="4"/>
      <x:c r="J52" s="4"/>
      <x:c r="K52" s="4" t="str">
        <x:v>Verified in TPWD 2026-2027 statewide deer category catalog.</x:v>
      </x:c>
      <x:c r="L52" s="4" t="str">
        <x:v>https://tpwd.texas.gov/huntwild/hunt/public/public_hunt_drawing/hunt-category-details.phtml?OCat=YDE</x:v>
      </x:c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  <x:c r="AA52" s="4"/>
      <x:c r="AB52" s="4"/>
      <x:c r="AC52" s="4"/>
      <x:c r="AD52" s="4"/>
      <x:c r="AE52" s="4"/>
    </x:row>
    <x:row r="53">
      <x:c r="A53" s="4" t="str">
        <x:v>No</x:v>
      </x:c>
      <x:c r="B53" s="4" t="str">
        <x:v>A</x:v>
      </x:c>
      <x:c r="C53" s="4" t="str">
        <x:v>Whitetail Deer</x:v>
      </x:c>
      <x:c r="D53" s="4" t="str">
        <x:v>Enchanted Rock SNA</x:v>
      </x:c>
      <x:c r="E53" s="4" t="str">
        <x:v>Youth Gun Deer - Either Sex</x:v>
      </x:c>
      <x:c r="F53" s="24" t="str">
        <x:v>2026-09-01</x:v>
      </x:c>
      <x:c r="G53" s="4" t="n">
        <x:v>520</x:v>
      </x:c>
      <x:c r="H53" s="4"/>
      <x:c r="I53" s="4"/>
      <x:c r="J53" s="4"/>
      <x:c r="K53" s="4" t="str">
        <x:v>Verified in TPWD 2026-2027 statewide deer category catalog.</x:v>
      </x:c>
      <x:c r="L53" s="4" t="str">
        <x:v>https://tpwd.texas.gov/huntwild/hunt/public/public_hunt_drawing/hunt-category-details.phtml?OCat=YDE</x:v>
      </x:c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  <x:c r="AA53" s="4"/>
      <x:c r="AB53" s="4"/>
      <x:c r="AC53" s="4"/>
      <x:c r="AD53" s="4"/>
      <x:c r="AE53" s="4"/>
    </x:row>
    <x:row r="54">
      <x:c r="A54" s="4" t="str">
        <x:v>No</x:v>
      </x:c>
      <x:c r="B54" s="4" t="str">
        <x:v>A</x:v>
      </x:c>
      <x:c r="C54" s="4" t="str">
        <x:v>Whitetail Deer</x:v>
      </x:c>
      <x:c r="D54" s="4" t="str">
        <x:v>Garner SP</x:v>
      </x:c>
      <x:c r="E54" s="4" t="str">
        <x:v>Youth Gun Deer - Either Sex</x:v>
      </x:c>
      <x:c r="F54" s="24" t="str">
        <x:v>2026-09-01</x:v>
      </x:c>
      <x:c r="G54" s="4" t="n">
        <x:v>520</x:v>
      </x:c>
      <x:c r="H54" s="4"/>
      <x:c r="I54" s="4"/>
      <x:c r="J54" s="4"/>
      <x:c r="K54" s="4" t="str">
        <x:v>Verified in TPWD 2026-2027 statewide deer category catalog.</x:v>
      </x:c>
      <x:c r="L54" s="4" t="str">
        <x:v>https://tpwd.texas.gov/huntwild/hunt/public/public_hunt_drawing/hunt-category-details.phtml?OCat=YDE</x:v>
      </x:c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  <x:c r="AA54" s="4"/>
      <x:c r="AB54" s="4"/>
      <x:c r="AC54" s="4"/>
      <x:c r="AD54" s="4"/>
      <x:c r="AE54" s="4"/>
    </x:row>
    <x:row r="55">
      <x:c r="A55" s="4" t="str">
        <x:v>No</x:v>
      </x:c>
      <x:c r="B55" s="4" t="str">
        <x:v>A</x:v>
      </x:c>
      <x:c r="C55" s="4" t="str">
        <x:v>Whitetail Deer</x:v>
      </x:c>
      <x:c r="D55" s="4" t="str">
        <x:v>Gene Howe WMA</x:v>
      </x:c>
      <x:c r="E55" s="4" t="str">
        <x:v>Youth Gun Deer - Either Sex</x:v>
      </x:c>
      <x:c r="F55" s="24" t="str">
        <x:v>2026-09-01</x:v>
      </x:c>
      <x:c r="G55" s="4" t="n">
        <x:v>130</x:v>
      </x:c>
      <x:c r="H55" s="4"/>
      <x:c r="I55" s="4"/>
      <x:c r="J55" s="4"/>
      <x:c r="K55" s="4" t="str">
        <x:v>Verified in TPWD 2026-2027 statewide deer category catalog.</x:v>
      </x:c>
      <x:c r="L55" s="4" t="str">
        <x:v>https://tpwd.texas.gov/huntwild/hunt/public/public_hunt_drawing/hunt-category-details.phtml?OCat=YDE</x:v>
      </x:c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  <x:c r="AA55" s="4"/>
      <x:c r="AB55" s="4"/>
      <x:c r="AC55" s="4"/>
      <x:c r="AD55" s="4"/>
      <x:c r="AE55" s="4"/>
    </x:row>
    <x:row r="56">
      <x:c r="A56" s="4" t="str">
        <x:v>No</x:v>
      </x:c>
      <x:c r="B56" s="4" t="str">
        <x:v>A</x:v>
      </x:c>
      <x:c r="C56" s="4" t="str">
        <x:v>Whitetail Deer</x:v>
      </x:c>
      <x:c r="D56" s="4" t="str">
        <x:v>Government Canyon SNA</x:v>
      </x:c>
      <x:c r="E56" s="4" t="str">
        <x:v>Youth Gun Deer - Either Sex</x:v>
      </x:c>
      <x:c r="F56" s="24" t="str">
        <x:v>2026-09-01</x:v>
      </x:c>
      <x:c r="G56" s="4" t="n">
        <x:v>520</x:v>
      </x:c>
      <x:c r="H56" s="4"/>
      <x:c r="I56" s="4"/>
      <x:c r="J56" s="4"/>
      <x:c r="K56" s="4" t="str">
        <x:v>Verified in TPWD 2026-2027 statewide deer category catalog.</x:v>
      </x:c>
      <x:c r="L56" s="4" t="str">
        <x:v>https://tpwd.texas.gov/huntwild/hunt/public/public_hunt_drawing/hunt-category-details.phtml?OCat=YDE</x:v>
      </x:c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  <x:c r="AA56" s="4"/>
      <x:c r="AB56" s="4"/>
      <x:c r="AC56" s="4"/>
      <x:c r="AD56" s="4"/>
      <x:c r="AE56" s="4"/>
    </x:row>
    <x:row r="57">
      <x:c r="A57" s="4" t="str">
        <x:v>No</x:v>
      </x:c>
      <x:c r="B57" s="4" t="str">
        <x:v>A</x:v>
      </x:c>
      <x:c r="C57" s="4" t="str">
        <x:v>Whitetail Deer</x:v>
      </x:c>
      <x:c r="D57" s="4" t="str">
        <x:v>Granger PHL</x:v>
      </x:c>
      <x:c r="E57" s="4" t="str">
        <x:v>E-Postcard Archery Deer</x:v>
      </x:c>
      <x:c r="F57" s="24" t="str">
        <x:v>2026-09-01</x:v>
      </x:c>
      <x:c r="G57" s="4" t="n">
        <x:v>490</x:v>
      </x:c>
      <x:c r="H57" s="4"/>
      <x:c r="I57" s="4"/>
      <x:c r="J57" s="4"/>
      <x:c r="K57" s="4" t="str">
        <x:v>Verified in TPWD 2026-2027 statewide deer category catalog. APH/eligibility rules apply; confirm account and permit requirements.</x:v>
      </x:c>
      <x:c r="L57" s="4" t="str">
        <x:v>https://tpwd.texas.gov/huntwild/hunt/public/public_hunt_drawing/hunt-category-details.phtml?OCat=EAD</x:v>
      </x:c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</x:row>
    <x:row r="58">
      <x:c r="A58" s="4" t="str">
        <x:v>No</x:v>
      </x:c>
      <x:c r="B58" s="4" t="str">
        <x:v>A</x:v>
      </x:c>
      <x:c r="C58" s="4" t="str">
        <x:v>Whitetail Deer</x:v>
      </x:c>
      <x:c r="D58" s="4" t="str">
        <x:v>Guadalupe River SP</x:v>
      </x:c>
      <x:c r="E58" s="4" t="str">
        <x:v>Youth Gun Deer - Either Sex</x:v>
      </x:c>
      <x:c r="F58" s="24" t="str">
        <x:v>2026-09-01</x:v>
      </x:c>
      <x:c r="G58" s="4" t="n">
        <x:v>520</x:v>
      </x:c>
      <x:c r="H58" s="4"/>
      <x:c r="I58" s="4"/>
      <x:c r="J58" s="4"/>
      <x:c r="K58" s="4" t="str">
        <x:v>Verified in TPWD 2026-2027 statewide deer category catalog.</x:v>
      </x:c>
      <x:c r="L58" s="4" t="str">
        <x:v>https://tpwd.texas.gov/huntwild/hunt/public/public_hunt_drawing/hunt-category-details.phtml?OCat=YDE</x:v>
      </x:c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  <x:c r="AA58" s="4"/>
      <x:c r="AB58" s="4"/>
      <x:c r="AC58" s="4"/>
      <x:c r="AD58" s="4"/>
      <x:c r="AE58" s="4"/>
    </x:row>
    <x:row r="59">
      <x:c r="A59" s="4" t="str">
        <x:v>No</x:v>
      </x:c>
      <x:c r="B59" s="4" t="str">
        <x:v>A</x:v>
      </x:c>
      <x:c r="C59" s="4" t="str">
        <x:v>Whitetail Deer</x:v>
      </x:c>
      <x:c r="D59" s="4" t="str">
        <x:v>Gus Engeling WMA</x:v>
      </x:c>
      <x:c r="E59" s="4" t="str">
        <x:v>Youth Gun Deer - Either Sex</x:v>
      </x:c>
      <x:c r="F59" s="24" t="str">
        <x:v>2026-09-01</x:v>
      </x:c>
      <x:c r="G59" s="4" t="n">
        <x:v>500</x:v>
      </x:c>
      <x:c r="H59" s="4"/>
      <x:c r="I59" s="4"/>
      <x:c r="J59" s="4"/>
      <x:c r="K59" s="4" t="str">
        <x:v>Verified in TPWD 2026-2027 statewide deer category catalog.</x:v>
      </x:c>
      <x:c r="L59" s="4" t="str">
        <x:v>https://tpwd.texas.gov/huntwild/hunt/public/public_hunt_drawing/hunt-category-details.phtml?OCat=YDE</x:v>
      </x:c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  <x:c r="AA59" s="4"/>
      <x:c r="AB59" s="4"/>
      <x:c r="AC59" s="4"/>
      <x:c r="AD59" s="4"/>
      <x:c r="AE59" s="4"/>
    </x:row>
    <x:row r="60">
      <x:c r="A60" s="4" t="str">
        <x:v>No</x:v>
      </x:c>
      <x:c r="B60" s="4" t="str">
        <x:v>A</x:v>
      </x:c>
      <x:c r="C60" s="4" t="str">
        <x:v>Whitetail Deer</x:v>
      </x:c>
      <x:c r="D60" s="4" t="str">
        <x:v>Hagerman NWR</x:v>
      </x:c>
      <x:c r="E60" s="4" t="str">
        <x:v>National Refuge Archery Deer</x:v>
      </x:c>
      <x:c r="F60" s="24" t="str">
        <x:v>2026-09-01</x:v>
      </x:c>
      <x:c r="G60" s="4" t="n">
        <x:v>360</x:v>
      </x:c>
      <x:c r="H60" s="4"/>
      <x:c r="I60" s="4"/>
      <x:c r="J60" s="4"/>
      <x:c r="K60" s="4" t="str">
        <x:v>Verified in TPWD 2026-2027 statewide deer category catalog. Refuge-specific rules and permit fees may apply.</x:v>
      </x:c>
      <x:c r="L60" s="4" t="str">
        <x:v>https://tpwd.texas.gov/huntwild/hunt/public/public_hunt_drawing/hunt-category-details.phtml?OCat=NAD</x:v>
      </x:c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  <x:c r="AA60" s="4"/>
      <x:c r="AB60" s="4"/>
      <x:c r="AC60" s="4"/>
      <x:c r="AD60" s="4"/>
      <x:c r="AE60" s="4"/>
    </x:row>
    <x:row r="61">
      <x:c r="A61" s="4" t="str">
        <x:v>No</x:v>
      </x:c>
      <x:c r="B61" s="4" t="str">
        <x:v>A</x:v>
      </x:c>
      <x:c r="C61" s="4" t="str">
        <x:v>Whitetail Deer</x:v>
      </x:c>
      <x:c r="D61" s="4" t="str">
        <x:v>Hill Country SNA</x:v>
      </x:c>
      <x:c r="E61" s="4" t="str">
        <x:v>Youth Gun Deer - Either Sex</x:v>
      </x:c>
      <x:c r="F61" s="24" t="str">
        <x:v>2026-09-01</x:v>
      </x:c>
      <x:c r="G61" s="4" t="n">
        <x:v>520</x:v>
      </x:c>
      <x:c r="H61" s="4"/>
      <x:c r="I61" s="4"/>
      <x:c r="J61" s="4"/>
      <x:c r="K61" s="4" t="str">
        <x:v>Verified in TPWD 2026-2027 statewide deer category catalog.</x:v>
      </x:c>
      <x:c r="L61" s="4" t="str">
        <x:v>https://tpwd.texas.gov/huntwild/hunt/public/public_hunt_drawing/hunt-category-details.phtml?OCat=YDE</x:v>
      </x:c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  <x:c r="AA61" s="4"/>
      <x:c r="AB61" s="4"/>
      <x:c r="AC61" s="4"/>
      <x:c r="AD61" s="4"/>
      <x:c r="AE61" s="4"/>
    </x:row>
    <x:row r="62">
      <x:c r="A62" s="4" t="str">
        <x:v>No</x:v>
      </x:c>
      <x:c r="B62" s="4" t="str">
        <x:v>A</x:v>
      </x:c>
      <x:c r="C62" s="4" t="str">
        <x:v>Whitetail Deer</x:v>
      </x:c>
      <x:c r="D62" s="4" t="str">
        <x:v>Honey Creek SNA</x:v>
      </x:c>
      <x:c r="E62" s="4" t="str">
        <x:v>Youth Gun Deer - Either Sex</x:v>
      </x:c>
      <x:c r="F62" s="24" t="str">
        <x:v>2026-09-01</x:v>
      </x:c>
      <x:c r="G62" s="4" t="n">
        <x:v>520</x:v>
      </x:c>
      <x:c r="H62" s="4"/>
      <x:c r="I62" s="4"/>
      <x:c r="J62" s="4"/>
      <x:c r="K62" s="4" t="str">
        <x:v>Verified in TPWD 2026-2027 statewide deer category catalog.</x:v>
      </x:c>
      <x:c r="L62" s="4" t="str">
        <x:v>https://tpwd.texas.gov/huntwild/hunt/public/public_hunt_drawing/hunt-category-details.phtml?OCat=YDE</x:v>
      </x:c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  <x:c r="AA62" s="4"/>
      <x:c r="AB62" s="4"/>
      <x:c r="AC62" s="4"/>
      <x:c r="AD62" s="4"/>
      <x:c r="AE62" s="4"/>
    </x:row>
    <x:row r="63">
      <x:c r="A63" s="4" t="str">
        <x:v>No</x:v>
      </x:c>
      <x:c r="B63" s="4" t="str">
        <x:v>A</x:v>
      </x:c>
      <x:c r="C63" s="4" t="str">
        <x:v>Whitetail Deer</x:v>
      </x:c>
      <x:c r="D63" s="4" t="str">
        <x:v>Huntsville SP</x:v>
      </x:c>
      <x:c r="E63" s="4" t="str">
        <x:v>Youth Gun Deer - Either Sex</x:v>
      </x:c>
      <x:c r="F63" s="24" t="str">
        <x:v>2026-09-01</x:v>
      </x:c>
      <x:c r="G63" s="4" t="n">
        <x:v>570</x:v>
      </x:c>
      <x:c r="H63" s="4"/>
      <x:c r="I63" s="4"/>
      <x:c r="J63" s="4"/>
      <x:c r="K63" s="4" t="str">
        <x:v>Verified in TPWD 2026-2027 statewide deer category catalog.</x:v>
      </x:c>
      <x:c r="L63" s="4" t="str">
        <x:v>https://tpwd.texas.gov/huntwild/hunt/public/public_hunt_drawing/hunt-category-details.phtml?OCat=YDE</x:v>
      </x:c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  <x:c r="AA63" s="4"/>
      <x:c r="AB63" s="4"/>
      <x:c r="AC63" s="4"/>
      <x:c r="AD63" s="4"/>
      <x:c r="AE63" s="4"/>
    </x:row>
    <x:row r="64">
      <x:c r="A64" s="4" t="str">
        <x:v>No</x:v>
      </x:c>
      <x:c r="B64" s="4" t="str">
        <x:v>A</x:v>
      </x:c>
      <x:c r="C64" s="4" t="str">
        <x:v>Whitetail Deer</x:v>
      </x:c>
      <x:c r="D64" s="4" t="str">
        <x:v>I.D. Fairchild State Forest</x:v>
      </x:c>
      <x:c r="E64" s="4" t="str">
        <x:v>Youth Gun Deer - Either Sex</x:v>
      </x:c>
      <x:c r="F64" s="24" t="str">
        <x:v>2026-09-01</x:v>
      </x:c>
      <x:c r="G64" s="4" t="n">
        <x:v>570</x:v>
      </x:c>
      <x:c r="H64" s="4"/>
      <x:c r="I64" s="4"/>
      <x:c r="J64" s="4"/>
      <x:c r="K64" s="4" t="str">
        <x:v>Verified in TPWD 2026-2027 statewide deer category catalog.</x:v>
      </x:c>
      <x:c r="L64" s="4" t="str">
        <x:v>https://tpwd.texas.gov/huntwild/hunt/public/public_hunt_drawing/hunt-category-details.phtml?OCat=YDE</x:v>
      </x:c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  <x:c r="AA64" s="4"/>
      <x:c r="AB64" s="4"/>
      <x:c r="AC64" s="4"/>
      <x:c r="AD64" s="4"/>
      <x:c r="AE64" s="4"/>
    </x:row>
    <x:row r="65">
      <x:c r="A65" s="4" t="str">
        <x:v>No</x:v>
      </x:c>
      <x:c r="B65" s="4" t="str">
        <x:v>A</x:v>
      </x:c>
      <x:c r="C65" s="4" t="str">
        <x:v>Whitetail Deer</x:v>
      </x:c>
      <x:c r="D65" s="4" t="str">
        <x:v>Inks Lake/Longhorn Caverns SP</x:v>
      </x:c>
      <x:c r="E65" s="4" t="str">
        <x:v>Youth Gun Deer - Either Sex</x:v>
      </x:c>
      <x:c r="F65" s="24" t="str">
        <x:v>2026-09-01</x:v>
      </x:c>
      <x:c r="G65" s="4" t="n">
        <x:v>490</x:v>
      </x:c>
      <x:c r="H65" s="4"/>
      <x:c r="I65" s="4"/>
      <x:c r="J65" s="4"/>
      <x:c r="K65" s="4" t="str">
        <x:v>Verified in TPWD 2026-2027 statewide deer category catalog.</x:v>
      </x:c>
      <x:c r="L65" s="4" t="str">
        <x:v>https://tpwd.texas.gov/huntwild/hunt/public/public_hunt_drawing/hunt-category-details.phtml?OCat=YDE</x:v>
      </x:c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  <x:c r="AA65" s="4"/>
      <x:c r="AB65" s="4"/>
      <x:c r="AC65" s="4"/>
      <x:c r="AD65" s="4"/>
      <x:c r="AE65" s="4"/>
    </x:row>
    <x:row r="66">
      <x:c r="A66" s="4" t="str">
        <x:v>No</x:v>
      </x:c>
      <x:c r="B66" s="4" t="str">
        <x:v>A</x:v>
      </x:c>
      <x:c r="C66" s="4" t="str">
        <x:v>Whitetail Deer</x:v>
      </x:c>
      <x:c r="D66" s="4" t="str">
        <x:v>James Daughtrey WMA</x:v>
      </x:c>
      <x:c r="E66" s="4" t="str">
        <x:v>Youth Gun Deer - Either Sex</x:v>
      </x:c>
      <x:c r="F66" s="24" t="str">
        <x:v>2026-09-01</x:v>
      </x:c>
      <x:c r="G66" s="4" t="n">
        <x:v>700</x:v>
      </x:c>
      <x:c r="H66" s="4"/>
      <x:c r="I66" s="4"/>
      <x:c r="J66" s="4"/>
      <x:c r="K66" s="4" t="str">
        <x:v>Verified in TPWD 2026-2027 statewide deer category catalog.</x:v>
      </x:c>
      <x:c r="L66" s="4" t="str">
        <x:v>https://tpwd.texas.gov/huntwild/hunt/public/public_hunt_drawing/hunt-category-details.phtml?OCat=YDE</x:v>
      </x:c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  <x:c r="AA66" s="4"/>
      <x:c r="AB66" s="4"/>
      <x:c r="AC66" s="4"/>
      <x:c r="AD66" s="4"/>
      <x:c r="AE66" s="4"/>
    </x:row>
    <x:row r="67">
      <x:c r="A67" s="4" t="str">
        <x:v>No</x:v>
      </x:c>
      <x:c r="B67" s="4" t="str">
        <x:v>A</x:v>
      </x:c>
      <x:c r="C67" s="4" t="str">
        <x:v>Whitetail Deer</x:v>
      </x:c>
      <x:c r="D67" s="4" t="str">
        <x:v>John Henry Kirby State Forest</x:v>
      </x:c>
      <x:c r="E67" s="4" t="str">
        <x:v>Youth Gun Deer - Either Sex</x:v>
      </x:c>
      <x:c r="F67" s="24" t="str">
        <x:v>2026-09-01</x:v>
      </x:c>
      <x:c r="G67" s="4" t="n">
        <x:v>570</x:v>
      </x:c>
      <x:c r="H67" s="4"/>
      <x:c r="I67" s="4"/>
      <x:c r="J67" s="4"/>
      <x:c r="K67" s="4" t="str">
        <x:v>Verified in TPWD 2026-2027 statewide deer category catalog.</x:v>
      </x:c>
      <x:c r="L67" s="4" t="str">
        <x:v>https://tpwd.texas.gov/huntwild/hunt/public/public_hunt_drawing/hunt-category-details.phtml?OCat=YDE</x:v>
      </x:c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  <x:c r="AA67" s="4"/>
      <x:c r="AB67" s="4"/>
      <x:c r="AC67" s="4"/>
      <x:c r="AD67" s="4"/>
      <x:c r="AE67" s="4"/>
    </x:row>
    <x:row r="68">
      <x:c r="A68" s="4" t="str">
        <x:v>No</x:v>
      </x:c>
      <x:c r="B68" s="4" t="str">
        <x:v>A</x:v>
      </x:c>
      <x:c r="C68" s="4" t="str">
        <x:v>Whitetail Deer</x:v>
      </x:c>
      <x:c r="D68" s="4" t="str">
        <x:v>Justin Hurst WMA</x:v>
      </x:c>
      <x:c r="E68" s="4" t="str">
        <x:v>Youth Gun Deer - Either Sex</x:v>
      </x:c>
      <x:c r="F68" s="24" t="str">
        <x:v>2026-09-01</x:v>
      </x:c>
      <x:c r="G68" s="4" t="n">
        <x:v>610</x:v>
      </x:c>
      <x:c r="H68" s="4"/>
      <x:c r="I68" s="4"/>
      <x:c r="J68" s="4"/>
      <x:c r="K68" s="4" t="str">
        <x:v>Verified in TPWD 2026-2027 statewide deer category catalog.</x:v>
      </x:c>
      <x:c r="L68" s="4" t="str">
        <x:v>https://tpwd.texas.gov/huntwild/hunt/public/public_hunt_drawing/hunt-category-details.phtml?OCat=YDE</x:v>
      </x:c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s="4"/>
      <x:c r="AB68" s="4"/>
      <x:c r="AC68" s="4"/>
      <x:c r="AD68" s="4"/>
      <x:c r="AE68" s="4"/>
    </x:row>
    <x:row r="69">
      <x:c r="A69" s="4" t="str">
        <x:v>No</x:v>
      </x:c>
      <x:c r="B69" s="4" t="str">
        <x:v>A</x:v>
      </x:c>
      <x:c r="C69" s="4" t="str">
        <x:v>Whitetail Deer</x:v>
      </x:c>
      <x:c r="D69" s="4" t="str">
        <x:v>Keechi Creek WMA</x:v>
      </x:c>
      <x:c r="E69" s="4" t="str">
        <x:v>E-Postcard Archery Deer</x:v>
      </x:c>
      <x:c r="F69" s="24" t="str">
        <x:v>2026-09-01</x:v>
      </x:c>
      <x:c r="G69" s="4" t="n">
        <x:v>500</x:v>
      </x:c>
      <x:c r="H69" s="4"/>
      <x:c r="I69" s="4"/>
      <x:c r="J69" s="4"/>
      <x:c r="K69" s="4" t="str">
        <x:v>Verified in TPWD 2026-2027 statewide deer category catalog. APH/eligibility rules apply; confirm account and permit requirements.</x:v>
      </x:c>
      <x:c r="L69" s="4" t="str">
        <x:v>https://tpwd.texas.gov/huntwild/hunt/public/public_hunt_drawing/hunt-category-details.phtml?OCat=EAD</x:v>
      </x:c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  <x:c r="AA69" s="4"/>
      <x:c r="AB69" s="4"/>
      <x:c r="AC69" s="4"/>
      <x:c r="AD69" s="4"/>
      <x:c r="AE69" s="4"/>
    </x:row>
    <x:row r="70">
      <x:c r="A70" s="4" t="str">
        <x:v>No</x:v>
      </x:c>
      <x:c r="B70" s="4" t="str">
        <x:v>A</x:v>
      </x:c>
      <x:c r="C70" s="4" t="str">
        <x:v>Whitetail Deer</x:v>
      </x:c>
      <x:c r="D70" s="4" t="str">
        <x:v>Kerr WMA</x:v>
      </x:c>
      <x:c r="E70" s="4" t="str">
        <x:v>Youth Gun Deer - Either Sex</x:v>
      </x:c>
      <x:c r="F70" s="24" t="str">
        <x:v>2026-09-01</x:v>
      </x:c>
      <x:c r="G70" s="4" t="n">
        <x:v>520</x:v>
      </x:c>
      <x:c r="H70" s="4"/>
      <x:c r="I70" s="4"/>
      <x:c r="J70" s="4"/>
      <x:c r="K70" s="4" t="str">
        <x:v>Verified in TPWD 2026-2027 statewide deer category catalog.</x:v>
      </x:c>
      <x:c r="L70" s="4" t="str">
        <x:v>https://tpwd.texas.gov/huntwild/hunt/public/public_hunt_drawing/hunt-category-details.phtml?OCat=YDE</x:v>
      </x:c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  <x:c r="AA70" s="4"/>
      <x:c r="AB70" s="4"/>
      <x:c r="AC70" s="4"/>
      <x:c r="AD70" s="4"/>
      <x:c r="AE70" s="4"/>
    </x:row>
    <x:row r="71">
      <x:c r="A71" s="4" t="str">
        <x:v>No</x:v>
      </x:c>
      <x:c r="B71" s="4" t="str">
        <x:v>A</x:v>
      </x:c>
      <x:c r="C71" s="4" t="str">
        <x:v>Whitetail Deer</x:v>
      </x:c>
      <x:c r="D71" s="4" t="str">
        <x:v>La Salle County Ranch</x:v>
      </x:c>
      <x:c r="E71" s="4" t="str">
        <x:v>Private Lands - Either Sex</x:v>
      </x:c>
      <x:c r="F71" s="24" t="str">
        <x:v>2026-09-01</x:v>
      </x:c>
      <x:c r="G71" s="4" t="n">
        <x:v>700</x:v>
      </x:c>
      <x:c r="H71" s="4"/>
      <x:c r="I71" s="4"/>
      <x:c r="J71" s="4"/>
      <x:c r="K71" s="4" t="str">
        <x:v>Verified in TPWD 2026-2027 statewide deer category catalog.</x:v>
      </x:c>
      <x:c r="L71" s="4" t="str">
        <x:v>https://tpwd.texas.gov/huntwild/hunt/public/public_hunt_drawing/hunt-category-details.phtml?OCat=PLE</x:v>
      </x:c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  <x:c r="AA71" s="4"/>
      <x:c r="AB71" s="4"/>
      <x:c r="AC71" s="4"/>
      <x:c r="AD71" s="4"/>
      <x:c r="AE71" s="4"/>
    </x:row>
    <x:row r="72">
      <x:c r="A72" s="4" t="str">
        <x:v>No</x:v>
      </x:c>
      <x:c r="B72" s="4" t="str">
        <x:v>A</x:v>
      </x:c>
      <x:c r="C72" s="4" t="str">
        <x:v>Whitetail Deer</x:v>
      </x:c>
      <x:c r="D72" s="4" t="str">
        <x:v>Laguna Atascosa NWR</x:v>
      </x:c>
      <x:c r="E72" s="4" t="str">
        <x:v>National Refuge Archery Deer</x:v>
      </x:c>
      <x:c r="F72" s="24" t="str">
        <x:v>2026-09-01</x:v>
      </x:c>
      <x:c r="G72" s="4" t="n">
        <x:v>700</x:v>
      </x:c>
      <x:c r="H72" s="4"/>
      <x:c r="I72" s="4"/>
      <x:c r="J72" s="4"/>
      <x:c r="K72" s="4" t="str">
        <x:v>Verified in TPWD 2026-2027 statewide deer category catalog. Refuge-specific rules and permit fees may apply.</x:v>
      </x:c>
      <x:c r="L72" s="4" t="str">
        <x:v>https://tpwd.texas.gov/huntwild/hunt/public/public_hunt_drawing/hunt-category-details.phtml?OCat=NAD</x:v>
      </x:c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  <x:c r="AA72" s="4"/>
      <x:c r="AB72" s="4"/>
      <x:c r="AC72" s="4"/>
      <x:c r="AD72" s="4"/>
      <x:c r="AE72" s="4"/>
    </x:row>
    <x:row r="73">
      <x:c r="A73" s="4" t="str">
        <x:v>No</x:v>
      </x:c>
      <x:c r="B73" s="4" t="str">
        <x:v>A</x:v>
      </x:c>
      <x:c r="C73" s="4" t="str">
        <x:v>Whitetail Deer</x:v>
      </x:c>
      <x:c r="D73" s="4" t="str">
        <x:v>Lake Brownwood SP</x:v>
      </x:c>
      <x:c r="E73" s="4" t="str">
        <x:v>Youth Gun Deer - Either Sex</x:v>
      </x:c>
      <x:c r="F73" s="24" t="str">
        <x:v>2026-09-01</x:v>
      </x:c>
      <x:c r="G73" s="4" t="n">
        <x:v>300</x:v>
      </x:c>
      <x:c r="H73" s="4"/>
      <x:c r="I73" s="4"/>
      <x:c r="J73" s="4"/>
      <x:c r="K73" s="4" t="str">
        <x:v>Verified in TPWD 2026-2027 statewide deer category catalog.</x:v>
      </x:c>
      <x:c r="L73" s="4" t="str">
        <x:v>https://tpwd.texas.gov/huntwild/hunt/public/public_hunt_drawing/hunt-category-details.phtml?OCat=YDE</x:v>
      </x:c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  <x:c r="AA73" s="4"/>
      <x:c r="AB73" s="4"/>
      <x:c r="AC73" s="4"/>
      <x:c r="AD73" s="4"/>
      <x:c r="AE73" s="4"/>
    </x:row>
    <x:row r="74">
      <x:c r="A74" s="4" t="str">
        <x:v>No</x:v>
      </x:c>
      <x:c r="B74" s="4" t="str">
        <x:v>A</x:v>
      </x:c>
      <x:c r="C74" s="4" t="str">
        <x:v>Whitetail Deer</x:v>
      </x:c>
      <x:c r="D74" s="4" t="str">
        <x:v>Lake McClellan Recreation Area</x:v>
      </x:c>
      <x:c r="E74" s="4" t="str">
        <x:v>Youth Gun Deer - Either Sex</x:v>
      </x:c>
      <x:c r="F74" s="24" t="str">
        <x:v>2026-09-01</x:v>
      </x:c>
      <x:c r="G74" s="4" t="n">
        <x:v>130</x:v>
      </x:c>
      <x:c r="H74" s="4"/>
      <x:c r="I74" s="4"/>
      <x:c r="J74" s="4"/>
      <x:c r="K74" s="4" t="str">
        <x:v>Verified in TPWD 2026-2027 statewide deer category catalog.</x:v>
      </x:c>
      <x:c r="L74" s="4" t="str">
        <x:v>https://tpwd.texas.gov/huntwild/hunt/public/public_hunt_drawing/hunt-category-details.phtml?OCat=YDE</x:v>
      </x:c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  <x:c r="AA74" s="4"/>
      <x:c r="AB74" s="4"/>
      <x:c r="AC74" s="4"/>
      <x:c r="AD74" s="4"/>
      <x:c r="AE74" s="4"/>
    </x:row>
    <x:row r="75">
      <x:c r="A75" s="4" t="str">
        <x:v>No</x:v>
      </x:c>
      <x:c r="B75" s="4" t="str">
        <x:v>A</x:v>
      </x:c>
      <x:c r="C75" s="4" t="str">
        <x:v>Whitetail Deer</x:v>
      </x:c>
      <x:c r="D75" s="4" t="str">
        <x:v>Lake Mineral Wells SP</x:v>
      </x:c>
      <x:c r="E75" s="4" t="str">
        <x:v>Youth Gun Deer - Either Sex</x:v>
      </x:c>
      <x:c r="F75" s="24" t="str">
        <x:v>2026-09-01</x:v>
      </x:c>
      <x:c r="G75" s="4" t="n">
        <x:v>360</x:v>
      </x:c>
      <x:c r="H75" s="4"/>
      <x:c r="I75" s="4"/>
      <x:c r="J75" s="4"/>
      <x:c r="K75" s="4" t="str">
        <x:v>Verified in TPWD 2026-2027 statewide deer category catalog.</x:v>
      </x:c>
      <x:c r="L75" s="4" t="str">
        <x:v>https://tpwd.texas.gov/huntwild/hunt/public/public_hunt_drawing/hunt-category-details.phtml?OCat=YDE</x:v>
      </x:c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  <x:c r="AA75" s="4"/>
      <x:c r="AB75" s="4"/>
      <x:c r="AC75" s="4"/>
      <x:c r="AD75" s="4"/>
      <x:c r="AE75" s="4"/>
    </x:row>
    <x:row r="76">
      <x:c r="A76" s="4" t="str">
        <x:v>No</x:v>
      </x:c>
      <x:c r="B76" s="4" t="str">
        <x:v>A</x:v>
      </x:c>
      <x:c r="C76" s="4" t="str">
        <x:v>Whitetail Deer</x:v>
      </x:c>
      <x:c r="D76" s="4" t="str">
        <x:v>Lake Somerville SP - Nails Creek Unit</x:v>
      </x:c>
      <x:c r="E76" s="4" t="str">
        <x:v>E-Postcard Archery Deer</x:v>
      </x:c>
      <x:c r="F76" s="24" t="str">
        <x:v>2026-09-01</x:v>
      </x:c>
      <x:c r="G76" s="4" t="n">
        <x:v>490</x:v>
      </x:c>
      <x:c r="H76" s="4"/>
      <x:c r="I76" s="4"/>
      <x:c r="J76" s="4"/>
      <x:c r="K76" s="4" t="str">
        <x:v>Verified in TPWD 2026-2027 statewide deer category catalog. APH/eligibility rules apply; confirm account and permit requirements.</x:v>
      </x:c>
      <x:c r="L76" s="4" t="str">
        <x:v>https://tpwd.texas.gov/huntwild/hunt/public/public_hunt_drawing/hunt-category-details.phtml?OCat=EAD</x:v>
      </x:c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</x:row>
    <x:row r="77">
      <x:c r="A77" s="4" t="str">
        <x:v>No</x:v>
      </x:c>
      <x:c r="B77" s="4" t="str">
        <x:v>A</x:v>
      </x:c>
      <x:c r="C77" s="4" t="str">
        <x:v>Whitetail Deer</x:v>
      </x:c>
      <x:c r="D77" s="4" t="str">
        <x:v>Lake Somerville SP - Nails Creek Unit</x:v>
      </x:c>
      <x:c r="E77" s="4" t="str">
        <x:v>Youth Gun Deer - Either Sex</x:v>
      </x:c>
      <x:c r="F77" s="24" t="str">
        <x:v>2026-09-01</x:v>
      </x:c>
      <x:c r="G77" s="4" t="n">
        <x:v>490</x:v>
      </x:c>
      <x:c r="H77" s="4"/>
      <x:c r="I77" s="4"/>
      <x:c r="J77" s="4"/>
      <x:c r="K77" s="4" t="str">
        <x:v>Verified in TPWD 2026-2027 statewide deer category catalog.</x:v>
      </x:c>
      <x:c r="L77" s="4" t="str">
        <x:v>https://tpwd.texas.gov/huntwild/hunt/public/public_hunt_drawing/hunt-category-details.phtml?OCat=YDE</x:v>
      </x:c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  <x:c r="AA77" s="4"/>
      <x:c r="AB77" s="4"/>
      <x:c r="AC77" s="4"/>
      <x:c r="AD77" s="4"/>
      <x:c r="AE77" s="4"/>
    </x:row>
    <x:row r="78">
      <x:c r="A78" s="4" t="str">
        <x:v>No</x:v>
      </x:c>
      <x:c r="B78" s="4" t="str">
        <x:v>A</x:v>
      </x:c>
      <x:c r="C78" s="4" t="str">
        <x:v>Whitetail Deer</x:v>
      </x:c>
      <x:c r="D78" s="4" t="str">
        <x:v>Lake Whitney SP</x:v>
      </x:c>
      <x:c r="E78" s="4" t="str">
        <x:v>E-Postcard Youth Archery Deer</x:v>
      </x:c>
      <x:c r="F78" s="24" t="str">
        <x:v>2026-09-01</x:v>
      </x:c>
      <x:c r="G78" s="4" t="n">
        <x:v>490</x:v>
      </x:c>
      <x:c r="H78" s="4"/>
      <x:c r="I78" s="4"/>
      <x:c r="J78" s="4"/>
      <x:c r="K78" s="4" t="str">
        <x:v>Verified in TPWD 2026-2027 statewide deer category catalog. APH/eligibility rules apply; confirm account and permit requirements.</x:v>
      </x:c>
      <x:c r="L78" s="4" t="str">
        <x:v>https://tpwd.texas.gov/huntwild/hunt/public/public_hunt_drawing/hunt-category-details.phtml?OCat=EYA</x:v>
      </x:c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  <x:c r="AA78" s="4"/>
      <x:c r="AB78" s="4"/>
      <x:c r="AC78" s="4"/>
      <x:c r="AD78" s="4"/>
      <x:c r="AE78" s="4"/>
    </x:row>
    <x:row r="79">
      <x:c r="A79" s="4" t="str">
        <x:v>No</x:v>
      </x:c>
      <x:c r="B79" s="4" t="str">
        <x:v>A</x:v>
      </x:c>
      <x:c r="C79" s="4" t="str">
        <x:v>Whitetail Deer</x:v>
      </x:c>
      <x:c r="D79" s="4" t="str">
        <x:v>Lipscomb County Ranch</x:v>
      </x:c>
      <x:c r="E79" s="4" t="str">
        <x:v>Private Lands - Either Sex</x:v>
      </x:c>
      <x:c r="F79" s="24" t="str">
        <x:v>2026-09-01</x:v>
      </x:c>
      <x:c r="G79" s="4" t="n">
        <x:v>130</x:v>
      </x:c>
      <x:c r="H79" s="4"/>
      <x:c r="I79" s="4"/>
      <x:c r="J79" s="4"/>
      <x:c r="K79" s="4" t="str">
        <x:v>Verified in TPWD 2026-2027 statewide deer category catalog.</x:v>
      </x:c>
      <x:c r="L79" s="4" t="str">
        <x:v>https://tpwd.texas.gov/huntwild/hunt/public/public_hunt_drawing/hunt-category-details.phtml?OCat=PLE</x:v>
      </x:c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  <x:c r="AA79" s="4"/>
      <x:c r="AB79" s="4"/>
      <x:c r="AC79" s="4"/>
      <x:c r="AD79" s="4"/>
      <x:c r="AE79" s="4"/>
    </x:row>
    <x:row r="80">
      <x:c r="A80" s="4" t="str">
        <x:v>No</x:v>
      </x:c>
      <x:c r="B80" s="4" t="str">
        <x:v>A</x:v>
      </x:c>
      <x:c r="C80" s="4" t="str">
        <x:v>Whitetail Deer</x:v>
      </x:c>
      <x:c r="D80" s="4" t="str">
        <x:v>Lower Rio Grande NWR - Schaleben</x:v>
      </x:c>
      <x:c r="E80" s="4" t="str">
        <x:v>National Refuge Archery Deer</x:v>
      </x:c>
      <x:c r="F80" s="24" t="str">
        <x:v>2026-09-01</x:v>
      </x:c>
      <x:c r="G80" s="4" t="n">
        <x:v>700</x:v>
      </x:c>
      <x:c r="H80" s="4"/>
      <x:c r="I80" s="4"/>
      <x:c r="J80" s="4"/>
      <x:c r="K80" s="4" t="str">
        <x:v>Verified in TPWD 2026-2027 statewide deer category catalog. Refuge-specific rules and permit fees may apply.</x:v>
      </x:c>
      <x:c r="L80" s="4" t="str">
        <x:v>https://tpwd.texas.gov/huntwild/hunt/public/public_hunt_drawing/hunt-category-details.phtml?OCat=NAD</x:v>
      </x:c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  <x:c r="AA80" s="4"/>
      <x:c r="AB80" s="4"/>
      <x:c r="AC80" s="4"/>
      <x:c r="AD80" s="4"/>
      <x:c r="AE80" s="4"/>
    </x:row>
    <x:row r="81">
      <x:c r="A81" s="4" t="str">
        <x:v>No</x:v>
      </x:c>
      <x:c r="B81" s="4" t="str">
        <x:v>A</x:v>
      </x:c>
      <x:c r="C81" s="4" t="str">
        <x:v>Whitetail Deer</x:v>
      </x:c>
      <x:c r="D81" s="4" t="str">
        <x:v>Lower Rio Grande Valley NWR - Teniente</x:v>
      </x:c>
      <x:c r="E81" s="4" t="str">
        <x:v>National Refuge Archery Deer</x:v>
      </x:c>
      <x:c r="F81" s="24" t="str">
        <x:v>2026-09-01</x:v>
      </x:c>
      <x:c r="G81" s="4" t="n">
        <x:v>700</x:v>
      </x:c>
      <x:c r="H81" s="4"/>
      <x:c r="I81" s="4"/>
      <x:c r="J81" s="4"/>
      <x:c r="K81" s="4" t="str">
        <x:v>Verified in TPWD 2026-2027 statewide deer category catalog. Refuge-specific rules and permit fees may apply.</x:v>
      </x:c>
      <x:c r="L81" s="4" t="str">
        <x:v>https://tpwd.texas.gov/huntwild/hunt/public/public_hunt_drawing/hunt-category-details.phtml?OCat=NAD</x:v>
      </x:c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  <x:c r="AA81" s="4"/>
      <x:c r="AB81" s="4"/>
      <x:c r="AC81" s="4"/>
      <x:c r="AD81" s="4"/>
      <x:c r="AE81" s="4"/>
    </x:row>
    <x:row r="82">
      <x:c r="A82" s="4" t="str">
        <x:v>No</x:v>
      </x:c>
      <x:c r="B82" s="4" t="str">
        <x:v>A</x:v>
      </x:c>
      <x:c r="C82" s="4" t="str">
        <x:v>Whitetail Deer</x:v>
      </x:c>
      <x:c r="D82" s="4" t="str">
        <x:v>Mad Island WMA</x:v>
      </x:c>
      <x:c r="E82" s="4" t="str">
        <x:v>E-Postcard Youth Archery Deer</x:v>
      </x:c>
      <x:c r="F82" s="24" t="str">
        <x:v>2026-09-01</x:v>
      </x:c>
      <x:c r="G82" s="4" t="n">
        <x:v>610</x:v>
      </x:c>
      <x:c r="H82" s="4"/>
      <x:c r="I82" s="4"/>
      <x:c r="J82" s="4"/>
      <x:c r="K82" s="4" t="str">
        <x:v>Verified in TPWD 2026-2027 statewide deer category catalog. APH/eligibility rules apply; confirm account and permit requirements.</x:v>
      </x:c>
      <x:c r="L82" s="4" t="str">
        <x:v>https://tpwd.texas.gov/huntwild/hunt/public/public_hunt_drawing/hunt-category-details.phtml?OCat=EYA</x:v>
      </x:c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  <x:c r="AA82" s="4"/>
      <x:c r="AB82" s="4"/>
      <x:c r="AC82" s="4"/>
      <x:c r="AD82" s="4"/>
      <x:c r="AE82" s="4"/>
    </x:row>
    <x:row r="83">
      <x:c r="A83" s="4" t="str">
        <x:v>No</x:v>
      </x:c>
      <x:c r="B83" s="4" t="str">
        <x:v>A</x:v>
      </x:c>
      <x:c r="C83" s="4" t="str">
        <x:v>Whitetail Deer</x:v>
      </x:c>
      <x:c r="D83" s="4" t="str">
        <x:v>Masterson State Forest</x:v>
      </x:c>
      <x:c r="E83" s="4" t="str">
        <x:v>Youth Gun Deer - Either Sex</x:v>
      </x:c>
      <x:c r="F83" s="24" t="str">
        <x:v>2026-09-01</x:v>
      </x:c>
      <x:c r="G83" s="4" t="n">
        <x:v>570</x:v>
      </x:c>
      <x:c r="H83" s="4"/>
      <x:c r="I83" s="4"/>
      <x:c r="J83" s="4"/>
      <x:c r="K83" s="4" t="str">
        <x:v>Verified in TPWD 2026-2027 statewide deer category catalog.</x:v>
      </x:c>
      <x:c r="L83" s="4" t="str">
        <x:v>https://tpwd.texas.gov/huntwild/hunt/public/public_hunt_drawing/hunt-category-details.phtml?OCat=YDE</x:v>
      </x:c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  <x:c r="AA83" s="4"/>
      <x:c r="AB83" s="4"/>
      <x:c r="AC83" s="4"/>
      <x:c r="AD83" s="4"/>
      <x:c r="AE83" s="4"/>
    </x:row>
    <x:row r="84">
      <x:c r="A84" s="4" t="str">
        <x:v>No</x:v>
      </x:c>
      <x:c r="B84" s="4" t="str">
        <x:v>A</x:v>
      </x:c>
      <x:c r="C84" s="4" t="str">
        <x:v>Whitetail Deer</x:v>
      </x:c>
      <x:c r="D84" s="4" t="str">
        <x:v>Matagorda Island WMA</x:v>
      </x:c>
      <x:c r="E84" s="4" t="str">
        <x:v>Youth Gun Deer - Either Sex</x:v>
      </x:c>
      <x:c r="F84" s="24" t="str">
        <x:v>2026-09-01</x:v>
      </x:c>
      <x:c r="G84" s="4" t="n">
        <x:v>610</x:v>
      </x:c>
      <x:c r="H84" s="4"/>
      <x:c r="I84" s="4"/>
      <x:c r="J84" s="4"/>
      <x:c r="K84" s="4" t="str">
        <x:v>Verified in TPWD 2026-2027 statewide deer category catalog.</x:v>
      </x:c>
      <x:c r="L84" s="4" t="str">
        <x:v>https://tpwd.texas.gov/huntwild/hunt/public/public_hunt_drawing/hunt-category-details.phtml?OCat=YDE</x:v>
      </x:c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  <x:c r="AA84" s="4"/>
      <x:c r="AB84" s="4"/>
      <x:c r="AC84" s="4"/>
      <x:c r="AD84" s="4"/>
      <x:c r="AE84" s="4"/>
    </x:row>
    <x:row r="85">
      <x:c r="A85" s="4" t="str">
        <x:v>No</x:v>
      </x:c>
      <x:c r="B85" s="4" t="str">
        <x:v>A</x:v>
      </x:c>
      <x:c r="C85" s="4" t="str">
        <x:v>Whitetail Deer</x:v>
      </x:c>
      <x:c r="D85" s="4" t="str">
        <x:v>Muleshoe NWR</x:v>
      </x:c>
      <x:c r="E85" s="4" t="str">
        <x:v>National Refuge Archery Deer</x:v>
      </x:c>
      <x:c r="F85" s="24" t="str">
        <x:v>2026-09-01</x:v>
      </x:c>
      <x:c r="G85" s="4" t="n">
        <x:v>130</x:v>
      </x:c>
      <x:c r="H85" s="4"/>
      <x:c r="I85" s="4"/>
      <x:c r="J85" s="4"/>
      <x:c r="K85" s="4" t="str">
        <x:v>Verified in TPWD 2026-2027 statewide deer category catalog. Refuge-specific rules and permit fees may apply.</x:v>
      </x:c>
      <x:c r="L85" s="4" t="str">
        <x:v>https://tpwd.texas.gov/huntwild/hunt/public/public_hunt_drawing/hunt-category-details.phtml?OCat=NAD</x:v>
      </x:c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  <x:c r="AA85" s="4"/>
      <x:c r="AB85" s="4"/>
      <x:c r="AC85" s="4"/>
      <x:c r="AD85" s="4"/>
      <x:c r="AE85" s="4"/>
    </x:row>
    <x:row r="86">
      <x:c r="A86" s="4" t="str">
        <x:v>No</x:v>
      </x:c>
      <x:c r="B86" s="4" t="str">
        <x:v>A</x:v>
      </x:c>
      <x:c r="C86" s="4" t="str">
        <x:v>Whitetail Deer</x:v>
      </x:c>
      <x:c r="D86" s="4" t="str">
        <x:v>Nannie Stringfellow WMA</x:v>
      </x:c>
      <x:c r="E86" s="4" t="str">
        <x:v>Youth Gun Deer - Either Sex</x:v>
      </x:c>
      <x:c r="F86" s="24" t="str">
        <x:v>2026-09-01</x:v>
      </x:c>
      <x:c r="G86" s="4" t="n">
        <x:v>610</x:v>
      </x:c>
      <x:c r="H86" s="4"/>
      <x:c r="I86" s="4"/>
      <x:c r="J86" s="4"/>
      <x:c r="K86" s="4" t="str">
        <x:v>Verified in TPWD 2026-2027 statewide deer category catalog.</x:v>
      </x:c>
      <x:c r="L86" s="4" t="str">
        <x:v>https://tpwd.texas.gov/huntwild/hunt/public/public_hunt_drawing/hunt-category-details.phtml?OCat=YDE</x:v>
      </x:c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  <x:c r="AA86" s="4"/>
      <x:c r="AB86" s="4"/>
      <x:c r="AC86" s="4"/>
      <x:c r="AD86" s="4"/>
      <x:c r="AE86" s="4"/>
    </x:row>
    <x:row r="87">
      <x:c r="A87" s="4" t="str">
        <x:v>No</x:v>
      </x:c>
      <x:c r="B87" s="4" t="str">
        <x:v>A</x:v>
      </x:c>
      <x:c r="C87" s="4" t="str">
        <x:v>Whitetail Deer</x:v>
      </x:c>
      <x:c r="D87" s="4" t="str">
        <x:v>Neches River NWR - Dead Water Unit</x:v>
      </x:c>
      <x:c r="E87" s="4" t="str">
        <x:v>National Refuge Archery Deer</x:v>
      </x:c>
      <x:c r="F87" s="24" t="str">
        <x:v>2026-09-01</x:v>
      </x:c>
      <x:c r="G87" s="4" t="n">
        <x:v>570</x:v>
      </x:c>
      <x:c r="H87" s="4"/>
      <x:c r="I87" s="4"/>
      <x:c r="J87" s="4"/>
      <x:c r="K87" s="4" t="str">
        <x:v>Verified in TPWD 2026-2027 statewide deer category catalog. Refuge-specific rules and permit fees may apply.</x:v>
      </x:c>
      <x:c r="L87" s="4" t="str">
        <x:v>https://tpwd.texas.gov/huntwild/hunt/public/public_hunt_drawing/hunt-category-details.phtml?OCat=NAD</x:v>
      </x:c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  <x:c r="AA87" s="4"/>
      <x:c r="AB87" s="4"/>
      <x:c r="AC87" s="4"/>
      <x:c r="AD87" s="4"/>
      <x:c r="AE87" s="4"/>
    </x:row>
    <x:row r="88">
      <x:c r="A88" s="4" t="str">
        <x:v>No</x:v>
      </x:c>
      <x:c r="B88" s="4" t="str">
        <x:v>A</x:v>
      </x:c>
      <x:c r="C88" s="4" t="str">
        <x:v>Whitetail Deer</x:v>
      </x:c>
      <x:c r="D88" s="4" t="str">
        <x:v>Neches River NWR - Rocky Point Unit</x:v>
      </x:c>
      <x:c r="E88" s="4" t="str">
        <x:v>National Refuge Archery Deer</x:v>
      </x:c>
      <x:c r="F88" s="24" t="str">
        <x:v>2026-09-01</x:v>
      </x:c>
      <x:c r="G88" s="4" t="n">
        <x:v>570</x:v>
      </x:c>
      <x:c r="H88" s="4"/>
      <x:c r="I88" s="4"/>
      <x:c r="J88" s="4"/>
      <x:c r="K88" s="4" t="str">
        <x:v>Verified in TPWD 2026-2027 statewide deer category catalog. Refuge-specific rules and permit fees may apply.</x:v>
      </x:c>
      <x:c r="L88" s="4" t="str">
        <x:v>https://tpwd.texas.gov/huntwild/hunt/public/public_hunt_drawing/hunt-category-details.phtml?OCat=NAD</x:v>
      </x:c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  <x:c r="AA88" s="4"/>
      <x:c r="AB88" s="4"/>
      <x:c r="AC88" s="4"/>
      <x:c r="AD88" s="4"/>
      <x:c r="AE88" s="4"/>
    </x:row>
    <x:row r="89">
      <x:c r="A89" s="4" t="str">
        <x:v>No</x:v>
      </x:c>
      <x:c r="B89" s="4" t="str">
        <x:v>A</x:v>
      </x:c>
      <x:c r="C89" s="4" t="str">
        <x:v>Whitetail Deer</x:v>
      </x:c>
      <x:c r="D89" s="4" t="str">
        <x:v>Neches River NWR - Sandy Bluff Unit</x:v>
      </x:c>
      <x:c r="E89" s="4" t="str">
        <x:v>National Refuge Archery Deer</x:v>
      </x:c>
      <x:c r="F89" s="24" t="str">
        <x:v>2026-09-01</x:v>
      </x:c>
      <x:c r="G89" s="4" t="n">
        <x:v>570</x:v>
      </x:c>
      <x:c r="H89" s="4"/>
      <x:c r="I89" s="4"/>
      <x:c r="J89" s="4"/>
      <x:c r="K89" s="4" t="str">
        <x:v>Verified in TPWD 2026-2027 statewide deer category catalog. Refuge-specific rules and permit fees may apply.</x:v>
      </x:c>
      <x:c r="L89" s="4" t="str">
        <x:v>https://tpwd.texas.gov/huntwild/hunt/public/public_hunt_drawing/hunt-category-details.phtml?OCat=NAD</x:v>
      </x:c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  <x:c r="AA89" s="4"/>
      <x:c r="AB89" s="4"/>
      <x:c r="AC89" s="4"/>
      <x:c r="AD89" s="4"/>
      <x:c r="AE89" s="4"/>
    </x:row>
    <x:row r="90">
      <x:c r="A90" s="4" t="str">
        <x:v>No</x:v>
      </x:c>
      <x:c r="B90" s="4" t="str">
        <x:v>A</x:v>
      </x:c>
      <x:c r="C90" s="4" t="str">
        <x:v>Whitetail Deer</x:v>
      </x:c>
      <x:c r="D90" s="4" t="str">
        <x:v>Neches River NWR - Walnut Branch Unit</x:v>
      </x:c>
      <x:c r="E90" s="4" t="str">
        <x:v>National Refuge Archery Deer</x:v>
      </x:c>
      <x:c r="F90" s="24" t="str">
        <x:v>2026-09-01</x:v>
      </x:c>
      <x:c r="G90" s="4" t="n">
        <x:v>570</x:v>
      </x:c>
      <x:c r="H90" s="4"/>
      <x:c r="I90" s="4"/>
      <x:c r="J90" s="4"/>
      <x:c r="K90" s="4" t="str">
        <x:v>Verified in TPWD 2026-2027 statewide deer category catalog. Refuge-specific rules and permit fees may apply.</x:v>
      </x:c>
      <x:c r="L90" s="4" t="str">
        <x:v>https://tpwd.texas.gov/huntwild/hunt/public/public_hunt_drawing/hunt-category-details.phtml?OCat=NAD</x:v>
      </x:c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  <x:c r="AA90" s="4"/>
      <x:c r="AB90" s="4"/>
      <x:c r="AC90" s="4"/>
      <x:c r="AD90" s="4"/>
      <x:c r="AE90" s="4"/>
    </x:row>
    <x:row r="91">
      <x:c r="A91" s="4" t="str">
        <x:v>No</x:v>
      </x:c>
      <x:c r="B91" s="4" t="str">
        <x:v>A</x:v>
      </x:c>
      <x:c r="C91" s="4" t="str">
        <x:v>Whitetail Deer</x:v>
      </x:c>
      <x:c r="D91" s="4" t="str">
        <x:v>Old Sabine Bottom WMA</x:v>
      </x:c>
      <x:c r="E91" s="4" t="str">
        <x:v>Youth Gun Deer - Either Sex</x:v>
      </x:c>
      <x:c r="F91" s="24" t="str">
        <x:v>2026-09-01</x:v>
      </x:c>
      <x:c r="G91" s="4" t="n">
        <x:v>570</x:v>
      </x:c>
      <x:c r="H91" s="4"/>
      <x:c r="I91" s="4"/>
      <x:c r="J91" s="4"/>
      <x:c r="K91" s="4" t="str">
        <x:v>Verified in TPWD 2026-2027 statewide deer category catalog.</x:v>
      </x:c>
      <x:c r="L91" s="4" t="str">
        <x:v>https://tpwd.texas.gov/huntwild/hunt/public/public_hunt_drawing/hunt-category-details.phtml?OCat=YDE</x:v>
      </x:c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  <x:c r="AA91" s="4"/>
      <x:c r="AB91" s="4"/>
      <x:c r="AC91" s="4"/>
      <x:c r="AD91" s="4"/>
      <x:c r="AE91" s="4"/>
    </x:row>
    <x:row r="92">
      <x:c r="A92" s="4" t="str">
        <x:v>No</x:v>
      </x:c>
      <x:c r="B92" s="4" t="str">
        <x:v>A</x:v>
      </x:c>
      <x:c r="C92" s="4" t="str">
        <x:v>Whitetail Deer</x:v>
      </x:c>
      <x:c r="D92" s="4" t="str">
        <x:v>Pecos County Ranch</x:v>
      </x:c>
      <x:c r="E92" s="4" t="str">
        <x:v>Private Lands - Either Sex</x:v>
      </x:c>
      <x:c r="F92" s="24" t="str">
        <x:v>2026-09-01</x:v>
      </x:c>
      <x:c r="G92" s="4" t="n">
        <x:v>520</x:v>
      </x:c>
      <x:c r="H92" s="4"/>
      <x:c r="I92" s="4"/>
      <x:c r="J92" s="4"/>
      <x:c r="K92" s="4" t="str">
        <x:v>Verified in TPWD 2026-2027 statewide deer category catalog. West Texas/El Paso-region opportunity; prioritize for mule deer adventure value.</x:v>
      </x:c>
      <x:c r="L92" s="4" t="str">
        <x:v>https://tpwd.texas.gov/huntwild/hunt/public/public_hunt_drawing/hunt-category-details.phtml?OCat=PLE</x:v>
      </x:c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  <x:c r="AA92" s="4"/>
      <x:c r="AB92" s="4"/>
      <x:c r="AC92" s="4"/>
      <x:c r="AD92" s="4"/>
      <x:c r="AE92" s="4"/>
    </x:row>
    <x:row r="93">
      <x:c r="A93" s="4" t="str">
        <x:v>No</x:v>
      </x:c>
      <x:c r="B93" s="4" t="str">
        <x:v>A</x:v>
      </x:c>
      <x:c r="C93" s="4" t="str">
        <x:v>Whitetail Deer</x:v>
      </x:c>
      <x:c r="D93" s="4" t="str">
        <x:v>Pedernales Falls SP</x:v>
      </x:c>
      <x:c r="E93" s="4" t="str">
        <x:v>Youth Gun Deer - Either Sex</x:v>
      </x:c>
      <x:c r="F93" s="24" t="str">
        <x:v>2026-09-01</x:v>
      </x:c>
      <x:c r="G93" s="4" t="n">
        <x:v>520</x:v>
      </x:c>
      <x:c r="H93" s="4"/>
      <x:c r="I93" s="4"/>
      <x:c r="J93" s="4"/>
      <x:c r="K93" s="4" t="str">
        <x:v>Verified in TPWD 2026-2027 statewide deer category catalog.</x:v>
      </x:c>
      <x:c r="L93" s="4" t="str">
        <x:v>https://tpwd.texas.gov/huntwild/hunt/public/public_hunt_drawing/hunt-category-details.phtml?OCat=YDE</x:v>
      </x:c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  <x:c r="AA93" s="4"/>
      <x:c r="AB93" s="4"/>
      <x:c r="AC93" s="4"/>
      <x:c r="AD93" s="4"/>
      <x:c r="AE93" s="4"/>
    </x:row>
    <x:row r="94">
      <x:c r="A94" s="4" t="str">
        <x:v>No</x:v>
      </x:c>
      <x:c r="B94" s="4" t="str">
        <x:v>A</x:v>
      </x:c>
      <x:c r="C94" s="4" t="str">
        <x:v>Whitetail Deer</x:v>
      </x:c>
      <x:c r="D94" s="4" t="str">
        <x:v>Post Oak Ridge State Park</x:v>
      </x:c>
      <x:c r="E94" s="4" t="str">
        <x:v>Youth Gun Deer - Either Sex</x:v>
      </x:c>
      <x:c r="F94" s="24" t="str">
        <x:v>2026-09-01</x:v>
      </x:c>
      <x:c r="G94" s="4" t="n">
        <x:v>500</x:v>
      </x:c>
      <x:c r="H94" s="4"/>
      <x:c r="I94" s="4"/>
      <x:c r="J94" s="4"/>
      <x:c r="K94" s="4" t="str">
        <x:v>Verified in TPWD 2026-2027 statewide deer category catalog.</x:v>
      </x:c>
      <x:c r="L94" s="4" t="str">
        <x:v>https://tpwd.texas.gov/huntwild/hunt/public/public_hunt_drawing/hunt-category-details.phtml?OCat=YDE</x:v>
      </x:c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  <x:c r="AA94" s="4"/>
      <x:c r="AB94" s="4"/>
      <x:c r="AC94" s="4"/>
      <x:c r="AD94" s="4"/>
      <x:c r="AE94" s="4"/>
    </x:row>
    <x:row r="95">
      <x:c r="A95" s="4" t="str">
        <x:v>No</x:v>
      </x:c>
      <x:c r="B95" s="4" t="str">
        <x:v>A</x:v>
      </x:c>
      <x:c r="C95" s="4" t="str">
        <x:v>Whitetail Deer</x:v>
      </x:c>
      <x:c r="D95" s="4" t="str">
        <x:v>Powderhorn State Park</x:v>
      </x:c>
      <x:c r="E95" s="4" t="str">
        <x:v>Youth Gun Deer - Either Sex</x:v>
      </x:c>
      <x:c r="F95" s="24" t="str">
        <x:v>2026-09-01</x:v>
      </x:c>
      <x:c r="G95" s="4" t="n">
        <x:v>610</x:v>
      </x:c>
      <x:c r="H95" s="4"/>
      <x:c r="I95" s="4"/>
      <x:c r="J95" s="4"/>
      <x:c r="K95" s="4" t="str">
        <x:v>Verified in TPWD 2026-2027 statewide deer category catalog.</x:v>
      </x:c>
      <x:c r="L95" s="4" t="str">
        <x:v>https://tpwd.texas.gov/huntwild/hunt/public/public_hunt_drawing/hunt-category-details.phtml?OCat=YDE</x:v>
      </x:c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</x:row>
    <x:row r="96">
      <x:c r="A96" s="4" t="str">
        <x:v>No</x:v>
      </x:c>
      <x:c r="B96" s="4" t="str">
        <x:v>A</x:v>
      </x:c>
      <x:c r="C96" s="4" t="str">
        <x:v>Whitetail Deer</x:v>
      </x:c>
      <x:c r="D96" s="4" t="str">
        <x:v>Powderhorn WMA</x:v>
      </x:c>
      <x:c r="E96" s="4" t="str">
        <x:v>Youth Gun Deer - Either Sex</x:v>
      </x:c>
      <x:c r="F96" s="24" t="str">
        <x:v>2026-09-01</x:v>
      </x:c>
      <x:c r="G96" s="4" t="n">
        <x:v>610</x:v>
      </x:c>
      <x:c r="H96" s="4"/>
      <x:c r="I96" s="4"/>
      <x:c r="J96" s="4"/>
      <x:c r="K96" s="4" t="str">
        <x:v>Verified in TPWD 2026-2027 statewide deer category catalog.</x:v>
      </x:c>
      <x:c r="L96" s="4" t="str">
        <x:v>https://tpwd.texas.gov/huntwild/hunt/public/public_hunt_drawing/hunt-category-details.phtml?OCat=YDE</x:v>
      </x:c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  <x:c r="AA96" s="4"/>
      <x:c r="AB96" s="4"/>
      <x:c r="AC96" s="4"/>
      <x:c r="AD96" s="4"/>
      <x:c r="AE96" s="4"/>
    </x:row>
    <x:row r="97">
      <x:c r="A97" s="4" t="str">
        <x:v>No</x:v>
      </x:c>
      <x:c r="B97" s="4" t="str">
        <x:v>A</x:v>
      </x:c>
      <x:c r="C97" s="4" t="str">
        <x:v>Whitetail Deer</x:v>
      </x:c>
      <x:c r="D97" s="4" t="str">
        <x:v>Richland Creek WMA - Carl Frentress Unit</x:v>
      </x:c>
      <x:c r="E97" s="4" t="str">
        <x:v>Youth Gun Deer - Either Sex</x:v>
      </x:c>
      <x:c r="F97" s="24" t="str">
        <x:v>2026-09-01</x:v>
      </x:c>
      <x:c r="G97" s="4" t="n">
        <x:v>500</x:v>
      </x:c>
      <x:c r="H97" s="4"/>
      <x:c r="I97" s="4"/>
      <x:c r="J97" s="4"/>
      <x:c r="K97" s="4" t="str">
        <x:v>Verified in TPWD 2026-2027 statewide deer category catalog.</x:v>
      </x:c>
      <x:c r="L97" s="4" t="str">
        <x:v>https://tpwd.texas.gov/huntwild/hunt/public/public_hunt_drawing/hunt-category-details.phtml?OCat=YDE</x:v>
      </x:c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  <x:c r="AA97" s="4"/>
      <x:c r="AB97" s="4"/>
      <x:c r="AC97" s="4"/>
      <x:c r="AD97" s="4"/>
      <x:c r="AE97" s="4"/>
    </x:row>
    <x:row r="98">
      <x:c r="A98" s="4" t="str">
        <x:v>No</x:v>
      </x:c>
      <x:c r="B98" s="4" t="str">
        <x:v>A</x:v>
      </x:c>
      <x:c r="C98" s="4" t="str">
        <x:v>Whitetail Deer</x:v>
      </x:c>
      <x:c r="D98" s="4" t="str">
        <x:v>Richland Creek WMA - South Unit</x:v>
      </x:c>
      <x:c r="E98" s="4" t="str">
        <x:v>Youth Gun Deer - Either Sex</x:v>
      </x:c>
      <x:c r="F98" s="24" t="str">
        <x:v>2026-09-01</x:v>
      </x:c>
      <x:c r="G98" s="4" t="n">
        <x:v>500</x:v>
      </x:c>
      <x:c r="H98" s="4"/>
      <x:c r="I98" s="4"/>
      <x:c r="J98" s="4"/>
      <x:c r="K98" s="4" t="str">
        <x:v>Verified in TPWD 2026-2027 statewide deer category catalog.</x:v>
      </x:c>
      <x:c r="L98" s="4" t="str">
        <x:v>https://tpwd.texas.gov/huntwild/hunt/public/public_hunt_drawing/hunt-category-details.phtml?OCat=YDE</x:v>
      </x:c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  <x:c r="AA98" s="4"/>
      <x:c r="AB98" s="4"/>
      <x:c r="AC98" s="4"/>
      <x:c r="AD98" s="4"/>
      <x:c r="AE98" s="4"/>
    </x:row>
    <x:row r="99">
      <x:c r="A99" s="4" t="str">
        <x:v>No</x:v>
      </x:c>
      <x:c r="B99" s="4" t="str">
        <x:v>A</x:v>
      </x:c>
      <x:c r="C99" s="4" t="str">
        <x:v>Whitetail Deer</x:v>
      </x:c>
      <x:c r="D99" s="4" t="str">
        <x:v>San Angelo SP</x:v>
      </x:c>
      <x:c r="E99" s="4" t="str">
        <x:v>Youth Gun Deer - Either Sex</x:v>
      </x:c>
      <x:c r="F99" s="24" t="str">
        <x:v>2026-09-01</x:v>
      </x:c>
      <x:c r="G99" s="4" t="n">
        <x:v>300</x:v>
      </x:c>
      <x:c r="H99" s="4"/>
      <x:c r="I99" s="4"/>
      <x:c r="J99" s="4"/>
      <x:c r="K99" s="4" t="str">
        <x:v>Verified in TPWD 2026-2027 statewide deer category catalog.</x:v>
      </x:c>
      <x:c r="L99" s="4" t="str">
        <x:v>https://tpwd.texas.gov/huntwild/hunt/public/public_hunt_drawing/hunt-category-details.phtml?OCat=YDE</x:v>
      </x:c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  <x:c r="AA99" s="4"/>
      <x:c r="AB99" s="4"/>
      <x:c r="AC99" s="4"/>
      <x:c r="AD99" s="4"/>
      <x:c r="AE99" s="4"/>
    </x:row>
    <x:row r="100">
      <x:c r="A100" s="4" t="str">
        <x:v>No</x:v>
      </x:c>
      <x:c r="B100" s="4" t="str">
        <x:v>A</x:v>
      </x:c>
      <x:c r="C100" s="4" t="str">
        <x:v>Whitetail Deer</x:v>
      </x:c>
      <x:c r="D100" s="4" t="str">
        <x:v>South Llano River SP</x:v>
      </x:c>
      <x:c r="E100" s="4" t="str">
        <x:v>Youth Gun Deer - Either Sex</x:v>
      </x:c>
      <x:c r="F100" s="24" t="str">
        <x:v>2026-09-01</x:v>
      </x:c>
      <x:c r="G100" s="4" t="n">
        <x:v>520</x:v>
      </x:c>
      <x:c r="H100" s="4"/>
      <x:c r="I100" s="4"/>
      <x:c r="J100" s="4"/>
      <x:c r="K100" s="4" t="str">
        <x:v>Verified in TPWD 2026-2027 statewide deer category catalog.</x:v>
      </x:c>
      <x:c r="L100" s="4" t="str">
        <x:v>https://tpwd.texas.gov/huntwild/hunt/public/public_hunt_drawing/hunt-category-details.phtml?OCat=YDE</x:v>
      </x:c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  <x:c r="AA100" s="4"/>
      <x:c r="AB100" s="4"/>
      <x:c r="AC100" s="4"/>
      <x:c r="AD100" s="4"/>
      <x:c r="AE100" s="4"/>
    </x:row>
    <x:row r="101">
      <x:c r="A101" s="4" t="str">
        <x:v>No</x:v>
      </x:c>
      <x:c r="B101" s="4" t="str">
        <x:v>A</x:v>
      </x:c>
      <x:c r="C101" s="4" t="str">
        <x:v>Whitetail Deer</x:v>
      </x:c>
      <x:c r="D101" s="4" t="str">
        <x:v>Taylor Lakes, Playa Lakes WMA</x:v>
      </x:c>
      <x:c r="E101" s="4" t="str">
        <x:v>Youth Gun Deer - Either Sex</x:v>
      </x:c>
      <x:c r="F101" s="24" t="str">
        <x:v>2026-09-01</x:v>
      </x:c>
      <x:c r="G101" s="4" t="n">
        <x:v>130</x:v>
      </x:c>
      <x:c r="H101" s="4"/>
      <x:c r="I101" s="4"/>
      <x:c r="J101" s="4"/>
      <x:c r="K101" s="4" t="str">
        <x:v>Verified in TPWD 2026-2027 statewide deer category catalog.</x:v>
      </x:c>
      <x:c r="L101" s="4" t="str">
        <x:v>https://tpwd.texas.gov/huntwild/hunt/public/public_hunt_drawing/hunt-category-details.phtml?OCat=YDE</x:v>
      </x:c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  <x:c r="AA101" s="4"/>
      <x:c r="AB101" s="4"/>
      <x:c r="AC101" s="4"/>
      <x:c r="AD101" s="4"/>
      <x:c r="AE101" s="4"/>
    </x:row>
    <x:row r="102">
      <x:c r="A102" s="4" t="str">
        <x:v>No</x:v>
      </x:c>
      <x:c r="B102" s="4" t="str">
        <x:v>A</x:v>
      </x:c>
      <x:c r="C102" s="4" t="str">
        <x:v>Whitetail Deer</x:v>
      </x:c>
      <x:c r="D102" s="4" t="str">
        <x:v>Travis County Ranch</x:v>
      </x:c>
      <x:c r="E102" s="4" t="str">
        <x:v>Private Lands - Antlerless/Spike</x:v>
      </x:c>
      <x:c r="F102" s="24" t="str">
        <x:v>2026-09-01</x:v>
      </x:c>
      <x:c r="G102" s="4" t="n">
        <x:v>490</x:v>
      </x:c>
      <x:c r="H102" s="4"/>
      <x:c r="I102" s="4"/>
      <x:c r="J102" s="4"/>
      <x:c r="K102" s="4" t="str">
        <x:v>Verified in TPWD 2026-2027 statewide deer category catalog.</x:v>
      </x:c>
      <x:c r="L102" s="4" t="str">
        <x:v>https://tpwd.texas.gov/huntwild/hunt/public/public_hunt_drawing/hunt-category-details.phtml?OCat=PLA</x:v>
      </x:c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  <x:c r="AA102" s="4"/>
      <x:c r="AB102" s="4"/>
      <x:c r="AC102" s="4"/>
      <x:c r="AD102" s="4"/>
      <x:c r="AE102" s="4"/>
    </x:row>
    <x:row r="103">
      <x:c r="A103" s="4" t="str">
        <x:v>No</x:v>
      </x:c>
      <x:c r="B103" s="4" t="str">
        <x:v>A</x:v>
      </x:c>
      <x:c r="C103" s="4" t="str">
        <x:v>Whitetail Deer</x:v>
      </x:c>
      <x:c r="D103" s="4" t="str">
        <x:v>Travis County Ranch</x:v>
      </x:c>
      <x:c r="E103" s="4" t="str">
        <x:v>Private Lands - Either Sex</x:v>
      </x:c>
      <x:c r="F103" s="24" t="str">
        <x:v>2026-09-01</x:v>
      </x:c>
      <x:c r="G103" s="4" t="n">
        <x:v>490</x:v>
      </x:c>
      <x:c r="H103" s="4"/>
      <x:c r="I103" s="4"/>
      <x:c r="J103" s="4"/>
      <x:c r="K103" s="4" t="str">
        <x:v>Verified in TPWD 2026-2027 statewide deer category catalog.</x:v>
      </x:c>
      <x:c r="L103" s="4" t="str">
        <x:v>https://tpwd.texas.gov/huntwild/hunt/public/public_hunt_drawing/hunt-category-details.phtml?OCat=PLE</x:v>
      </x:c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  <x:c r="AA103" s="4"/>
      <x:c r="AB103" s="4"/>
      <x:c r="AC103" s="4"/>
      <x:c r="AD103" s="4"/>
      <x:c r="AE103" s="4"/>
    </x:row>
    <x:row r="104">
      <x:c r="A104" s="4" t="str">
        <x:v>No</x:v>
      </x:c>
      <x:c r="B104" s="4" t="str">
        <x:v>A</x:v>
      </x:c>
      <x:c r="C104" s="4" t="str">
        <x:v>Whitetail Deer</x:v>
      </x:c>
      <x:c r="D104" s="4" t="str">
        <x:v>Trinity River NWR - Brierwood</x:v>
      </x:c>
      <x:c r="E104" s="4" t="str">
        <x:v>National Refuge Archery Deer</x:v>
      </x:c>
      <x:c r="F104" s="24" t="str">
        <x:v>2026-09-01</x:v>
      </x:c>
      <x:c r="G104" s="4" t="n">
        <x:v>570</x:v>
      </x:c>
      <x:c r="H104" s="4"/>
      <x:c r="I104" s="4"/>
      <x:c r="J104" s="4"/>
      <x:c r="K104" s="4" t="str">
        <x:v>Verified in TPWD 2026-2027 statewide deer category catalog. Refuge-specific rules and permit fees may apply.</x:v>
      </x:c>
      <x:c r="L104" s="4" t="str">
        <x:v>https://tpwd.texas.gov/huntwild/hunt/public/public_hunt_drawing/hunt-category-details.phtml?OCat=NAD</x:v>
      </x:c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  <x:c r="AA104" s="4"/>
      <x:c r="AB104" s="4"/>
      <x:c r="AC104" s="4"/>
      <x:c r="AD104" s="4"/>
      <x:c r="AE104" s="4"/>
    </x:row>
    <x:row r="105">
      <x:c r="A105" s="4" t="str">
        <x:v>No</x:v>
      </x:c>
      <x:c r="B105" s="4" t="str">
        <x:v>A</x:v>
      </x:c>
      <x:c r="C105" s="4" t="str">
        <x:v>Whitetail Deer</x:v>
      </x:c>
      <x:c r="D105" s="4" t="str">
        <x:v>Trinity River NWR - Hirsch</x:v>
      </x:c>
      <x:c r="E105" s="4" t="str">
        <x:v>National Refuge Archery Deer</x:v>
      </x:c>
      <x:c r="F105" s="24" t="str">
        <x:v>2026-09-01</x:v>
      </x:c>
      <x:c r="G105" s="4" t="n">
        <x:v>570</x:v>
      </x:c>
      <x:c r="H105" s="4"/>
      <x:c r="I105" s="4"/>
      <x:c r="J105" s="4"/>
      <x:c r="K105" s="4" t="str">
        <x:v>Verified in TPWD 2026-2027 statewide deer category catalog. Refuge-specific rules and permit fees may apply.</x:v>
      </x:c>
      <x:c r="L105" s="4" t="str">
        <x:v>https://tpwd.texas.gov/huntwild/hunt/public/public_hunt_drawing/hunt-category-details.phtml?OCat=NAD</x:v>
      </x:c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  <x:c r="AA105" s="4"/>
      <x:c r="AB105" s="4"/>
      <x:c r="AC105" s="4"/>
      <x:c r="AD105" s="4"/>
      <x:c r="AE105" s="4"/>
    </x:row>
    <x:row r="106">
      <x:c r="A106" s="4" t="str">
        <x:v>No</x:v>
      </x:c>
      <x:c r="B106" s="4" t="str">
        <x:v>A</x:v>
      </x:c>
      <x:c r="C106" s="4" t="str">
        <x:v>Whitetail Deer</x:v>
      </x:c>
      <x:c r="D106" s="4" t="str">
        <x:v>Trinity River WMA</x:v>
      </x:c>
      <x:c r="E106" s="4" t="str">
        <x:v>Youth Gun Deer - Either Sex</x:v>
      </x:c>
      <x:c r="F106" s="24" t="str">
        <x:v>2026-09-01</x:v>
      </x:c>
      <x:c r="G106" s="4" t="n">
        <x:v>570</x:v>
      </x:c>
      <x:c r="H106" s="4"/>
      <x:c r="I106" s="4"/>
      <x:c r="J106" s="4"/>
      <x:c r="K106" s="4" t="str">
        <x:v>Verified in TPWD 2026-2027 statewide deer category catalog.</x:v>
      </x:c>
      <x:c r="L106" s="4" t="str">
        <x:v>https://tpwd.texas.gov/huntwild/hunt/public/public_hunt_drawing/hunt-category-details.phtml?OCat=YDE</x:v>
      </x:c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  <x:c r="AA106" s="4"/>
      <x:c r="AB106" s="4"/>
      <x:c r="AC106" s="4"/>
      <x:c r="AD106" s="4"/>
      <x:c r="AE106" s="4"/>
    </x:row>
    <x:row r="107">
      <x:c r="A107" s="4" t="str">
        <x:v>No</x:v>
      </x:c>
      <x:c r="B107" s="4" t="str">
        <x:v>A</x:v>
      </x:c>
      <x:c r="C107" s="4" t="str">
        <x:v>Whitetail Deer</x:v>
      </x:c>
      <x:c r="D107" s="4" t="str">
        <x:v>Village Creek SP</x:v>
      </x:c>
      <x:c r="E107" s="4" t="str">
        <x:v>Youth Gun Deer - Either Sex</x:v>
      </x:c>
      <x:c r="F107" s="24" t="str">
        <x:v>2026-09-01</x:v>
      </x:c>
      <x:c r="G107" s="4" t="n">
        <x:v>570</x:v>
      </x:c>
      <x:c r="H107" s="4"/>
      <x:c r="I107" s="4"/>
      <x:c r="J107" s="4"/>
      <x:c r="K107" s="4" t="str">
        <x:v>Verified in TPWD 2026-2027 statewide deer category catalog.</x:v>
      </x:c>
      <x:c r="L107" s="4" t="str">
        <x:v>https://tpwd.texas.gov/huntwild/hunt/public/public_hunt_drawing/hunt-category-details.phtml?OCat=YDE</x:v>
      </x:c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  <x:c r="AA107" s="4"/>
      <x:c r="AB107" s="4"/>
      <x:c r="AC107" s="4"/>
      <x:c r="AD107" s="4"/>
      <x:c r="AE107" s="4"/>
    </x:row>
    <x:row r="108">
      <x:c r="A108" s="4" t="str">
        <x:v>No</x:v>
      </x:c>
      <x:c r="B108" s="4" t="str">
        <x:v>A</x:v>
      </x:c>
      <x:c r="C108" s="4" t="str">
        <x:v>Whitetail Deer</x:v>
      </x:c>
      <x:c r="D108" s="4" t="str">
        <x:v>White Oak Creek WMA</x:v>
      </x:c>
      <x:c r="E108" s="4" t="str">
        <x:v>Youth Gun Deer - Either Sex</x:v>
      </x:c>
      <x:c r="F108" s="24" t="str">
        <x:v>2026-09-01</x:v>
      </x:c>
      <x:c r="G108" s="4" t="n">
        <x:v>570</x:v>
      </x:c>
      <x:c r="H108" s="4"/>
      <x:c r="I108" s="4"/>
      <x:c r="J108" s="4"/>
      <x:c r="K108" s="4" t="str">
        <x:v>Verified in TPWD 2026-2027 statewide deer category catalog.</x:v>
      </x:c>
      <x:c r="L108" s="4" t="str">
        <x:v>https://tpwd.texas.gov/huntwild/hunt/public/public_hunt_drawing/hunt-category-details.phtml?OCat=YDE</x:v>
      </x:c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  <x:c r="AA108" s="4"/>
      <x:c r="AB108" s="4"/>
      <x:c r="AC108" s="4"/>
      <x:c r="AD108" s="4"/>
      <x:c r="AE108" s="4"/>
    </x:row>
    <x:row r="109">
      <x:c r="A109" s="4" t="str">
        <x:v>No</x:v>
      </x:c>
      <x:c r="B109" s="4" t="str">
        <x:v>A</x:v>
      </x:c>
      <x:c r="C109" s="4" t="str">
        <x:v>Mule Deer</x:v>
      </x:c>
      <x:c r="D109" s="4" t="str">
        <x:v>Elephant Mountain WMA</x:v>
      </x:c>
      <x:c r="E109" s="4" t="str">
        <x:v>Youth Gun Deer - Management</x:v>
      </x:c>
      <x:c r="F109" s="24" t="str">
        <x:v>2026-09-15</x:v>
      </x:c>
      <x:c r="G109" s="4" t="n">
        <x:v>520</x:v>
      </x:c>
      <x:c r="H109" s="4"/>
      <x:c r="I109" s="4"/>
      <x:c r="J109" s="4"/>
      <x:c r="K109" s="4" t="str">
        <x:v>Verified in TPWD 2026-2027 statewide deer category catalog. West Texas/El Paso-region opportunity; prioritize for mule deer adventure value.</x:v>
      </x:c>
      <x:c r="L109" s="4" t="str">
        <x:v>https://tpwd.texas.gov/huntwild/hunt/public/public_hunt_drawing/hunt-category-details.phtml?OCat=YDM</x:v>
      </x:c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  <x:c r="AA109" s="4"/>
      <x:c r="AB109" s="4"/>
      <x:c r="AC109" s="4"/>
      <x:c r="AD109" s="4"/>
      <x:c r="AE109" s="4"/>
    </x:row>
    <x:row r="110">
      <x:c r="A110" s="4" t="str">
        <x:v>No</x:v>
      </x:c>
      <x:c r="B110" s="4" t="str">
        <x:v>A</x:v>
      </x:c>
      <x:c r="C110" s="4" t="str">
        <x:v>Mule Deer</x:v>
      </x:c>
      <x:c r="D110" s="4" t="str">
        <x:v>Sierra Diablo WMA</x:v>
      </x:c>
      <x:c r="E110" s="4" t="str">
        <x:v>Youth Gun Deer - Management</x:v>
      </x:c>
      <x:c r="F110" s="24" t="str">
        <x:v>2026-09-15</x:v>
      </x:c>
      <x:c r="G110" s="4" t="n">
        <x:v>520</x:v>
      </x:c>
      <x:c r="H110" s="4"/>
      <x:c r="I110" s="4"/>
      <x:c r="J110" s="4"/>
      <x:c r="K110" s="4" t="str">
        <x:v>Verified in TPWD 2026-2027 statewide deer category catalog. West Texas/El Paso-region opportunity; prioritize for mule deer adventure value.</x:v>
      </x:c>
      <x:c r="L110" s="4" t="str">
        <x:v>https://tpwd.texas.gov/huntwild/hunt/public/public_hunt_drawing/hunt-category-details.phtml?OCat=YDM</x:v>
      </x:c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  <x:c r="AA110" s="4"/>
      <x:c r="AB110" s="4"/>
      <x:c r="AC110" s="4"/>
      <x:c r="AD110" s="4"/>
      <x:c r="AE110" s="4"/>
    </x:row>
    <x:row r="111">
      <x:c r="A111" s="4" t="str">
        <x:v>No</x:v>
      </x:c>
      <x:c r="B111" s="4" t="str">
        <x:v>A</x:v>
      </x:c>
      <x:c r="C111" s="4" t="str">
        <x:v>Mule Deer</x:v>
      </x:c>
      <x:c r="D111" s="4" t="str">
        <x:v>Yoakum Dunes WMA</x:v>
      </x:c>
      <x:c r="E111" s="4" t="str">
        <x:v>Youth Gun Deer - Management</x:v>
      </x:c>
      <x:c r="F111" s="24" t="str">
        <x:v>2026-09-15</x:v>
      </x:c>
      <x:c r="G111" s="4" t="n">
        <x:v>130</x:v>
      </x:c>
      <x:c r="H111" s="4"/>
      <x:c r="I111" s="4"/>
      <x:c r="J111" s="4"/>
      <x:c r="K111" s="4" t="str">
        <x:v>Verified in TPWD 2026-2027 statewide deer category catalog.</x:v>
      </x:c>
      <x:c r="L111" s="4" t="str">
        <x:v>https://tpwd.texas.gov/huntwild/hunt/public/public_hunt_drawing/hunt-category-details.phtml?OCat=YDM</x:v>
      </x:c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  <x:c r="AA111" s="4"/>
      <x:c r="AB111" s="4"/>
      <x:c r="AC111" s="4"/>
      <x:c r="AD111" s="4"/>
      <x:c r="AE111" s="4"/>
    </x:row>
    <x:row r="112">
      <x:c r="A112" s="4" t="str">
        <x:v>No</x:v>
      </x:c>
      <x:c r="B112" s="4" t="str">
        <x:v>A</x:v>
      </x:c>
      <x:c r="C112" s="4" t="str">
        <x:v>Whitetail Deer</x:v>
      </x:c>
      <x:c r="D112" s="4" t="str">
        <x:v>Abilene SP</x:v>
      </x:c>
      <x:c r="E112" s="4" t="str">
        <x:v>Gun Deer - Either Sex</x:v>
      </x:c>
      <x:c r="F112" s="24" t="str">
        <x:v>2026-09-15</x:v>
      </x:c>
      <x:c r="G112" s="4" t="n">
        <x:v>300</x:v>
      </x:c>
      <x:c r="H112" s="4"/>
      <x:c r="I112" s="4"/>
      <x:c r="J112" s="4"/>
      <x:c r="K112" s="4" t="str">
        <x:v>Verified in TPWD 2026-2027 statewide deer category catalog.</x:v>
      </x:c>
      <x:c r="L112" s="4" t="str">
        <x:v>https://tpwd.texas.gov/huntwild/hunt/public/public_hunt_drawing/hunt-category-details.phtml?OCat=GDE</x:v>
      </x:c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  <x:c r="AA112" s="4"/>
      <x:c r="AB112" s="4"/>
      <x:c r="AC112" s="4"/>
      <x:c r="AD112" s="4"/>
      <x:c r="AE112" s="4"/>
    </x:row>
    <x:row r="113">
      <x:c r="A113" s="4" t="str">
        <x:v>No</x:v>
      </x:c>
      <x:c r="B113" s="4" t="str">
        <x:v>A</x:v>
      </x:c>
      <x:c r="C113" s="4" t="str">
        <x:v>Whitetail Deer</x:v>
      </x:c>
      <x:c r="D113" s="4" t="str">
        <x:v>Alabama Creek WMA</x:v>
      </x:c>
      <x:c r="E113" s="4" t="str">
        <x:v>USFS Antlerless Deer Permit - Youth</x:v>
      </x:c>
      <x:c r="F113" s="24" t="str">
        <x:v>2026-09-15</x:v>
      </x:c>
      <x:c r="G113" s="4" t="n">
        <x:v>570</x:v>
      </x:c>
      <x:c r="H113" s="4"/>
      <x:c r="I113" s="4"/>
      <x:c r="J113" s="4"/>
      <x:c r="K113" s="4" t="str">
        <x:v>Verified in TPWD 2026-2027 statewide deer category catalog. APH/eligibility rules apply; confirm account and permit requirements.</x:v>
      </x:c>
      <x:c r="L113" s="4" t="str">
        <x:v>https://tpwd.texas.gov/huntwild/hunt/public/public_hunt_drawing/hunt-category-details.phtml?OCat=FSY</x:v>
      </x:c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  <x:c r="AA113" s="4"/>
      <x:c r="AB113" s="4"/>
      <x:c r="AC113" s="4"/>
      <x:c r="AD113" s="4"/>
      <x:c r="AE113" s="4"/>
    </x:row>
    <x:row r="114">
      <x:c r="A114" s="4" t="str">
        <x:v>No</x:v>
      </x:c>
      <x:c r="B114" s="4" t="str">
        <x:v>A</x:v>
      </x:c>
      <x:c r="C114" s="4" t="str">
        <x:v>Whitetail Deer</x:v>
      </x:c>
      <x:c r="D114" s="4" t="str">
        <x:v>Alabama Creek WMA</x:v>
      </x:c>
      <x:c r="E114" s="4" t="str">
        <x:v>USFS Buck Deer Permit - Youth</x:v>
      </x:c>
      <x:c r="F114" s="24" t="str">
        <x:v>2026-09-15</x:v>
      </x:c>
      <x:c r="G114" s="4" t="n">
        <x:v>570</x:v>
      </x:c>
      <x:c r="H114" s="4"/>
      <x:c r="I114" s="4"/>
      <x:c r="J114" s="4"/>
      <x:c r="K114" s="4" t="str">
        <x:v>Verified in TPWD 2026-2027 statewide deer category catalog. APH/eligibility rules apply; confirm account and permit requirements.</x:v>
      </x:c>
      <x:c r="L114" s="4" t="str">
        <x:v>https://tpwd.texas.gov/huntwild/hunt/public/public_hunt_drawing/hunt-category-details.phtml?OCat=FBY</x:v>
      </x:c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  <x:c r="AA114" s="4"/>
      <x:c r="AB114" s="4"/>
      <x:c r="AC114" s="4"/>
      <x:c r="AD114" s="4"/>
      <x:c r="AE114" s="4"/>
    </x:row>
    <x:row r="115">
      <x:c r="A115" s="4" t="str">
        <x:v>No</x:v>
      </x:c>
      <x:c r="B115" s="4" t="str">
        <x:v>A</x:v>
      </x:c>
      <x:c r="C115" s="4" t="str">
        <x:v>Whitetail Deer</x:v>
      </x:c>
      <x:c r="D115" s="4" t="str">
        <x:v>Alazan Bayou WMA</x:v>
      </x:c>
      <x:c r="E115" s="4" t="str">
        <x:v>Gun Deer - Either Sex</x:v>
      </x:c>
      <x:c r="F115" s="24" t="str">
        <x:v>2026-09-15</x:v>
      </x:c>
      <x:c r="G115" s="4" t="n">
        <x:v>570</x:v>
      </x:c>
      <x:c r="H115" s="4"/>
      <x:c r="I115" s="4"/>
      <x:c r="J115" s="4"/>
      <x:c r="K115" s="4" t="str">
        <x:v>Verified in TPWD 2026-2027 statewide deer category catalog.</x:v>
      </x:c>
      <x:c r="L115" s="4" t="str">
        <x:v>https://tpwd.texas.gov/huntwild/hunt/public/public_hunt_drawing/hunt-category-details.phtml?OCat=GDE</x:v>
      </x:c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  <x:c r="AA115" s="4"/>
      <x:c r="AB115" s="4"/>
      <x:c r="AC115" s="4"/>
      <x:c r="AD115" s="4"/>
      <x:c r="AE115" s="4"/>
    </x:row>
    <x:row r="116">
      <x:c r="A116" s="4" t="str">
        <x:v>No</x:v>
      </x:c>
      <x:c r="B116" s="4" t="str">
        <x:v>A</x:v>
      </x:c>
      <x:c r="C116" s="4" t="str">
        <x:v>Whitetail Deer</x:v>
      </x:c>
      <x:c r="D116" s="4" t="str">
        <x:v>Aransas NWR</x:v>
      </x:c>
      <x:c r="E116" s="4" t="str">
        <x:v>National Refuge General Deer</x:v>
      </x:c>
      <x:c r="F116" s="24" t="str">
        <x:v>2026-09-15</x:v>
      </x:c>
      <x:c r="G116" s="4" t="n">
        <x:v>610</x:v>
      </x:c>
      <x:c r="H116" s="4"/>
      <x:c r="I116" s="4"/>
      <x:c r="J116" s="4"/>
      <x:c r="K116" s="4" t="str">
        <x:v>Verified in TPWD 2026-2027 statewide deer category catalog. Refuge-specific rules and permit fees may apply.</x:v>
      </x:c>
      <x:c r="L116" s="4" t="str">
        <x:v>https://tpwd.texas.gov/huntwild/hunt/public/public_hunt_drawing/hunt-category-details.phtml?OCat=NGE</x:v>
      </x:c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  <x:c r="AA116" s="4"/>
      <x:c r="AB116" s="4"/>
      <x:c r="AC116" s="4"/>
      <x:c r="AD116" s="4"/>
      <x:c r="AE116" s="4"/>
    </x:row>
    <x:row r="117">
      <x:c r="A117" s="4" t="str">
        <x:v>No</x:v>
      </x:c>
      <x:c r="B117" s="4" t="str">
        <x:v>A</x:v>
      </x:c>
      <x:c r="C117" s="4" t="str">
        <x:v>Whitetail Deer</x:v>
      </x:c>
      <x:c r="D117" s="4" t="str">
        <x:v>Atlanta SP</x:v>
      </x:c>
      <x:c r="E117" s="4" t="str">
        <x:v>Gun Deer - Antlerless/Spike</x:v>
      </x:c>
      <x:c r="F117" s="24" t="str">
        <x:v>2026-09-15</x:v>
      </x:c>
      <x:c r="G117" s="4" t="n">
        <x:v>570</x:v>
      </x:c>
      <x:c r="H117" s="4"/>
      <x:c r="I117" s="4"/>
      <x:c r="J117" s="4"/>
      <x:c r="K117" s="4" t="str">
        <x:v>Verified in TPWD 2026-2027 statewide deer category catalog.</x:v>
      </x:c>
      <x:c r="L117" s="4" t="str">
        <x:v>https://tpwd.texas.gov/huntwild/hunt/public/public_hunt_drawing/hunt-category-details.phtml?OCat=GDA</x:v>
      </x:c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  <x:c r="AA117" s="4"/>
      <x:c r="AB117" s="4"/>
      <x:c r="AC117" s="4"/>
      <x:c r="AD117" s="4"/>
      <x:c r="AE117" s="4"/>
    </x:row>
    <x:row r="118">
      <x:c r="A118" s="4" t="str">
        <x:v>No</x:v>
      </x:c>
      <x:c r="B118" s="4" t="str">
        <x:v>A</x:v>
      </x:c>
      <x:c r="C118" s="4" t="str">
        <x:v>Whitetail Deer</x:v>
      </x:c>
      <x:c r="D118" s="4" t="str">
        <x:v>Atlanta SP</x:v>
      </x:c>
      <x:c r="E118" s="4" t="str">
        <x:v>Gun Deer - Either Sex</x:v>
      </x:c>
      <x:c r="F118" s="24" t="str">
        <x:v>2026-09-15</x:v>
      </x:c>
      <x:c r="G118" s="4" t="n">
        <x:v>570</x:v>
      </x:c>
      <x:c r="H118" s="4"/>
      <x:c r="I118" s="4"/>
      <x:c r="J118" s="4"/>
      <x:c r="K118" s="4" t="str">
        <x:v>Verified in TPWD 2026-2027 statewide deer category catalog.</x:v>
      </x:c>
      <x:c r="L118" s="4" t="str">
        <x:v>https://tpwd.texas.gov/huntwild/hunt/public/public_hunt_drawing/hunt-category-details.phtml?OCat=GDE</x:v>
      </x:c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  <x:c r="AA118" s="4"/>
      <x:c r="AB118" s="4"/>
      <x:c r="AC118" s="4"/>
      <x:c r="AD118" s="4"/>
      <x:c r="AE118" s="4"/>
    </x:row>
    <x:row r="119">
      <x:c r="A119" s="4" t="str">
        <x:v>No</x:v>
      </x:c>
      <x:c r="B119" s="4" t="str">
        <x:v>A</x:v>
      </x:c>
      <x:c r="C119" s="4" t="str">
        <x:v>Whitetail Deer</x:v>
      </x:c>
      <x:c r="D119" s="4" t="str">
        <x:v>Balcones Canyonlands NWR</x:v>
      </x:c>
      <x:c r="E119" s="4" t="str">
        <x:v>National Refuge General Deer</x:v>
      </x:c>
      <x:c r="F119" s="24" t="str">
        <x:v>2026-09-15</x:v>
      </x:c>
      <x:c r="G119" s="4" t="n">
        <x:v>500</x:v>
      </x:c>
      <x:c r="H119" s="4"/>
      <x:c r="I119" s="4"/>
      <x:c r="J119" s="4"/>
      <x:c r="K119" s="4" t="str">
        <x:v>Verified in TPWD 2026-2027 statewide deer category catalog. Refuge-specific rules and permit fees may apply.</x:v>
      </x:c>
      <x:c r="L119" s="4" t="str">
        <x:v>https://tpwd.texas.gov/huntwild/hunt/public/public_hunt_drawing/hunt-category-details.phtml?OCat=NGE</x:v>
      </x:c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  <x:c r="AA119" s="4"/>
      <x:c r="AB119" s="4"/>
      <x:c r="AC119" s="4"/>
      <x:c r="AD119" s="4"/>
      <x:c r="AE119" s="4"/>
    </x:row>
    <x:row r="120">
      <x:c r="A120" s="4" t="str">
        <x:v>No</x:v>
      </x:c>
      <x:c r="B120" s="4" t="str">
        <x:v>A</x:v>
      </x:c>
      <x:c r="C120" s="4" t="str">
        <x:v>Whitetail Deer</x:v>
      </x:c>
      <x:c r="D120" s="4" t="str">
        <x:v>Bannister WMA</x:v>
      </x:c>
      <x:c r="E120" s="4" t="str">
        <x:v>USFS Antlerless Deer Permit - Youth</x:v>
      </x:c>
      <x:c r="F120" s="24" t="str">
        <x:v>2026-09-15</x:v>
      </x:c>
      <x:c r="G120" s="4" t="n">
        <x:v>570</x:v>
      </x:c>
      <x:c r="H120" s="4"/>
      <x:c r="I120" s="4"/>
      <x:c r="J120" s="4"/>
      <x:c r="K120" s="4" t="str">
        <x:v>Verified in TPWD 2026-2027 statewide deer category catalog. APH/eligibility rules apply; confirm account and permit requirements.</x:v>
      </x:c>
      <x:c r="L120" s="4" t="str">
        <x:v>https://tpwd.texas.gov/huntwild/hunt/public/public_hunt_drawing/hunt-category-details.phtml?OCat=FSY</x:v>
      </x:c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  <x:c r="AA120" s="4"/>
      <x:c r="AB120" s="4"/>
      <x:c r="AC120" s="4"/>
      <x:c r="AD120" s="4"/>
      <x:c r="AE120" s="4"/>
    </x:row>
    <x:row r="121">
      <x:c r="A121" s="4" t="str">
        <x:v>No</x:v>
      </x:c>
      <x:c r="B121" s="4" t="str">
        <x:v>A</x:v>
      </x:c>
      <x:c r="C121" s="4" t="str">
        <x:v>Whitetail Deer</x:v>
      </x:c>
      <x:c r="D121" s="4" t="str">
        <x:v>Bastrop SP</x:v>
      </x:c>
      <x:c r="E121" s="4" t="str">
        <x:v>Gun Deer - Antlerless/Spike</x:v>
      </x:c>
      <x:c r="F121" s="24" t="str">
        <x:v>2026-09-15</x:v>
      </x:c>
      <x:c r="G121" s="4" t="n">
        <x:v>490</x:v>
      </x:c>
      <x:c r="H121" s="4"/>
      <x:c r="I121" s="4"/>
      <x:c r="J121" s="4"/>
      <x:c r="K121" s="4" t="str">
        <x:v>Verified in TPWD 2026-2027 statewide deer category catalog.</x:v>
      </x:c>
      <x:c r="L121" s="4" t="str">
        <x:v>https://tpwd.texas.gov/huntwild/hunt/public/public_hunt_drawing/hunt-category-details.phtml?OCat=GDA</x:v>
      </x:c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  <x:c r="AA121" s="4"/>
      <x:c r="AB121" s="4"/>
      <x:c r="AC121" s="4"/>
      <x:c r="AD121" s="4"/>
      <x:c r="AE121" s="4"/>
    </x:row>
    <x:row r="122">
      <x:c r="A122" s="4" t="str">
        <x:v>No</x:v>
      </x:c>
      <x:c r="B122" s="4" t="str">
        <x:v>A</x:v>
      </x:c>
      <x:c r="C122" s="4" t="str">
        <x:v>Whitetail Deer</x:v>
      </x:c>
      <x:c r="D122" s="4" t="str">
        <x:v>Bear Creek State Park</x:v>
      </x:c>
      <x:c r="E122" s="4" t="str">
        <x:v>Gun Deer - Either Sex</x:v>
      </x:c>
      <x:c r="F122" s="24" t="str">
        <x:v>2026-09-15</x:v>
      </x:c>
      <x:c r="G122" s="4" t="n">
        <x:v>570</x:v>
      </x:c>
      <x:c r="H122" s="4"/>
      <x:c r="I122" s="4"/>
      <x:c r="J122" s="4"/>
      <x:c r="K122" s="4" t="str">
        <x:v>Verified in TPWD 2026-2027 statewide deer category catalog.</x:v>
      </x:c>
      <x:c r="L122" s="4" t="str">
        <x:v>https://tpwd.texas.gov/huntwild/hunt/public/public_hunt_drawing/hunt-category-details.phtml?OCat=GDE</x:v>
      </x:c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  <x:c r="AA122" s="4"/>
      <x:c r="AB122" s="4"/>
      <x:c r="AC122" s="4"/>
      <x:c r="AD122" s="4"/>
      <x:c r="AE122" s="4"/>
    </x:row>
    <x:row r="123">
      <x:c r="A123" s="4" t="str">
        <x:v>No</x:v>
      </x:c>
      <x:c r="B123" s="4" t="str">
        <x:v>A</x:v>
      </x:c>
      <x:c r="C123" s="4" t="str">
        <x:v>Whitetail Deer</x:v>
      </x:c>
      <x:c r="D123" s="4" t="str">
        <x:v>Big Lake Bottom WMA</x:v>
      </x:c>
      <x:c r="E123" s="4" t="str">
        <x:v>E-Postcard Deer</x:v>
      </x:c>
      <x:c r="F123" s="24" t="str">
        <x:v>2026-09-15</x:v>
      </x:c>
      <x:c r="G123" s="4" t="n">
        <x:v>500</x:v>
      </x:c>
      <x:c r="H123" s="4"/>
      <x:c r="I123" s="4"/>
      <x:c r="J123" s="4"/>
      <x:c r="K123" s="4" t="str">
        <x:v>Verified in TPWD 2026-2027 statewide deer category catalog. APH/eligibility rules apply; confirm account and permit requirements.</x:v>
      </x:c>
      <x:c r="L123" s="4" t="str">
        <x:v>https://tpwd.texas.gov/huntwild/hunt/public/public_hunt_drawing/hunt-category-details.phtml?OCat=EDR</x:v>
      </x:c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  <x:c r="AA123" s="4"/>
      <x:c r="AB123" s="4"/>
      <x:c r="AC123" s="4"/>
      <x:c r="AD123" s="4"/>
      <x:c r="AE123" s="4"/>
    </x:row>
    <x:row r="124">
      <x:c r="A124" s="4" t="str">
        <x:v>No</x:v>
      </x:c>
      <x:c r="B124" s="4" t="str">
        <x:v>A</x:v>
      </x:c>
      <x:c r="C124" s="4" t="str">
        <x:v>Whitetail Deer</x:v>
      </x:c>
      <x:c r="D124" s="4" t="str">
        <x:v>Big Lake Bottom WMA</x:v>
      </x:c>
      <x:c r="E124" s="4" t="str">
        <x:v>E-Postcard Youth Deer</x:v>
      </x:c>
      <x:c r="F124" s="24" t="str">
        <x:v>2026-09-15</x:v>
      </x:c>
      <x:c r="G124" s="4" t="n">
        <x:v>500</x:v>
      </x:c>
      <x:c r="H124" s="4"/>
      <x:c r="I124" s="4"/>
      <x:c r="J124" s="4"/>
      <x:c r="K124" s="4" t="str">
        <x:v>Verified in TPWD 2026-2027 statewide deer category catalog. APH/eligibility rules apply; confirm account and permit requirements.</x:v>
      </x:c>
      <x:c r="L124" s="4" t="str">
        <x:v>https://tpwd.texas.gov/huntwild/hunt/public/public_hunt_drawing/hunt-category-details.phtml?OCat=EYD</x:v>
      </x:c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  <x:c r="AA124" s="4"/>
      <x:c r="AB124" s="4"/>
      <x:c r="AC124" s="4"/>
      <x:c r="AD124" s="4"/>
      <x:c r="AE124" s="4"/>
    </x:row>
    <x:row r="125">
      <x:c r="A125" s="4" t="str">
        <x:v>No</x:v>
      </x:c>
      <x:c r="B125" s="4" t="str">
        <x:v>A</x:v>
      </x:c>
      <x:c r="C125" s="4" t="str">
        <x:v>Whitetail Deer</x:v>
      </x:c>
      <x:c r="D125" s="4" t="str">
        <x:v>Brazos Bend SP</x:v>
      </x:c>
      <x:c r="E125" s="4" t="str">
        <x:v>Gun Deer - Antlerless/Spike</x:v>
      </x:c>
      <x:c r="F125" s="24" t="str">
        <x:v>2026-09-15</x:v>
      </x:c>
      <x:c r="G125" s="4" t="n">
        <x:v>610</x:v>
      </x:c>
      <x:c r="H125" s="4"/>
      <x:c r="I125" s="4"/>
      <x:c r="J125" s="4"/>
      <x:c r="K125" s="4" t="str">
        <x:v>Verified in TPWD 2026-2027 statewide deer category catalog.</x:v>
      </x:c>
      <x:c r="L125" s="4" t="str">
        <x:v>https://tpwd.texas.gov/huntwild/hunt/public/public_hunt_drawing/hunt-category-details.phtml?OCat=GDA</x:v>
      </x:c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  <x:c r="AA125" s="4"/>
      <x:c r="AB125" s="4"/>
      <x:c r="AC125" s="4"/>
      <x:c r="AD125" s="4"/>
      <x:c r="AE125" s="4"/>
    </x:row>
    <x:row r="126">
      <x:c r="A126" s="4" t="str">
        <x:v>No</x:v>
      </x:c>
      <x:c r="B126" s="4" t="str">
        <x:v>A</x:v>
      </x:c>
      <x:c r="C126" s="4" t="str">
        <x:v>Whitetail Deer</x:v>
      </x:c>
      <x:c r="D126" s="4" t="str">
        <x:v>Brazos Bend SP</x:v>
      </x:c>
      <x:c r="E126" s="4" t="str">
        <x:v>Gun Deer - Either Sex</x:v>
      </x:c>
      <x:c r="F126" s="24" t="str">
        <x:v>2026-09-15</x:v>
      </x:c>
      <x:c r="G126" s="4" t="n">
        <x:v>610</x:v>
      </x:c>
      <x:c r="H126" s="4"/>
      <x:c r="I126" s="4"/>
      <x:c r="J126" s="4"/>
      <x:c r="K126" s="4" t="str">
        <x:v>Verified in TPWD 2026-2027 statewide deer category catalog.</x:v>
      </x:c>
      <x:c r="L126" s="4" t="str">
        <x:v>https://tpwd.texas.gov/huntwild/hunt/public/public_hunt_drawing/hunt-category-details.phtml?OCat=GDE</x:v>
      </x:c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  <x:c r="AA126" s="4"/>
      <x:c r="AB126" s="4"/>
      <x:c r="AC126" s="4"/>
      <x:c r="AD126" s="4"/>
      <x:c r="AE126" s="4"/>
    </x:row>
    <x:row r="127">
      <x:c r="A127" s="4" t="str">
        <x:v>No</x:v>
      </x:c>
      <x:c r="B127" s="4" t="str">
        <x:v>A</x:v>
      </x:c>
      <x:c r="C127" s="4" t="str">
        <x:v>Whitetail Deer</x:v>
      </x:c>
      <x:c r="D127" s="4" t="str">
        <x:v>Brazos Bend SP</x:v>
      </x:c>
      <x:c r="E127" s="4" t="str">
        <x:v>Youth Gun Deer - Antlerless/Spike</x:v>
      </x:c>
      <x:c r="F127" s="24" t="str">
        <x:v>2026-09-15</x:v>
      </x:c>
      <x:c r="G127" s="4" t="n">
        <x:v>610</x:v>
      </x:c>
      <x:c r="H127" s="4"/>
      <x:c r="I127" s="4"/>
      <x:c r="J127" s="4"/>
      <x:c r="K127" s="4" t="str">
        <x:v>Verified in TPWD 2026-2027 statewide deer category catalog.</x:v>
      </x:c>
      <x:c r="L127" s="4" t="str">
        <x:v>https://tpwd.texas.gov/huntwild/hunt/public/public_hunt_drawing/hunt-category-details.phtml?OCat=YDA</x:v>
      </x:c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  <x:c r="AA127" s="4"/>
      <x:c r="AB127" s="4"/>
      <x:c r="AC127" s="4"/>
      <x:c r="AD127" s="4"/>
      <x:c r="AE127" s="4"/>
    </x:row>
    <x:row r="128">
      <x:c r="A128" s="4" t="str">
        <x:v>No</x:v>
      </x:c>
      <x:c r="B128" s="4" t="str">
        <x:v>A</x:v>
      </x:c>
      <x:c r="C128" s="4" t="str">
        <x:v>Whitetail Deer</x:v>
      </x:c>
      <x:c r="D128" s="4" t="str">
        <x:v>Caddo Lake NWR</x:v>
      </x:c>
      <x:c r="E128" s="4" t="str">
        <x:v>National Refuge General Deer</x:v>
      </x:c>
      <x:c r="F128" s="24" t="str">
        <x:v>2026-09-15</x:v>
      </x:c>
      <x:c r="G128" s="4" t="n">
        <x:v>570</x:v>
      </x:c>
      <x:c r="H128" s="4"/>
      <x:c r="I128" s="4"/>
      <x:c r="J128" s="4"/>
      <x:c r="K128" s="4" t="str">
        <x:v>Verified in TPWD 2026-2027 statewide deer category catalog. Refuge-specific rules and permit fees may apply.</x:v>
      </x:c>
      <x:c r="L128" s="4" t="str">
        <x:v>https://tpwd.texas.gov/huntwild/hunt/public/public_hunt_drawing/hunt-category-details.phtml?OCat=NGE</x:v>
      </x:c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  <x:c r="AA128" s="4"/>
      <x:c r="AB128" s="4"/>
      <x:c r="AC128" s="4"/>
      <x:c r="AD128" s="4"/>
      <x:c r="AE128" s="4"/>
    </x:row>
    <x:row r="129">
      <x:c r="A129" s="4" t="str">
        <x:v>No</x:v>
      </x:c>
      <x:c r="B129" s="4" t="str">
        <x:v>A</x:v>
      </x:c>
      <x:c r="C129" s="4" t="str">
        <x:v>Whitetail Deer</x:v>
      </x:c>
      <x:c r="D129" s="4" t="str">
        <x:v>Caddo Lake WMA</x:v>
      </x:c>
      <x:c r="E129" s="4" t="str">
        <x:v>E-Postcard Deer</x:v>
      </x:c>
      <x:c r="F129" s="24" t="str">
        <x:v>2026-09-15</x:v>
      </x:c>
      <x:c r="G129" s="4" t="n">
        <x:v>570</x:v>
      </x:c>
      <x:c r="H129" s="4"/>
      <x:c r="I129" s="4"/>
      <x:c r="J129" s="4"/>
      <x:c r="K129" s="4" t="str">
        <x:v>Verified in TPWD 2026-2027 statewide deer category catalog. APH/eligibility rules apply; confirm account and permit requirements.</x:v>
      </x:c>
      <x:c r="L129" s="4" t="str">
        <x:v>https://tpwd.texas.gov/huntwild/hunt/public/public_hunt_drawing/hunt-category-details.phtml?OCat=EDR</x:v>
      </x:c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  <x:c r="AA129" s="4"/>
      <x:c r="AB129" s="4"/>
      <x:c r="AC129" s="4"/>
      <x:c r="AD129" s="4"/>
      <x:c r="AE129" s="4"/>
    </x:row>
    <x:row r="130">
      <x:c r="A130" s="4" t="str">
        <x:v>No</x:v>
      </x:c>
      <x:c r="B130" s="4" t="str">
        <x:v>A</x:v>
      </x:c>
      <x:c r="C130" s="4" t="str">
        <x:v>Whitetail Deer</x:v>
      </x:c>
      <x:c r="D130" s="4" t="str">
        <x:v>Caddo Lake WMA</x:v>
      </x:c>
      <x:c r="E130" s="4" t="str">
        <x:v>E-Postcard Youth Deer</x:v>
      </x:c>
      <x:c r="F130" s="24" t="str">
        <x:v>2026-09-15</x:v>
      </x:c>
      <x:c r="G130" s="4" t="n">
        <x:v>570</x:v>
      </x:c>
      <x:c r="H130" s="4"/>
      <x:c r="I130" s="4"/>
      <x:c r="J130" s="4"/>
      <x:c r="K130" s="4" t="str">
        <x:v>Verified in TPWD 2026-2027 statewide deer category catalog. APH/eligibility rules apply; confirm account and permit requirements.</x:v>
      </x:c>
      <x:c r="L130" s="4" t="str">
        <x:v>https://tpwd.texas.gov/huntwild/hunt/public/public_hunt_drawing/hunt-category-details.phtml?OCat=EYD</x:v>
      </x:c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  <x:c r="AA130" s="4"/>
      <x:c r="AB130" s="4"/>
      <x:c r="AC130" s="4"/>
      <x:c r="AD130" s="4"/>
      <x:c r="AE130" s="4"/>
    </x:row>
    <x:row r="131">
      <x:c r="A131" s="4" t="str">
        <x:v>No</x:v>
      </x:c>
      <x:c r="B131" s="4" t="str">
        <x:v>A</x:v>
      </x:c>
      <x:c r="C131" s="4" t="str">
        <x:v>Whitetail Deer</x:v>
      </x:c>
      <x:c r="D131" s="4" t="str">
        <x:v>Caddo National Grasslands WMA - Bois d'Arc Unit</x:v>
      </x:c>
      <x:c r="E131" s="4" t="str">
        <x:v>USFS Antlerless Deer Permit - Youth</x:v>
      </x:c>
      <x:c r="F131" s="24" t="str">
        <x:v>2026-09-15</x:v>
      </x:c>
      <x:c r="G131" s="4" t="n">
        <x:v>360</x:v>
      </x:c>
      <x:c r="H131" s="4"/>
      <x:c r="I131" s="4"/>
      <x:c r="J131" s="4"/>
      <x:c r="K131" s="4" t="str">
        <x:v>Verified in TPWD 2026-2027 statewide deer category catalog. APH/eligibility rules apply; confirm account and permit requirements.</x:v>
      </x:c>
      <x:c r="L131" s="4" t="str">
        <x:v>https://tpwd.texas.gov/huntwild/hunt/public/public_hunt_drawing/hunt-category-details.phtml?OCat=FSY</x:v>
      </x:c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  <x:c r="AA131" s="4"/>
      <x:c r="AB131" s="4"/>
      <x:c r="AC131" s="4"/>
      <x:c r="AD131" s="4"/>
      <x:c r="AE131" s="4"/>
    </x:row>
    <x:row r="132">
      <x:c r="A132" s="4" t="str">
        <x:v>No</x:v>
      </x:c>
      <x:c r="B132" s="4" t="str">
        <x:v>A</x:v>
      </x:c>
      <x:c r="C132" s="4" t="str">
        <x:v>Whitetail Deer</x:v>
      </x:c>
      <x:c r="D132" s="4" t="str">
        <x:v>Caddo National Grasslands WMA - Ladonia Unit</x:v>
      </x:c>
      <x:c r="E132" s="4" t="str">
        <x:v>USFS Antlerless Deer Permit - Youth</x:v>
      </x:c>
      <x:c r="F132" s="24" t="str">
        <x:v>2026-09-15</x:v>
      </x:c>
      <x:c r="G132" s="4" t="n">
        <x:v>360</x:v>
      </x:c>
      <x:c r="H132" s="4"/>
      <x:c r="I132" s="4"/>
      <x:c r="J132" s="4"/>
      <x:c r="K132" s="4" t="str">
        <x:v>Verified in TPWD 2026-2027 statewide deer category catalog. APH/eligibility rules apply; confirm account and permit requirements.</x:v>
      </x:c>
      <x:c r="L132" s="4" t="str">
        <x:v>https://tpwd.texas.gov/huntwild/hunt/public/public_hunt_drawing/hunt-category-details.phtml?OCat=FSY</x:v>
      </x:c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  <x:c r="AA132" s="4"/>
      <x:c r="AB132" s="4"/>
      <x:c r="AC132" s="4"/>
      <x:c r="AD132" s="4"/>
      <x:c r="AE132" s="4"/>
    </x:row>
    <x:row r="133">
      <x:c r="A133" s="4" t="str">
        <x:v>No</x:v>
      </x:c>
      <x:c r="B133" s="4" t="str">
        <x:v>A</x:v>
      </x:c>
      <x:c r="C133" s="4" t="str">
        <x:v>Whitetail Deer</x:v>
      </x:c>
      <x:c r="D133" s="4" t="str">
        <x:v>Caprock Canyons SP</x:v>
      </x:c>
      <x:c r="E133" s="4" t="str">
        <x:v>E-Postcard Deer</x:v>
      </x:c>
      <x:c r="F133" s="24" t="str">
        <x:v>2026-09-15</x:v>
      </x:c>
      <x:c r="G133" s="4" t="n">
        <x:v>130</x:v>
      </x:c>
      <x:c r="H133" s="4"/>
      <x:c r="I133" s="4"/>
      <x:c r="J133" s="4"/>
      <x:c r="K133" s="4" t="str">
        <x:v>Verified in TPWD 2026-2027 statewide deer category catalog. APH/eligibility rules apply; confirm account and permit requirements.</x:v>
      </x:c>
      <x:c r="L133" s="4" t="str">
        <x:v>https://tpwd.texas.gov/huntwild/hunt/public/public_hunt_drawing/hunt-category-details.phtml?OCat=EDR</x:v>
      </x:c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  <x:c r="AA133" s="4"/>
      <x:c r="AB133" s="4"/>
      <x:c r="AC133" s="4"/>
      <x:c r="AD133" s="4"/>
      <x:c r="AE133" s="4"/>
    </x:row>
    <x:row r="134">
      <x:c r="A134" s="4" t="str">
        <x:v>No</x:v>
      </x:c>
      <x:c r="B134" s="4" t="str">
        <x:v>A</x:v>
      </x:c>
      <x:c r="C134" s="4" t="str">
        <x:v>Whitetail Deer</x:v>
      </x:c>
      <x:c r="D134" s="4" t="str">
        <x:v>Chaparral WMA</x:v>
      </x:c>
      <x:c r="E134" s="4" t="str">
        <x:v>Gun Deer - Either Sex</x:v>
      </x:c>
      <x:c r="F134" s="24" t="str">
        <x:v>2026-09-15</x:v>
      </x:c>
      <x:c r="G134" s="4" t="n">
        <x:v>700</x:v>
      </x:c>
      <x:c r="H134" s="4"/>
      <x:c r="I134" s="4"/>
      <x:c r="J134" s="4"/>
      <x:c r="K134" s="4" t="str">
        <x:v>Verified in TPWD 2026-2027 statewide deer category catalog.</x:v>
      </x:c>
      <x:c r="L134" s="4" t="str">
        <x:v>https://tpwd.texas.gov/huntwild/hunt/public/public_hunt_drawing/hunt-category-details.phtml?OCat=GDE</x:v>
      </x:c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  <x:c r="AA134" s="4"/>
      <x:c r="AB134" s="4"/>
      <x:c r="AC134" s="4"/>
      <x:c r="AD134" s="4"/>
      <x:c r="AE134" s="4"/>
    </x:row>
    <x:row r="135">
      <x:c r="A135" s="4" t="str">
        <x:v>No</x:v>
      </x:c>
      <x:c r="B135" s="4" t="str">
        <x:v>A</x:v>
      </x:c>
      <x:c r="C135" s="4" t="str">
        <x:v>Whitetail Deer</x:v>
      </x:c>
      <x:c r="D135" s="4" t="str">
        <x:v>Chaparral WMA</x:v>
      </x:c>
      <x:c r="E135" s="4" t="str">
        <x:v>Youth Gun Deer - Antlerless/Spike</x:v>
      </x:c>
      <x:c r="F135" s="24" t="str">
        <x:v>2026-09-15</x:v>
      </x:c>
      <x:c r="G135" s="4" t="n">
        <x:v>700</x:v>
      </x:c>
      <x:c r="H135" s="4"/>
      <x:c r="I135" s="4"/>
      <x:c r="J135" s="4"/>
      <x:c r="K135" s="4" t="str">
        <x:v>Verified in TPWD 2026-2027 statewide deer category catalog.</x:v>
      </x:c>
      <x:c r="L135" s="4" t="str">
        <x:v>https://tpwd.texas.gov/huntwild/hunt/public/public_hunt_drawing/hunt-category-details.phtml?OCat=YDA</x:v>
      </x:c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  <x:c r="AA135" s="4"/>
      <x:c r="AB135" s="4"/>
      <x:c r="AC135" s="4"/>
      <x:c r="AD135" s="4"/>
      <x:c r="AE135" s="4"/>
    </x:row>
    <x:row r="136">
      <x:c r="A136" s="4" t="str">
        <x:v>No</x:v>
      </x:c>
      <x:c r="B136" s="4" t="str">
        <x:v>A</x:v>
      </x:c>
      <x:c r="C136" s="4" t="str">
        <x:v>Whitetail Deer</x:v>
      </x:c>
      <x:c r="D136" s="4" t="str">
        <x:v>Choke Canyon SP - Calliham Unit</x:v>
      </x:c>
      <x:c r="E136" s="4" t="str">
        <x:v>Gun Deer - Management</x:v>
      </x:c>
      <x:c r="F136" s="24" t="str">
        <x:v>2026-09-15</x:v>
      </x:c>
      <x:c r="G136" s="4" t="n">
        <x:v>700</x:v>
      </x:c>
      <x:c r="H136" s="4"/>
      <x:c r="I136" s="4"/>
      <x:c r="J136" s="4"/>
      <x:c r="K136" s="4" t="str">
        <x:v>Verified in TPWD 2026-2027 statewide deer category catalog.</x:v>
      </x:c>
      <x:c r="L136" s="4" t="str">
        <x:v>https://tpwd.texas.gov/huntwild/hunt/public/public_hunt_drawing/hunt-category-details.phtml?OCat=GDM</x:v>
      </x:c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  <x:c r="AA136" s="4"/>
      <x:c r="AB136" s="4"/>
      <x:c r="AC136" s="4"/>
      <x:c r="AD136" s="4"/>
      <x:c r="AE136" s="4"/>
    </x:row>
    <x:row r="137">
      <x:c r="A137" s="4" t="str">
        <x:v>No</x:v>
      </x:c>
      <x:c r="B137" s="4" t="str">
        <x:v>A</x:v>
      </x:c>
      <x:c r="C137" s="4" t="str">
        <x:v>Whitetail Deer</x:v>
      </x:c>
      <x:c r="D137" s="4" t="str">
        <x:v>Choke Canyon SP - North Shore Unit</x:v>
      </x:c>
      <x:c r="E137" s="4" t="str">
        <x:v>Gun Deer - Either Sex</x:v>
      </x:c>
      <x:c r="F137" s="24" t="str">
        <x:v>2026-09-15</x:v>
      </x:c>
      <x:c r="G137" s="4" t="n">
        <x:v>700</x:v>
      </x:c>
      <x:c r="H137" s="4"/>
      <x:c r="I137" s="4"/>
      <x:c r="J137" s="4"/>
      <x:c r="K137" s="4" t="str">
        <x:v>Verified in TPWD 2026-2027 statewide deer category catalog.</x:v>
      </x:c>
      <x:c r="L137" s="4" t="str">
        <x:v>https://tpwd.texas.gov/huntwild/hunt/public/public_hunt_drawing/hunt-category-details.phtml?OCat=GDE</x:v>
      </x:c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  <x:c r="AA137" s="4"/>
      <x:c r="AB137" s="4"/>
      <x:c r="AC137" s="4"/>
      <x:c r="AD137" s="4"/>
      <x:c r="AE137" s="4"/>
    </x:row>
    <x:row r="138">
      <x:c r="A138" s="4" t="str">
        <x:v>No</x:v>
      </x:c>
      <x:c r="B138" s="4" t="str">
        <x:v>A</x:v>
      </x:c>
      <x:c r="C138" s="4" t="str">
        <x:v>Whitetail Deer</x:v>
      </x:c>
      <x:c r="D138" s="4" t="str">
        <x:v>Choke Canyon SP - North Shore Unit</x:v>
      </x:c>
      <x:c r="E138" s="4" t="str">
        <x:v>Gun Deer - Management</x:v>
      </x:c>
      <x:c r="F138" s="24" t="str">
        <x:v>2026-09-15</x:v>
      </x:c>
      <x:c r="G138" s="4" t="n">
        <x:v>700</x:v>
      </x:c>
      <x:c r="H138" s="4"/>
      <x:c r="I138" s="4"/>
      <x:c r="J138" s="4"/>
      <x:c r="K138" s="4" t="str">
        <x:v>Verified in TPWD 2026-2027 statewide deer category catalog.</x:v>
      </x:c>
      <x:c r="L138" s="4" t="str">
        <x:v>https://tpwd.texas.gov/huntwild/hunt/public/public_hunt_drawing/hunt-category-details.phtml?OCat=GDM</x:v>
      </x:c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  <x:c r="AA138" s="4"/>
      <x:c r="AB138" s="4"/>
      <x:c r="AC138" s="4"/>
      <x:c r="AD138" s="4"/>
      <x:c r="AE138" s="4"/>
    </x:row>
    <x:row r="139">
      <x:c r="A139" s="4" t="str">
        <x:v>No</x:v>
      </x:c>
      <x:c r="B139" s="4" t="str">
        <x:v>A</x:v>
      </x:c>
      <x:c r="C139" s="4" t="str">
        <x:v>Whitetail Deer</x:v>
      </x:c>
      <x:c r="D139" s="4" t="str">
        <x:v>Choke Canyon SP - North Shore Unit</x:v>
      </x:c>
      <x:c r="E139" s="4" t="str">
        <x:v>Youth Gun Deer - Antlerless/Spike</x:v>
      </x:c>
      <x:c r="F139" s="24" t="str">
        <x:v>2026-09-15</x:v>
      </x:c>
      <x:c r="G139" s="4" t="n">
        <x:v>700</x:v>
      </x:c>
      <x:c r="H139" s="4"/>
      <x:c r="I139" s="4"/>
      <x:c r="J139" s="4"/>
      <x:c r="K139" s="4" t="str">
        <x:v>Verified in TPWD 2026-2027 statewide deer category catalog.</x:v>
      </x:c>
      <x:c r="L139" s="4" t="str">
        <x:v>https://tpwd.texas.gov/huntwild/hunt/public/public_hunt_drawing/hunt-category-details.phtml?OCat=YDA</x:v>
      </x:c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  <x:c r="AA139" s="4"/>
      <x:c r="AB139" s="4"/>
      <x:c r="AC139" s="4"/>
      <x:c r="AD139" s="4"/>
      <x:c r="AE139" s="4"/>
    </x:row>
    <x:row r="140">
      <x:c r="A140" s="4" t="str">
        <x:v>No</x:v>
      </x:c>
      <x:c r="B140" s="4" t="str">
        <x:v>A</x:v>
      </x:c>
      <x:c r="C140" s="4" t="str">
        <x:v>Whitetail Deer</x:v>
      </x:c>
      <x:c r="D140" s="4" t="str">
        <x:v>Choke Canyon SP - North Shore Unit</x:v>
      </x:c>
      <x:c r="E140" s="4" t="str">
        <x:v>Youth Gun Deer - Management</x:v>
      </x:c>
      <x:c r="F140" s="24" t="str">
        <x:v>2026-09-15</x:v>
      </x:c>
      <x:c r="G140" s="4" t="n">
        <x:v>700</x:v>
      </x:c>
      <x:c r="H140" s="4"/>
      <x:c r="I140" s="4"/>
      <x:c r="J140" s="4"/>
      <x:c r="K140" s="4" t="str">
        <x:v>Verified in TPWD 2026-2027 statewide deer category catalog.</x:v>
      </x:c>
      <x:c r="L140" s="4" t="str">
        <x:v>https://tpwd.texas.gov/huntwild/hunt/public/public_hunt_drawing/hunt-category-details.phtml?OCat=YDM</x:v>
      </x:c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  <x:c r="AA140" s="4"/>
      <x:c r="AB140" s="4"/>
      <x:c r="AC140" s="4"/>
      <x:c r="AD140" s="4"/>
      <x:c r="AE140" s="4"/>
    </x:row>
    <x:row r="141">
      <x:c r="A141" s="4" t="str">
        <x:v>No</x:v>
      </x:c>
      <x:c r="B141" s="4" t="str">
        <x:v>A</x:v>
      </x:c>
      <x:c r="C141" s="4" t="str">
        <x:v>Whitetail Deer</x:v>
      </x:c>
      <x:c r="D141" s="4" t="str">
        <x:v>Choke Canyon SP - South Shore Unit</x:v>
      </x:c>
      <x:c r="E141" s="4" t="str">
        <x:v>Gun Deer - Management</x:v>
      </x:c>
      <x:c r="F141" s="24" t="str">
        <x:v>2026-09-15</x:v>
      </x:c>
      <x:c r="G141" s="4" t="n">
        <x:v>700</x:v>
      </x:c>
      <x:c r="H141" s="4"/>
      <x:c r="I141" s="4"/>
      <x:c r="J141" s="4"/>
      <x:c r="K141" s="4" t="str">
        <x:v>Verified in TPWD 2026-2027 statewide deer category catalog.</x:v>
      </x:c>
      <x:c r="L141" s="4" t="str">
        <x:v>https://tpwd.texas.gov/huntwild/hunt/public/public_hunt_drawing/hunt-category-details.phtml?OCat=GDM</x:v>
      </x:c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  <x:c r="AA141" s="4"/>
      <x:c r="AB141" s="4"/>
      <x:c r="AC141" s="4"/>
      <x:c r="AD141" s="4"/>
      <x:c r="AE141" s="4"/>
    </x:row>
    <x:row r="142">
      <x:c r="A142" s="4" t="str">
        <x:v>No</x:v>
      </x:c>
      <x:c r="B142" s="4" t="str">
        <x:v>A</x:v>
      </x:c>
      <x:c r="C142" s="4" t="str">
        <x:v>Whitetail Deer</x:v>
      </x:c>
      <x:c r="D142" s="4" t="str">
        <x:v>Colorado Bend SP</x:v>
      </x:c>
      <x:c r="E142" s="4" t="str">
        <x:v>Gun Deer - Antlerless/Spike</x:v>
      </x:c>
      <x:c r="F142" s="24" t="str">
        <x:v>2026-09-15</x:v>
      </x:c>
      <x:c r="G142" s="4" t="n">
        <x:v>490</x:v>
      </x:c>
      <x:c r="H142" s="4"/>
      <x:c r="I142" s="4"/>
      <x:c r="J142" s="4"/>
      <x:c r="K142" s="4" t="str">
        <x:v>Verified in TPWD 2026-2027 statewide deer category catalog.</x:v>
      </x:c>
      <x:c r="L142" s="4" t="str">
        <x:v>https://tpwd.texas.gov/huntwild/hunt/public/public_hunt_drawing/hunt-category-details.phtml?OCat=GDA</x:v>
      </x:c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  <x:c r="AA142" s="4"/>
      <x:c r="AB142" s="4"/>
      <x:c r="AC142" s="4"/>
      <x:c r="AD142" s="4"/>
      <x:c r="AE142" s="4"/>
    </x:row>
    <x:row r="143">
      <x:c r="A143" s="4" t="str">
        <x:v>No</x:v>
      </x:c>
      <x:c r="B143" s="4" t="str">
        <x:v>A</x:v>
      </x:c>
      <x:c r="C143" s="4" t="str">
        <x:v>Whitetail Deer</x:v>
      </x:c>
      <x:c r="D143" s="4" t="str">
        <x:v>Cooper Lake State Park</x:v>
      </x:c>
      <x:c r="E143" s="4" t="str">
        <x:v>Youth Gun Deer - Antlerless/Spike</x:v>
      </x:c>
      <x:c r="F143" s="24" t="str">
        <x:v>2026-09-15</x:v>
      </x:c>
      <x:c r="G143" s="4" t="n">
        <x:v>360</x:v>
      </x:c>
      <x:c r="H143" s="4"/>
      <x:c r="I143" s="4"/>
      <x:c r="J143" s="4"/>
      <x:c r="K143" s="4" t="str">
        <x:v>Verified in TPWD 2026-2027 statewide deer category catalog.</x:v>
      </x:c>
      <x:c r="L143" s="4" t="str">
        <x:v>https://tpwd.texas.gov/huntwild/hunt/public/public_hunt_drawing/hunt-category-details.phtml?OCat=YDA</x:v>
      </x:c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  <x:c r="AA143" s="4"/>
      <x:c r="AB143" s="4"/>
      <x:c r="AC143" s="4"/>
      <x:c r="AD143" s="4"/>
      <x:c r="AE143" s="4"/>
    </x:row>
    <x:row r="144">
      <x:c r="A144" s="4" t="str">
        <x:v>No</x:v>
      </x:c>
      <x:c r="B144" s="4" t="str">
        <x:v>A</x:v>
      </x:c>
      <x:c r="C144" s="4" t="str">
        <x:v>Whitetail Deer</x:v>
      </x:c>
      <x:c r="D144" s="4" t="str">
        <x:v>Cooper WMA</x:v>
      </x:c>
      <x:c r="E144" s="4" t="str">
        <x:v>Gun Deer - Antlerless/Spike</x:v>
      </x:c>
      <x:c r="F144" s="24" t="str">
        <x:v>2026-09-15</x:v>
      </x:c>
      <x:c r="G144" s="4" t="n">
        <x:v>360</x:v>
      </x:c>
      <x:c r="H144" s="4"/>
      <x:c r="I144" s="4"/>
      <x:c r="J144" s="4"/>
      <x:c r="K144" s="4" t="str">
        <x:v>Verified in TPWD 2026-2027 statewide deer category catalog.</x:v>
      </x:c>
      <x:c r="L144" s="4" t="str">
        <x:v>https://tpwd.texas.gov/huntwild/hunt/public/public_hunt_drawing/hunt-category-details.phtml?OCat=GDA</x:v>
      </x:c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  <x:c r="AA144" s="4"/>
      <x:c r="AB144" s="4"/>
      <x:c r="AC144" s="4"/>
      <x:c r="AD144" s="4"/>
      <x:c r="AE144" s="4"/>
    </x:row>
    <x:row r="145">
      <x:c r="A145" s="4" t="str">
        <x:v>No</x:v>
      </x:c>
      <x:c r="B145" s="4" t="str">
        <x:v>A</x:v>
      </x:c>
      <x:c r="C145" s="4" t="str">
        <x:v>Whitetail Deer</x:v>
      </x:c>
      <x:c r="D145" s="4" t="str">
        <x:v>Copper Breaks SP</x:v>
      </x:c>
      <x:c r="E145" s="4" t="str">
        <x:v>Gun Deer - Antlerless/Spike</x:v>
      </x:c>
      <x:c r="F145" s="24" t="str">
        <x:v>2026-09-15</x:v>
      </x:c>
      <x:c r="G145" s="4" t="n">
        <x:v>300</x:v>
      </x:c>
      <x:c r="H145" s="4"/>
      <x:c r="I145" s="4"/>
      <x:c r="J145" s="4"/>
      <x:c r="K145" s="4" t="str">
        <x:v>Verified in TPWD 2026-2027 statewide deer category catalog.</x:v>
      </x:c>
      <x:c r="L145" s="4" t="str">
        <x:v>https://tpwd.texas.gov/huntwild/hunt/public/public_hunt_drawing/hunt-category-details.phtml?OCat=GDA</x:v>
      </x:c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  <x:c r="AA145" s="4"/>
      <x:c r="AB145" s="4"/>
      <x:c r="AC145" s="4"/>
      <x:c r="AD145" s="4"/>
      <x:c r="AE145" s="4"/>
    </x:row>
    <x:row r="146">
      <x:c r="A146" s="4" t="str">
        <x:v>No</x:v>
      </x:c>
      <x:c r="B146" s="4" t="str">
        <x:v>A</x:v>
      </x:c>
      <x:c r="C146" s="4" t="str">
        <x:v>Whitetail Deer</x:v>
      </x:c>
      <x:c r="D146" s="4" t="str">
        <x:v>Devil's Sinkhole SNA</x:v>
      </x:c>
      <x:c r="E146" s="4" t="str">
        <x:v>Gun Deer - Antlerless/Spike</x:v>
      </x:c>
      <x:c r="F146" s="24" t="str">
        <x:v>2026-09-15</x:v>
      </x:c>
      <x:c r="G146" s="4" t="n">
        <x:v>520</x:v>
      </x:c>
      <x:c r="H146" s="4"/>
      <x:c r="I146" s="4"/>
      <x:c r="J146" s="4"/>
      <x:c r="K146" s="4" t="str">
        <x:v>Verified in TPWD 2026-2027 statewide deer category catalog.</x:v>
      </x:c>
      <x:c r="L146" s="4" t="str">
        <x:v>https://tpwd.texas.gov/huntwild/hunt/public/public_hunt_drawing/hunt-category-details.phtml?OCat=GDA</x:v>
      </x:c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  <x:c r="AA146" s="4"/>
      <x:c r="AB146" s="4"/>
      <x:c r="AC146" s="4"/>
      <x:c r="AD146" s="4"/>
      <x:c r="AE146" s="4"/>
    </x:row>
    <x:row r="147">
      <x:c r="A147" s="4" t="str">
        <x:v>No</x:v>
      </x:c>
      <x:c r="B147" s="4" t="str">
        <x:v>A</x:v>
      </x:c>
      <x:c r="C147" s="4" t="str">
        <x:v>Whitetail Deer</x:v>
      </x:c>
      <x:c r="D147" s="4" t="str">
        <x:v>Devils River SNA - Del Norte Unit</x:v>
      </x:c>
      <x:c r="E147" s="4" t="str">
        <x:v>Gun Deer - Management</x:v>
      </x:c>
      <x:c r="F147" s="24" t="str">
        <x:v>2026-09-15</x:v>
      </x:c>
      <x:c r="G147" s="4" t="n">
        <x:v>520</x:v>
      </x:c>
      <x:c r="H147" s="4"/>
      <x:c r="I147" s="4"/>
      <x:c r="J147" s="4"/>
      <x:c r="K147" s="4" t="str">
        <x:v>Verified in TPWD 2026-2027 statewide deer category catalog. West Texas/El Paso-region opportunity; prioritize for mule deer adventure value.</x:v>
      </x:c>
      <x:c r="L147" s="4" t="str">
        <x:v>https://tpwd.texas.gov/huntwild/hunt/public/public_hunt_drawing/hunt-category-details.phtml?OCat=GDM</x:v>
      </x:c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  <x:c r="AA147" s="4"/>
      <x:c r="AB147" s="4"/>
      <x:c r="AC147" s="4"/>
      <x:c r="AD147" s="4"/>
      <x:c r="AE147" s="4"/>
    </x:row>
    <x:row r="148">
      <x:c r="A148" s="4" t="str">
        <x:v>No</x:v>
      </x:c>
      <x:c r="B148" s="4" t="str">
        <x:v>A</x:v>
      </x:c>
      <x:c r="C148" s="4" t="str">
        <x:v>Whitetail Deer</x:v>
      </x:c>
      <x:c r="D148" s="4" t="str">
        <x:v>Dinosaur Valley SP</x:v>
      </x:c>
      <x:c r="E148" s="4" t="str">
        <x:v>Gun Deer - Antlerless/Spike</x:v>
      </x:c>
      <x:c r="F148" s="24" t="str">
        <x:v>2026-09-15</x:v>
      </x:c>
      <x:c r="G148" s="4" t="n">
        <x:v>500</x:v>
      </x:c>
      <x:c r="H148" s="4"/>
      <x:c r="I148" s="4"/>
      <x:c r="J148" s="4"/>
      <x:c r="K148" s="4" t="str">
        <x:v>Verified in TPWD 2026-2027 statewide deer category catalog.</x:v>
      </x:c>
      <x:c r="L148" s="4" t="str">
        <x:v>https://tpwd.texas.gov/huntwild/hunt/public/public_hunt_drawing/hunt-category-details.phtml?OCat=GDA</x:v>
      </x:c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  <x:c r="AA148" s="4"/>
      <x:c r="AB148" s="4"/>
      <x:c r="AC148" s="4"/>
      <x:c r="AD148" s="4"/>
      <x:c r="AE148" s="4"/>
    </x:row>
    <x:row r="149">
      <x:c r="A149" s="4" t="str">
        <x:v>No</x:v>
      </x:c>
      <x:c r="B149" s="4" t="str">
        <x:v>A</x:v>
      </x:c>
      <x:c r="C149" s="4" t="str">
        <x:v>Whitetail Deer</x:v>
      </x:c>
      <x:c r="D149" s="4" t="str">
        <x:v>Dinosaur Valley SP</x:v>
      </x:c>
      <x:c r="E149" s="4" t="str">
        <x:v>Gun Deer - Either Sex</x:v>
      </x:c>
      <x:c r="F149" s="24" t="str">
        <x:v>2026-09-15</x:v>
      </x:c>
      <x:c r="G149" s="4" t="n">
        <x:v>500</x:v>
      </x:c>
      <x:c r="H149" s="4"/>
      <x:c r="I149" s="4"/>
      <x:c r="J149" s="4"/>
      <x:c r="K149" s="4" t="str">
        <x:v>Verified in TPWD 2026-2027 statewide deer category catalog.</x:v>
      </x:c>
      <x:c r="L149" s="4" t="str">
        <x:v>https://tpwd.texas.gov/huntwild/hunt/public/public_hunt_drawing/hunt-category-details.phtml?OCat=GDE</x:v>
      </x:c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  <x:c r="AA149" s="4"/>
      <x:c r="AB149" s="4"/>
      <x:c r="AC149" s="4"/>
      <x:c r="AD149" s="4"/>
      <x:c r="AE149" s="4"/>
    </x:row>
    <x:row r="150">
      <x:c r="A150" s="4" t="str">
        <x:v>No</x:v>
      </x:c>
      <x:c r="B150" s="4" t="str">
        <x:v>A</x:v>
      </x:c>
      <x:c r="C150" s="4" t="str">
        <x:v>Whitetail Deer</x:v>
      </x:c>
      <x:c r="D150" s="4" t="str">
        <x:v>Elephant Mountain WMA</x:v>
      </x:c>
      <x:c r="E150" s="4" t="str">
        <x:v>Gun Deer - Management</x:v>
      </x:c>
      <x:c r="F150" s="24" t="str">
        <x:v>2026-09-15</x:v>
      </x:c>
      <x:c r="G150" s="4" t="n">
        <x:v>520</x:v>
      </x:c>
      <x:c r="H150" s="4"/>
      <x:c r="I150" s="4"/>
      <x:c r="J150" s="4"/>
      <x:c r="K150" s="4" t="str">
        <x:v>Verified in TPWD 2026-2027 statewide deer category catalog. West Texas/El Paso-region opportunity; prioritize for mule deer adventure value.</x:v>
      </x:c>
      <x:c r="L150" s="4" t="str">
        <x:v>https://tpwd.texas.gov/huntwild/hunt/public/public_hunt_drawing/hunt-category-details.phtml?OCat=GDM</x:v>
      </x:c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  <x:c r="AA150" s="4"/>
      <x:c r="AB150" s="4"/>
      <x:c r="AC150" s="4"/>
      <x:c r="AD150" s="4"/>
      <x:c r="AE150" s="4"/>
    </x:row>
    <x:row r="151">
      <x:c r="A151" s="4" t="str">
        <x:v>No</x:v>
      </x:c>
      <x:c r="B151" s="4" t="str">
        <x:v>A</x:v>
      </x:c>
      <x:c r="C151" s="4" t="str">
        <x:v>Whitetail Deer</x:v>
      </x:c>
      <x:c r="D151" s="4" t="str">
        <x:v>Enchanted Rock SNA</x:v>
      </x:c>
      <x:c r="E151" s="4" t="str">
        <x:v>Gun Deer - Antlerless/Spike</x:v>
      </x:c>
      <x:c r="F151" s="24" t="str">
        <x:v>2026-09-15</x:v>
      </x:c>
      <x:c r="G151" s="4" t="n">
        <x:v>520</x:v>
      </x:c>
      <x:c r="H151" s="4"/>
      <x:c r="I151" s="4"/>
      <x:c r="J151" s="4"/>
      <x:c r="K151" s="4" t="str">
        <x:v>Verified in TPWD 2026-2027 statewide deer category catalog.</x:v>
      </x:c>
      <x:c r="L151" s="4" t="str">
        <x:v>https://tpwd.texas.gov/huntwild/hunt/public/public_hunt_drawing/hunt-category-details.phtml?OCat=GDA</x:v>
      </x:c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  <x:c r="AA151" s="4"/>
      <x:c r="AB151" s="4"/>
      <x:c r="AC151" s="4"/>
      <x:c r="AD151" s="4"/>
      <x:c r="AE151" s="4"/>
    </x:row>
    <x:row r="152">
      <x:c r="A152" s="4" t="str">
        <x:v>No</x:v>
      </x:c>
      <x:c r="B152" s="4" t="str">
        <x:v>A</x:v>
      </x:c>
      <x:c r="C152" s="4" t="str">
        <x:v>Whitetail Deer</x:v>
      </x:c>
      <x:c r="D152" s="4" t="str">
        <x:v>Enchanted Rock SNA</x:v>
      </x:c>
      <x:c r="E152" s="4" t="str">
        <x:v>Gun Deer - Either Sex</x:v>
      </x:c>
      <x:c r="F152" s="24" t="str">
        <x:v>2026-09-15</x:v>
      </x:c>
      <x:c r="G152" s="4" t="n">
        <x:v>520</x:v>
      </x:c>
      <x:c r="H152" s="4"/>
      <x:c r="I152" s="4"/>
      <x:c r="J152" s="4"/>
      <x:c r="K152" s="4" t="str">
        <x:v>Verified in TPWD 2026-2027 statewide deer category catalog.</x:v>
      </x:c>
      <x:c r="L152" s="4" t="str">
        <x:v>https://tpwd.texas.gov/huntwild/hunt/public/public_hunt_drawing/hunt-category-details.phtml?OCat=GDE</x:v>
      </x:c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  <x:c r="AA152" s="4"/>
      <x:c r="AB152" s="4"/>
      <x:c r="AC152" s="4"/>
      <x:c r="AD152" s="4"/>
      <x:c r="AE152" s="4"/>
    </x:row>
    <x:row r="153">
      <x:c r="A153" s="4" t="str">
        <x:v>No</x:v>
      </x:c>
      <x:c r="B153" s="4" t="str">
        <x:v>A</x:v>
      </x:c>
      <x:c r="C153" s="4" t="str">
        <x:v>Whitetail Deer</x:v>
      </x:c>
      <x:c r="D153" s="4" t="str">
        <x:v>Fort Boggy SP</x:v>
      </x:c>
      <x:c r="E153" s="4" t="str">
        <x:v>Gun Deer - Either Sex</x:v>
      </x:c>
      <x:c r="F153" s="24" t="str">
        <x:v>2026-09-15</x:v>
      </x:c>
      <x:c r="G153" s="4" t="n">
        <x:v>360</x:v>
      </x:c>
      <x:c r="H153" s="4"/>
      <x:c r="I153" s="4"/>
      <x:c r="J153" s="4"/>
      <x:c r="K153" s="4" t="str">
        <x:v>Verified in TPWD 2026-2027 statewide deer category catalog.</x:v>
      </x:c>
      <x:c r="L153" s="4" t="str">
        <x:v>https://tpwd.texas.gov/huntwild/hunt/public/public_hunt_drawing/hunt-category-details.phtml?OCat=GDE</x:v>
      </x:c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  <x:c r="AA153" s="4"/>
      <x:c r="AB153" s="4"/>
      <x:c r="AC153" s="4"/>
      <x:c r="AD153" s="4"/>
      <x:c r="AE153" s="4"/>
    </x:row>
    <x:row r="154">
      <x:c r="A154" s="4" t="str">
        <x:v>No</x:v>
      </x:c>
      <x:c r="B154" s="4" t="str">
        <x:v>A</x:v>
      </x:c>
      <x:c r="C154" s="4" t="str">
        <x:v>Whitetail Deer</x:v>
      </x:c>
      <x:c r="D154" s="4" t="str">
        <x:v>Gene Howe WMA</x:v>
      </x:c>
      <x:c r="E154" s="4" t="str">
        <x:v>Gun Deer - Antlerless/Spike</x:v>
      </x:c>
      <x:c r="F154" s="24" t="str">
        <x:v>2026-09-15</x:v>
      </x:c>
      <x:c r="G154" s="4" t="n">
        <x:v>130</x:v>
      </x:c>
      <x:c r="H154" s="4"/>
      <x:c r="I154" s="4"/>
      <x:c r="J154" s="4"/>
      <x:c r="K154" s="4" t="str">
        <x:v>Verified in TPWD 2026-2027 statewide deer category catalog.</x:v>
      </x:c>
      <x:c r="L154" s="4" t="str">
        <x:v>https://tpwd.texas.gov/huntwild/hunt/public/public_hunt_drawing/hunt-category-details.phtml?OCat=GDA</x:v>
      </x:c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  <x:c r="AA154" s="4"/>
      <x:c r="AB154" s="4"/>
      <x:c r="AC154" s="4"/>
      <x:c r="AD154" s="4"/>
      <x:c r="AE154" s="4"/>
    </x:row>
    <x:row r="155">
      <x:c r="A155" s="4" t="str">
        <x:v>No</x:v>
      </x:c>
      <x:c r="B155" s="4" t="str">
        <x:v>A</x:v>
      </x:c>
      <x:c r="C155" s="4" t="str">
        <x:v>Whitetail Deer</x:v>
      </x:c>
      <x:c r="D155" s="4" t="str">
        <x:v>Gene Howe WMA</x:v>
      </x:c>
      <x:c r="E155" s="4" t="str">
        <x:v>Gun Deer - Either Sex</x:v>
      </x:c>
      <x:c r="F155" s="24" t="str">
        <x:v>2026-09-15</x:v>
      </x:c>
      <x:c r="G155" s="4" t="n">
        <x:v>130</x:v>
      </x:c>
      <x:c r="H155" s="4"/>
      <x:c r="I155" s="4"/>
      <x:c r="J155" s="4"/>
      <x:c r="K155" s="4" t="str">
        <x:v>Verified in TPWD 2026-2027 statewide deer category catalog.</x:v>
      </x:c>
      <x:c r="L155" s="4" t="str">
        <x:v>https://tpwd.texas.gov/huntwild/hunt/public/public_hunt_drawing/hunt-category-details.phtml?OCat=GDE</x:v>
      </x:c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  <x:c r="AA155" s="4"/>
      <x:c r="AB155" s="4"/>
      <x:c r="AC155" s="4"/>
      <x:c r="AD155" s="4"/>
      <x:c r="AE155" s="4"/>
    </x:row>
    <x:row r="156">
      <x:c r="A156" s="4" t="str">
        <x:v>No</x:v>
      </x:c>
      <x:c r="B156" s="4" t="str">
        <x:v>A</x:v>
      </x:c>
      <x:c r="C156" s="4" t="str">
        <x:v>Whitetail Deer</x:v>
      </x:c>
      <x:c r="D156" s="4" t="str">
        <x:v>Gene Howe WMA</x:v>
      </x:c>
      <x:c r="E156" s="4" t="str">
        <x:v>Youth Gun Deer - Antlerless/Spike</x:v>
      </x:c>
      <x:c r="F156" s="24" t="str">
        <x:v>2026-09-15</x:v>
      </x:c>
      <x:c r="G156" s="4" t="n">
        <x:v>130</x:v>
      </x:c>
      <x:c r="H156" s="4"/>
      <x:c r="I156" s="4"/>
      <x:c r="J156" s="4"/>
      <x:c r="K156" s="4" t="str">
        <x:v>Verified in TPWD 2026-2027 statewide deer category catalog.</x:v>
      </x:c>
      <x:c r="L156" s="4" t="str">
        <x:v>https://tpwd.texas.gov/huntwild/hunt/public/public_hunt_drawing/hunt-category-details.phtml?OCat=YDA</x:v>
      </x:c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  <x:c r="AA156" s="4"/>
      <x:c r="AB156" s="4"/>
      <x:c r="AC156" s="4"/>
      <x:c r="AD156" s="4"/>
      <x:c r="AE156" s="4"/>
    </x:row>
    <x:row r="157">
      <x:c r="A157" s="4" t="str">
        <x:v>No</x:v>
      </x:c>
      <x:c r="B157" s="4" t="str">
        <x:v>A</x:v>
      </x:c>
      <x:c r="C157" s="4" t="str">
        <x:v>Whitetail Deer</x:v>
      </x:c>
      <x:c r="D157" s="4" t="str">
        <x:v>Government Canyon SNA</x:v>
      </x:c>
      <x:c r="E157" s="4" t="str">
        <x:v>Gun Deer - Either Sex</x:v>
      </x:c>
      <x:c r="F157" s="24" t="str">
        <x:v>2026-09-15</x:v>
      </x:c>
      <x:c r="G157" s="4" t="n">
        <x:v>520</x:v>
      </x:c>
      <x:c r="H157" s="4"/>
      <x:c r="I157" s="4"/>
      <x:c r="J157" s="4"/>
      <x:c r="K157" s="4" t="str">
        <x:v>Verified in TPWD 2026-2027 statewide deer category catalog.</x:v>
      </x:c>
      <x:c r="L157" s="4" t="str">
        <x:v>https://tpwd.texas.gov/huntwild/hunt/public/public_hunt_drawing/hunt-category-details.phtml?OCat=GDE</x:v>
      </x:c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  <x:c r="AA157" s="4"/>
      <x:c r="AB157" s="4"/>
      <x:c r="AC157" s="4"/>
      <x:c r="AD157" s="4"/>
      <x:c r="AE157" s="4"/>
    </x:row>
    <x:row r="158">
      <x:c r="A158" s="4" t="str">
        <x:v>No</x:v>
      </x:c>
      <x:c r="B158" s="4" t="str">
        <x:v>A</x:v>
      </x:c>
      <x:c r="C158" s="4" t="str">
        <x:v>Whitetail Deer</x:v>
      </x:c>
      <x:c r="D158" s="4" t="str">
        <x:v>Granger PHL</x:v>
      </x:c>
      <x:c r="E158" s="4" t="str">
        <x:v>Youth Gun Deer - Antlerless/Spike</x:v>
      </x:c>
      <x:c r="F158" s="24" t="str">
        <x:v>2026-09-15</x:v>
      </x:c>
      <x:c r="G158" s="4" t="n">
        <x:v>490</x:v>
      </x:c>
      <x:c r="H158" s="4"/>
      <x:c r="I158" s="4"/>
      <x:c r="J158" s="4"/>
      <x:c r="K158" s="4" t="str">
        <x:v>Verified in TPWD 2026-2027 statewide deer category catalog.</x:v>
      </x:c>
      <x:c r="L158" s="4" t="str">
        <x:v>https://tpwd.texas.gov/huntwild/hunt/public/public_hunt_drawing/hunt-category-details.phtml?OCat=YDA</x:v>
      </x:c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  <x:c r="AA158" s="4"/>
      <x:c r="AB158" s="4"/>
      <x:c r="AC158" s="4"/>
      <x:c r="AD158" s="4"/>
      <x:c r="AE158" s="4"/>
    </x:row>
    <x:row r="159">
      <x:c r="A159" s="4" t="str">
        <x:v>No</x:v>
      </x:c>
      <x:c r="B159" s="4" t="str">
        <x:v>A</x:v>
      </x:c>
      <x:c r="C159" s="4" t="str">
        <x:v>Whitetail Deer</x:v>
      </x:c>
      <x:c r="D159" s="4" t="str">
        <x:v>Granger PHL</x:v>
      </x:c>
      <x:c r="E159" s="4" t="str">
        <x:v>Youth Gun Deer - Management</x:v>
      </x:c>
      <x:c r="F159" s="24" t="str">
        <x:v>2026-09-15</x:v>
      </x:c>
      <x:c r="G159" s="4" t="n">
        <x:v>490</x:v>
      </x:c>
      <x:c r="H159" s="4"/>
      <x:c r="I159" s="4"/>
      <x:c r="J159" s="4"/>
      <x:c r="K159" s="4" t="str">
        <x:v>Verified in TPWD 2026-2027 statewide deer category catalog.</x:v>
      </x:c>
      <x:c r="L159" s="4" t="str">
        <x:v>https://tpwd.texas.gov/huntwild/hunt/public/public_hunt_drawing/hunt-category-details.phtml?OCat=YDM</x:v>
      </x:c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  <x:c r="AA159" s="4"/>
      <x:c r="AB159" s="4"/>
      <x:c r="AC159" s="4"/>
      <x:c r="AD159" s="4"/>
      <x:c r="AE159" s="4"/>
    </x:row>
    <x:row r="160">
      <x:c r="A160" s="4" t="str">
        <x:v>No</x:v>
      </x:c>
      <x:c r="B160" s="4" t="str">
        <x:v>A</x:v>
      </x:c>
      <x:c r="C160" s="4" t="str">
        <x:v>Whitetail Deer</x:v>
      </x:c>
      <x:c r="D160" s="4" t="str">
        <x:v>Guadalupe River SP</x:v>
      </x:c>
      <x:c r="E160" s="4" t="str">
        <x:v>Gun Deer - Either Sex</x:v>
      </x:c>
      <x:c r="F160" s="24" t="str">
        <x:v>2026-09-15</x:v>
      </x:c>
      <x:c r="G160" s="4" t="n">
        <x:v>520</x:v>
      </x:c>
      <x:c r="H160" s="4"/>
      <x:c r="I160" s="4"/>
      <x:c r="J160" s="4"/>
      <x:c r="K160" s="4" t="str">
        <x:v>Verified in TPWD 2026-2027 statewide deer category catalog.</x:v>
      </x:c>
      <x:c r="L160" s="4" t="str">
        <x:v>https://tpwd.texas.gov/huntwild/hunt/public/public_hunt_drawing/hunt-category-details.phtml?OCat=GDE</x:v>
      </x:c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  <x:c r="AA160" s="4"/>
      <x:c r="AB160" s="4"/>
      <x:c r="AC160" s="4"/>
      <x:c r="AD160" s="4"/>
      <x:c r="AE160" s="4"/>
    </x:row>
    <x:row r="161">
      <x:c r="A161" s="4" t="str">
        <x:v>No</x:v>
      </x:c>
      <x:c r="B161" s="4" t="str">
        <x:v>A</x:v>
      </x:c>
      <x:c r="C161" s="4" t="str">
        <x:v>Whitetail Deer</x:v>
      </x:c>
      <x:c r="D161" s="4" t="str">
        <x:v>Gus Engeling WMA</x:v>
      </x:c>
      <x:c r="E161" s="4" t="str">
        <x:v>Gun Deer - Antlerless/Spike</x:v>
      </x:c>
      <x:c r="F161" s="24" t="str">
        <x:v>2026-09-15</x:v>
      </x:c>
      <x:c r="G161" s="4" t="n">
        <x:v>500</x:v>
      </x:c>
      <x:c r="H161" s="4"/>
      <x:c r="I161" s="4"/>
      <x:c r="J161" s="4"/>
      <x:c r="K161" s="4" t="str">
        <x:v>Verified in TPWD 2026-2027 statewide deer category catalog.</x:v>
      </x:c>
      <x:c r="L161" s="4" t="str">
        <x:v>https://tpwd.texas.gov/huntwild/hunt/public/public_hunt_drawing/hunt-category-details.phtml?OCat=GDA</x:v>
      </x:c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  <x:c r="AA161" s="4"/>
      <x:c r="AB161" s="4"/>
      <x:c r="AC161" s="4"/>
      <x:c r="AD161" s="4"/>
      <x:c r="AE161" s="4"/>
    </x:row>
    <x:row r="162">
      <x:c r="A162" s="4" t="str">
        <x:v>No</x:v>
      </x:c>
      <x:c r="B162" s="4" t="str">
        <x:v>A</x:v>
      </x:c>
      <x:c r="C162" s="4" t="str">
        <x:v>Whitetail Deer</x:v>
      </x:c>
      <x:c r="D162" s="4" t="str">
        <x:v>Gus Engeling WMA</x:v>
      </x:c>
      <x:c r="E162" s="4" t="str">
        <x:v>Gun Deer - Either Sex</x:v>
      </x:c>
      <x:c r="F162" s="24" t="str">
        <x:v>2026-09-15</x:v>
      </x:c>
      <x:c r="G162" s="4" t="n">
        <x:v>500</x:v>
      </x:c>
      <x:c r="H162" s="4"/>
      <x:c r="I162" s="4"/>
      <x:c r="J162" s="4"/>
      <x:c r="K162" s="4" t="str">
        <x:v>Verified in TPWD 2026-2027 statewide deer category catalog.</x:v>
      </x:c>
      <x:c r="L162" s="4" t="str">
        <x:v>https://tpwd.texas.gov/huntwild/hunt/public/public_hunt_drawing/hunt-category-details.phtml?OCat=GDE</x:v>
      </x:c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  <x:c r="AA162" s="4"/>
      <x:c r="AB162" s="4"/>
      <x:c r="AC162" s="4"/>
      <x:c r="AD162" s="4"/>
      <x:c r="AE162" s="4"/>
    </x:row>
    <x:row r="163">
      <x:c r="A163" s="4" t="str">
        <x:v>No</x:v>
      </x:c>
      <x:c r="B163" s="4" t="str">
        <x:v>A</x:v>
      </x:c>
      <x:c r="C163" s="4" t="str">
        <x:v>Whitetail Deer</x:v>
      </x:c>
      <x:c r="D163" s="4" t="str">
        <x:v>Gus Engeling WMA</x:v>
      </x:c>
      <x:c r="E163" s="4" t="str">
        <x:v>Youth Gun Deer - Antlerless/Spike</x:v>
      </x:c>
      <x:c r="F163" s="24" t="str">
        <x:v>2026-09-15</x:v>
      </x:c>
      <x:c r="G163" s="4" t="n">
        <x:v>500</x:v>
      </x:c>
      <x:c r="H163" s="4"/>
      <x:c r="I163" s="4"/>
      <x:c r="J163" s="4"/>
      <x:c r="K163" s="4" t="str">
        <x:v>Verified in TPWD 2026-2027 statewide deer category catalog.</x:v>
      </x:c>
      <x:c r="L163" s="4" t="str">
        <x:v>https://tpwd.texas.gov/huntwild/hunt/public/public_hunt_drawing/hunt-category-details.phtml?OCat=YDA</x:v>
      </x:c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  <x:c r="AA163" s="4"/>
      <x:c r="AB163" s="4"/>
      <x:c r="AC163" s="4"/>
      <x:c r="AD163" s="4"/>
      <x:c r="AE163" s="4"/>
    </x:row>
    <x:row r="164">
      <x:c r="A164" s="4" t="str">
        <x:v>No</x:v>
      </x:c>
      <x:c r="B164" s="4" t="str">
        <x:v>A</x:v>
      </x:c>
      <x:c r="C164" s="4" t="str">
        <x:v>Whitetail Deer</x:v>
      </x:c>
      <x:c r="D164" s="4" t="str">
        <x:v>Hill Country SNA</x:v>
      </x:c>
      <x:c r="E164" s="4" t="str">
        <x:v>Gun Deer - Antlerless/Spike</x:v>
      </x:c>
      <x:c r="F164" s="24" t="str">
        <x:v>2026-09-15</x:v>
      </x:c>
      <x:c r="G164" s="4" t="n">
        <x:v>520</x:v>
      </x:c>
      <x:c r="H164" s="4"/>
      <x:c r="I164" s="4"/>
      <x:c r="J164" s="4"/>
      <x:c r="K164" s="4" t="str">
        <x:v>Verified in TPWD 2026-2027 statewide deer category catalog.</x:v>
      </x:c>
      <x:c r="L164" s="4" t="str">
        <x:v>https://tpwd.texas.gov/huntwild/hunt/public/public_hunt_drawing/hunt-category-details.phtml?OCat=GDA</x:v>
      </x:c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  <x:c r="AA164" s="4"/>
      <x:c r="AB164" s="4"/>
      <x:c r="AC164" s="4"/>
      <x:c r="AD164" s="4"/>
      <x:c r="AE164" s="4"/>
    </x:row>
    <x:row r="165">
      <x:c r="A165" s="4" t="str">
        <x:v>No</x:v>
      </x:c>
      <x:c r="B165" s="4" t="str">
        <x:v>A</x:v>
      </x:c>
      <x:c r="C165" s="4" t="str">
        <x:v>Whitetail Deer</x:v>
      </x:c>
      <x:c r="D165" s="4" t="str">
        <x:v>Honey Creek SNA</x:v>
      </x:c>
      <x:c r="E165" s="4" t="str">
        <x:v>Gun Deer - Either Sex</x:v>
      </x:c>
      <x:c r="F165" s="24" t="str">
        <x:v>2026-09-15</x:v>
      </x:c>
      <x:c r="G165" s="4" t="n">
        <x:v>520</x:v>
      </x:c>
      <x:c r="H165" s="4"/>
      <x:c r="I165" s="4"/>
      <x:c r="J165" s="4"/>
      <x:c r="K165" s="4" t="str">
        <x:v>Verified in TPWD 2026-2027 statewide deer category catalog.</x:v>
      </x:c>
      <x:c r="L165" s="4" t="str">
        <x:v>https://tpwd.texas.gov/huntwild/hunt/public/public_hunt_drawing/hunt-category-details.phtml?OCat=GDE</x:v>
      </x:c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  <x:c r="AA165" s="4"/>
      <x:c r="AB165" s="4"/>
      <x:c r="AC165" s="4"/>
      <x:c r="AD165" s="4"/>
      <x:c r="AE165" s="4"/>
    </x:row>
    <x:row r="166">
      <x:c r="A166" s="4" t="str">
        <x:v>No</x:v>
      </x:c>
      <x:c r="B166" s="4" t="str">
        <x:v>A</x:v>
      </x:c>
      <x:c r="C166" s="4" t="str">
        <x:v>Whitetail Deer</x:v>
      </x:c>
      <x:c r="D166" s="4" t="str">
        <x:v>Huntsville SP</x:v>
      </x:c>
      <x:c r="E166" s="4" t="str">
        <x:v>Gun Deer - Either Sex</x:v>
      </x:c>
      <x:c r="F166" s="24" t="str">
        <x:v>2026-09-15</x:v>
      </x:c>
      <x:c r="G166" s="4" t="n">
        <x:v>570</x:v>
      </x:c>
      <x:c r="H166" s="4"/>
      <x:c r="I166" s="4"/>
      <x:c r="J166" s="4"/>
      <x:c r="K166" s="4" t="str">
        <x:v>Verified in TPWD 2026-2027 statewide deer category catalog.</x:v>
      </x:c>
      <x:c r="L166" s="4" t="str">
        <x:v>https://tpwd.texas.gov/huntwild/hunt/public/public_hunt_drawing/hunt-category-details.phtml?OCat=GDE</x:v>
      </x:c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  <x:c r="AA166" s="4"/>
      <x:c r="AB166" s="4"/>
      <x:c r="AC166" s="4"/>
      <x:c r="AD166" s="4"/>
      <x:c r="AE166" s="4"/>
    </x:row>
    <x:row r="167">
      <x:c r="A167" s="4" t="str">
        <x:v>No</x:v>
      </x:c>
      <x:c r="B167" s="4" t="str">
        <x:v>A</x:v>
      </x:c>
      <x:c r="C167" s="4" t="str">
        <x:v>Whitetail Deer</x:v>
      </x:c>
      <x:c r="D167" s="4" t="str">
        <x:v>Inks Lake/Longhorn Caverns SP</x:v>
      </x:c>
      <x:c r="E167" s="4" t="str">
        <x:v>Gun Deer - Antlerless/Spike</x:v>
      </x:c>
      <x:c r="F167" s="24" t="str">
        <x:v>2026-09-15</x:v>
      </x:c>
      <x:c r="G167" s="4" t="n">
        <x:v>490</x:v>
      </x:c>
      <x:c r="H167" s="4"/>
      <x:c r="I167" s="4"/>
      <x:c r="J167" s="4"/>
      <x:c r="K167" s="4" t="str">
        <x:v>Verified in TPWD 2026-2027 statewide deer category catalog.</x:v>
      </x:c>
      <x:c r="L167" s="4" t="str">
        <x:v>https://tpwd.texas.gov/huntwild/hunt/public/public_hunt_drawing/hunt-category-details.phtml?OCat=GDA</x:v>
      </x:c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  <x:c r="AA167" s="4"/>
      <x:c r="AB167" s="4"/>
      <x:c r="AC167" s="4"/>
      <x:c r="AD167" s="4"/>
      <x:c r="AE167" s="4"/>
    </x:row>
    <x:row r="168">
      <x:c r="A168" s="4" t="str">
        <x:v>No</x:v>
      </x:c>
      <x:c r="B168" s="4" t="str">
        <x:v>A</x:v>
      </x:c>
      <x:c r="C168" s="4" t="str">
        <x:v>Whitetail Deer</x:v>
      </x:c>
      <x:c r="D168" s="4" t="str">
        <x:v>Inks Lake/Longhorn Caverns SP</x:v>
      </x:c>
      <x:c r="E168" s="4" t="str">
        <x:v>Gun Deer - Either Sex</x:v>
      </x:c>
      <x:c r="F168" s="24" t="str">
        <x:v>2026-09-15</x:v>
      </x:c>
      <x:c r="G168" s="4" t="n">
        <x:v>490</x:v>
      </x:c>
      <x:c r="H168" s="4"/>
      <x:c r="I168" s="4"/>
      <x:c r="J168" s="4"/>
      <x:c r="K168" s="4" t="str">
        <x:v>Verified in TPWD 2026-2027 statewide deer category catalog.</x:v>
      </x:c>
      <x:c r="L168" s="4" t="str">
        <x:v>https://tpwd.texas.gov/huntwild/hunt/public/public_hunt_drawing/hunt-category-details.phtml?OCat=GDE</x:v>
      </x:c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  <x:c r="AA168" s="4"/>
      <x:c r="AB168" s="4"/>
      <x:c r="AC168" s="4"/>
      <x:c r="AD168" s="4"/>
      <x:c r="AE168" s="4"/>
    </x:row>
    <x:row r="169">
      <x:c r="A169" s="4" t="str">
        <x:v>No</x:v>
      </x:c>
      <x:c r="B169" s="4" t="str">
        <x:v>A</x:v>
      </x:c>
      <x:c r="C169" s="4" t="str">
        <x:v>Whitetail Deer</x:v>
      </x:c>
      <x:c r="D169" s="4" t="str">
        <x:v>James Daughtrey WMA</x:v>
      </x:c>
      <x:c r="E169" s="4" t="str">
        <x:v>Gun Deer - Either Sex</x:v>
      </x:c>
      <x:c r="F169" s="24" t="str">
        <x:v>2026-09-15</x:v>
      </x:c>
      <x:c r="G169" s="4" t="n">
        <x:v>700</x:v>
      </x:c>
      <x:c r="H169" s="4"/>
      <x:c r="I169" s="4"/>
      <x:c r="J169" s="4"/>
      <x:c r="K169" s="4" t="str">
        <x:v>Verified in TPWD 2026-2027 statewide deer category catalog.</x:v>
      </x:c>
      <x:c r="L169" s="4" t="str">
        <x:v>https://tpwd.texas.gov/huntwild/hunt/public/public_hunt_drawing/hunt-category-details.phtml?OCat=GDE</x:v>
      </x:c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  <x:c r="AA169" s="4"/>
      <x:c r="AB169" s="4"/>
      <x:c r="AC169" s="4"/>
      <x:c r="AD169" s="4"/>
      <x:c r="AE169" s="4"/>
    </x:row>
    <x:row r="170">
      <x:c r="A170" s="4" t="str">
        <x:v>No</x:v>
      </x:c>
      <x:c r="B170" s="4" t="str">
        <x:v>A</x:v>
      </x:c>
      <x:c r="C170" s="4" t="str">
        <x:v>Whitetail Deer</x:v>
      </x:c>
      <x:c r="D170" s="4" t="str">
        <x:v>James Daughtrey WMA</x:v>
      </x:c>
      <x:c r="E170" s="4" t="str">
        <x:v>Gun Deer - Management</x:v>
      </x:c>
      <x:c r="F170" s="24" t="str">
        <x:v>2026-09-15</x:v>
      </x:c>
      <x:c r="G170" s="4" t="n">
        <x:v>700</x:v>
      </x:c>
      <x:c r="H170" s="4"/>
      <x:c r="I170" s="4"/>
      <x:c r="J170" s="4"/>
      <x:c r="K170" s="4" t="str">
        <x:v>Verified in TPWD 2026-2027 statewide deer category catalog.</x:v>
      </x:c>
      <x:c r="L170" s="4" t="str">
        <x:v>https://tpwd.texas.gov/huntwild/hunt/public/public_hunt_drawing/hunt-category-details.phtml?OCat=GDM</x:v>
      </x:c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  <x:c r="AA170" s="4"/>
      <x:c r="AB170" s="4"/>
      <x:c r="AC170" s="4"/>
      <x:c r="AD170" s="4"/>
      <x:c r="AE170" s="4"/>
    </x:row>
    <x:row r="171">
      <x:c r="A171" s="4" t="str">
        <x:v>No</x:v>
      </x:c>
      <x:c r="B171" s="4" t="str">
        <x:v>A</x:v>
      </x:c>
      <x:c r="C171" s="4" t="str">
        <x:v>Whitetail Deer</x:v>
      </x:c>
      <x:c r="D171" s="4" t="str">
        <x:v>James Daughtrey WMA</x:v>
      </x:c>
      <x:c r="E171" s="4" t="str">
        <x:v>Youth Gun Deer - Antlerless/Spike</x:v>
      </x:c>
      <x:c r="F171" s="24" t="str">
        <x:v>2026-09-15</x:v>
      </x:c>
      <x:c r="G171" s="4" t="n">
        <x:v>700</x:v>
      </x:c>
      <x:c r="H171" s="4"/>
      <x:c r="I171" s="4"/>
      <x:c r="J171" s="4"/>
      <x:c r="K171" s="4" t="str">
        <x:v>Verified in TPWD 2026-2027 statewide deer category catalog.</x:v>
      </x:c>
      <x:c r="L171" s="4" t="str">
        <x:v>https://tpwd.texas.gov/huntwild/hunt/public/public_hunt_drawing/hunt-category-details.phtml?OCat=YDA</x:v>
      </x:c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  <x:c r="AA171" s="4"/>
      <x:c r="AB171" s="4"/>
      <x:c r="AC171" s="4"/>
      <x:c r="AD171" s="4"/>
      <x:c r="AE171" s="4"/>
    </x:row>
    <x:row r="172">
      <x:c r="A172" s="4" t="str">
        <x:v>No</x:v>
      </x:c>
      <x:c r="B172" s="4" t="str">
        <x:v>A</x:v>
      </x:c>
      <x:c r="C172" s="4" t="str">
        <x:v>Whitetail Deer</x:v>
      </x:c>
      <x:c r="D172" s="4" t="str">
        <x:v>James Daughtrey WMA</x:v>
      </x:c>
      <x:c r="E172" s="4" t="str">
        <x:v>Youth Gun Deer - Management</x:v>
      </x:c>
      <x:c r="F172" s="24" t="str">
        <x:v>2026-09-15</x:v>
      </x:c>
      <x:c r="G172" s="4" t="n">
        <x:v>700</x:v>
      </x:c>
      <x:c r="H172" s="4"/>
      <x:c r="I172" s="4"/>
      <x:c r="J172" s="4"/>
      <x:c r="K172" s="4" t="str">
        <x:v>Verified in TPWD 2026-2027 statewide deer category catalog.</x:v>
      </x:c>
      <x:c r="L172" s="4" t="str">
        <x:v>https://tpwd.texas.gov/huntwild/hunt/public/public_hunt_drawing/hunt-category-details.phtml?OCat=YDM</x:v>
      </x:c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  <x:c r="AA172" s="4"/>
      <x:c r="AB172" s="4"/>
      <x:c r="AC172" s="4"/>
      <x:c r="AD172" s="4"/>
      <x:c r="AE172" s="4"/>
    </x:row>
    <x:row r="173">
      <x:c r="A173" s="4" t="str">
        <x:v>No</x:v>
      </x:c>
      <x:c r="B173" s="4" t="str">
        <x:v>A</x:v>
      </x:c>
      <x:c r="C173" s="4" t="str">
        <x:v>Whitetail Deer</x:v>
      </x:c>
      <x:c r="D173" s="4" t="str">
        <x:v>Justin Hurst WMA</x:v>
      </x:c>
      <x:c r="E173" s="4" t="str">
        <x:v>Youth Gun Deer - Antlerless/Spike</x:v>
      </x:c>
      <x:c r="F173" s="24" t="str">
        <x:v>2026-09-15</x:v>
      </x:c>
      <x:c r="G173" s="4" t="n">
        <x:v>610</x:v>
      </x:c>
      <x:c r="H173" s="4"/>
      <x:c r="I173" s="4"/>
      <x:c r="J173" s="4"/>
      <x:c r="K173" s="4" t="str">
        <x:v>Verified in TPWD 2026-2027 statewide deer category catalog.</x:v>
      </x:c>
      <x:c r="L173" s="4" t="str">
        <x:v>https://tpwd.texas.gov/huntwild/hunt/public/public_hunt_drawing/hunt-category-details.phtml?OCat=YDA</x:v>
      </x:c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  <x:c r="AA173" s="4"/>
      <x:c r="AB173" s="4"/>
      <x:c r="AC173" s="4"/>
      <x:c r="AD173" s="4"/>
      <x:c r="AE173" s="4"/>
    </x:row>
    <x:row r="174">
      <x:c r="A174" s="4" t="str">
        <x:v>No</x:v>
      </x:c>
      <x:c r="B174" s="4" t="str">
        <x:v>A</x:v>
      </x:c>
      <x:c r="C174" s="4" t="str">
        <x:v>Whitetail Deer</x:v>
      </x:c>
      <x:c r="D174" s="4" t="str">
        <x:v>Keechi Creek WMA</x:v>
      </x:c>
      <x:c r="E174" s="4" t="str">
        <x:v>E-Postcard Deer</x:v>
      </x:c>
      <x:c r="F174" s="24" t="str">
        <x:v>2026-09-15</x:v>
      </x:c>
      <x:c r="G174" s="4" t="n">
        <x:v>500</x:v>
      </x:c>
      <x:c r="H174" s="4"/>
      <x:c r="I174" s="4"/>
      <x:c r="J174" s="4"/>
      <x:c r="K174" s="4" t="str">
        <x:v>Verified in TPWD 2026-2027 statewide deer category catalog. APH/eligibility rules apply; confirm account and permit requirements.</x:v>
      </x:c>
      <x:c r="L174" s="4" t="str">
        <x:v>https://tpwd.texas.gov/huntwild/hunt/public/public_hunt_drawing/hunt-category-details.phtml?OCat=EDR</x:v>
      </x:c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  <x:c r="AA174" s="4"/>
      <x:c r="AB174" s="4"/>
      <x:c r="AC174" s="4"/>
      <x:c r="AD174" s="4"/>
      <x:c r="AE174" s="4"/>
    </x:row>
    <x:row r="175">
      <x:c r="A175" s="4" t="str">
        <x:v>No</x:v>
      </x:c>
      <x:c r="B175" s="4" t="str">
        <x:v>A</x:v>
      </x:c>
      <x:c r="C175" s="4" t="str">
        <x:v>Whitetail Deer</x:v>
      </x:c>
      <x:c r="D175" s="4" t="str">
        <x:v>Kerr WMA</x:v>
      </x:c>
      <x:c r="E175" s="4" t="str">
        <x:v>Gun Deer - Either Sex</x:v>
      </x:c>
      <x:c r="F175" s="24" t="str">
        <x:v>2026-09-15</x:v>
      </x:c>
      <x:c r="G175" s="4" t="n">
        <x:v>520</x:v>
      </x:c>
      <x:c r="H175" s="4"/>
      <x:c r="I175" s="4"/>
      <x:c r="J175" s="4"/>
      <x:c r="K175" s="4" t="str">
        <x:v>Verified in TPWD 2026-2027 statewide deer category catalog.</x:v>
      </x:c>
      <x:c r="L175" s="4" t="str">
        <x:v>https://tpwd.texas.gov/huntwild/hunt/public/public_hunt_drawing/hunt-category-details.phtml?OCat=GDE</x:v>
      </x:c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  <x:c r="AA175" s="4"/>
      <x:c r="AB175" s="4"/>
      <x:c r="AC175" s="4"/>
      <x:c r="AD175" s="4"/>
      <x:c r="AE175" s="4"/>
    </x:row>
    <x:row r="176">
      <x:c r="A176" s="4" t="str">
        <x:v>No</x:v>
      </x:c>
      <x:c r="B176" s="4" t="str">
        <x:v>A</x:v>
      </x:c>
      <x:c r="C176" s="4" t="str">
        <x:v>Whitetail Deer</x:v>
      </x:c>
      <x:c r="D176" s="4" t="str">
        <x:v>Kerr WMA</x:v>
      </x:c>
      <x:c r="E176" s="4" t="str">
        <x:v>Gun Deer - Management</x:v>
      </x:c>
      <x:c r="F176" s="24" t="str">
        <x:v>2026-09-15</x:v>
      </x:c>
      <x:c r="G176" s="4" t="n">
        <x:v>520</x:v>
      </x:c>
      <x:c r="H176" s="4"/>
      <x:c r="I176" s="4"/>
      <x:c r="J176" s="4"/>
      <x:c r="K176" s="4" t="str">
        <x:v>Verified in TPWD 2026-2027 statewide deer category catalog.</x:v>
      </x:c>
      <x:c r="L176" s="4" t="str">
        <x:v>https://tpwd.texas.gov/huntwild/hunt/public/public_hunt_drawing/hunt-category-details.phtml?OCat=GDM</x:v>
      </x:c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  <x:c r="AA176" s="4"/>
      <x:c r="AB176" s="4"/>
      <x:c r="AC176" s="4"/>
      <x:c r="AD176" s="4"/>
      <x:c r="AE176" s="4"/>
    </x:row>
    <x:row r="177">
      <x:c r="A177" s="4" t="str">
        <x:v>No</x:v>
      </x:c>
      <x:c r="B177" s="4" t="str">
        <x:v>A</x:v>
      </x:c>
      <x:c r="C177" s="4" t="str">
        <x:v>Whitetail Deer</x:v>
      </x:c>
      <x:c r="D177" s="4" t="str">
        <x:v>Laguna Atascosa NWR</x:v>
      </x:c>
      <x:c r="E177" s="4" t="str">
        <x:v>National Refuge General Deer</x:v>
      </x:c>
      <x:c r="F177" s="24" t="str">
        <x:v>2026-09-15</x:v>
      </x:c>
      <x:c r="G177" s="4" t="n">
        <x:v>700</x:v>
      </x:c>
      <x:c r="H177" s="4"/>
      <x:c r="I177" s="4"/>
      <x:c r="J177" s="4"/>
      <x:c r="K177" s="4" t="str">
        <x:v>Verified in TPWD 2026-2027 statewide deer category catalog. Refuge-specific rules and permit fees may apply.</x:v>
      </x:c>
      <x:c r="L177" s="4" t="str">
        <x:v>https://tpwd.texas.gov/huntwild/hunt/public/public_hunt_drawing/hunt-category-details.phtml?OCat=NGE</x:v>
      </x:c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  <x:c r="AA177" s="4"/>
      <x:c r="AB177" s="4"/>
      <x:c r="AC177" s="4"/>
      <x:c r="AD177" s="4"/>
      <x:c r="AE177" s="4"/>
    </x:row>
    <x:row r="178">
      <x:c r="A178" s="4" t="str">
        <x:v>No</x:v>
      </x:c>
      <x:c r="B178" s="4" t="str">
        <x:v>A</x:v>
      </x:c>
      <x:c r="C178" s="4" t="str">
        <x:v>Whitetail Deer</x:v>
      </x:c>
      <x:c r="D178" s="4" t="str">
        <x:v>Lake Brownwood SP</x:v>
      </x:c>
      <x:c r="E178" s="4" t="str">
        <x:v>Gun Deer - Antlerless/Spike</x:v>
      </x:c>
      <x:c r="F178" s="24" t="str">
        <x:v>2026-09-15</x:v>
      </x:c>
      <x:c r="G178" s="4" t="n">
        <x:v>300</x:v>
      </x:c>
      <x:c r="H178" s="4"/>
      <x:c r="I178" s="4"/>
      <x:c r="J178" s="4"/>
      <x:c r="K178" s="4" t="str">
        <x:v>Verified in TPWD 2026-2027 statewide deer category catalog.</x:v>
      </x:c>
      <x:c r="L178" s="4" t="str">
        <x:v>https://tpwd.texas.gov/huntwild/hunt/public/public_hunt_drawing/hunt-category-details.phtml?OCat=GDA</x:v>
      </x:c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  <x:c r="AA178" s="4"/>
      <x:c r="AB178" s="4"/>
      <x:c r="AC178" s="4"/>
      <x:c r="AD178" s="4"/>
      <x:c r="AE178" s="4"/>
    </x:row>
    <x:row r="179">
      <x:c r="A179" s="4" t="str">
        <x:v>No</x:v>
      </x:c>
      <x:c r="B179" s="4" t="str">
        <x:v>A</x:v>
      </x:c>
      <x:c r="C179" s="4" t="str">
        <x:v>Whitetail Deer</x:v>
      </x:c>
      <x:c r="D179" s="4" t="str">
        <x:v>Lake McClellan Recreation Area</x:v>
      </x:c>
      <x:c r="E179" s="4" t="str">
        <x:v>Youth Gun Deer - Antlerless/Spike</x:v>
      </x:c>
      <x:c r="F179" s="24" t="str">
        <x:v>2026-09-15</x:v>
      </x:c>
      <x:c r="G179" s="4" t="n">
        <x:v>130</x:v>
      </x:c>
      <x:c r="H179" s="4"/>
      <x:c r="I179" s="4"/>
      <x:c r="J179" s="4"/>
      <x:c r="K179" s="4" t="str">
        <x:v>Verified in TPWD 2026-2027 statewide deer category catalog.</x:v>
      </x:c>
      <x:c r="L179" s="4" t="str">
        <x:v>https://tpwd.texas.gov/huntwild/hunt/public/public_hunt_drawing/hunt-category-details.phtml?OCat=YDA</x:v>
      </x:c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  <x:c r="AA179" s="4"/>
      <x:c r="AB179" s="4"/>
      <x:c r="AC179" s="4"/>
      <x:c r="AD179" s="4"/>
      <x:c r="AE179" s="4"/>
    </x:row>
    <x:row r="180">
      <x:c r="A180" s="4" t="str">
        <x:v>No</x:v>
      </x:c>
      <x:c r="B180" s="4" t="str">
        <x:v>A</x:v>
      </x:c>
      <x:c r="C180" s="4" t="str">
        <x:v>Whitetail Deer</x:v>
      </x:c>
      <x:c r="D180" s="4" t="str">
        <x:v>Lake Mineral Wells SP</x:v>
      </x:c>
      <x:c r="E180" s="4" t="str">
        <x:v>Gun Deer - Either Sex</x:v>
      </x:c>
      <x:c r="F180" s="24" t="str">
        <x:v>2026-09-15</x:v>
      </x:c>
      <x:c r="G180" s="4" t="n">
        <x:v>360</x:v>
      </x:c>
      <x:c r="H180" s="4"/>
      <x:c r="I180" s="4"/>
      <x:c r="J180" s="4"/>
      <x:c r="K180" s="4" t="str">
        <x:v>Verified in TPWD 2026-2027 statewide deer category catalog.</x:v>
      </x:c>
      <x:c r="L180" s="4" t="str">
        <x:v>https://tpwd.texas.gov/huntwild/hunt/public/public_hunt_drawing/hunt-category-details.phtml?OCat=GDE</x:v>
      </x:c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  <x:c r="AA180" s="4"/>
      <x:c r="AB180" s="4"/>
      <x:c r="AC180" s="4"/>
      <x:c r="AD180" s="4"/>
      <x:c r="AE180" s="4"/>
    </x:row>
    <x:row r="181">
      <x:c r="A181" s="4" t="str">
        <x:v>No</x:v>
      </x:c>
      <x:c r="B181" s="4" t="str">
        <x:v>A</x:v>
      </x:c>
      <x:c r="C181" s="4" t="str">
        <x:v>Whitetail Deer</x:v>
      </x:c>
      <x:c r="D181" s="4" t="str">
        <x:v>Lake Somerville SP - Birch Creek Unit</x:v>
      </x:c>
      <x:c r="E181" s="4" t="str">
        <x:v>Gun Deer - Antlerless/Spike</x:v>
      </x:c>
      <x:c r="F181" s="24" t="str">
        <x:v>2026-09-15</x:v>
      </x:c>
      <x:c r="G181" s="4" t="n">
        <x:v>490</x:v>
      </x:c>
      <x:c r="H181" s="4"/>
      <x:c r="I181" s="4"/>
      <x:c r="J181" s="4"/>
      <x:c r="K181" s="4" t="str">
        <x:v>Verified in TPWD 2026-2027 statewide deer category catalog.</x:v>
      </x:c>
      <x:c r="L181" s="4" t="str">
        <x:v>https://tpwd.texas.gov/huntwild/hunt/public/public_hunt_drawing/hunt-category-details.phtml?OCat=GDA</x:v>
      </x:c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  <x:c r="AA181" s="4"/>
      <x:c r="AB181" s="4"/>
      <x:c r="AC181" s="4"/>
      <x:c r="AD181" s="4"/>
      <x:c r="AE181" s="4"/>
    </x:row>
    <x:row r="182">
      <x:c r="A182" s="4" t="str">
        <x:v>No</x:v>
      </x:c>
      <x:c r="B182" s="4" t="str">
        <x:v>A</x:v>
      </x:c>
      <x:c r="C182" s="4" t="str">
        <x:v>Whitetail Deer</x:v>
      </x:c>
      <x:c r="D182" s="4" t="str">
        <x:v>Lake Somerville SP - Nails Creek Unit</x:v>
      </x:c>
      <x:c r="E182" s="4" t="str">
        <x:v>Gun Deer - Antlerless/Spike</x:v>
      </x:c>
      <x:c r="F182" s="24" t="str">
        <x:v>2026-09-15</x:v>
      </x:c>
      <x:c r="G182" s="4" t="n">
        <x:v>490</x:v>
      </x:c>
      <x:c r="H182" s="4"/>
      <x:c r="I182" s="4"/>
      <x:c r="J182" s="4"/>
      <x:c r="K182" s="4" t="str">
        <x:v>Verified in TPWD 2026-2027 statewide deer category catalog.</x:v>
      </x:c>
      <x:c r="L182" s="4" t="str">
        <x:v>https://tpwd.texas.gov/huntwild/hunt/public/public_hunt_drawing/hunt-category-details.phtml?OCat=GDA</x:v>
      </x:c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  <x:c r="AA182" s="4"/>
      <x:c r="AB182" s="4"/>
      <x:c r="AC182" s="4"/>
      <x:c r="AD182" s="4"/>
      <x:c r="AE182" s="4"/>
    </x:row>
    <x:row r="183">
      <x:c r="A183" s="4" t="str">
        <x:v>No</x:v>
      </x:c>
      <x:c r="B183" s="4" t="str">
        <x:v>A</x:v>
      </x:c>
      <x:c r="C183" s="4" t="str">
        <x:v>Whitetail Deer</x:v>
      </x:c>
      <x:c r="D183" s="4" t="str">
        <x:v>Lake Tawakoni State Park</x:v>
      </x:c>
      <x:c r="E183" s="4" t="str">
        <x:v>Youth Gun Deer - Antlerless/Spike</x:v>
      </x:c>
      <x:c r="F183" s="24" t="str">
        <x:v>2026-09-15</x:v>
      </x:c>
      <x:c r="G183" s="4" t="n">
        <x:v>360</x:v>
      </x:c>
      <x:c r="H183" s="4"/>
      <x:c r="I183" s="4"/>
      <x:c r="J183" s="4"/>
      <x:c r="K183" s="4" t="str">
        <x:v>Verified in TPWD 2026-2027 statewide deer category catalog.</x:v>
      </x:c>
      <x:c r="L183" s="4" t="str">
        <x:v>https://tpwd.texas.gov/huntwild/hunt/public/public_hunt_drawing/hunt-category-details.phtml?OCat=YDA</x:v>
      </x:c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  <x:c r="AA183" s="4"/>
      <x:c r="AB183" s="4"/>
      <x:c r="AC183" s="4"/>
      <x:c r="AD183" s="4"/>
      <x:c r="AE183" s="4"/>
    </x:row>
    <x:row r="184">
      <x:c r="A184" s="4" t="str">
        <x:v>No</x:v>
      </x:c>
      <x:c r="B184" s="4" t="str">
        <x:v>A</x:v>
      </x:c>
      <x:c r="C184" s="4" t="str">
        <x:v>Whitetail Deer</x:v>
      </x:c>
      <x:c r="D184" s="4" t="str">
        <x:v>Lake Whitney SP</x:v>
      </x:c>
      <x:c r="E184" s="4" t="str">
        <x:v>Gun Deer - Antlerless/Spike</x:v>
      </x:c>
      <x:c r="F184" s="24" t="str">
        <x:v>2026-09-15</x:v>
      </x:c>
      <x:c r="G184" s="4" t="n">
        <x:v>490</x:v>
      </x:c>
      <x:c r="H184" s="4"/>
      <x:c r="I184" s="4"/>
      <x:c r="J184" s="4"/>
      <x:c r="K184" s="4" t="str">
        <x:v>Verified in TPWD 2026-2027 statewide deer category catalog.</x:v>
      </x:c>
      <x:c r="L184" s="4" t="str">
        <x:v>https://tpwd.texas.gov/huntwild/hunt/public/public_hunt_drawing/hunt-category-details.phtml?OCat=GDA</x:v>
      </x:c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  <x:c r="AA184" s="4"/>
      <x:c r="AB184" s="4"/>
      <x:c r="AC184" s="4"/>
      <x:c r="AD184" s="4"/>
      <x:c r="AE184" s="4"/>
    </x:row>
    <x:row r="185">
      <x:c r="A185" s="4" t="str">
        <x:v>No</x:v>
      </x:c>
      <x:c r="B185" s="4" t="str">
        <x:v>A</x:v>
      </x:c>
      <x:c r="C185" s="4" t="str">
        <x:v>Whitetail Deer</x:v>
      </x:c>
      <x:c r="D185" s="4" t="str">
        <x:v>Las Palomas WMA - Arroyo Colorado Unit</x:v>
      </x:c>
      <x:c r="E185" s="4" t="str">
        <x:v>Gun Deer - Either Sex</x:v>
      </x:c>
      <x:c r="F185" s="24" t="str">
        <x:v>2026-09-15</x:v>
      </x:c>
      <x:c r="G185" s="4" t="n">
        <x:v>700</x:v>
      </x:c>
      <x:c r="H185" s="4"/>
      <x:c r="I185" s="4"/>
      <x:c r="J185" s="4"/>
      <x:c r="K185" s="4" t="str">
        <x:v>Verified in TPWD 2026-2027 statewide deer category catalog.</x:v>
      </x:c>
      <x:c r="L185" s="4" t="str">
        <x:v>https://tpwd.texas.gov/huntwild/hunt/public/public_hunt_drawing/hunt-category-details.phtml?OCat=GDE</x:v>
      </x:c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  <x:c r="AA185" s="4"/>
      <x:c r="AB185" s="4"/>
      <x:c r="AC185" s="4"/>
      <x:c r="AD185" s="4"/>
      <x:c r="AE185" s="4"/>
    </x:row>
    <x:row r="186">
      <x:c r="A186" s="4" t="str">
        <x:v>No</x:v>
      </x:c>
      <x:c r="B186" s="4" t="str">
        <x:v>A</x:v>
      </x:c>
      <x:c r="C186" s="4" t="str">
        <x:v>Whitetail Deer</x:v>
      </x:c>
      <x:c r="D186" s="4" t="str">
        <x:v>Las Palomas WMA - Arroyo Colorado Unit</x:v>
      </x:c>
      <x:c r="E186" s="4" t="str">
        <x:v>Youth Gun Deer - Management</x:v>
      </x:c>
      <x:c r="F186" s="24" t="str">
        <x:v>2026-09-15</x:v>
      </x:c>
      <x:c r="G186" s="4" t="n">
        <x:v>700</x:v>
      </x:c>
      <x:c r="H186" s="4"/>
      <x:c r="I186" s="4"/>
      <x:c r="J186" s="4"/>
      <x:c r="K186" s="4" t="str">
        <x:v>Verified in TPWD 2026-2027 statewide deer category catalog.</x:v>
      </x:c>
      <x:c r="L186" s="4" t="str">
        <x:v>https://tpwd.texas.gov/huntwild/hunt/public/public_hunt_drawing/hunt-category-details.phtml?OCat=YDM</x:v>
      </x:c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  <x:c r="AA186" s="4"/>
      <x:c r="AB186" s="4"/>
      <x:c r="AC186" s="4"/>
      <x:c r="AD186" s="4"/>
      <x:c r="AE186" s="4"/>
    </x:row>
    <x:row r="187">
      <x:c r="A187" s="4" t="str">
        <x:v>No</x:v>
      </x:c>
      <x:c r="B187" s="4" t="str">
        <x:v>A</x:v>
      </x:c>
      <x:c r="C187" s="4" t="str">
        <x:v>Whitetail Deer</x:v>
      </x:c>
      <x:c r="D187" s="4" t="str">
        <x:v>Lost Maples SNA</x:v>
      </x:c>
      <x:c r="E187" s="4" t="str">
        <x:v>Gun Deer - Antlerless/Spike</x:v>
      </x:c>
      <x:c r="F187" s="24" t="str">
        <x:v>2026-09-15</x:v>
      </x:c>
      <x:c r="G187" s="4" t="n">
        <x:v>520</x:v>
      </x:c>
      <x:c r="H187" s="4"/>
      <x:c r="I187" s="4"/>
      <x:c r="J187" s="4"/>
      <x:c r="K187" s="4" t="str">
        <x:v>Verified in TPWD 2026-2027 statewide deer category catalog.</x:v>
      </x:c>
      <x:c r="L187" s="4" t="str">
        <x:v>https://tpwd.texas.gov/huntwild/hunt/public/public_hunt_drawing/hunt-category-details.phtml?OCat=GDA</x:v>
      </x:c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  <x:c r="AA187" s="4"/>
      <x:c r="AB187" s="4"/>
      <x:c r="AC187" s="4"/>
      <x:c r="AD187" s="4"/>
      <x:c r="AE187" s="4"/>
    </x:row>
    <x:row r="188">
      <x:c r="A188" s="4" t="str">
        <x:v>No</x:v>
      </x:c>
      <x:c r="B188" s="4" t="str">
        <x:v>A</x:v>
      </x:c>
      <x:c r="C188" s="4" t="str">
        <x:v>Whitetail Deer</x:v>
      </x:c>
      <x:c r="D188" s="4" t="str">
        <x:v>Lower Rio Grande Valley NWR - East Lake</x:v>
      </x:c>
      <x:c r="E188" s="4" t="str">
        <x:v>National Refuge General Deer</x:v>
      </x:c>
      <x:c r="F188" s="24" t="str">
        <x:v>2026-09-15</x:v>
      </x:c>
      <x:c r="G188" s="4" t="n">
        <x:v>700</x:v>
      </x:c>
      <x:c r="H188" s="4"/>
      <x:c r="I188" s="4"/>
      <x:c r="J188" s="4"/>
      <x:c r="K188" s="4" t="str">
        <x:v>Verified in TPWD 2026-2027 statewide deer category catalog. Refuge-specific rules and permit fees may apply.</x:v>
      </x:c>
      <x:c r="L188" s="4" t="str">
        <x:v>https://tpwd.texas.gov/huntwild/hunt/public/public_hunt_drawing/hunt-category-details.phtml?OCat=NGE</x:v>
      </x:c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  <x:c r="AA188" s="4"/>
      <x:c r="AB188" s="4"/>
      <x:c r="AC188" s="4"/>
      <x:c r="AD188" s="4"/>
      <x:c r="AE188" s="4"/>
    </x:row>
    <x:row r="189">
      <x:c r="A189" s="4" t="str">
        <x:v>No</x:v>
      </x:c>
      <x:c r="B189" s="4" t="str">
        <x:v>A</x:v>
      </x:c>
      <x:c r="C189" s="4" t="str">
        <x:v>Whitetail Deer</x:v>
      </x:c>
      <x:c r="D189" s="4" t="str">
        <x:v>Mad Island WMA</x:v>
      </x:c>
      <x:c r="E189" s="4" t="str">
        <x:v>E-Postcard Youth Deer</x:v>
      </x:c>
      <x:c r="F189" s="24" t="str">
        <x:v>2026-09-15</x:v>
      </x:c>
      <x:c r="G189" s="4" t="n">
        <x:v>610</x:v>
      </x:c>
      <x:c r="H189" s="4"/>
      <x:c r="I189" s="4"/>
      <x:c r="J189" s="4"/>
      <x:c r="K189" s="4" t="str">
        <x:v>Verified in TPWD 2026-2027 statewide deer category catalog. APH/eligibility rules apply; confirm account and permit requirements.</x:v>
      </x:c>
      <x:c r="L189" s="4" t="str">
        <x:v>https://tpwd.texas.gov/huntwild/hunt/public/public_hunt_drawing/hunt-category-details.phtml?OCat=EYD</x:v>
      </x:c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  <x:c r="AA189" s="4"/>
      <x:c r="AB189" s="4"/>
      <x:c r="AC189" s="4"/>
      <x:c r="AD189" s="4"/>
      <x:c r="AE189" s="4"/>
    </x:row>
    <x:row r="190">
      <x:c r="A190" s="4" t="str">
        <x:v>No</x:v>
      </x:c>
      <x:c r="B190" s="4" t="str">
        <x:v>A</x:v>
      </x:c>
      <x:c r="C190" s="4" t="str">
        <x:v>Whitetail Deer</x:v>
      </x:c>
      <x:c r="D190" s="4" t="str">
        <x:v>Mason Mountain WMA</x:v>
      </x:c>
      <x:c r="E190" s="4" t="str">
        <x:v>Gun Deer - Either Sex</x:v>
      </x:c>
      <x:c r="F190" s="24" t="str">
        <x:v>2026-09-15</x:v>
      </x:c>
      <x:c r="G190" s="4" t="n">
        <x:v>520</x:v>
      </x:c>
      <x:c r="H190" s="4"/>
      <x:c r="I190" s="4"/>
      <x:c r="J190" s="4"/>
      <x:c r="K190" s="4" t="str">
        <x:v>Verified in TPWD 2026-2027 statewide deer category catalog.</x:v>
      </x:c>
      <x:c r="L190" s="4" t="str">
        <x:v>https://tpwd.texas.gov/huntwild/hunt/public/public_hunt_drawing/hunt-category-details.phtml?OCat=GDE</x:v>
      </x:c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  <x:c r="AA190" s="4"/>
      <x:c r="AB190" s="4"/>
      <x:c r="AC190" s="4"/>
      <x:c r="AD190" s="4"/>
      <x:c r="AE190" s="4"/>
    </x:row>
    <x:row r="191">
      <x:c r="A191" s="4" t="str">
        <x:v>No</x:v>
      </x:c>
      <x:c r="B191" s="4" t="str">
        <x:v>A</x:v>
      </x:c>
      <x:c r="C191" s="4" t="str">
        <x:v>Whitetail Deer</x:v>
      </x:c>
      <x:c r="D191" s="4" t="str">
        <x:v>Mason Mountain WMA</x:v>
      </x:c>
      <x:c r="E191" s="4" t="str">
        <x:v>Gun Deer - Management</x:v>
      </x:c>
      <x:c r="F191" s="24" t="str">
        <x:v>2026-09-15</x:v>
      </x:c>
      <x:c r="G191" s="4" t="n">
        <x:v>520</x:v>
      </x:c>
      <x:c r="H191" s="4"/>
      <x:c r="I191" s="4"/>
      <x:c r="J191" s="4"/>
      <x:c r="K191" s="4" t="str">
        <x:v>Verified in TPWD 2026-2027 statewide deer category catalog.</x:v>
      </x:c>
      <x:c r="L191" s="4" t="str">
        <x:v>https://tpwd.texas.gov/huntwild/hunt/public/public_hunt_drawing/hunt-category-details.phtml?OCat=GDM</x:v>
      </x:c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  <x:c r="AA191" s="4"/>
      <x:c r="AB191" s="4"/>
      <x:c r="AC191" s="4"/>
      <x:c r="AD191" s="4"/>
      <x:c r="AE191" s="4"/>
    </x:row>
    <x:row r="192">
      <x:c r="A192" s="4" t="str">
        <x:v>No</x:v>
      </x:c>
      <x:c r="B192" s="4" t="str">
        <x:v>A</x:v>
      </x:c>
      <x:c r="C192" s="4" t="str">
        <x:v>Whitetail Deer</x:v>
      </x:c>
      <x:c r="D192" s="4" t="str">
        <x:v>Mason Mountain WMA</x:v>
      </x:c>
      <x:c r="E192" s="4" t="str">
        <x:v>Youth Gun Deer - Management</x:v>
      </x:c>
      <x:c r="F192" s="24" t="str">
        <x:v>2026-09-15</x:v>
      </x:c>
      <x:c r="G192" s="4" t="n">
        <x:v>520</x:v>
      </x:c>
      <x:c r="H192" s="4"/>
      <x:c r="I192" s="4"/>
      <x:c r="J192" s="4"/>
      <x:c r="K192" s="4" t="str">
        <x:v>Verified in TPWD 2026-2027 statewide deer category catalog.</x:v>
      </x:c>
      <x:c r="L192" s="4" t="str">
        <x:v>https://tpwd.texas.gov/huntwild/hunt/public/public_hunt_drawing/hunt-category-details.phtml?OCat=YDM</x:v>
      </x:c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  <x:c r="AA192" s="4"/>
      <x:c r="AB192" s="4"/>
      <x:c r="AC192" s="4"/>
      <x:c r="AD192" s="4"/>
      <x:c r="AE192" s="4"/>
    </x:row>
    <x:row r="193">
      <x:c r="A193" s="4" t="str">
        <x:v>No</x:v>
      </x:c>
      <x:c r="B193" s="4" t="str">
        <x:v>A</x:v>
      </x:c>
      <x:c r="C193" s="4" t="str">
        <x:v>Whitetail Deer</x:v>
      </x:c>
      <x:c r="D193" s="4" t="str">
        <x:v>Matador WMA</x:v>
      </x:c>
      <x:c r="E193" s="4" t="str">
        <x:v>Gun Deer - Either Sex</x:v>
      </x:c>
      <x:c r="F193" s="24" t="str">
        <x:v>2026-09-15</x:v>
      </x:c>
      <x:c r="G193" s="4" t="n">
        <x:v>130</x:v>
      </x:c>
      <x:c r="H193" s="4"/>
      <x:c r="I193" s="4"/>
      <x:c r="J193" s="4"/>
      <x:c r="K193" s="4" t="str">
        <x:v>Verified in TPWD 2026-2027 statewide deer category catalog.</x:v>
      </x:c>
      <x:c r="L193" s="4" t="str">
        <x:v>https://tpwd.texas.gov/huntwild/hunt/public/public_hunt_drawing/hunt-category-details.phtml?OCat=GDE</x:v>
      </x:c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  <x:c r="AA193" s="4"/>
      <x:c r="AB193" s="4"/>
      <x:c r="AC193" s="4"/>
      <x:c r="AD193" s="4"/>
      <x:c r="AE193" s="4"/>
    </x:row>
    <x:row r="194">
      <x:c r="A194" s="4" t="str">
        <x:v>No</x:v>
      </x:c>
      <x:c r="B194" s="4" t="str">
        <x:v>A</x:v>
      </x:c>
      <x:c r="C194" s="4" t="str">
        <x:v>Whitetail Deer</x:v>
      </x:c>
      <x:c r="D194" s="4" t="str">
        <x:v>Matagorda Island WMA</x:v>
      </x:c>
      <x:c r="E194" s="4" t="str">
        <x:v>Gun Deer - Either Sex</x:v>
      </x:c>
      <x:c r="F194" s="24" t="str">
        <x:v>2026-09-15</x:v>
      </x:c>
      <x:c r="G194" s="4" t="n">
        <x:v>610</x:v>
      </x:c>
      <x:c r="H194" s="4"/>
      <x:c r="I194" s="4"/>
      <x:c r="J194" s="4"/>
      <x:c r="K194" s="4" t="str">
        <x:v>Verified in TPWD 2026-2027 statewide deer category catalog.</x:v>
      </x:c>
      <x:c r="L194" s="4" t="str">
        <x:v>https://tpwd.texas.gov/huntwild/hunt/public/public_hunt_drawing/hunt-category-details.phtml?OCat=GDE</x:v>
      </x:c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  <x:c r="AA194" s="4"/>
      <x:c r="AB194" s="4"/>
      <x:c r="AC194" s="4"/>
      <x:c r="AD194" s="4"/>
      <x:c r="AE194" s="4"/>
    </x:row>
    <x:row r="195">
      <x:c r="A195" s="4" t="str">
        <x:v>No</x:v>
      </x:c>
      <x:c r="B195" s="4" t="str">
        <x:v>A</x:v>
      </x:c>
      <x:c r="C195" s="4" t="str">
        <x:v>Whitetail Deer</x:v>
      </x:c>
      <x:c r="D195" s="4" t="str">
        <x:v>Moore Plantation WMA</x:v>
      </x:c>
      <x:c r="E195" s="4" t="str">
        <x:v>USFS Antlerless Deer Permit - Youth</x:v>
      </x:c>
      <x:c r="F195" s="24" t="str">
        <x:v>2026-09-15</x:v>
      </x:c>
      <x:c r="G195" s="4" t="n">
        <x:v>570</x:v>
      </x:c>
      <x:c r="H195" s="4"/>
      <x:c r="I195" s="4"/>
      <x:c r="J195" s="4"/>
      <x:c r="K195" s="4" t="str">
        <x:v>Verified in TPWD 2026-2027 statewide deer category catalog. APH/eligibility rules apply; confirm account and permit requirements.</x:v>
      </x:c>
      <x:c r="L195" s="4" t="str">
        <x:v>https://tpwd.texas.gov/huntwild/hunt/public/public_hunt_drawing/hunt-category-details.phtml?OCat=FSY</x:v>
      </x:c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  <x:c r="AA195" s="4"/>
      <x:c r="AB195" s="4"/>
      <x:c r="AC195" s="4"/>
      <x:c r="AD195" s="4"/>
      <x:c r="AE195" s="4"/>
    </x:row>
    <x:row r="196">
      <x:c r="A196" s="4" t="str">
        <x:v>No</x:v>
      </x:c>
      <x:c r="B196" s="4" t="str">
        <x:v>A</x:v>
      </x:c>
      <x:c r="C196" s="4" t="str">
        <x:v>Whitetail Deer</x:v>
      </x:c>
      <x:c r="D196" s="4" t="str">
        <x:v>Muse WMA</x:v>
      </x:c>
      <x:c r="E196" s="4" t="str">
        <x:v>Gun Deer - Either Sex</x:v>
      </x:c>
      <x:c r="F196" s="24" t="str">
        <x:v>2026-09-15</x:v>
      </x:c>
      <x:c r="G196" s="4" t="n">
        <x:v>500</x:v>
      </x:c>
      <x:c r="H196" s="4"/>
      <x:c r="I196" s="4"/>
      <x:c r="J196" s="4"/>
      <x:c r="K196" s="4" t="str">
        <x:v>Verified in TPWD 2026-2027 statewide deer category catalog.</x:v>
      </x:c>
      <x:c r="L196" s="4" t="str">
        <x:v>https://tpwd.texas.gov/huntwild/hunt/public/public_hunt_drawing/hunt-category-details.phtml?OCat=GDE</x:v>
      </x:c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  <x:c r="AA196" s="4"/>
      <x:c r="AB196" s="4"/>
      <x:c r="AC196" s="4"/>
      <x:c r="AD196" s="4"/>
      <x:c r="AE196" s="4"/>
    </x:row>
    <x:row r="197">
      <x:c r="A197" s="4" t="str">
        <x:v>No</x:v>
      </x:c>
      <x:c r="B197" s="4" t="str">
        <x:v>A</x:v>
      </x:c>
      <x:c r="C197" s="4" t="str">
        <x:v>Whitetail Deer</x:v>
      </x:c>
      <x:c r="D197" s="4" t="str">
        <x:v>Muse WMA</x:v>
      </x:c>
      <x:c r="E197" s="4" t="str">
        <x:v>Youth Gun Deer - Antlerless/Spike</x:v>
      </x:c>
      <x:c r="F197" s="24" t="str">
        <x:v>2026-09-15</x:v>
      </x:c>
      <x:c r="G197" s="4" t="n">
        <x:v>500</x:v>
      </x:c>
      <x:c r="H197" s="4"/>
      <x:c r="I197" s="4"/>
      <x:c r="J197" s="4"/>
      <x:c r="K197" s="4" t="str">
        <x:v>Verified in TPWD 2026-2027 statewide deer category catalog.</x:v>
      </x:c>
      <x:c r="L197" s="4" t="str">
        <x:v>https://tpwd.texas.gov/huntwild/hunt/public/public_hunt_drawing/hunt-category-details.phtml?OCat=YDA</x:v>
      </x:c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  <x:c r="AA197" s="4"/>
      <x:c r="AB197" s="4"/>
      <x:c r="AC197" s="4"/>
      <x:c r="AD197" s="4"/>
      <x:c r="AE197" s="4"/>
    </x:row>
    <x:row r="198">
      <x:c r="A198" s="4" t="str">
        <x:v>No</x:v>
      </x:c>
      <x:c r="B198" s="4" t="str">
        <x:v>A</x:v>
      </x:c>
      <x:c r="C198" s="4" t="str">
        <x:v>Whitetail Deer</x:v>
      </x:c>
      <x:c r="D198" s="4" t="str">
        <x:v>Nannie Stringfellow WMA</x:v>
      </x:c>
      <x:c r="E198" s="4" t="str">
        <x:v>Gun Deer - Antlerless/Spike</x:v>
      </x:c>
      <x:c r="F198" s="24" t="str">
        <x:v>2026-09-15</x:v>
      </x:c>
      <x:c r="G198" s="4" t="n">
        <x:v>610</x:v>
      </x:c>
      <x:c r="H198" s="4"/>
      <x:c r="I198" s="4"/>
      <x:c r="J198" s="4"/>
      <x:c r="K198" s="4" t="str">
        <x:v>Verified in TPWD 2026-2027 statewide deer category catalog.</x:v>
      </x:c>
      <x:c r="L198" s="4" t="str">
        <x:v>https://tpwd.texas.gov/huntwild/hunt/public/public_hunt_drawing/hunt-category-details.phtml?OCat=GDA</x:v>
      </x:c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  <x:c r="AA198" s="4"/>
      <x:c r="AB198" s="4"/>
      <x:c r="AC198" s="4"/>
      <x:c r="AD198" s="4"/>
      <x:c r="AE198" s="4"/>
    </x:row>
    <x:row r="199">
      <x:c r="A199" s="4" t="str">
        <x:v>No</x:v>
      </x:c>
      <x:c r="B199" s="4" t="str">
        <x:v>A</x:v>
      </x:c>
      <x:c r="C199" s="4" t="str">
        <x:v>Whitetail Deer</x:v>
      </x:c>
      <x:c r="D199" s="4" t="str">
        <x:v>Nannie Stringfellow WMA</x:v>
      </x:c>
      <x:c r="E199" s="4" t="str">
        <x:v>Youth Gun Deer - Antlerless/Spike</x:v>
      </x:c>
      <x:c r="F199" s="24" t="str">
        <x:v>2026-09-15</x:v>
      </x:c>
      <x:c r="G199" s="4" t="n">
        <x:v>610</x:v>
      </x:c>
      <x:c r="H199" s="4"/>
      <x:c r="I199" s="4"/>
      <x:c r="J199" s="4"/>
      <x:c r="K199" s="4" t="str">
        <x:v>Verified in TPWD 2026-2027 statewide deer category catalog.</x:v>
      </x:c>
      <x:c r="L199" s="4" t="str">
        <x:v>https://tpwd.texas.gov/huntwild/hunt/public/public_hunt_drawing/hunt-category-details.phtml?OCat=YDA</x:v>
      </x:c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  <x:c r="AA199" s="4"/>
      <x:c r="AB199" s="4"/>
      <x:c r="AC199" s="4"/>
      <x:c r="AD199" s="4"/>
      <x:c r="AE199" s="4"/>
    </x:row>
    <x:row r="200">
      <x:c r="A200" s="4" t="str">
        <x:v>No</x:v>
      </x:c>
      <x:c r="B200" s="4" t="str">
        <x:v>A</x:v>
      </x:c>
      <x:c r="C200" s="4" t="str">
        <x:v>Whitetail Deer</x:v>
      </x:c>
      <x:c r="D200" s="4" t="str">
        <x:v>Neches River NWR - Dead Water Unit</x:v>
      </x:c>
      <x:c r="E200" s="4" t="str">
        <x:v>National Refuge General Deer</x:v>
      </x:c>
      <x:c r="F200" s="24" t="str">
        <x:v>2026-09-15</x:v>
      </x:c>
      <x:c r="G200" s="4" t="n">
        <x:v>570</x:v>
      </x:c>
      <x:c r="H200" s="4"/>
      <x:c r="I200" s="4"/>
      <x:c r="J200" s="4"/>
      <x:c r="K200" s="4" t="str">
        <x:v>Verified in TPWD 2026-2027 statewide deer category catalog. Refuge-specific rules and permit fees may apply.</x:v>
      </x:c>
      <x:c r="L200" s="4" t="str">
        <x:v>https://tpwd.texas.gov/huntwild/hunt/public/public_hunt_drawing/hunt-category-details.phtml?OCat=NGE</x:v>
      </x:c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  <x:c r="AA200" s="4"/>
      <x:c r="AB200" s="4"/>
      <x:c r="AC200" s="4"/>
      <x:c r="AD200" s="4"/>
      <x:c r="AE200" s="4"/>
    </x:row>
    <x:row r="201">
      <x:c r="A201" s="2" t="str">
        <x:v>No</x:v>
      </x:c>
      <x:c r="B201" s="2" t="str">
        <x:v>A</x:v>
      </x:c>
      <x:c r="C201" s="2" t="str">
        <x:v>Whitetail Deer</x:v>
      </x:c>
      <x:c r="D201" s="2" t="str">
        <x:v>Neches River NWR - Rocky Point Unit</x:v>
      </x:c>
      <x:c r="E201" s="2" t="str">
        <x:v>National Refuge General Deer</x:v>
      </x:c>
      <x:c r="F201" s="97" t="str">
        <x:v>2026-09-15</x:v>
      </x:c>
      <x:c r="G201" s="2" t="n">
        <x:v>570</x:v>
      </x:c>
      <x:c r="H201" s="2"/>
      <x:c r="I201" s="2"/>
      <x:c r="J201" s="2"/>
      <x:c r="K201" s="2" t="str">
        <x:v>Verified in TPWD 2026-2027 statewide deer category catalog. Refuge-specific rules and permit fees may apply.</x:v>
      </x:c>
      <x:c r="L201" s="2" t="str">
        <x:v>https://tpwd.texas.gov/huntwild/hunt/public/public_hunt_drawing/hunt-category-details.phtml?OCat=NGE</x:v>
      </x:c>
    </x:row>
    <x:row r="202">
      <x:c r="A202" s="2" t="str">
        <x:v>No</x:v>
      </x:c>
      <x:c r="B202" s="2" t="str">
        <x:v>A</x:v>
      </x:c>
      <x:c r="C202" s="2" t="str">
        <x:v>Whitetail Deer</x:v>
      </x:c>
      <x:c r="D202" s="2" t="str">
        <x:v>Neches River NWR - Sandy Bluff Unit</x:v>
      </x:c>
      <x:c r="E202" s="2" t="str">
        <x:v>National Refuge General Deer</x:v>
      </x:c>
      <x:c r="F202" s="97" t="str">
        <x:v>2026-09-15</x:v>
      </x:c>
      <x:c r="G202" s="2" t="n">
        <x:v>570</x:v>
      </x:c>
      <x:c r="H202" s="2"/>
      <x:c r="I202" s="2"/>
      <x:c r="J202" s="2"/>
      <x:c r="K202" s="2" t="str">
        <x:v>Verified in TPWD 2026-2027 statewide deer category catalog. Refuge-specific rules and permit fees may apply.</x:v>
      </x:c>
      <x:c r="L202" s="2" t="str">
        <x:v>https://tpwd.texas.gov/huntwild/hunt/public/public_hunt_drawing/hunt-category-details.phtml?OCat=NGE</x:v>
      </x:c>
    </x:row>
    <x:row r="203">
      <x:c r="A203" s="2" t="str">
        <x:v>No</x:v>
      </x:c>
      <x:c r="B203" s="2" t="str">
        <x:v>A</x:v>
      </x:c>
      <x:c r="C203" s="2" t="str">
        <x:v>Whitetail Deer</x:v>
      </x:c>
      <x:c r="D203" s="2" t="str">
        <x:v>Neches River NWR - Walnut Branch Unit</x:v>
      </x:c>
      <x:c r="E203" s="2" t="str">
        <x:v>National Refuge General Deer</x:v>
      </x:c>
      <x:c r="F203" s="97" t="str">
        <x:v>2026-09-15</x:v>
      </x:c>
      <x:c r="G203" s="2" t="n">
        <x:v>570</x:v>
      </x:c>
      <x:c r="H203" s="2"/>
      <x:c r="I203" s="2"/>
      <x:c r="J203" s="2"/>
      <x:c r="K203" s="2" t="str">
        <x:v>Verified in TPWD 2026-2027 statewide deer category catalog. Refuge-specific rules and permit fees may apply.</x:v>
      </x:c>
      <x:c r="L203" s="2" t="str">
        <x:v>https://tpwd.texas.gov/huntwild/hunt/public/public_hunt_drawing/hunt-category-details.phtml?OCat=NGE</x:v>
      </x:c>
    </x:row>
    <x:row r="204">
      <x:c r="A204" s="2" t="str">
        <x:v>No</x:v>
      </x:c>
      <x:c r="B204" s="2" t="str">
        <x:v>A</x:v>
      </x:c>
      <x:c r="C204" s="2" t="str">
        <x:v>Whitetail Deer</x:v>
      </x:c>
      <x:c r="D204" s="2" t="str">
        <x:v>Old Sabine Bottom WMA</x:v>
      </x:c>
      <x:c r="E204" s="2" t="str">
        <x:v>E-Postcard Deer</x:v>
      </x:c>
      <x:c r="F204" s="97" t="str">
        <x:v>2026-09-15</x:v>
      </x:c>
      <x:c r="G204" s="2" t="n">
        <x:v>570</x:v>
      </x:c>
      <x:c r="H204" s="2"/>
      <x:c r="I204" s="2"/>
      <x:c r="J204" s="2"/>
      <x:c r="K204" s="2" t="str">
        <x:v>Verified in TPWD 2026-2027 statewide deer category catalog. APH/eligibility rules apply; confirm account and permit requirements.</x:v>
      </x:c>
      <x:c r="L204" s="2" t="str">
        <x:v>https://tpwd.texas.gov/huntwild/hunt/public/public_hunt_drawing/hunt-category-details.phtml?OCat=EDR</x:v>
      </x:c>
    </x:row>
    <x:row r="205">
      <x:c r="A205" s="2" t="str">
        <x:v>No</x:v>
      </x:c>
      <x:c r="B205" s="2" t="str">
        <x:v>A</x:v>
      </x:c>
      <x:c r="C205" s="2" t="str">
        <x:v>Whitetail Deer</x:v>
      </x:c>
      <x:c r="D205" s="2" t="str">
        <x:v>Old Sabine Bottom WMA</x:v>
      </x:c>
      <x:c r="E205" s="2" t="str">
        <x:v>Gun Deer - Either Sex</x:v>
      </x:c>
      <x:c r="F205" s="97" t="str">
        <x:v>2026-09-15</x:v>
      </x:c>
      <x:c r="G205" s="2" t="n">
        <x:v>570</x:v>
      </x:c>
      <x:c r="H205" s="2"/>
      <x:c r="I205" s="2"/>
      <x:c r="J205" s="2"/>
      <x:c r="K205" s="2" t="str">
        <x:v>Verified in TPWD 2026-2027 statewide deer category catalog.</x:v>
      </x:c>
      <x:c r="L205" s="2" t="str">
        <x:v>https://tpwd.texas.gov/huntwild/hunt/public/public_hunt_drawing/hunt-category-details.phtml?OCat=GDE</x:v>
      </x:c>
    </x:row>
    <x:row r="206">
      <x:c r="A206" s="2" t="str">
        <x:v>No</x:v>
      </x:c>
      <x:c r="B206" s="2" t="str">
        <x:v>A</x:v>
      </x:c>
      <x:c r="C206" s="2" t="str">
        <x:v>Whitetail Deer</x:v>
      </x:c>
      <x:c r="D206" s="2" t="str">
        <x:v>Palmetto SP</x:v>
      </x:c>
      <x:c r="E206" s="2" t="str">
        <x:v>Youth Gun Deer - Antlerless/Spike</x:v>
      </x:c>
      <x:c r="F206" s="97" t="str">
        <x:v>2026-09-15</x:v>
      </x:c>
      <x:c r="G206" s="2" t="n">
        <x:v>490</x:v>
      </x:c>
      <x:c r="H206" s="2"/>
      <x:c r="I206" s="2"/>
      <x:c r="J206" s="2"/>
      <x:c r="K206" s="2" t="str">
        <x:v>Verified in TPWD 2026-2027 statewide deer category catalog.</x:v>
      </x:c>
      <x:c r="L206" s="2" t="str">
        <x:v>https://tpwd.texas.gov/huntwild/hunt/public/public_hunt_drawing/hunt-category-details.phtml?OCat=YDA</x:v>
      </x:c>
    </x:row>
    <x:row r="207">
      <x:c r="A207" s="2" t="str">
        <x:v>No</x:v>
      </x:c>
      <x:c r="B207" s="2" t="str">
        <x:v>A</x:v>
      </x:c>
      <x:c r="C207" s="2" t="str">
        <x:v>Whitetail Deer</x:v>
      </x:c>
      <x:c r="D207" s="2" t="str">
        <x:v>Palo Duro Canyon SP</x:v>
      </x:c>
      <x:c r="E207" s="2" t="str">
        <x:v>Youth Gun Deer - Antlerless/Spike</x:v>
      </x:c>
      <x:c r="F207" s="97" t="str">
        <x:v>2026-09-15</x:v>
      </x:c>
      <x:c r="G207" s="2" t="n">
        <x:v>130</x:v>
      </x:c>
      <x:c r="H207" s="2"/>
      <x:c r="I207" s="2"/>
      <x:c r="J207" s="2"/>
      <x:c r="K207" s="2" t="str">
        <x:v>Verified in TPWD 2026-2027 statewide deer category catalog.</x:v>
      </x:c>
      <x:c r="L207" s="2" t="str">
        <x:v>https://tpwd.texas.gov/huntwild/hunt/public/public_hunt_drawing/hunt-category-details.phtml?OCat=YDA</x:v>
      </x:c>
    </x:row>
    <x:row r="208">
      <x:c r="A208" s="2" t="str">
        <x:v>No</x:v>
      </x:c>
      <x:c r="B208" s="2" t="str">
        <x:v>A</x:v>
      </x:c>
      <x:c r="C208" s="2" t="str">
        <x:v>Whitetail Deer</x:v>
      </x:c>
      <x:c r="D208" s="2" t="str">
        <x:v>Palo Duro Canyon SP</x:v>
      </x:c>
      <x:c r="E208" s="2" t="str">
        <x:v>Youth Gun Deer - Management</x:v>
      </x:c>
      <x:c r="F208" s="97" t="str">
        <x:v>2026-09-15</x:v>
      </x:c>
      <x:c r="G208" s="2" t="n">
        <x:v>130</x:v>
      </x:c>
      <x:c r="H208" s="2"/>
      <x:c r="I208" s="2"/>
      <x:c r="J208" s="2"/>
      <x:c r="K208" s="2" t="str">
        <x:v>Verified in TPWD 2026-2027 statewide deer category catalog.</x:v>
      </x:c>
      <x:c r="L208" s="2" t="str">
        <x:v>https://tpwd.texas.gov/huntwild/hunt/public/public_hunt_drawing/hunt-category-details.phtml?OCat=YDM</x:v>
      </x:c>
    </x:row>
    <x:row r="209">
      <x:c r="A209" s="2" t="str">
        <x:v>No</x:v>
      </x:c>
      <x:c r="B209" s="2" t="str">
        <x:v>A</x:v>
      </x:c>
      <x:c r="C209" s="2" t="str">
        <x:v>Whitetail Deer</x:v>
      </x:c>
      <x:c r="D209" s="2" t="str">
        <x:v>Pat Mayse WMA</x:v>
      </x:c>
      <x:c r="E209" s="2" t="str">
        <x:v>Gun Deer - Either Sex</x:v>
      </x:c>
      <x:c r="F209" s="97" t="str">
        <x:v>2026-09-15</x:v>
      </x:c>
      <x:c r="G209" s="2" t="n">
        <x:v>360</x:v>
      </x:c>
      <x:c r="H209" s="2"/>
      <x:c r="I209" s="2"/>
      <x:c r="J209" s="2"/>
      <x:c r="K209" s="2" t="str">
        <x:v>Verified in TPWD 2026-2027 statewide deer category catalog.</x:v>
      </x:c>
      <x:c r="L209" s="2" t="str">
        <x:v>https://tpwd.texas.gov/huntwild/hunt/public/public_hunt_drawing/hunt-category-details.phtml?OCat=GDE</x:v>
      </x:c>
    </x:row>
    <x:row r="210">
      <x:c r="A210" s="2" t="str">
        <x:v>No</x:v>
      </x:c>
      <x:c r="B210" s="2" t="str">
        <x:v>A</x:v>
      </x:c>
      <x:c r="C210" s="2" t="str">
        <x:v>Whitetail Deer</x:v>
      </x:c>
      <x:c r="D210" s="2" t="str">
        <x:v>Paul &amp; Toni Fox Burns WMA</x:v>
      </x:c>
      <x:c r="E210" s="2" t="str">
        <x:v>Youth Gun Deer - Antlerless/Spike</x:v>
      </x:c>
      <x:c r="F210" s="97" t="str">
        <x:v>2026-09-15</x:v>
      </x:c>
      <x:c r="G210" s="2" t="n">
        <x:v>500</x:v>
      </x:c>
      <x:c r="H210" s="2"/>
      <x:c r="I210" s="2"/>
      <x:c r="J210" s="2"/>
      <x:c r="K210" s="2" t="str">
        <x:v>Verified in TPWD 2026-2027 statewide deer category catalog.</x:v>
      </x:c>
      <x:c r="L210" s="2" t="str">
        <x:v>https://tpwd.texas.gov/huntwild/hunt/public/public_hunt_drawing/hunt-category-details.phtml?OCat=YDA</x:v>
      </x:c>
    </x:row>
    <x:row r="211">
      <x:c r="A211" s="2" t="str">
        <x:v>No</x:v>
      </x:c>
      <x:c r="B211" s="2" t="str">
        <x:v>A</x:v>
      </x:c>
      <x:c r="C211" s="2" t="str">
        <x:v>Whitetail Deer</x:v>
      </x:c>
      <x:c r="D211" s="2" t="str">
        <x:v>Pedernales Falls SP</x:v>
      </x:c>
      <x:c r="E211" s="2" t="str">
        <x:v>Gun Deer - Antlerless/Spike</x:v>
      </x:c>
      <x:c r="F211" s="97" t="str">
        <x:v>2026-09-15</x:v>
      </x:c>
      <x:c r="G211" s="2" t="n">
        <x:v>520</x:v>
      </x:c>
      <x:c r="H211" s="2"/>
      <x:c r="I211" s="2"/>
      <x:c r="J211" s="2"/>
      <x:c r="K211" s="2" t="str">
        <x:v>Verified in TPWD 2026-2027 statewide deer category catalog.</x:v>
      </x:c>
      <x:c r="L211" s="2" t="str">
        <x:v>https://tpwd.texas.gov/huntwild/hunt/public/public_hunt_drawing/hunt-category-details.phtml?OCat=GDA</x:v>
      </x:c>
    </x:row>
    <x:row r="212">
      <x:c r="A212" s="2" t="str">
        <x:v>No</x:v>
      </x:c>
      <x:c r="B212" s="2" t="str">
        <x:v>A</x:v>
      </x:c>
      <x:c r="C212" s="2" t="str">
        <x:v>Whitetail Deer</x:v>
      </x:c>
      <x:c r="D212" s="2" t="str">
        <x:v>Pedernales Falls SP Annex</x:v>
      </x:c>
      <x:c r="E212" s="2" t="str">
        <x:v>Gun Deer - Either Sex</x:v>
      </x:c>
      <x:c r="F212" s="97" t="str">
        <x:v>2026-09-15</x:v>
      </x:c>
      <x:c r="G212" s="2" t="n">
        <x:v>520</x:v>
      </x:c>
      <x:c r="H212" s="2"/>
      <x:c r="I212" s="2"/>
      <x:c r="J212" s="2"/>
      <x:c r="K212" s="2" t="str">
        <x:v>Verified in TPWD 2026-2027 statewide deer category catalog.</x:v>
      </x:c>
      <x:c r="L212" s="2" t="str">
        <x:v>https://tpwd.texas.gov/huntwild/hunt/public/public_hunt_drawing/hunt-category-details.phtml?OCat=GDE</x:v>
      </x:c>
    </x:row>
    <x:row r="213">
      <x:c r="A213" s="2" t="str">
        <x:v>No</x:v>
      </x:c>
      <x:c r="B213" s="2" t="str">
        <x:v>A</x:v>
      </x:c>
      <x:c r="C213" s="2" t="str">
        <x:v>Whitetail Deer</x:v>
      </x:c>
      <x:c r="D213" s="2" t="str">
        <x:v>Possum Kingdom SP</x:v>
      </x:c>
      <x:c r="E213" s="2" t="str">
        <x:v>Youth Gun Deer - Antlerless/Spike</x:v>
      </x:c>
      <x:c r="F213" s="97" t="str">
        <x:v>2026-09-15</x:v>
      </x:c>
      <x:c r="G213" s="2" t="n">
        <x:v>500</x:v>
      </x:c>
      <x:c r="H213" s="2"/>
      <x:c r="I213" s="2"/>
      <x:c r="J213" s="2"/>
      <x:c r="K213" s="2" t="str">
        <x:v>Verified in TPWD 2026-2027 statewide deer category catalog.</x:v>
      </x:c>
      <x:c r="L213" s="2" t="str">
        <x:v>https://tpwd.texas.gov/huntwild/hunt/public/public_hunt_drawing/hunt-category-details.phtml?OCat=YDA</x:v>
      </x:c>
    </x:row>
    <x:row r="214">
      <x:c r="A214" s="2" t="str">
        <x:v>No</x:v>
      </x:c>
      <x:c r="B214" s="2" t="str">
        <x:v>A</x:v>
      </x:c>
      <x:c r="C214" s="2" t="str">
        <x:v>Whitetail Deer</x:v>
      </x:c>
      <x:c r="D214" s="2" t="str">
        <x:v>Post Oak Ridge State Park</x:v>
      </x:c>
      <x:c r="E214" s="2" t="str">
        <x:v>Gun Deer - Antlerless/Spike</x:v>
      </x:c>
      <x:c r="F214" s="97" t="str">
        <x:v>2026-09-15</x:v>
      </x:c>
      <x:c r="G214" s="2" t="n">
        <x:v>500</x:v>
      </x:c>
      <x:c r="H214" s="2"/>
      <x:c r="I214" s="2"/>
      <x:c r="J214" s="2"/>
      <x:c r="K214" s="2" t="str">
        <x:v>Verified in TPWD 2026-2027 statewide deer category catalog.</x:v>
      </x:c>
      <x:c r="L214" s="2" t="str">
        <x:v>https://tpwd.texas.gov/huntwild/hunt/public/public_hunt_drawing/hunt-category-details.phtml?OCat=GDA</x:v>
      </x:c>
    </x:row>
    <x:row r="215">
      <x:c r="A215" s="2" t="str">
        <x:v>No</x:v>
      </x:c>
      <x:c r="B215" s="2" t="str">
        <x:v>A</x:v>
      </x:c>
      <x:c r="C215" s="2" t="str">
        <x:v>Whitetail Deer</x:v>
      </x:c>
      <x:c r="D215" s="2" t="str">
        <x:v>Post Oak Ridge State Park</x:v>
      </x:c>
      <x:c r="E215" s="2" t="str">
        <x:v>Gun Deer - Either Sex</x:v>
      </x:c>
      <x:c r="F215" s="97" t="str">
        <x:v>2026-09-15</x:v>
      </x:c>
      <x:c r="G215" s="2" t="n">
        <x:v>500</x:v>
      </x:c>
      <x:c r="H215" s="2"/>
      <x:c r="I215" s="2"/>
      <x:c r="J215" s="2"/>
      <x:c r="K215" s="2" t="str">
        <x:v>Verified in TPWD 2026-2027 statewide deer category catalog.</x:v>
      </x:c>
      <x:c r="L215" s="2" t="str">
        <x:v>https://tpwd.texas.gov/huntwild/hunt/public/public_hunt_drawing/hunt-category-details.phtml?OCat=GDE</x:v>
      </x:c>
    </x:row>
    <x:row r="216">
      <x:c r="A216" s="2" t="str">
        <x:v>No</x:v>
      </x:c>
      <x:c r="B216" s="2" t="str">
        <x:v>A</x:v>
      </x:c>
      <x:c r="C216" s="2" t="str">
        <x:v>Whitetail Deer</x:v>
      </x:c>
      <x:c r="D216" s="2" t="str">
        <x:v>Powderhorn WMA</x:v>
      </x:c>
      <x:c r="E216" s="2" t="str">
        <x:v>Gun Deer - Either Sex</x:v>
      </x:c>
      <x:c r="F216" s="97" t="str">
        <x:v>2026-09-15</x:v>
      </x:c>
      <x:c r="G216" s="2" t="n">
        <x:v>610</x:v>
      </x:c>
      <x:c r="H216" s="2"/>
      <x:c r="I216" s="2"/>
      <x:c r="J216" s="2"/>
      <x:c r="K216" s="2" t="str">
        <x:v>Verified in TPWD 2026-2027 statewide deer category catalog.</x:v>
      </x:c>
      <x:c r="L216" s="2" t="str">
        <x:v>https://tpwd.texas.gov/huntwild/hunt/public/public_hunt_drawing/hunt-category-details.phtml?OCat=GDE</x:v>
      </x:c>
    </x:row>
    <x:row r="217">
      <x:c r="A217" s="2" t="str">
        <x:v>No</x:v>
      </x:c>
      <x:c r="B217" s="2" t="str">
        <x:v>A</x:v>
      </x:c>
      <x:c r="C217" s="2" t="str">
        <x:v>Whitetail Deer</x:v>
      </x:c>
      <x:c r="D217" s="2" t="str">
        <x:v>Ray Roberts Lake State Park - Isle du Bois</x:v>
      </x:c>
      <x:c r="E217" s="2" t="str">
        <x:v>Youth Gun Deer - Antlerless/Spike</x:v>
      </x:c>
      <x:c r="F217" s="97" t="str">
        <x:v>2026-09-15</x:v>
      </x:c>
      <x:c r="G217" s="2" t="n">
        <x:v>360</x:v>
      </x:c>
      <x:c r="H217" s="2"/>
      <x:c r="I217" s="2"/>
      <x:c r="J217" s="2"/>
      <x:c r="K217" s="2" t="str">
        <x:v>Verified in TPWD 2026-2027 statewide deer category catalog.</x:v>
      </x:c>
      <x:c r="L217" s="2" t="str">
        <x:v>https://tpwd.texas.gov/huntwild/hunt/public/public_hunt_drawing/hunt-category-details.phtml?OCat=YDA</x:v>
      </x:c>
    </x:row>
    <x:row r="218">
      <x:c r="A218" s="2" t="str">
        <x:v>No</x:v>
      </x:c>
      <x:c r="B218" s="2" t="str">
        <x:v>A</x:v>
      </x:c>
      <x:c r="C218" s="2" t="str">
        <x:v>Whitetail Deer</x:v>
      </x:c>
      <x:c r="D218" s="2" t="str">
        <x:v>Richland Creek WMA - Carl Frentress Unit</x:v>
      </x:c>
      <x:c r="E218" s="2" t="str">
        <x:v>Gun Deer - Antlerless/Spike</x:v>
      </x:c>
      <x:c r="F218" s="97" t="str">
        <x:v>2026-09-15</x:v>
      </x:c>
      <x:c r="G218" s="2" t="n">
        <x:v>500</x:v>
      </x:c>
      <x:c r="H218" s="2"/>
      <x:c r="I218" s="2"/>
      <x:c r="J218" s="2"/>
      <x:c r="K218" s="2" t="str">
        <x:v>Verified in TPWD 2026-2027 statewide deer category catalog.</x:v>
      </x:c>
      <x:c r="L218" s="2" t="str">
        <x:v>https://tpwd.texas.gov/huntwild/hunt/public/public_hunt_drawing/hunt-category-details.phtml?OCat=GDA</x:v>
      </x:c>
    </x:row>
    <x:row r="219">
      <x:c r="A219" s="2" t="str">
        <x:v>No</x:v>
      </x:c>
      <x:c r="B219" s="2" t="str">
        <x:v>A</x:v>
      </x:c>
      <x:c r="C219" s="2" t="str">
        <x:v>Whitetail Deer</x:v>
      </x:c>
      <x:c r="D219" s="2" t="str">
        <x:v>Richland Creek WMA - Carl Frentress Unit</x:v>
      </x:c>
      <x:c r="E219" s="2" t="str">
        <x:v>Gun Deer - Either Sex</x:v>
      </x:c>
      <x:c r="F219" s="97" t="str">
        <x:v>2026-09-15</x:v>
      </x:c>
      <x:c r="G219" s="2" t="n">
        <x:v>500</x:v>
      </x:c>
      <x:c r="H219" s="2"/>
      <x:c r="I219" s="2"/>
      <x:c r="J219" s="2"/>
      <x:c r="K219" s="2" t="str">
        <x:v>Verified in TPWD 2026-2027 statewide deer category catalog.</x:v>
      </x:c>
      <x:c r="L219" s="2" t="str">
        <x:v>https://tpwd.texas.gov/huntwild/hunt/public/public_hunt_drawing/hunt-category-details.phtml?OCat=GDE</x:v>
      </x:c>
    </x:row>
    <x:row r="220">
      <x:c r="A220" s="2" t="str">
        <x:v>No</x:v>
      </x:c>
      <x:c r="B220" s="2" t="str">
        <x:v>A</x:v>
      </x:c>
      <x:c r="C220" s="2" t="str">
        <x:v>Whitetail Deer</x:v>
      </x:c>
      <x:c r="D220" s="2" t="str">
        <x:v>Richland Creek WMA - South Unit</x:v>
      </x:c>
      <x:c r="E220" s="2" t="str">
        <x:v>Gun Deer - Antlerless/Spike</x:v>
      </x:c>
      <x:c r="F220" s="97" t="str">
        <x:v>2026-09-15</x:v>
      </x:c>
      <x:c r="G220" s="2" t="n">
        <x:v>500</x:v>
      </x:c>
      <x:c r="H220" s="2"/>
      <x:c r="I220" s="2"/>
      <x:c r="J220" s="2"/>
      <x:c r="K220" s="2" t="str">
        <x:v>Verified in TPWD 2026-2027 statewide deer category catalog.</x:v>
      </x:c>
      <x:c r="L220" s="2" t="str">
        <x:v>https://tpwd.texas.gov/huntwild/hunt/public/public_hunt_drawing/hunt-category-details.phtml?OCat=GDA</x:v>
      </x:c>
    </x:row>
    <x:row r="221">
      <x:c r="A221" s="2" t="str">
        <x:v>No</x:v>
      </x:c>
      <x:c r="B221" s="2" t="str">
        <x:v>A</x:v>
      </x:c>
      <x:c r="C221" s="2" t="str">
        <x:v>Whitetail Deer</x:v>
      </x:c>
      <x:c r="D221" s="2" t="str">
        <x:v>Richland Creek WMA - South Unit</x:v>
      </x:c>
      <x:c r="E221" s="2" t="str">
        <x:v>Gun Deer - Either Sex</x:v>
      </x:c>
      <x:c r="F221" s="97" t="str">
        <x:v>2026-09-15</x:v>
      </x:c>
      <x:c r="G221" s="2" t="n">
        <x:v>500</x:v>
      </x:c>
      <x:c r="H221" s="2"/>
      <x:c r="I221" s="2"/>
      <x:c r="J221" s="2"/>
      <x:c r="K221" s="2" t="str">
        <x:v>Verified in TPWD 2026-2027 statewide deer category catalog.</x:v>
      </x:c>
      <x:c r="L221" s="2" t="str">
        <x:v>https://tpwd.texas.gov/huntwild/hunt/public/public_hunt_drawing/hunt-category-details.phtml?OCat=GDE</x:v>
      </x:c>
    </x:row>
    <x:row r="222">
      <x:c r="A222" s="2" t="str">
        <x:v>No</x:v>
      </x:c>
      <x:c r="B222" s="2" t="str">
        <x:v>A</x:v>
      </x:c>
      <x:c r="C222" s="2" t="str">
        <x:v>Whitetail Deer</x:v>
      </x:c>
      <x:c r="D222" s="2" t="str">
        <x:v>Roger Fawcett WMA</x:v>
      </x:c>
      <x:c r="E222" s="2" t="str">
        <x:v>Gun Deer - Either Sex</x:v>
      </x:c>
      <x:c r="F222" s="97" t="str">
        <x:v>2026-09-15</x:v>
      </x:c>
      <x:c r="G222" s="2" t="n">
        <x:v>300</x:v>
      </x:c>
      <x:c r="H222" s="2"/>
      <x:c r="I222" s="2"/>
      <x:c r="J222" s="2"/>
      <x:c r="K222" s="2" t="str">
        <x:v>Verified in TPWD 2026-2027 statewide deer category catalog.</x:v>
      </x:c>
      <x:c r="L222" s="2" t="str">
        <x:v>https://tpwd.texas.gov/huntwild/hunt/public/public_hunt_drawing/hunt-category-details.phtml?OCat=GDE</x:v>
      </x:c>
    </x:row>
    <x:row r="223">
      <x:c r="A223" s="2" t="str">
        <x:v>No</x:v>
      </x:c>
      <x:c r="B223" s="2" t="str">
        <x:v>A</x:v>
      </x:c>
      <x:c r="C223" s="2" t="str">
        <x:v>Whitetail Deer</x:v>
      </x:c>
      <x:c r="D223" s="2" t="str">
        <x:v>Roger Fawcett WMA</x:v>
      </x:c>
      <x:c r="E223" s="2" t="str">
        <x:v>Youth Gun Deer - Antlerless/Spike</x:v>
      </x:c>
      <x:c r="F223" s="97" t="str">
        <x:v>2026-09-15</x:v>
      </x:c>
      <x:c r="G223" s="2" t="n">
        <x:v>300</x:v>
      </x:c>
      <x:c r="H223" s="2"/>
      <x:c r="I223" s="2"/>
      <x:c r="J223" s="2"/>
      <x:c r="K223" s="2" t="str">
        <x:v>Verified in TPWD 2026-2027 statewide deer category catalog.</x:v>
      </x:c>
      <x:c r="L223" s="2" t="str">
        <x:v>https://tpwd.texas.gov/huntwild/hunt/public/public_hunt_drawing/hunt-category-details.phtml?OCat=YDA</x:v>
      </x:c>
    </x:row>
    <x:row r="224">
      <x:c r="A224" s="2" t="str">
        <x:v>No</x:v>
      </x:c>
      <x:c r="B224" s="2" t="str">
        <x:v>A</x:v>
      </x:c>
      <x:c r="C224" s="2" t="str">
        <x:v>Whitetail Deer</x:v>
      </x:c>
      <x:c r="D224" s="2" t="str">
        <x:v>Sam Houston National Forest WMA</x:v>
      </x:c>
      <x:c r="E224" s="2" t="str">
        <x:v>USFS Antlerless Deer Permit - Youth</x:v>
      </x:c>
      <x:c r="F224" s="97" t="str">
        <x:v>2026-09-15</x:v>
      </x:c>
      <x:c r="G224" s="2" t="n">
        <x:v>570</x:v>
      </x:c>
      <x:c r="H224" s="2"/>
      <x:c r="I224" s="2"/>
      <x:c r="J224" s="2"/>
      <x:c r="K224" s="2" t="str">
        <x:v>Verified in TPWD 2026-2027 statewide deer category catalog. APH/eligibility rules apply; confirm account and permit requirements.</x:v>
      </x:c>
      <x:c r="L224" s="2" t="str">
        <x:v>https://tpwd.texas.gov/huntwild/hunt/public/public_hunt_drawing/hunt-category-details.phtml?OCat=FSY</x:v>
      </x:c>
    </x:row>
    <x:row r="225">
      <x:c r="A225" s="2" t="str">
        <x:v>No</x:v>
      </x:c>
      <x:c r="B225" s="2" t="str">
        <x:v>A</x:v>
      </x:c>
      <x:c r="C225" s="2" t="str">
        <x:v>Whitetail Deer</x:v>
      </x:c>
      <x:c r="D225" s="2" t="str">
        <x:v>San Angelo SP</x:v>
      </x:c>
      <x:c r="E225" s="2" t="str">
        <x:v>Gun Deer - Antlerless/Spike</x:v>
      </x:c>
      <x:c r="F225" s="97" t="str">
        <x:v>2026-09-15</x:v>
      </x:c>
      <x:c r="G225" s="2" t="n">
        <x:v>300</x:v>
      </x:c>
      <x:c r="H225" s="2"/>
      <x:c r="I225" s="2"/>
      <x:c r="J225" s="2"/>
      <x:c r="K225" s="2" t="str">
        <x:v>Verified in TPWD 2026-2027 statewide deer category catalog.</x:v>
      </x:c>
      <x:c r="L225" s="2" t="str">
        <x:v>https://tpwd.texas.gov/huntwild/hunt/public/public_hunt_drawing/hunt-category-details.phtml?OCat=GDA</x:v>
      </x:c>
    </x:row>
    <x:row r="226">
      <x:c r="A226" s="2" t="str">
        <x:v>No</x:v>
      </x:c>
      <x:c r="B226" s="2" t="str">
        <x:v>A</x:v>
      </x:c>
      <x:c r="C226" s="2" t="str">
        <x:v>Whitetail Deer</x:v>
      </x:c>
      <x:c r="D226" s="2" t="str">
        <x:v>San Angelo SP</x:v>
      </x:c>
      <x:c r="E226" s="2" t="str">
        <x:v>Gun Deer - Either Sex</x:v>
      </x:c>
      <x:c r="F226" s="97" t="str">
        <x:v>2026-09-15</x:v>
      </x:c>
      <x:c r="G226" s="2" t="n">
        <x:v>300</x:v>
      </x:c>
      <x:c r="H226" s="2"/>
      <x:c r="I226" s="2"/>
      <x:c r="J226" s="2"/>
      <x:c r="K226" s="2" t="str">
        <x:v>Verified in TPWD 2026-2027 statewide deer category catalog.</x:v>
      </x:c>
      <x:c r="L226" s="2" t="str">
        <x:v>https://tpwd.texas.gov/huntwild/hunt/public/public_hunt_drawing/hunt-category-details.phtml?OCat=GDE</x:v>
      </x:c>
    </x:row>
    <x:row r="227">
      <x:c r="A227" s="2" t="str">
        <x:v>No</x:v>
      </x:c>
      <x:c r="B227" s="2" t="str">
        <x:v>A</x:v>
      </x:c>
      <x:c r="C227" s="2" t="str">
        <x:v>Whitetail Deer</x:v>
      </x:c>
      <x:c r="D227" s="2" t="str">
        <x:v>San Angelo SP</x:v>
      </x:c>
      <x:c r="E227" s="2" t="str">
        <x:v>Youth Gun Deer - Antlerless/Spike</x:v>
      </x:c>
      <x:c r="F227" s="97" t="str">
        <x:v>2026-09-15</x:v>
      </x:c>
      <x:c r="G227" s="2" t="n">
        <x:v>300</x:v>
      </x:c>
      <x:c r="H227" s="2"/>
      <x:c r="I227" s="2"/>
      <x:c r="J227" s="2"/>
      <x:c r="K227" s="2" t="str">
        <x:v>Verified in TPWD 2026-2027 statewide deer category catalog.</x:v>
      </x:c>
      <x:c r="L227" s="2" t="str">
        <x:v>https://tpwd.texas.gov/huntwild/hunt/public/public_hunt_drawing/hunt-category-details.phtml?OCat=YDA</x:v>
      </x:c>
    </x:row>
    <x:row r="228">
      <x:c r="A228" s="2" t="str">
        <x:v>No</x:v>
      </x:c>
      <x:c r="B228" s="2" t="str">
        <x:v>A</x:v>
      </x:c>
      <x:c r="C228" s="2" t="str">
        <x:v>Whitetail Deer</x:v>
      </x:c>
      <x:c r="D228" s="2" t="str">
        <x:v>Seminole Canyon SP / HS</x:v>
      </x:c>
      <x:c r="E228" s="2" t="str">
        <x:v>Gun Deer - Antlerless/Spike</x:v>
      </x:c>
      <x:c r="F228" s="97" t="str">
        <x:v>2026-09-15</x:v>
      </x:c>
      <x:c r="G228" s="2" t="n">
        <x:v>520</x:v>
      </x:c>
      <x:c r="H228" s="2"/>
      <x:c r="I228" s="2"/>
      <x:c r="J228" s="2"/>
      <x:c r="K228" s="2" t="str">
        <x:v>Verified in TPWD 2026-2027 statewide deer category catalog. West Texas/El Paso-region opportunity; prioritize for mule deer adventure value.</x:v>
      </x:c>
      <x:c r="L228" s="2" t="str">
        <x:v>https://tpwd.texas.gov/huntwild/hunt/public/public_hunt_drawing/hunt-category-details.phtml?OCat=GDA</x:v>
      </x:c>
    </x:row>
    <x:row r="229">
      <x:c r="A229" s="2" t="str">
        <x:v>No</x:v>
      </x:c>
      <x:c r="B229" s="2" t="str">
        <x:v>A</x:v>
      </x:c>
      <x:c r="C229" s="2" t="str">
        <x:v>Whitetail Deer</x:v>
      </x:c>
      <x:c r="D229" s="2" t="str">
        <x:v>Seminole Canyon SP / HS</x:v>
      </x:c>
      <x:c r="E229" s="2" t="str">
        <x:v>Gun Deer - Either Sex</x:v>
      </x:c>
      <x:c r="F229" s="97" t="str">
        <x:v>2026-09-15</x:v>
      </x:c>
      <x:c r="G229" s="2" t="n">
        <x:v>520</x:v>
      </x:c>
      <x:c r="H229" s="2"/>
      <x:c r="I229" s="2"/>
      <x:c r="J229" s="2"/>
      <x:c r="K229" s="2" t="str">
        <x:v>Verified in TPWD 2026-2027 statewide deer category catalog. West Texas/El Paso-region opportunity; prioritize for mule deer adventure value.</x:v>
      </x:c>
      <x:c r="L229" s="2" t="str">
        <x:v>https://tpwd.texas.gov/huntwild/hunt/public/public_hunt_drawing/hunt-category-details.phtml?OCat=GDE</x:v>
      </x:c>
    </x:row>
    <x:row r="230">
      <x:c r="A230" s="2" t="str">
        <x:v>No</x:v>
      </x:c>
      <x:c r="B230" s="2" t="str">
        <x:v>A</x:v>
      </x:c>
      <x:c r="C230" s="2" t="str">
        <x:v>Whitetail Deer</x:v>
      </x:c>
      <x:c r="D230" s="2" t="str">
        <x:v>Silver Lake State Park</x:v>
      </x:c>
      <x:c r="E230" s="2" t="str">
        <x:v>Gun Deer - Either Sex</x:v>
      </x:c>
      <x:c r="F230" s="97" t="str">
        <x:v>2026-09-15</x:v>
      </x:c>
      <x:c r="G230" s="2" t="n">
        <x:v>500</x:v>
      </x:c>
      <x:c r="H230" s="2"/>
      <x:c r="I230" s="2"/>
      <x:c r="J230" s="2"/>
      <x:c r="K230" s="2" t="str">
        <x:v>Verified in TPWD 2026-2027 statewide deer category catalog.</x:v>
      </x:c>
      <x:c r="L230" s="2" t="str">
        <x:v>https://tpwd.texas.gov/huntwild/hunt/public/public_hunt_drawing/hunt-category-details.phtml?OCat=GDE</x:v>
      </x:c>
    </x:row>
    <x:row r="231">
      <x:c r="A231" s="2" t="str">
        <x:v>No</x:v>
      </x:c>
      <x:c r="B231" s="2" t="str">
        <x:v>A</x:v>
      </x:c>
      <x:c r="C231" s="2" t="str">
        <x:v>Whitetail Deer</x:v>
      </x:c>
      <x:c r="D231" s="2" t="str">
        <x:v>South Llano River SP</x:v>
      </x:c>
      <x:c r="E231" s="2" t="str">
        <x:v>Gun Deer - Antlerless/Spike</x:v>
      </x:c>
      <x:c r="F231" s="97" t="str">
        <x:v>2026-09-15</x:v>
      </x:c>
      <x:c r="G231" s="2" t="n">
        <x:v>520</x:v>
      </x:c>
      <x:c r="H231" s="2"/>
      <x:c r="I231" s="2"/>
      <x:c r="J231" s="2"/>
      <x:c r="K231" s="2" t="str">
        <x:v>Verified in TPWD 2026-2027 statewide deer category catalog.</x:v>
      </x:c>
      <x:c r="L231" s="2" t="str">
        <x:v>https://tpwd.texas.gov/huntwild/hunt/public/public_hunt_drawing/hunt-category-details.phtml?OCat=GDA</x:v>
      </x:c>
    </x:row>
    <x:row r="232">
      <x:c r="A232" s="2" t="str">
        <x:v>No</x:v>
      </x:c>
      <x:c r="B232" s="2" t="str">
        <x:v>A</x:v>
      </x:c>
      <x:c r="C232" s="2" t="str">
        <x:v>Whitetail Deer</x:v>
      </x:c>
      <x:c r="D232" s="2" t="str">
        <x:v>Stephen F. Austin SP</x:v>
      </x:c>
      <x:c r="E232" s="2" t="str">
        <x:v>Gun Deer - Management</x:v>
      </x:c>
      <x:c r="F232" s="97" t="str">
        <x:v>2026-09-15</x:v>
      </x:c>
      <x:c r="G232" s="2" t="n">
        <x:v>490</x:v>
      </x:c>
      <x:c r="H232" s="2"/>
      <x:c r="I232" s="2"/>
      <x:c r="J232" s="2"/>
      <x:c r="K232" s="2" t="str">
        <x:v>Verified in TPWD 2026-2027 statewide deer category catalog.</x:v>
      </x:c>
      <x:c r="L232" s="2" t="str">
        <x:v>https://tpwd.texas.gov/huntwild/hunt/public/public_hunt_drawing/hunt-category-details.phtml?OCat=GDM</x:v>
      </x:c>
    </x:row>
    <x:row r="233">
      <x:c r="A233" s="2" t="str">
        <x:v>No</x:v>
      </x:c>
      <x:c r="B233" s="2" t="str">
        <x:v>A</x:v>
      </x:c>
      <x:c r="C233" s="2" t="str">
        <x:v>Whitetail Deer</x:v>
      </x:c>
      <x:c r="D233" s="2" t="str">
        <x:v>Teacup Mountain WMA</x:v>
      </x:c>
      <x:c r="E233" s="2" t="str">
        <x:v>Gun Deer - Either Sex</x:v>
      </x:c>
      <x:c r="F233" s="97" t="str">
        <x:v>2026-09-15</x:v>
      </x:c>
      <x:c r="G233" s="2" t="n">
        <x:v>130</x:v>
      </x:c>
      <x:c r="H233" s="2"/>
      <x:c r="I233" s="2"/>
      <x:c r="J233" s="2"/>
      <x:c r="K233" s="2" t="str">
        <x:v>Verified in TPWD 2026-2027 statewide deer category catalog.</x:v>
      </x:c>
      <x:c r="L233" s="2" t="str">
        <x:v>https://tpwd.texas.gov/huntwild/hunt/public/public_hunt_drawing/hunt-category-details.phtml?OCat=GDE</x:v>
      </x:c>
    </x:row>
    <x:row r="234">
      <x:c r="A234" s="2" t="str">
        <x:v>No</x:v>
      </x:c>
      <x:c r="B234" s="2" t="str">
        <x:v>A</x:v>
      </x:c>
      <x:c r="C234" s="2" t="str">
        <x:v>Whitetail Deer</x:v>
      </x:c>
      <x:c r="D234" s="2" t="str">
        <x:v>Trinity River NWR - Boars Den</x:v>
      </x:c>
      <x:c r="E234" s="2" t="str">
        <x:v>National Refuge General Deer</x:v>
      </x:c>
      <x:c r="F234" s="97" t="str">
        <x:v>2026-09-15</x:v>
      </x:c>
      <x:c r="G234" s="2" t="n">
        <x:v>570</x:v>
      </x:c>
      <x:c r="H234" s="2"/>
      <x:c r="I234" s="2"/>
      <x:c r="J234" s="2"/>
      <x:c r="K234" s="2" t="str">
        <x:v>Verified in TPWD 2026-2027 statewide deer category catalog. Refuge-specific rules and permit fees may apply.</x:v>
      </x:c>
      <x:c r="L234" s="2" t="str">
        <x:v>https://tpwd.texas.gov/huntwild/hunt/public/public_hunt_drawing/hunt-category-details.phtml?OCat=NGE</x:v>
      </x:c>
    </x:row>
    <x:row r="235">
      <x:c r="A235" s="2" t="str">
        <x:v>No</x:v>
      </x:c>
      <x:c r="B235" s="2" t="str">
        <x:v>A</x:v>
      </x:c>
      <x:c r="C235" s="2" t="str">
        <x:v>Whitetail Deer</x:v>
      </x:c>
      <x:c r="D235" s="2" t="str">
        <x:v>Trinity River NWR - Brierwood</x:v>
      </x:c>
      <x:c r="E235" s="2" t="str">
        <x:v>National Refuge General Deer</x:v>
      </x:c>
      <x:c r="F235" s="97" t="str">
        <x:v>2026-09-15</x:v>
      </x:c>
      <x:c r="G235" s="2" t="n">
        <x:v>570</x:v>
      </x:c>
      <x:c r="H235" s="2"/>
      <x:c r="I235" s="2"/>
      <x:c r="J235" s="2"/>
      <x:c r="K235" s="2" t="str">
        <x:v>Verified in TPWD 2026-2027 statewide deer category catalog. Refuge-specific rules and permit fees may apply.</x:v>
      </x:c>
      <x:c r="L235" s="2" t="str">
        <x:v>https://tpwd.texas.gov/huntwild/hunt/public/public_hunt_drawing/hunt-category-details.phtml?OCat=NGE</x:v>
      </x:c>
    </x:row>
    <x:row r="236">
      <x:c r="A236" s="2" t="str">
        <x:v>No</x:v>
      </x:c>
      <x:c r="B236" s="2" t="str">
        <x:v>A</x:v>
      </x:c>
      <x:c r="C236" s="2" t="str">
        <x:v>Whitetail Deer</x:v>
      </x:c>
      <x:c r="D236" s="2" t="str">
        <x:v>Trinity River NWR - Butler</x:v>
      </x:c>
      <x:c r="E236" s="2" t="str">
        <x:v>National Refuge General Deer</x:v>
      </x:c>
      <x:c r="F236" s="97" t="str">
        <x:v>2026-09-15</x:v>
      </x:c>
      <x:c r="G236" s="2" t="n">
        <x:v>570</x:v>
      </x:c>
      <x:c r="H236" s="2"/>
      <x:c r="I236" s="2"/>
      <x:c r="J236" s="2"/>
      <x:c r="K236" s="2" t="str">
        <x:v>Verified in TPWD 2026-2027 statewide deer category catalog. Refuge-specific rules and permit fees may apply.</x:v>
      </x:c>
      <x:c r="L236" s="2" t="str">
        <x:v>https://tpwd.texas.gov/huntwild/hunt/public/public_hunt_drawing/hunt-category-details.phtml?OCat=NGE</x:v>
      </x:c>
    </x:row>
    <x:row r="237">
      <x:c r="A237" s="2" t="str">
        <x:v>No</x:v>
      </x:c>
      <x:c r="B237" s="2" t="str">
        <x:v>A</x:v>
      </x:c>
      <x:c r="C237" s="2" t="str">
        <x:v>Whitetail Deer</x:v>
      </x:c>
      <x:c r="D237" s="2" t="str">
        <x:v>Trinity River NWR - Hirsch</x:v>
      </x:c>
      <x:c r="E237" s="2" t="str">
        <x:v>National Refuge General Deer</x:v>
      </x:c>
      <x:c r="F237" s="97" t="str">
        <x:v>2026-09-15</x:v>
      </x:c>
      <x:c r="G237" s="2" t="n">
        <x:v>570</x:v>
      </x:c>
      <x:c r="H237" s="2"/>
      <x:c r="I237" s="2"/>
      <x:c r="J237" s="2"/>
      <x:c r="K237" s="2" t="str">
        <x:v>Verified in TPWD 2026-2027 statewide deer category catalog. Refuge-specific rules and permit fees may apply.</x:v>
      </x:c>
      <x:c r="L237" s="2" t="str">
        <x:v>https://tpwd.texas.gov/huntwild/hunt/public/public_hunt_drawing/hunt-category-details.phtml?OCat=NGE</x:v>
      </x:c>
    </x:row>
    <x:row r="238">
      <x:c r="A238" s="2" t="str">
        <x:v>No</x:v>
      </x:c>
      <x:c r="B238" s="2" t="str">
        <x:v>A</x:v>
      </x:c>
      <x:c r="C238" s="2" t="str">
        <x:v>Whitetail Deer</x:v>
      </x:c>
      <x:c r="D238" s="2" t="str">
        <x:v>Trinity River NWR - Mcguire</x:v>
      </x:c>
      <x:c r="E238" s="2" t="str">
        <x:v>National Refuge General Deer</x:v>
      </x:c>
      <x:c r="F238" s="97" t="str">
        <x:v>2026-09-15</x:v>
      </x:c>
      <x:c r="G238" s="2" t="n">
        <x:v>570</x:v>
      </x:c>
      <x:c r="H238" s="2"/>
      <x:c r="I238" s="2"/>
      <x:c r="J238" s="2"/>
      <x:c r="K238" s="2" t="str">
        <x:v>Verified in TPWD 2026-2027 statewide deer category catalog. Refuge-specific rules and permit fees may apply.</x:v>
      </x:c>
      <x:c r="L238" s="2" t="str">
        <x:v>https://tpwd.texas.gov/huntwild/hunt/public/public_hunt_drawing/hunt-category-details.phtml?OCat=NGE</x:v>
      </x:c>
    </x:row>
    <x:row r="239">
      <x:c r="A239" s="2" t="str">
        <x:v>No</x:v>
      </x:c>
      <x:c r="B239" s="2" t="str">
        <x:v>A</x:v>
      </x:c>
      <x:c r="C239" s="2" t="str">
        <x:v>Whitetail Deer</x:v>
      </x:c>
      <x:c r="D239" s="2" t="str">
        <x:v>Trinity River NWR - Page</x:v>
      </x:c>
      <x:c r="E239" s="2" t="str">
        <x:v>National Refuge General Deer</x:v>
      </x:c>
      <x:c r="F239" s="97" t="str">
        <x:v>2026-09-15</x:v>
      </x:c>
      <x:c r="G239" s="2" t="n">
        <x:v>570</x:v>
      </x:c>
      <x:c r="H239" s="2"/>
      <x:c r="I239" s="2"/>
      <x:c r="J239" s="2"/>
      <x:c r="K239" s="2" t="str">
        <x:v>Verified in TPWD 2026-2027 statewide deer category catalog. Refuge-specific rules and permit fees may apply.</x:v>
      </x:c>
      <x:c r="L239" s="2" t="str">
        <x:v>https://tpwd.texas.gov/huntwild/hunt/public/public_hunt_drawing/hunt-category-details.phtml?OCat=NGE</x:v>
      </x:c>
    </x:row>
    <x:row r="240">
      <x:c r="A240" s="2" t="str">
        <x:v>No</x:v>
      </x:c>
      <x:c r="B240" s="2" t="str">
        <x:v>A</x:v>
      </x:c>
      <x:c r="C240" s="2" t="str">
        <x:v>Whitetail Deer</x:v>
      </x:c>
      <x:c r="D240" s="2" t="str">
        <x:v>Trinity River WMA</x:v>
      </x:c>
      <x:c r="E240" s="2" t="str">
        <x:v>Gun Deer - Antlerless/Spike</x:v>
      </x:c>
      <x:c r="F240" s="97" t="str">
        <x:v>2026-09-15</x:v>
      </x:c>
      <x:c r="G240" s="2" t="n">
        <x:v>570</x:v>
      </x:c>
      <x:c r="H240" s="2"/>
      <x:c r="I240" s="2"/>
      <x:c r="J240" s="2"/>
      <x:c r="K240" s="2" t="str">
        <x:v>Verified in TPWD 2026-2027 statewide deer category catalog.</x:v>
      </x:c>
      <x:c r="L240" s="2" t="str">
        <x:v>https://tpwd.texas.gov/huntwild/hunt/public/public_hunt_drawing/hunt-category-details.phtml?OCat=GDA</x:v>
      </x:c>
    </x:row>
    <x:row r="241">
      <x:c r="A241" s="2" t="str">
        <x:v>No</x:v>
      </x:c>
      <x:c r="B241" s="2" t="str">
        <x:v>A</x:v>
      </x:c>
      <x:c r="C241" s="2" t="str">
        <x:v>Whitetail Deer</x:v>
      </x:c>
      <x:c r="D241" s="2" t="str">
        <x:v>Village Creek SP</x:v>
      </x:c>
      <x:c r="E241" s="2" t="str">
        <x:v>Gun Deer - Either Sex</x:v>
      </x:c>
      <x:c r="F241" s="97" t="str">
        <x:v>2026-09-15</x:v>
      </x:c>
      <x:c r="G241" s="2" t="n">
        <x:v>570</x:v>
      </x:c>
      <x:c r="H241" s="2"/>
      <x:c r="I241" s="2"/>
      <x:c r="J241" s="2"/>
      <x:c r="K241" s="2" t="str">
        <x:v>Verified in TPWD 2026-2027 statewide deer category catalog.</x:v>
      </x:c>
      <x:c r="L241" s="2" t="str">
        <x:v>https://tpwd.texas.gov/huntwild/hunt/public/public_hunt_drawing/hunt-category-details.phtml?OCat=GDE</x:v>
      </x:c>
    </x:row>
    <x:row r="242">
      <x:c r="A242" s="2" t="str">
        <x:v>No</x:v>
      </x:c>
      <x:c r="B242" s="2" t="str">
        <x:v>A</x:v>
      </x:c>
      <x:c r="C242" s="2" t="str">
        <x:v>Whitetail Deer</x:v>
      </x:c>
      <x:c r="D242" s="2" t="str">
        <x:v>White Oak Creek WMA</x:v>
      </x:c>
      <x:c r="E242" s="2" t="str">
        <x:v>Gun Deer - Either Sex</x:v>
      </x:c>
      <x:c r="F242" s="97" t="str">
        <x:v>2026-09-15</x:v>
      </x:c>
      <x:c r="G242" s="2" t="n">
        <x:v>570</x:v>
      </x:c>
      <x:c r="H242" s="2"/>
      <x:c r="I242" s="2"/>
      <x:c r="J242" s="2"/>
      <x:c r="K242" s="2" t="str">
        <x:v>Verified in TPWD 2026-2027 statewide deer category catalog.</x:v>
      </x:c>
      <x:c r="L242" s="2" t="str">
        <x:v>https://tpwd.texas.gov/huntwild/hunt/public/public_hunt_drawing/hunt-category-details.phtml?OCat=GDE</x:v>
      </x:c>
    </x:row>
    <x:row r="243">
      <x:c r="A243" s="2" t="str">
        <x:v>No</x:v>
      </x:c>
      <x:c r="B243" s="2" t="str">
        <x:v>A</x:v>
      </x:c>
      <x:c r="C243" s="2" t="str">
        <x:v>Mule Deer</x:v>
      </x:c>
      <x:c r="D243" s="2" t="str">
        <x:v>Big Bend Ranch SP</x:v>
      </x:c>
      <x:c r="E243" s="2" t="str">
        <x:v>Gun Mule Deer</x:v>
      </x:c>
      <x:c r="F243" s="97" t="str">
        <x:v>2026-10-01</x:v>
      </x:c>
      <x:c r="G243" s="2" t="n">
        <x:v>520</x:v>
      </x:c>
      <x:c r="H243" s="2"/>
      <x:c r="I243" s="2"/>
      <x:c r="J243" s="2"/>
      <x:c r="K243" s="2" t="str">
        <x:v>Verified in TPWD 2026-2027 statewide deer category catalog. West Texas/El Paso-region opportunity; prioritize for mule deer adventure value.</x:v>
      </x:c>
      <x:c r="L243" s="2" t="str">
        <x:v>https://tpwd.texas.gov/huntwild/hunt/public/public_hunt_drawing/hunt-category-details.phtml?OCat=MDG</x:v>
      </x:c>
    </x:row>
    <x:row r="244">
      <x:c r="A244" s="2" t="str">
        <x:v>No</x:v>
      </x:c>
      <x:c r="B244" s="2" t="str">
        <x:v>A</x:v>
      </x:c>
      <x:c r="C244" s="2" t="str">
        <x:v>Mule Deer</x:v>
      </x:c>
      <x:c r="D244" s="2" t="str">
        <x:v>Black Gap WMA</x:v>
      </x:c>
      <x:c r="E244" s="2" t="str">
        <x:v>Gun Mule Deer</x:v>
      </x:c>
      <x:c r="F244" s="97" t="str">
        <x:v>2026-10-01</x:v>
      </x:c>
      <x:c r="G244" s="2" t="n">
        <x:v>520</x:v>
      </x:c>
      <x:c r="H244" s="2"/>
      <x:c r="I244" s="2"/>
      <x:c r="J244" s="2"/>
      <x:c r="K244" s="2" t="str">
        <x:v>Verified in TPWD 2026-2027 statewide deer category catalog. West Texas/El Paso-region opportunity; prioritize for mule deer adventure value.</x:v>
      </x:c>
      <x:c r="L244" s="2" t="str">
        <x:v>https://tpwd.texas.gov/huntwild/hunt/public/public_hunt_drawing/hunt-category-details.phtml?OCat=MDG</x:v>
      </x:c>
    </x:row>
    <x:row r="245">
      <x:c r="A245" s="2" t="str">
        <x:v>No</x:v>
      </x:c>
      <x:c r="B245" s="2" t="str">
        <x:v>A</x:v>
      </x:c>
      <x:c r="C245" s="2" t="str">
        <x:v>Mule Deer</x:v>
      </x:c>
      <x:c r="D245" s="2" t="str">
        <x:v>Caprock Canyons SP</x:v>
      </x:c>
      <x:c r="E245" s="2" t="str">
        <x:v>Gun Mule Deer</x:v>
      </x:c>
      <x:c r="F245" s="97" t="str">
        <x:v>2026-10-01</x:v>
      </x:c>
      <x:c r="G245" s="2" t="n">
        <x:v>130</x:v>
      </x:c>
      <x:c r="H245" s="2"/>
      <x:c r="I245" s="2"/>
      <x:c r="J245" s="2"/>
      <x:c r="K245" s="2" t="str">
        <x:v>Verified in TPWD 2026-2027 statewide deer category catalog.</x:v>
      </x:c>
      <x:c r="L245" s="2" t="str">
        <x:v>https://tpwd.texas.gov/huntwild/hunt/public/public_hunt_drawing/hunt-category-details.phtml?OCat=MDG</x:v>
      </x:c>
    </x:row>
    <x:row r="246">
      <x:c r="A246" s="2" t="str">
        <x:v>No</x:v>
      </x:c>
      <x:c r="B246" s="2" t="str">
        <x:v>A</x:v>
      </x:c>
      <x:c r="C246" s="2" t="str">
        <x:v>Mule Deer</x:v>
      </x:c>
      <x:c r="D246" s="2" t="str">
        <x:v>Elephant Mountain WMA</x:v>
      </x:c>
      <x:c r="E246" s="2" t="str">
        <x:v>Gun Mule Deer</x:v>
      </x:c>
      <x:c r="F246" s="97" t="str">
        <x:v>2026-10-01</x:v>
      </x:c>
      <x:c r="G246" s="2" t="n">
        <x:v>520</x:v>
      </x:c>
      <x:c r="H246" s="2"/>
      <x:c r="I246" s="2"/>
      <x:c r="J246" s="2"/>
      <x:c r="K246" s="2" t="str">
        <x:v>Verified in TPWD 2026-2027 statewide deer category catalog. West Texas/El Paso-region opportunity; prioritize for mule deer adventure value.</x:v>
      </x:c>
      <x:c r="L246" s="2" t="str">
        <x:v>https://tpwd.texas.gov/huntwild/hunt/public/public_hunt_drawing/hunt-category-details.phtml?OCat=MDG</x:v>
      </x:c>
    </x:row>
    <x:row r="247">
      <x:c r="A247" s="2" t="str">
        <x:v>No</x:v>
      </x:c>
      <x:c r="B247" s="2" t="str">
        <x:v>A</x:v>
      </x:c>
      <x:c r="C247" s="2" t="str">
        <x:v>Mule Deer</x:v>
      </x:c>
      <x:c r="D247" s="2" t="str">
        <x:v>Gene Howe WMA</x:v>
      </x:c>
      <x:c r="E247" s="2" t="str">
        <x:v>Gun Mule Deer</x:v>
      </x:c>
      <x:c r="F247" s="97" t="str">
        <x:v>2026-10-01</x:v>
      </x:c>
      <x:c r="G247" s="2" t="n">
        <x:v>130</x:v>
      </x:c>
      <x:c r="H247" s="2"/>
      <x:c r="I247" s="2"/>
      <x:c r="J247" s="2"/>
      <x:c r="K247" s="2" t="str">
        <x:v>Verified in TPWD 2026-2027 statewide deer category catalog.</x:v>
      </x:c>
      <x:c r="L247" s="2" t="str">
        <x:v>https://tpwd.texas.gov/huntwild/hunt/public/public_hunt_drawing/hunt-category-details.phtml?OCat=MDG</x:v>
      </x:c>
    </x:row>
    <x:row r="248">
      <x:c r="A248" s="2" t="str">
        <x:v>No</x:v>
      </x:c>
      <x:c r="B248" s="2" t="str">
        <x:v>A</x:v>
      </x:c>
      <x:c r="C248" s="2" t="str">
        <x:v>Mule Deer</x:v>
      </x:c>
      <x:c r="D248" s="2" t="str">
        <x:v>Matador WMA</x:v>
      </x:c>
      <x:c r="E248" s="2" t="str">
        <x:v>Gun Mule Deer</x:v>
      </x:c>
      <x:c r="F248" s="97" t="str">
        <x:v>2026-10-01</x:v>
      </x:c>
      <x:c r="G248" s="2" t="n">
        <x:v>130</x:v>
      </x:c>
      <x:c r="H248" s="2"/>
      <x:c r="I248" s="2"/>
      <x:c r="J248" s="2"/>
      <x:c r="K248" s="2" t="str">
        <x:v>Verified in TPWD 2026-2027 statewide deer category catalog.</x:v>
      </x:c>
      <x:c r="L248" s="2" t="str">
        <x:v>https://tpwd.texas.gov/huntwild/hunt/public/public_hunt_drawing/hunt-category-details.phtml?OCat=MDG</x:v>
      </x:c>
    </x:row>
    <x:row r="249">
      <x:c r="A249" s="2" t="str">
        <x:v>No</x:v>
      </x:c>
      <x:c r="B249" s="2" t="str">
        <x:v>A</x:v>
      </x:c>
      <x:c r="C249" s="2" t="str">
        <x:v>Mule Deer</x:v>
      </x:c>
      <x:c r="D249" s="2" t="str">
        <x:v>Sierra Diablo WMA</x:v>
      </x:c>
      <x:c r="E249" s="2" t="str">
        <x:v>Gun Mule Deer</x:v>
      </x:c>
      <x:c r="F249" s="97" t="str">
        <x:v>2026-10-01</x:v>
      </x:c>
      <x:c r="G249" s="2" t="n">
        <x:v>520</x:v>
      </x:c>
      <x:c r="H249" s="2"/>
      <x:c r="I249" s="2"/>
      <x:c r="J249" s="2"/>
      <x:c r="K249" s="2" t="str">
        <x:v>Verified in TPWD 2026-2027 statewide deer category catalog. West Texas/El Paso-region opportunity; prioritize for mule deer adventure value.</x:v>
      </x:c>
      <x:c r="L249" s="2" t="str">
        <x:v>https://tpwd.texas.gov/huntwild/hunt/public/public_hunt_drawing/hunt-category-details.phtml?OCat=MDG</x:v>
      </x:c>
    </x:row>
    <x:row r="250">
      <x:c r="A250" s="2" t="str">
        <x:v>No</x:v>
      </x:c>
      <x:c r="B250" s="2" t="str">
        <x:v>A</x:v>
      </x:c>
      <x:c r="C250" s="2" t="str">
        <x:v>Mule Deer</x:v>
      </x:c>
      <x:c r="D250" s="2" t="str">
        <x:v>Yoakum Dunes WMA</x:v>
      </x:c>
      <x:c r="E250" s="2" t="str">
        <x:v>Gun Mule Deer</x:v>
      </x:c>
      <x:c r="F250" s="97" t="str">
        <x:v>2026-10-01</x:v>
      </x:c>
      <x:c r="G250" s="2" t="n">
        <x:v>130</x:v>
      </x:c>
      <x:c r="H250" s="2"/>
      <x:c r="I250" s="2"/>
      <x:c r="J250" s="2"/>
      <x:c r="K250" s="2" t="str">
        <x:v>Verified in TPWD 2026-2027 statewide deer category catalog.</x:v>
      </x:c>
      <x:c r="L250" s="2" t="str">
        <x:v>https://tpwd.texas.gov/huntwild/hunt/public/public_hunt_drawing/hunt-category-details.phtml?OCat=MDG</x:v>
      </x:c>
    </x:row>
    <x:row r="251">
      <x:c r="A251" s="2" t="str">
        <x:v>No</x:v>
      </x:c>
      <x:c r="B251" s="2" t="str">
        <x:v>A</x:v>
      </x:c>
      <x:c r="C251" s="2" t="str">
        <x:v>Whitetail Deer</x:v>
      </x:c>
      <x:c r="D251" s="2" t="str">
        <x:v>Balcones Canyonlands NWR</x:v>
      </x:c>
      <x:c r="E251" s="2" t="str">
        <x:v>National Refuge Youth Deer</x:v>
      </x:c>
      <x:c r="F251" s="97" t="str">
        <x:v>2026-10-01</x:v>
      </x:c>
      <x:c r="G251" s="2" t="n">
        <x:v>500</x:v>
      </x:c>
      <x:c r="H251" s="2"/>
      <x:c r="I251" s="2"/>
      <x:c r="J251" s="2"/>
      <x:c r="K251" s="2" t="str">
        <x:v>Verified in TPWD 2026-2027 statewide deer category catalog. Refuge-specific rules and permit fees may apply.</x:v>
      </x:c>
      <x:c r="L251" s="2" t="str">
        <x:v>https://tpwd.texas.gov/huntwild/hunt/public/public_hunt_drawing/hunt-category-details.phtml?OCat=NYD</x:v>
      </x:c>
    </x:row>
    <x:row r="252">
      <x:c r="A252" s="2" t="str">
        <x:v>No</x:v>
      </x:c>
      <x:c r="B252" s="2" t="str">
        <x:v>A</x:v>
      </x:c>
      <x:c r="C252" s="2" t="str">
        <x:v>Whitetail Deer</x:v>
      </x:c>
      <x:c r="D252" s="2" t="str">
        <x:v>Buffalo Lake NWR</x:v>
      </x:c>
      <x:c r="E252" s="2" t="str">
        <x:v>National Refuge Youth Deer</x:v>
      </x:c>
      <x:c r="F252" s="97" t="str">
        <x:v>2026-10-01</x:v>
      </x:c>
      <x:c r="G252" s="2" t="n">
        <x:v>130</x:v>
      </x:c>
      <x:c r="H252" s="2"/>
      <x:c r="I252" s="2"/>
      <x:c r="J252" s="2"/>
      <x:c r="K252" s="2" t="str">
        <x:v>Verified in TPWD 2026-2027 statewide deer category catalog. Refuge-specific rules and permit fees may apply.</x:v>
      </x:c>
      <x:c r="L252" s="2" t="str">
        <x:v>https://tpwd.texas.gov/huntwild/hunt/public/public_hunt_drawing/hunt-category-details.phtml?OCat=NYD</x:v>
      </x:c>
    </x:row>
    <x:row r="253">
      <x:c r="A253" s="2" t="str">
        <x:v>No</x:v>
      </x:c>
      <x:c r="B253" s="2" t="str">
        <x:v>A</x:v>
      </x:c>
      <x:c r="C253" s="2" t="str">
        <x:v>Whitetail Deer</x:v>
      </x:c>
      <x:c r="D253" s="2" t="str">
        <x:v>Caddo Lake NWR</x:v>
      </x:c>
      <x:c r="E253" s="2" t="str">
        <x:v>National Refuge Youth Deer</x:v>
      </x:c>
      <x:c r="F253" s="97" t="str">
        <x:v>2026-10-01</x:v>
      </x:c>
      <x:c r="G253" s="2" t="n">
        <x:v>570</x:v>
      </x:c>
      <x:c r="H253" s="2"/>
      <x:c r="I253" s="2"/>
      <x:c r="J253" s="2"/>
      <x:c r="K253" s="2" t="str">
        <x:v>Verified in TPWD 2026-2027 statewide deer category catalog. Refuge-specific rules and permit fees may apply.</x:v>
      </x:c>
      <x:c r="L253" s="2" t="str">
        <x:v>https://tpwd.texas.gov/huntwild/hunt/public/public_hunt_drawing/hunt-category-details.phtml?OCat=NYD</x:v>
      </x:c>
    </x:row>
    <x:row r="254">
      <x:c r="A254" s="2" t="str">
        <x:v>No</x:v>
      </x:c>
      <x:c r="B254" s="2" t="str">
        <x:v>A</x:v>
      </x:c>
      <x:c r="C254" s="2" t="str">
        <x:v>Whitetail Deer</x:v>
      </x:c>
      <x:c r="D254" s="2" t="str">
        <x:v>Laguna Atascosa NWR</x:v>
      </x:c>
      <x:c r="E254" s="2" t="str">
        <x:v>National Refuge Youth Deer</x:v>
      </x:c>
      <x:c r="F254" s="97" t="str">
        <x:v>2026-10-01</x:v>
      </x:c>
      <x:c r="G254" s="2" t="n">
        <x:v>700</x:v>
      </x:c>
      <x:c r="H254" s="2"/>
      <x:c r="I254" s="2"/>
      <x:c r="J254" s="2"/>
      <x:c r="K254" s="2" t="str">
        <x:v>Verified in TPWD 2026-2027 statewide deer category catalog. Refuge-specific rules and permit fees may apply.</x:v>
      </x:c>
      <x:c r="L254" s="2" t="str">
        <x:v>https://tpwd.texas.gov/huntwild/hunt/public/public_hunt_drawing/hunt-category-details.phtml?OCat=NYD</x:v>
      </x:c>
    </x:row>
    <x:row r="255">
      <x:c r="A255" s="2" t="str">
        <x:v>No</x:v>
      </x:c>
      <x:c r="B255" s="2" t="str">
        <x:v>A</x:v>
      </x:c>
      <x:c r="C255" s="2" t="str">
        <x:v>Whitetail Deer</x:v>
      </x:c>
      <x:c r="D255" s="2" t="str">
        <x:v>Lower Rio Grande Valley NWR - Teniente</x:v>
      </x:c>
      <x:c r="E255" s="2" t="str">
        <x:v>National Refuge Youth Deer</x:v>
      </x:c>
      <x:c r="F255" s="97" t="str">
        <x:v>2026-10-01</x:v>
      </x:c>
      <x:c r="G255" s="2" t="n">
        <x:v>700</x:v>
      </x:c>
      <x:c r="H255" s="2"/>
      <x:c r="I255" s="2"/>
      <x:c r="J255" s="2"/>
      <x:c r="K255" s="2" t="str">
        <x:v>Verified in TPWD 2026-2027 statewide deer category catalog. Refuge-specific rules and permit fees may apply.</x:v>
      </x:c>
      <x:c r="L255" s="2" t="str">
        <x:v>https://tpwd.texas.gov/huntwild/hunt/public/public_hunt_drawing/hunt-category-details.phtml?OCat=NYD</x:v>
      </x:c>
    </x:row>
    <x:row r="256">
      <x:c r="A256" s="2" t="str">
        <x:v>No</x:v>
      </x:c>
      <x:c r="B256" s="2" t="str">
        <x:v>A</x:v>
      </x:c>
      <x:c r="C256" s="2" t="str">
        <x:v>Whitetail Deer</x:v>
      </x:c>
      <x:c r="D256" s="2" t="str">
        <x:v>Neches River NWR - Dead Water Unit</x:v>
      </x:c>
      <x:c r="E256" s="2" t="str">
        <x:v>National Refuge Deer Antlerless/Spike</x:v>
      </x:c>
      <x:c r="F256" s="97" t="str">
        <x:v>2026-10-01</x:v>
      </x:c>
      <x:c r="G256" s="2" t="n">
        <x:v>570</x:v>
      </x:c>
      <x:c r="H256" s="2"/>
      <x:c r="I256" s="2"/>
      <x:c r="J256" s="2"/>
      <x:c r="K256" s="2" t="str">
        <x:v>Verified in TPWD 2026-2027 statewide deer category catalog. Refuge-specific rules and permit fees may apply.</x:v>
      </x:c>
      <x:c r="L256" s="2" t="str">
        <x:v>https://tpwd.texas.gov/huntwild/hunt/public/public_hunt_drawing/hunt-category-details.phtml?OCat=NGA</x:v>
      </x:c>
    </x:row>
    <x:row r="257">
      <x:c r="A257" s="2" t="str">
        <x:v>No</x:v>
      </x:c>
      <x:c r="B257" s="2" t="str">
        <x:v>A</x:v>
      </x:c>
      <x:c r="C257" s="2" t="str">
        <x:v>Whitetail Deer</x:v>
      </x:c>
      <x:c r="D257" s="2" t="str">
        <x:v>Neches River NWR - Rocky Point Unit</x:v>
      </x:c>
      <x:c r="E257" s="2" t="str">
        <x:v>National Refuge Deer Antlerless/Spike</x:v>
      </x:c>
      <x:c r="F257" s="97" t="str">
        <x:v>2026-10-01</x:v>
      </x:c>
      <x:c r="G257" s="2" t="n">
        <x:v>570</x:v>
      </x:c>
      <x:c r="H257" s="2"/>
      <x:c r="I257" s="2"/>
      <x:c r="J257" s="2"/>
      <x:c r="K257" s="2" t="str">
        <x:v>Verified in TPWD 2026-2027 statewide deer category catalog. Refuge-specific rules and permit fees may apply.</x:v>
      </x:c>
      <x:c r="L257" s="2" t="str">
        <x:v>https://tpwd.texas.gov/huntwild/hunt/public/public_hunt_drawing/hunt-category-details.phtml?OCat=NGA</x:v>
      </x:c>
    </x:row>
    <x:row r="258">
      <x:c r="A258" s="2" t="str">
        <x:v>No</x:v>
      </x:c>
      <x:c r="B258" s="2" t="str">
        <x:v>A</x:v>
      </x:c>
      <x:c r="C258" s="2" t="str">
        <x:v>Whitetail Deer</x:v>
      </x:c>
      <x:c r="D258" s="2" t="str">
        <x:v>Neches River NWR - Sandy Bluff Unit</x:v>
      </x:c>
      <x:c r="E258" s="2" t="str">
        <x:v>National Refuge Deer Antlerless/Spike</x:v>
      </x:c>
      <x:c r="F258" s="97" t="str">
        <x:v>2026-10-01</x:v>
      </x:c>
      <x:c r="G258" s="2" t="n">
        <x:v>570</x:v>
      </x:c>
      <x:c r="H258" s="2"/>
      <x:c r="I258" s="2"/>
      <x:c r="J258" s="2"/>
      <x:c r="K258" s="2" t="str">
        <x:v>Verified in TPWD 2026-2027 statewide deer category catalog. Refuge-specific rules and permit fees may apply.</x:v>
      </x:c>
      <x:c r="L258" s="2" t="str">
        <x:v>https://tpwd.texas.gov/huntwild/hunt/public/public_hunt_drawing/hunt-category-details.phtml?OCat=NGA</x:v>
      </x:c>
    </x:row>
    <x:row r="259">
      <x:c r="A259" s="2" t="str">
        <x:v>No</x:v>
      </x:c>
      <x:c r="B259" s="2" t="str">
        <x:v>A</x:v>
      </x:c>
      <x:c r="C259" s="2" t="str">
        <x:v>Whitetail Deer</x:v>
      </x:c>
      <x:c r="D259" s="2" t="str">
        <x:v>Neches River NWR - Walnut Branch Unit</x:v>
      </x:c>
      <x:c r="E259" s="2" t="str">
        <x:v>National Refuge Deer Antlerless/Spike</x:v>
      </x:c>
      <x:c r="F259" s="97" t="str">
        <x:v>2026-10-01</x:v>
      </x:c>
      <x:c r="G259" s="2" t="n">
        <x:v>570</x:v>
      </x:c>
      <x:c r="H259" s="2"/>
      <x:c r="I259" s="2"/>
      <x:c r="J259" s="2"/>
      <x:c r="K259" s="2" t="str">
        <x:v>Verified in TPWD 2026-2027 statewide deer category catalog. Refuge-specific rules and permit fees may apply.</x:v>
      </x:c>
      <x:c r="L259" s="2" t="str">
        <x:v>https://tpwd.texas.gov/huntwild/hunt/public/public_hunt_drawing/hunt-category-details.phtml?OCat=NGA</x:v>
      </x:c>
    </x:row>
    <x:row r="260">
      <x:c r="A260" s="2" t="str">
        <x:v>No</x:v>
      </x:c>
      <x:c r="B260" s="2" t="str">
        <x:v>A</x:v>
      </x:c>
      <x:c r="C260" s="2" t="str">
        <x:v>Whitetail Deer</x:v>
      </x:c>
      <x:c r="D260" s="2" t="str">
        <x:v>Trinity River NWR - Boars Den</x:v>
      </x:c>
      <x:c r="E260" s="2" t="str">
        <x:v>National Refuge Muzzleloader Deer</x:v>
      </x:c>
      <x:c r="F260" s="97" t="str">
        <x:v>2026-10-15</x:v>
      </x:c>
      <x:c r="G260" s="2" t="n">
        <x:v>570</x:v>
      </x:c>
      <x:c r="H260" s="2"/>
      <x:c r="I260" s="2"/>
      <x:c r="J260" s="2"/>
      <x:c r="K260" s="2" t="str">
        <x:v>Verified in TPWD 2026-2027 statewide deer category catalog. Refuge-specific rules and permit fees may apply.</x:v>
      </x:c>
      <x:c r="L260" s="2" t="str">
        <x:v>https://tpwd.texas.gov/huntwild/hunt/public/public_hunt_drawing/hunt-category-details.phtml?OCat=NMD</x:v>
      </x:c>
    </x:row>
    <x:row r="261">
      <x:c r="A261" s="2" t="str">
        <x:v>No</x:v>
      </x:c>
      <x:c r="B261" s="2" t="str">
        <x:v>A</x:v>
      </x:c>
      <x:c r="C261" s="2" t="str">
        <x:v>Whitetail Deer</x:v>
      </x:c>
      <x:c r="D261" s="2" t="str">
        <x:v>Trinity River NWR - Brierwood</x:v>
      </x:c>
      <x:c r="E261" s="2" t="str">
        <x:v>National Refuge Muzzleloader Deer</x:v>
      </x:c>
      <x:c r="F261" s="97" t="str">
        <x:v>2026-10-15</x:v>
      </x:c>
      <x:c r="G261" s="2" t="n">
        <x:v>570</x:v>
      </x:c>
      <x:c r="H261" s="2"/>
      <x:c r="I261" s="2"/>
      <x:c r="J261" s="2"/>
      <x:c r="K261" s="2" t="str">
        <x:v>Verified in TPWD 2026-2027 statewide deer category catalog. Refuge-specific rules and permit fees may apply.</x:v>
      </x:c>
      <x:c r="L261" s="2" t="str">
        <x:v>https://tpwd.texas.gov/huntwild/hunt/public/public_hunt_drawing/hunt-category-details.phtml?OCat=NMD</x:v>
      </x:c>
    </x:row>
    <x:row r="262">
      <x:c r="A262" s="2" t="str">
        <x:v>No</x:v>
      </x:c>
      <x:c r="B262" s="2" t="str">
        <x:v>A</x:v>
      </x:c>
      <x:c r="C262" s="2" t="str">
        <x:v>Whitetail Deer</x:v>
      </x:c>
      <x:c r="D262" s="2" t="str">
        <x:v>Trinity River NWR - Butler</x:v>
      </x:c>
      <x:c r="E262" s="2" t="str">
        <x:v>National Refuge Muzzleloader Deer</x:v>
      </x:c>
      <x:c r="F262" s="97" t="str">
        <x:v>2026-10-15</x:v>
      </x:c>
      <x:c r="G262" s="2" t="n">
        <x:v>570</x:v>
      </x:c>
      <x:c r="H262" s="2"/>
      <x:c r="I262" s="2"/>
      <x:c r="J262" s="2"/>
      <x:c r="K262" s="2" t="str">
        <x:v>Verified in TPWD 2026-2027 statewide deer category catalog. Refuge-specific rules and permit fees may apply.</x:v>
      </x:c>
      <x:c r="L262" s="2" t="str">
        <x:v>https://tpwd.texas.gov/huntwild/hunt/public/public_hunt_drawing/hunt-category-details.phtml?OCat=NMD</x:v>
      </x:c>
    </x:row>
    <x:row r="263">
      <x:c r="A263" s="2" t="str">
        <x:v>No</x:v>
      </x:c>
      <x:c r="B263" s="2" t="str">
        <x:v>A</x:v>
      </x:c>
      <x:c r="C263" s="2" t="str">
        <x:v>Whitetail Deer</x:v>
      </x:c>
      <x:c r="D263" s="2" t="str">
        <x:v>Trinity River NWR - Hirsch</x:v>
      </x:c>
      <x:c r="E263" s="2" t="str">
        <x:v>National Refuge Muzzleloader Deer</x:v>
      </x:c>
      <x:c r="F263" s="97" t="str">
        <x:v>2026-10-15</x:v>
      </x:c>
      <x:c r="G263" s="2" t="n">
        <x:v>570</x:v>
      </x:c>
      <x:c r="H263" s="2"/>
      <x:c r="I263" s="2"/>
      <x:c r="J263" s="2"/>
      <x:c r="K263" s="2" t="str">
        <x:v>Verified in TPWD 2026-2027 statewide deer category catalog. Refuge-specific rules and permit fees may apply.</x:v>
      </x:c>
      <x:c r="L263" s="2" t="str">
        <x:v>https://tpwd.texas.gov/huntwild/hunt/public/public_hunt_drawing/hunt-category-details.phtml?OCat=NMD</x:v>
      </x:c>
    </x:row>
    <x:row r="264">
      <x:c r="A264" s="2" t="str">
        <x:v>No</x:v>
      </x:c>
      <x:c r="B264" s="2" t="str">
        <x:v>A</x:v>
      </x:c>
      <x:c r="C264" s="2" t="str">
        <x:v>Whitetail Deer</x:v>
      </x:c>
      <x:c r="D264" s="2" t="str">
        <x:v>Trinity River NWR - Mcguire</x:v>
      </x:c>
      <x:c r="E264" s="2" t="str">
        <x:v>National Refuge Muzzleloader Deer</x:v>
      </x:c>
      <x:c r="F264" s="97" t="str">
        <x:v>2026-10-15</x:v>
      </x:c>
      <x:c r="G264" s="2" t="n">
        <x:v>570</x:v>
      </x:c>
      <x:c r="H264" s="2"/>
      <x:c r="I264" s="2"/>
      <x:c r="J264" s="2"/>
      <x:c r="K264" s="2" t="str">
        <x:v>Verified in TPWD 2026-2027 statewide deer category catalog. Refuge-specific rules and permit fees may apply.</x:v>
      </x:c>
      <x:c r="L264" s="2" t="str">
        <x:v>https://tpwd.texas.gov/huntwild/hunt/public/public_hunt_drawing/hunt-category-details.phtml?OCat=NMD</x:v>
      </x:c>
    </x:row>
    <x:row r="265">
      <x:c r="A265" s="2" t="str">
        <x:v>No</x:v>
      </x:c>
      <x:c r="B265" s="2" t="str">
        <x:v>A</x:v>
      </x:c>
      <x:c r="C265" s="2" t="str">
        <x:v>Whitetail Deer</x:v>
      </x:c>
      <x:c r="D265" s="2" t="str">
        <x:v>Trinity River NWR - Page</x:v>
      </x:c>
      <x:c r="E265" s="2" t="str">
        <x:v>National Refuge Muzzleloader Deer</x:v>
      </x:c>
      <x:c r="F265" s="97" t="str">
        <x:v>2026-10-15</x:v>
      </x:c>
      <x:c r="G265" s="2" t="n">
        <x:v>570</x:v>
      </x:c>
      <x:c r="H265" s="2"/>
      <x:c r="I265" s="2"/>
      <x:c r="J265" s="2"/>
      <x:c r="K265" s="2" t="str">
        <x:v>Verified in TPWD 2026-2027 statewide deer category catalog. Refuge-specific rules and permit fees may apply.</x:v>
      </x:c>
      <x:c r="L265" s="2" t="str">
        <x:v>https://tpwd.texas.gov/huntwild/hunt/public/public_hunt_drawing/hunt-category-details.phtml?OCat=NMD</x:v>
      </x:c>
    </x:row>
  </x:sheetData>
  <x:conditionalFormatting sqref="A2:A265">
    <x:cfRule type="expression" dxfId="14" priority="1">
      <x:formula>A2="Yes"</x:formula>
    </x:cfRule>
  </x:conditionalFormatting>
  <x:dataValidations count="2">
    <x:dataValidation type="list" sqref="A2:A200">
      <x:formula1>"No,Yes,Maybe,Submitted"</x:formula1>
    </x:dataValidation>
    <x:dataValidation type="list" sqref="A2:A265">
      <x:formula1>"No,Yes"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72a186fa93642e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8" hidden="0" customWidth="1"/>
    <x:col min="4" max="4" width="26" hidden="0" customWidth="1"/>
    <x:col min="5" max="5" width="18" hidden="0" customWidth="1"/>
    <x:col min="6" max="6" width="28" hidden="0" customWidth="1"/>
    <x:col min="7" max="7" width="9" hidden="0" customWidth="1"/>
    <x:col min="8" max="8" width="9" hidden="0" customWidth="1"/>
    <x:col min="9" max="9" width="14" hidden="0" customWidth="1"/>
    <x:col min="10" max="10" width="22" hidden="0" customWidth="1"/>
    <x:col min="11" max="11" width="14" hidden="0" customWidth="1"/>
    <x:col min="12" max="12" width="16" hidden="0" customWidth="1"/>
    <x:col min="13" max="13" width="13" hidden="0" customWidth="1"/>
    <x:col min="14" max="14" width="16" hidden="0" customWidth="1"/>
    <x:col min="15" max="15" width="12" hidden="0" customWidth="1"/>
    <x:col min="16" max="16" width="16" hidden="0" customWidth="1"/>
    <x:col min="17" max="17" width="12" hidden="0" customWidth="1"/>
    <x:col min="18" max="18" width="24" hidden="0" customWidth="1"/>
    <x:col min="19" max="19" width="14" hidden="0" customWidth="1"/>
    <x:col min="20" max="20" width="16" hidden="0" customWidth="1"/>
    <x:col min="21" max="21" width="42" hidden="0" customWidth="1"/>
    <x:col min="22" max="22" width="44" hidden="0" customWidth="1"/>
    <x:col min="23" max="23" width="11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4" hidden="0" customWidth="1"/>
    <x:col min="30" max="30" width="16" hidden="0" customWidth="1"/>
    <x:col min="31" max="31" width="14" hidden="0" customWidth="1"/>
  </x:cols>
  <x:sheetData>
    <x:row r="1" ht="28" customHeight="1">
      <x:c r="A1" s="9" t="str">
        <x:v>Deadline</x:v>
      </x:c>
      <x:c r="B1" s="9" t="str">
        <x:v>Main Categories to Apply</x:v>
      </x:c>
      <x:c r="C1" s="9" t="str">
        <x:v>Suggested Action</x:v>
      </x:c>
      <x:c r="D1" s="9" t="str">
        <x:v>Estimated App Fees in Master</x:v>
      </x:c>
      <x:c r="E1" s="9" t="str">
        <x:v>Notes</x:v>
      </x:c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  <x:c r="AA1" s="9"/>
      <x:c r="AB1" s="9"/>
      <x:c r="AC1" s="9"/>
      <x:c r="AD1" s="9"/>
      <x:c r="AE1" s="9"/>
    </x:row>
    <x:row r="2">
      <x:c r="A2" s="4" t="str">
        <x:v>2026-08-15</x:v>
      </x:c>
      <x:c r="B2" s="4" t="str">
        <x:v>Archery Deer, Archery Mule Deer, Pronghorn, USFS/E-Postcard openers</x:v>
      </x:c>
      <x:c r="C2" s="4" t="str">
        <x:v>Submit all August 15 items first</x:v>
      </x:c>
      <x:c r="D2" s="4" t="n">
        <x:f>SUMIFS('Master Hunt List'!K:K,'Master Hunt List'!I:I,A2)</x:f>
        <x:v>107</x:v>
      </x:c>
      <x:c r="E2" s="4" t="str">
        <x:v>E-postcard requires APH; pronghorn/private lands are early.</x:v>
      </x:c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</x:row>
    <x:row r="3">
      <x:c r="A3" s="4" t="str">
        <x:v>2026-09-01</x:v>
      </x:c>
      <x:c r="B3" s="4" t="str">
        <x:v>National Wildlife Refuge hunts</x:v>
      </x:c>
      <x:c r="C3" s="4" t="str">
        <x:v>Check Buffalo Lake and Muleshoe refuge options</x:v>
      </x:c>
      <x:c r="D3" s="4" t="n">
        <x:f>SUMIFS('Master Hunt List'!K:K,'Master Hunt List'!I:I,A3)</x:f>
        <x:v>152</x:v>
      </x:c>
      <x:c r="E3" s="4" t="str">
        <x:v>Some NWR hunts have separate rules.</x:v>
      </x:c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  <x:c r="AD3" s="4"/>
      <x:c r="AE3" s="4"/>
    </x:row>
    <x:row r="4">
      <x:c r="A4" s="4" t="str">
        <x:v>2026-09-15</x:v>
      </x:c>
      <x:c r="B4" s="4" t="str">
        <x:v>Deer: youth, antlerless/spike, either-sex, management</x:v>
      </x:c>
      <x:c r="C4" s="4" t="str">
        <x:v>Do not miss youth deer and core Panhandle deer</x:v>
      </x:c>
      <x:c r="D4" s="4" t="n">
        <x:f>SUMIFS('Master Hunt List'!K:K,'Master Hunt List'!I:I,A4)</x:f>
        <x:v>273</x:v>
      </x:c>
      <x:c r="E4" s="4" t="str">
        <x:v>This is the big deer deadline.</x:v>
      </x:c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  <x:c r="AA4" s="4"/>
      <x:c r="AB4" s="4"/>
      <x:c r="AC4" s="4"/>
      <x:c r="AD4" s="4"/>
      <x:c r="AE4" s="4"/>
    </x:row>
    <x:row r="5">
      <x:c r="A5" s="4" t="str">
        <x:v>2026-10-01</x:v>
      </x:c>
      <x:c r="B5" s="4" t="str">
        <x:v>Mule deer/private quail/turkey varies</x:v>
      </x:c>
      <x:c r="C5" s="4" t="str">
        <x:v>Check mule deer and upland items</x:v>
      </x:c>
      <x:c r="D5" s="4" t="n">
        <x:f>SUMIFS('Master Hunt List'!K:K,'Master Hunt List'!I:I,A5)</x:f>
        <x:v>46</x:v>
      </x:c>
      <x:c r="E5" s="4" t="str">
        <x:v>Some dates vary by category.</x:v>
      </x:c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  <x:c r="AA5" s="4"/>
      <x:c r="AB5" s="4"/>
      <x:c r="AC5" s="4"/>
      <x:c r="AD5" s="4"/>
      <x:c r="AE5" s="4"/>
    </x:row>
    <x:row r="6">
      <x:c r="A6" s="4" t="str">
        <x:v>2026-10-15</x:v>
      </x:c>
      <x:c r="B6" s="4" t="str">
        <x:v>Late deer/exotics/e-postcards varies</x:v>
      </x:c>
      <x:c r="C6" s="4" t="str">
        <x:v>Sweep remaining fall hunts</x:v>
      </x:c>
      <x:c r="D6" s="4" t="n">
        <x:f>SUMIFS('Master Hunt List'!K:K,'Master Hunt List'!I:I,A6)</x:f>
        <x:v>18</x:v>
      </x:c>
      <x:c r="E6" s="4" t="str">
        <x:v>Verify remaining TPWD pages.</x:v>
      </x:c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  <x:c r="AA6" s="4"/>
      <x:c r="AB6" s="4"/>
      <x:c r="AC6" s="4"/>
      <x:c r="AD6" s="4"/>
      <x:c r="AE6" s="4"/>
    </x:row>
    <x:row r="7">
      <x:c r="A7" s="4" t="str">
        <x:v>2026-11-01</x:v>
      </x:c>
      <x:c r="B7" s="4" t="str">
        <x:v>Feral Hog / Youth Feral Hog</x:v>
      </x:c>
      <x:c r="C7" s="4" t="str">
        <x:v>Apply for hogs after deer applications are done</x:v>
      </x:c>
      <x:c r="D7" s="4" t="n">
        <x:f>SUMIFS('Master Hunt List'!K:K,'Master Hunt List'!I:I,A7)</x:f>
        <x:v>15</x:v>
      </x:c>
      <x:c r="E7" s="4" t="str">
        <x:v>Great winter family hunting opportunities.</x:v>
      </x:c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  <x:c r="AB7" s="4"/>
      <x:c r="AC7" s="4"/>
      <x:c r="AD7" s="4"/>
      <x:c r="AE7" s="4"/>
    </x:row>
    <x:row r="8">
      <x:c r="A8" s="4" t="str">
        <x:v>2027-01-15</x:v>
      </x:c>
      <x:c r="B8" s="4" t="str">
        <x:v>Spring Turkey / Youth Spring Turkey</x:v>
      </x:c>
      <x:c r="C8" s="4" t="str">
        <x:v>Apply for spring turkey</x:v>
      </x:c>
      <x:c r="D8" s="4" t="n">
        <x:f>SUMIFS('Master Hunt List'!K:K,'Master Hunt List'!I:I,A8)</x:f>
        <x:v>6</x:v>
      </x:c>
      <x:c r="E8" s="4" t="str">
        <x:v>Good season extender.</x:v>
      </x:c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  <x:c r="AA8" s="4"/>
      <x:c r="AB8" s="4"/>
      <x:c r="AC8" s="4"/>
      <x:c r="AD8" s="4"/>
      <x:c r="AE8" s="4"/>
    </x:row>
    <x:row r="9">
      <x:c r="A9" s="4"/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  <x:c r="AA9" s="4"/>
      <x:c r="AB9" s="4"/>
      <x:c r="AC9" s="4"/>
      <x:c r="AD9" s="4"/>
      <x:c r="AE9" s="4"/>
    </x:row>
    <x:row r="10">
      <x:c r="A10" s="4"/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  <x:c r="AA10" s="4"/>
      <x:c r="AB10" s="4"/>
      <x:c r="AC10" s="4"/>
      <x:c r="AD10" s="4"/>
      <x:c r="AE10" s="4"/>
    </x:row>
    <x:row r="11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  <x:c r="AA11" s="4"/>
      <x:c r="AB11" s="4"/>
      <x:c r="AC11" s="4"/>
      <x:c r="AD11" s="4"/>
      <x:c r="AE11" s="4"/>
    </x:row>
    <x:row r="12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  <x:c r="AA12" s="4"/>
      <x:c r="AB12" s="4"/>
      <x:c r="AC12" s="4"/>
      <x:c r="AD12" s="4"/>
      <x:c r="AE12" s="4"/>
    </x:row>
    <x:row r="13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  <x:c r="AA13" s="4"/>
      <x:c r="AB13" s="4"/>
      <x:c r="AC13" s="4"/>
      <x:c r="AD13" s="4"/>
      <x:c r="AE13" s="4"/>
    </x:row>
    <x:row r="14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  <x:c r="AA14" s="4"/>
      <x:c r="AB14" s="4"/>
      <x:c r="AC14" s="4"/>
      <x:c r="AD14" s="4"/>
      <x:c r="AE14" s="4"/>
    </x:row>
    <x:row r="15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  <x:c r="AA15" s="4"/>
      <x:c r="AB15" s="4"/>
      <x:c r="AC15" s="4"/>
      <x:c r="AD15" s="4"/>
      <x:c r="AE15" s="4"/>
    </x:row>
    <x:row r="16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  <x:c r="AA16" s="4"/>
      <x:c r="AB16" s="4"/>
      <x:c r="AC16" s="4"/>
      <x:c r="AD16" s="4"/>
      <x:c r="AE16" s="4"/>
    </x:row>
    <x:row r="17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/>
      <x:c r="AB17" s="4"/>
      <x:c r="AC17" s="4"/>
      <x:c r="AD17" s="4"/>
      <x:c r="AE17" s="4"/>
    </x:row>
    <x:row r="18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  <x:c r="AA18" s="4"/>
      <x:c r="AB18" s="4"/>
      <x:c r="AC18" s="4"/>
      <x:c r="AD18" s="4"/>
      <x:c r="AE18" s="4"/>
    </x:row>
    <x:row r="19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  <x:c r="AA20" s="4"/>
      <x:c r="AB20" s="4"/>
      <x:c r="AC20" s="4"/>
      <x:c r="AD20" s="4"/>
      <x:c r="AE20" s="4"/>
    </x:row>
    <x:row r="2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  <x:c r="AA21" s="4"/>
      <x:c r="AB21" s="4"/>
      <x:c r="AC21" s="4"/>
      <x:c r="AD21" s="4"/>
      <x:c r="AE21" s="4"/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  <x:c r="AA22" s="4"/>
      <x:c r="AB22" s="4"/>
      <x:c r="AC22" s="4"/>
      <x:c r="AD22" s="4"/>
      <x:c r="AE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  <x:c r="AA23" s="4"/>
      <x:c r="AB23" s="4"/>
      <x:c r="AC23" s="4"/>
      <x:c r="AD23" s="4"/>
      <x:c r="AE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  <x:c r="AA24" s="4"/>
      <x:c r="AB24" s="4"/>
      <x:c r="AC24" s="4"/>
      <x:c r="AD24" s="4"/>
      <x:c r="AE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  <x:c r="AA25" s="4"/>
      <x:c r="AB25" s="4"/>
      <x:c r="AC25" s="4"/>
      <x:c r="AD25" s="4"/>
      <x:c r="AE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  <x:c r="AA26" s="4"/>
      <x:c r="AB26" s="4"/>
      <x:c r="AC26" s="4"/>
      <x:c r="AD26" s="4"/>
      <x:c r="AE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  <x:c r="AA27" s="4"/>
      <x:c r="AB27" s="4"/>
      <x:c r="AC27" s="4"/>
      <x:c r="AD27" s="4"/>
      <x:c r="AE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  <x:c r="AA28" s="4"/>
      <x:c r="AB28" s="4"/>
      <x:c r="AC28" s="4"/>
      <x:c r="AD28" s="4"/>
      <x:c r="AE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  <x:c r="AA29" s="4"/>
      <x:c r="AB29" s="4"/>
      <x:c r="AC29" s="4"/>
      <x:c r="AD29" s="4"/>
      <x:c r="AE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  <x:c r="AA30" s="4"/>
      <x:c r="AB30" s="4"/>
      <x:c r="AC30" s="4"/>
      <x:c r="AD30" s="4"/>
      <x:c r="AE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  <x:c r="AA31" s="4"/>
      <x:c r="AB31" s="4"/>
      <x:c r="AC31" s="4"/>
      <x:c r="AD31" s="4"/>
      <x:c r="AE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  <x:c r="AA32" s="4"/>
      <x:c r="AB32" s="4"/>
      <x:c r="AC32" s="4"/>
      <x:c r="AD32" s="4"/>
      <x:c r="AE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  <x:c r="AA33" s="4"/>
      <x:c r="AB33" s="4"/>
      <x:c r="AC33" s="4"/>
      <x:c r="AD33" s="4"/>
      <x:c r="AE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  <x:c r="AA34" s="4"/>
      <x:c r="AB34" s="4"/>
      <x:c r="AC34" s="4"/>
      <x:c r="AD34" s="4"/>
      <x:c r="AE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  <x:c r="AA35" s="4"/>
      <x:c r="AB35" s="4"/>
      <x:c r="AC35" s="4"/>
      <x:c r="AD35" s="4"/>
      <x:c r="AE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  <x:c r="AA36" s="4"/>
      <x:c r="AB36" s="4"/>
      <x:c r="AC36" s="4"/>
      <x:c r="AD36" s="4"/>
      <x:c r="AE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  <x:c r="AA37" s="4"/>
      <x:c r="AB37" s="4"/>
      <x:c r="AC37" s="4"/>
      <x:c r="AD37" s="4"/>
      <x:c r="AE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  <x:c r="AA39" s="4"/>
      <x:c r="AB39" s="4"/>
      <x:c r="AC39" s="4"/>
      <x:c r="AD39" s="4"/>
      <x:c r="AE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  <x:c r="AA40" s="4"/>
      <x:c r="AB40" s="4"/>
      <x:c r="AC40" s="4"/>
      <x:c r="AD40" s="4"/>
      <x:c r="AE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  <x:c r="AA41" s="4"/>
      <x:c r="AB41" s="4"/>
      <x:c r="AC41" s="4"/>
      <x:c r="AD41" s="4"/>
      <x:c r="AE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  <x:c r="AA42" s="4"/>
      <x:c r="AB42" s="4"/>
      <x:c r="AC42" s="4"/>
      <x:c r="AD42" s="4"/>
      <x:c r="AE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  <x:c r="AA43" s="4"/>
      <x:c r="AB43" s="4"/>
      <x:c r="AC43" s="4"/>
      <x:c r="AD43" s="4"/>
      <x:c r="AE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  <x:c r="AA44" s="4"/>
      <x:c r="AB44" s="4"/>
      <x:c r="AC44" s="4"/>
      <x:c r="AD44" s="4"/>
      <x:c r="AE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  <x:c r="AA45" s="4"/>
      <x:c r="AB45" s="4"/>
      <x:c r="AC45" s="4"/>
      <x:c r="AD45" s="4"/>
      <x:c r="AE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  <x:c r="AA46" s="4"/>
      <x:c r="AB46" s="4"/>
      <x:c r="AC46" s="4"/>
      <x:c r="AD46" s="4"/>
      <x:c r="AE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  <x:c r="AA47" s="4"/>
      <x:c r="AB47" s="4"/>
      <x:c r="AC47" s="4"/>
      <x:c r="AD47" s="4"/>
      <x:c r="AE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  <x:c r="AA48" s="4"/>
      <x:c r="AB48" s="4"/>
      <x:c r="AC48" s="4"/>
      <x:c r="AD48" s="4"/>
      <x:c r="AE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  <x:c r="AA49" s="4"/>
      <x:c r="AB49" s="4"/>
      <x:c r="AC49" s="4"/>
      <x:c r="AD49" s="4"/>
      <x:c r="AE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  <x:c r="AA50" s="4"/>
      <x:c r="AB50" s="4"/>
      <x:c r="AC50" s="4"/>
      <x:c r="AD50" s="4"/>
      <x:c r="AE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  <x:c r="AA51" s="4"/>
      <x:c r="AB51" s="4"/>
      <x:c r="AC51" s="4"/>
      <x:c r="AD51" s="4"/>
      <x:c r="AE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  <x:c r="AA52" s="4"/>
      <x:c r="AB52" s="4"/>
      <x:c r="AC52" s="4"/>
      <x:c r="AD52" s="4"/>
      <x:c r="AE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  <x:c r="AA53" s="4"/>
      <x:c r="AB53" s="4"/>
      <x:c r="AC53" s="4"/>
      <x:c r="AD53" s="4"/>
      <x:c r="AE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  <x:c r="AA54" s="4"/>
      <x:c r="AB54" s="4"/>
      <x:c r="AC54" s="4"/>
      <x:c r="AD54" s="4"/>
      <x:c r="AE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  <x:c r="AA55" s="4"/>
      <x:c r="AB55" s="4"/>
      <x:c r="AC55" s="4"/>
      <x:c r="AD55" s="4"/>
      <x:c r="AE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  <x:c r="AA56" s="4"/>
      <x:c r="AB56" s="4"/>
      <x:c r="AC56" s="4"/>
      <x:c r="AD56" s="4"/>
      <x:c r="AE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  <x:c r="AA58" s="4"/>
      <x:c r="AB58" s="4"/>
      <x:c r="AC58" s="4"/>
      <x:c r="AD58" s="4"/>
      <x:c r="AE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  <x:c r="AA59" s="4"/>
      <x:c r="AB59" s="4"/>
      <x:c r="AC59" s="4"/>
      <x:c r="AD59" s="4"/>
      <x:c r="AE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  <x:c r="AA60" s="4"/>
      <x:c r="AB60" s="4"/>
      <x:c r="AC60" s="4"/>
      <x:c r="AD60" s="4"/>
      <x:c r="AE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  <x:c r="AA61" s="4"/>
      <x:c r="AB61" s="4"/>
      <x:c r="AC61" s="4"/>
      <x:c r="AD61" s="4"/>
      <x:c r="AE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  <x:c r="AA62" s="4"/>
      <x:c r="AB62" s="4"/>
      <x:c r="AC62" s="4"/>
      <x:c r="AD62" s="4"/>
      <x:c r="AE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  <x:c r="AA63" s="4"/>
      <x:c r="AB63" s="4"/>
      <x:c r="AC63" s="4"/>
      <x:c r="AD63" s="4"/>
      <x:c r="AE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  <x:c r="AA64" s="4"/>
      <x:c r="AB64" s="4"/>
      <x:c r="AC64" s="4"/>
      <x:c r="AD64" s="4"/>
      <x:c r="AE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  <x:c r="AA65" s="4"/>
      <x:c r="AB65" s="4"/>
      <x:c r="AC65" s="4"/>
      <x:c r="AD65" s="4"/>
      <x:c r="AE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  <x:c r="AA66" s="4"/>
      <x:c r="AB66" s="4"/>
      <x:c r="AC66" s="4"/>
      <x:c r="AD66" s="4"/>
      <x:c r="AE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  <x:c r="AA67" s="4"/>
      <x:c r="AB67" s="4"/>
      <x:c r="AC67" s="4"/>
      <x:c r="AD67" s="4"/>
      <x:c r="AE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s="4"/>
      <x:c r="AB68" s="4"/>
      <x:c r="AC68" s="4"/>
      <x:c r="AD68" s="4"/>
      <x:c r="AE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  <x:c r="AA69" s="4"/>
      <x:c r="AB69" s="4"/>
      <x:c r="AC69" s="4"/>
      <x:c r="AD69" s="4"/>
      <x:c r="AE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  <x:c r="AA70" s="4"/>
      <x:c r="AB70" s="4"/>
      <x:c r="AC70" s="4"/>
      <x:c r="AD70" s="4"/>
      <x:c r="AE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  <x:c r="AA71" s="4"/>
      <x:c r="AB71" s="4"/>
      <x:c r="AC71" s="4"/>
      <x:c r="AD71" s="4"/>
      <x:c r="AE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  <x:c r="AA72" s="4"/>
      <x:c r="AB72" s="4"/>
      <x:c r="AC72" s="4"/>
      <x:c r="AD72" s="4"/>
      <x:c r="AE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  <x:c r="AA73" s="4"/>
      <x:c r="AB73" s="4"/>
      <x:c r="AC73" s="4"/>
      <x:c r="AD73" s="4"/>
      <x:c r="AE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  <x:c r="AA74" s="4"/>
      <x:c r="AB74" s="4"/>
      <x:c r="AC74" s="4"/>
      <x:c r="AD74" s="4"/>
      <x:c r="AE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  <x:c r="AA75" s="4"/>
      <x:c r="AB75" s="4"/>
      <x:c r="AC75" s="4"/>
      <x:c r="AD75" s="4"/>
      <x:c r="AE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  <x:c r="AA77" s="4"/>
      <x:c r="AB77" s="4"/>
      <x:c r="AC77" s="4"/>
      <x:c r="AD77" s="4"/>
      <x:c r="AE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  <x:c r="AA78" s="4"/>
      <x:c r="AB78" s="4"/>
      <x:c r="AC78" s="4"/>
      <x:c r="AD78" s="4"/>
      <x:c r="AE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  <x:c r="AA79" s="4"/>
      <x:c r="AB79" s="4"/>
      <x:c r="AC79" s="4"/>
      <x:c r="AD79" s="4"/>
      <x:c r="AE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  <x:c r="AA80" s="4"/>
      <x:c r="AB80" s="4"/>
      <x:c r="AC80" s="4"/>
      <x:c r="AD80" s="4"/>
      <x:c r="AE80" s="4"/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  <x:c r="AA81" s="4"/>
      <x:c r="AB81" s="4"/>
      <x:c r="AC81" s="4"/>
      <x:c r="AD81" s="4"/>
      <x:c r="AE81" s="4"/>
    </x:row>
    <x:row r="82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  <x:c r="AA82" s="4"/>
      <x:c r="AB82" s="4"/>
      <x:c r="AC82" s="4"/>
      <x:c r="AD82" s="4"/>
      <x:c r="AE82" s="4"/>
    </x:row>
    <x:row r="83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  <x:c r="AA83" s="4"/>
      <x:c r="AB83" s="4"/>
      <x:c r="AC83" s="4"/>
      <x:c r="AD83" s="4"/>
      <x:c r="AE83" s="4"/>
    </x:row>
    <x:row r="84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  <x:c r="AA84" s="4"/>
      <x:c r="AB84" s="4"/>
      <x:c r="AC84" s="4"/>
      <x:c r="AD84" s="4"/>
      <x:c r="AE84" s="4"/>
    </x:row>
    <x:row r="85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  <x:c r="AA85" s="4"/>
      <x:c r="AB85" s="4"/>
      <x:c r="AC85" s="4"/>
      <x:c r="AD85" s="4"/>
      <x:c r="AE85" s="4"/>
    </x:row>
    <x:row r="86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  <x:c r="AA86" s="4"/>
      <x:c r="AB86" s="4"/>
      <x:c r="AC86" s="4"/>
      <x:c r="AD86" s="4"/>
      <x:c r="AE86" s="4"/>
    </x:row>
    <x:row r="87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  <x:c r="AA87" s="4"/>
      <x:c r="AB87" s="4"/>
      <x:c r="AC87" s="4"/>
      <x:c r="AD87" s="4"/>
      <x:c r="AE87" s="4"/>
    </x:row>
    <x:row r="88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  <x:c r="AA88" s="4"/>
      <x:c r="AB88" s="4"/>
      <x:c r="AC88" s="4"/>
      <x:c r="AD88" s="4"/>
      <x:c r="AE88" s="4"/>
    </x:row>
    <x:row r="89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  <x:c r="AA89" s="4"/>
      <x:c r="AB89" s="4"/>
      <x:c r="AC89" s="4"/>
      <x:c r="AD89" s="4"/>
      <x:c r="AE89" s="4"/>
    </x:row>
    <x:row r="90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  <x:c r="AA90" s="4"/>
      <x:c r="AB90" s="4"/>
      <x:c r="AC90" s="4"/>
      <x:c r="AD90" s="4"/>
      <x:c r="AE90" s="4"/>
    </x:row>
    <x:row r="9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  <x:c r="AA91" s="4"/>
      <x:c r="AB91" s="4"/>
      <x:c r="AC91" s="4"/>
      <x:c r="AD91" s="4"/>
      <x:c r="AE91" s="4"/>
    </x:row>
    <x:row r="92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  <x:c r="AA92" s="4"/>
      <x:c r="AB92" s="4"/>
      <x:c r="AC92" s="4"/>
      <x:c r="AD92" s="4"/>
      <x:c r="AE92" s="4"/>
    </x:row>
    <x:row r="93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  <x:c r="AA93" s="4"/>
      <x:c r="AB93" s="4"/>
      <x:c r="AC93" s="4"/>
      <x:c r="AD93" s="4"/>
      <x:c r="AE93" s="4"/>
    </x:row>
    <x:row r="94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  <x:c r="AA94" s="4"/>
      <x:c r="AB94" s="4"/>
      <x:c r="AC94" s="4"/>
      <x:c r="AD94" s="4"/>
      <x:c r="AE94" s="4"/>
    </x:row>
    <x:row r="95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  <x:c r="AA96" s="4"/>
      <x:c r="AB96" s="4"/>
      <x:c r="AC96" s="4"/>
      <x:c r="AD96" s="4"/>
      <x:c r="AE96" s="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  <x:c r="AA97" s="4"/>
      <x:c r="AB97" s="4"/>
      <x:c r="AC97" s="4"/>
      <x:c r="AD97" s="4"/>
      <x:c r="AE97" s="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  <x:c r="AA98" s="4"/>
      <x:c r="AB98" s="4"/>
      <x:c r="AC98" s="4"/>
      <x:c r="AD98" s="4"/>
      <x:c r="AE98" s="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  <x:c r="AA99" s="4"/>
      <x:c r="AB99" s="4"/>
      <x:c r="AC99" s="4"/>
      <x:c r="AD99" s="4"/>
      <x:c r="AE99" s="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  <x:c r="AA100" s="4"/>
      <x:c r="AB100" s="4"/>
      <x:c r="AC100" s="4"/>
      <x:c r="AD100" s="4"/>
      <x:c r="AE100" s="4"/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  <x:c r="AA101" s="4"/>
      <x:c r="AB101" s="4"/>
      <x:c r="AC101" s="4"/>
      <x:c r="AD101" s="4"/>
      <x:c r="AE101" s="4"/>
    </x:row>
    <x:row r="102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  <x:c r="AA102" s="4"/>
      <x:c r="AB102" s="4"/>
      <x:c r="AC102" s="4"/>
      <x:c r="AD102" s="4"/>
      <x:c r="AE102" s="4"/>
    </x:row>
    <x:row r="103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  <x:c r="AA103" s="4"/>
      <x:c r="AB103" s="4"/>
      <x:c r="AC103" s="4"/>
      <x:c r="AD103" s="4"/>
      <x:c r="AE103" s="4"/>
    </x:row>
    <x:row r="104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  <x:c r="AA104" s="4"/>
      <x:c r="AB104" s="4"/>
      <x:c r="AC104" s="4"/>
      <x:c r="AD104" s="4"/>
      <x:c r="AE104" s="4"/>
    </x:row>
    <x:row r="105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  <x:c r="AA105" s="4"/>
      <x:c r="AB105" s="4"/>
      <x:c r="AC105" s="4"/>
      <x:c r="AD105" s="4"/>
      <x:c r="AE105" s="4"/>
    </x:row>
    <x:row r="106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  <x:c r="AA106" s="4"/>
      <x:c r="AB106" s="4"/>
      <x:c r="AC106" s="4"/>
      <x:c r="AD106" s="4"/>
      <x:c r="AE106" s="4"/>
    </x:row>
    <x:row r="107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  <x:c r="AA107" s="4"/>
      <x:c r="AB107" s="4"/>
      <x:c r="AC107" s="4"/>
      <x:c r="AD107" s="4"/>
      <x:c r="AE107" s="4"/>
    </x:row>
    <x:row r="108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  <x:c r="AA108" s="4"/>
      <x:c r="AB108" s="4"/>
      <x:c r="AC108" s="4"/>
      <x:c r="AD108" s="4"/>
      <x:c r="AE108" s="4"/>
    </x:row>
    <x:row r="109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  <x:c r="AA109" s="4"/>
      <x:c r="AB109" s="4"/>
      <x:c r="AC109" s="4"/>
      <x:c r="AD109" s="4"/>
      <x:c r="AE109" s="4"/>
    </x:row>
    <x:row r="110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  <x:c r="AA110" s="4"/>
      <x:c r="AB110" s="4"/>
      <x:c r="AC110" s="4"/>
      <x:c r="AD110" s="4"/>
      <x:c r="AE110" s="4"/>
    </x:row>
    <x:row r="11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  <x:c r="AA111" s="4"/>
      <x:c r="AB111" s="4"/>
      <x:c r="AC111" s="4"/>
      <x:c r="AD111" s="4"/>
      <x:c r="AE111" s="4"/>
    </x:row>
    <x:row r="112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  <x:c r="AA112" s="4"/>
      <x:c r="AB112" s="4"/>
      <x:c r="AC112" s="4"/>
      <x:c r="AD112" s="4"/>
      <x:c r="AE112" s="4"/>
    </x:row>
    <x:row r="113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  <x:c r="AA113" s="4"/>
      <x:c r="AB113" s="4"/>
      <x:c r="AC113" s="4"/>
      <x:c r="AD113" s="4"/>
      <x:c r="AE113" s="4"/>
    </x:row>
    <x:row r="114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  <x:c r="AA114" s="4"/>
      <x:c r="AB114" s="4"/>
      <x:c r="AC114" s="4"/>
      <x:c r="AD114" s="4"/>
      <x:c r="AE114" s="4"/>
    </x:row>
    <x:row r="115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  <x:c r="AA115" s="4"/>
      <x:c r="AB115" s="4"/>
      <x:c r="AC115" s="4"/>
      <x:c r="AD115" s="4"/>
      <x:c r="AE115" s="4"/>
    </x:row>
    <x:row r="116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  <x:c r="AA116" s="4"/>
      <x:c r="AB116" s="4"/>
      <x:c r="AC116" s="4"/>
      <x:c r="AD116" s="4"/>
      <x:c r="AE116" s="4"/>
    </x:row>
    <x:row r="117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  <x:c r="AA117" s="4"/>
      <x:c r="AB117" s="4"/>
      <x:c r="AC117" s="4"/>
      <x:c r="AD117" s="4"/>
      <x:c r="AE117" s="4"/>
    </x:row>
    <x:row r="118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  <x:c r="AA118" s="4"/>
      <x:c r="AB118" s="4"/>
      <x:c r="AC118" s="4"/>
      <x:c r="AD118" s="4"/>
      <x:c r="AE118" s="4"/>
    </x:row>
    <x:row r="119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  <x:c r="AA119" s="4"/>
      <x:c r="AB119" s="4"/>
      <x:c r="AC119" s="4"/>
      <x:c r="AD119" s="4"/>
      <x:c r="AE119" s="4"/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  <x:c r="AA120" s="4"/>
      <x:c r="AB120" s="4"/>
      <x:c r="AC120" s="4"/>
      <x:c r="AD120" s="4"/>
      <x:c r="AE120" s="4"/>
    </x:row>
    <x:row r="12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  <x:c r="AA121" s="4"/>
      <x:c r="AB121" s="4"/>
      <x:c r="AC121" s="4"/>
      <x:c r="AD121" s="4"/>
      <x:c r="AE121" s="4"/>
    </x:row>
    <x:row r="122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  <x:c r="AA122" s="4"/>
      <x:c r="AB122" s="4"/>
      <x:c r="AC122" s="4"/>
      <x:c r="AD122" s="4"/>
      <x:c r="AE122" s="4"/>
    </x:row>
    <x:row r="123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  <x:c r="AA123" s="4"/>
      <x:c r="AB123" s="4"/>
      <x:c r="AC123" s="4"/>
      <x:c r="AD123" s="4"/>
      <x:c r="AE123" s="4"/>
    </x:row>
    <x:row r="124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  <x:c r="AA124" s="4"/>
      <x:c r="AB124" s="4"/>
      <x:c r="AC124" s="4"/>
      <x:c r="AD124" s="4"/>
      <x:c r="AE124" s="4"/>
    </x:row>
    <x:row r="125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  <x:c r="AA125" s="4"/>
      <x:c r="AB125" s="4"/>
      <x:c r="AC125" s="4"/>
      <x:c r="AD125" s="4"/>
      <x:c r="AE125" s="4"/>
    </x:row>
    <x:row r="126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  <x:c r="AA126" s="4"/>
      <x:c r="AB126" s="4"/>
      <x:c r="AC126" s="4"/>
      <x:c r="AD126" s="4"/>
      <x:c r="AE126" s="4"/>
    </x:row>
    <x:row r="127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  <x:c r="AA127" s="4"/>
      <x:c r="AB127" s="4"/>
      <x:c r="AC127" s="4"/>
      <x:c r="AD127" s="4"/>
      <x:c r="AE127" s="4"/>
    </x:row>
    <x:row r="128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  <x:c r="AA128" s="4"/>
      <x:c r="AB128" s="4"/>
      <x:c r="AC128" s="4"/>
      <x:c r="AD128" s="4"/>
      <x:c r="AE128" s="4"/>
    </x:row>
    <x:row r="129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  <x:c r="AA129" s="4"/>
      <x:c r="AB129" s="4"/>
      <x:c r="AC129" s="4"/>
      <x:c r="AD129" s="4"/>
      <x:c r="AE129" s="4"/>
    </x:row>
    <x:row r="130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  <x:c r="AA130" s="4"/>
      <x:c r="AB130" s="4"/>
      <x:c r="AC130" s="4"/>
      <x:c r="AD130" s="4"/>
      <x:c r="AE130" s="4"/>
    </x:row>
    <x:row r="13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  <x:c r="AA131" s="4"/>
      <x:c r="AB131" s="4"/>
      <x:c r="AC131" s="4"/>
      <x:c r="AD131" s="4"/>
      <x:c r="AE131" s="4"/>
    </x:row>
    <x:row r="132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  <x:c r="AA132" s="4"/>
      <x:c r="AB132" s="4"/>
      <x:c r="AC132" s="4"/>
      <x:c r="AD132" s="4"/>
      <x:c r="AE132" s="4"/>
    </x:row>
    <x:row r="133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  <x:c r="AA133" s="4"/>
      <x:c r="AB133" s="4"/>
      <x:c r="AC133" s="4"/>
      <x:c r="AD133" s="4"/>
      <x:c r="AE133" s="4"/>
    </x:row>
    <x:row r="134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  <x:c r="AA134" s="4"/>
      <x:c r="AB134" s="4"/>
      <x:c r="AC134" s="4"/>
      <x:c r="AD134" s="4"/>
      <x:c r="AE134" s="4"/>
    </x:row>
    <x:row r="135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  <x:c r="AA135" s="4"/>
      <x:c r="AB135" s="4"/>
      <x:c r="AC135" s="4"/>
      <x:c r="AD135" s="4"/>
      <x:c r="AE135" s="4"/>
    </x:row>
    <x:row r="136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  <x:c r="AA136" s="4"/>
      <x:c r="AB136" s="4"/>
      <x:c r="AC136" s="4"/>
      <x:c r="AD136" s="4"/>
      <x:c r="AE136" s="4"/>
    </x:row>
    <x:row r="137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  <x:c r="AA137" s="4"/>
      <x:c r="AB137" s="4"/>
      <x:c r="AC137" s="4"/>
      <x:c r="AD137" s="4"/>
      <x:c r="AE137" s="4"/>
    </x:row>
    <x:row r="138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  <x:c r="AA138" s="4"/>
      <x:c r="AB138" s="4"/>
      <x:c r="AC138" s="4"/>
      <x:c r="AD138" s="4"/>
      <x:c r="AE138" s="4"/>
    </x:row>
    <x:row r="139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  <x:c r="AA139" s="4"/>
      <x:c r="AB139" s="4"/>
      <x:c r="AC139" s="4"/>
      <x:c r="AD139" s="4"/>
      <x:c r="AE139" s="4"/>
    </x:row>
    <x:row r="140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  <x:c r="AA140" s="4"/>
      <x:c r="AB140" s="4"/>
      <x:c r="AC140" s="4"/>
      <x:c r="AD140" s="4"/>
      <x:c r="AE140" s="4"/>
    </x:row>
    <x:row r="14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  <x:c r="AA141" s="4"/>
      <x:c r="AB141" s="4"/>
      <x:c r="AC141" s="4"/>
      <x:c r="AD141" s="4"/>
      <x:c r="AE141" s="4"/>
    </x:row>
    <x:row r="142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  <x:c r="AA142" s="4"/>
      <x:c r="AB142" s="4"/>
      <x:c r="AC142" s="4"/>
      <x:c r="AD142" s="4"/>
      <x:c r="AE142" s="4"/>
    </x:row>
    <x:row r="143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  <x:c r="AA143" s="4"/>
      <x:c r="AB143" s="4"/>
      <x:c r="AC143" s="4"/>
      <x:c r="AD143" s="4"/>
      <x:c r="AE143" s="4"/>
    </x:row>
    <x:row r="144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  <x:c r="AA144" s="4"/>
      <x:c r="AB144" s="4"/>
      <x:c r="AC144" s="4"/>
      <x:c r="AD144" s="4"/>
      <x:c r="AE144" s="4"/>
    </x:row>
    <x:row r="145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  <x:c r="AA145" s="4"/>
      <x:c r="AB145" s="4"/>
      <x:c r="AC145" s="4"/>
      <x:c r="AD145" s="4"/>
      <x:c r="AE145" s="4"/>
    </x:row>
    <x:row r="146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  <x:c r="AA146" s="4"/>
      <x:c r="AB146" s="4"/>
      <x:c r="AC146" s="4"/>
      <x:c r="AD146" s="4"/>
      <x:c r="AE146" s="4"/>
    </x:row>
    <x:row r="147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  <x:c r="AA147" s="4"/>
      <x:c r="AB147" s="4"/>
      <x:c r="AC147" s="4"/>
      <x:c r="AD147" s="4"/>
      <x:c r="AE147" s="4"/>
    </x:row>
    <x:row r="148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  <x:c r="AA148" s="4"/>
      <x:c r="AB148" s="4"/>
      <x:c r="AC148" s="4"/>
      <x:c r="AD148" s="4"/>
      <x:c r="AE148" s="4"/>
    </x:row>
    <x:row r="149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  <x:c r="AA149" s="4"/>
      <x:c r="AB149" s="4"/>
      <x:c r="AC149" s="4"/>
      <x:c r="AD149" s="4"/>
      <x:c r="AE149" s="4"/>
    </x:row>
    <x:row r="150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  <x:c r="AA150" s="4"/>
      <x:c r="AB150" s="4"/>
      <x:c r="AC150" s="4"/>
      <x:c r="AD150" s="4"/>
      <x:c r="AE150" s="4"/>
    </x:row>
    <x:row r="15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  <x:c r="AA151" s="4"/>
      <x:c r="AB151" s="4"/>
      <x:c r="AC151" s="4"/>
      <x:c r="AD151" s="4"/>
      <x:c r="AE151" s="4"/>
    </x:row>
    <x:row r="152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  <x:c r="AA152" s="4"/>
      <x:c r="AB152" s="4"/>
      <x:c r="AC152" s="4"/>
      <x:c r="AD152" s="4"/>
      <x:c r="AE152" s="4"/>
    </x:row>
    <x:row r="153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  <x:c r="AA153" s="4"/>
      <x:c r="AB153" s="4"/>
      <x:c r="AC153" s="4"/>
      <x:c r="AD153" s="4"/>
      <x:c r="AE153" s="4"/>
    </x:row>
    <x:row r="154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  <x:c r="AA154" s="4"/>
      <x:c r="AB154" s="4"/>
      <x:c r="AC154" s="4"/>
      <x:c r="AD154" s="4"/>
      <x:c r="AE154" s="4"/>
    </x:row>
    <x:row r="155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  <x:c r="AA155" s="4"/>
      <x:c r="AB155" s="4"/>
      <x:c r="AC155" s="4"/>
      <x:c r="AD155" s="4"/>
      <x:c r="AE155" s="4"/>
    </x:row>
    <x:row r="156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  <x:c r="AA156" s="4"/>
      <x:c r="AB156" s="4"/>
      <x:c r="AC156" s="4"/>
      <x:c r="AD156" s="4"/>
      <x:c r="AE156" s="4"/>
    </x:row>
    <x:row r="157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  <x:c r="AA157" s="4"/>
      <x:c r="AB157" s="4"/>
      <x:c r="AC157" s="4"/>
      <x:c r="AD157" s="4"/>
      <x:c r="AE157" s="4"/>
    </x:row>
    <x:row r="158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  <x:c r="AA158" s="4"/>
      <x:c r="AB158" s="4"/>
      <x:c r="AC158" s="4"/>
      <x:c r="AD158" s="4"/>
      <x:c r="AE158" s="4"/>
    </x:row>
    <x:row r="159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  <x:c r="AA159" s="4"/>
      <x:c r="AB159" s="4"/>
      <x:c r="AC159" s="4"/>
      <x:c r="AD159" s="4"/>
      <x:c r="AE159" s="4"/>
    </x:row>
    <x:row r="160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  <x:c r="AA160" s="4"/>
      <x:c r="AB160" s="4"/>
      <x:c r="AC160" s="4"/>
      <x:c r="AD160" s="4"/>
      <x:c r="AE160" s="4"/>
    </x:row>
    <x:row r="16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  <x:c r="AA161" s="4"/>
      <x:c r="AB161" s="4"/>
      <x:c r="AC161" s="4"/>
      <x:c r="AD161" s="4"/>
      <x:c r="AE161" s="4"/>
    </x:row>
    <x:row r="162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  <x:c r="AA162" s="4"/>
      <x:c r="AB162" s="4"/>
      <x:c r="AC162" s="4"/>
      <x:c r="AD162" s="4"/>
      <x:c r="AE162" s="4"/>
    </x:row>
    <x:row r="163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  <x:c r="AA163" s="4"/>
      <x:c r="AB163" s="4"/>
      <x:c r="AC163" s="4"/>
      <x:c r="AD163" s="4"/>
      <x:c r="AE163" s="4"/>
    </x:row>
    <x:row r="164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  <x:c r="AA164" s="4"/>
      <x:c r="AB164" s="4"/>
      <x:c r="AC164" s="4"/>
      <x:c r="AD164" s="4"/>
      <x:c r="AE164" s="4"/>
    </x:row>
    <x:row r="165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  <x:c r="AA165" s="4"/>
      <x:c r="AB165" s="4"/>
      <x:c r="AC165" s="4"/>
      <x:c r="AD165" s="4"/>
      <x:c r="AE165" s="4"/>
    </x:row>
    <x:row r="166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  <x:c r="AA166" s="4"/>
      <x:c r="AB166" s="4"/>
      <x:c r="AC166" s="4"/>
      <x:c r="AD166" s="4"/>
      <x:c r="AE166" s="4"/>
    </x:row>
    <x:row r="167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  <x:c r="AA167" s="4"/>
      <x:c r="AB167" s="4"/>
      <x:c r="AC167" s="4"/>
      <x:c r="AD167" s="4"/>
      <x:c r="AE167" s="4"/>
    </x:row>
    <x:row r="168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  <x:c r="AA168" s="4"/>
      <x:c r="AB168" s="4"/>
      <x:c r="AC168" s="4"/>
      <x:c r="AD168" s="4"/>
      <x:c r="AE168" s="4"/>
    </x:row>
    <x:row r="169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  <x:c r="AA169" s="4"/>
      <x:c r="AB169" s="4"/>
      <x:c r="AC169" s="4"/>
      <x:c r="AD169" s="4"/>
      <x:c r="AE169" s="4"/>
    </x:row>
    <x:row r="170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  <x:c r="AA170" s="4"/>
      <x:c r="AB170" s="4"/>
      <x:c r="AC170" s="4"/>
      <x:c r="AD170" s="4"/>
      <x:c r="AE170" s="4"/>
    </x:row>
    <x:row r="17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  <x:c r="AA171" s="4"/>
      <x:c r="AB171" s="4"/>
      <x:c r="AC171" s="4"/>
      <x:c r="AD171" s="4"/>
      <x:c r="AE171" s="4"/>
    </x:row>
    <x:row r="172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  <x:c r="AA172" s="4"/>
      <x:c r="AB172" s="4"/>
      <x:c r="AC172" s="4"/>
      <x:c r="AD172" s="4"/>
      <x:c r="AE172" s="4"/>
    </x:row>
    <x:row r="173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  <x:c r="AA173" s="4"/>
      <x:c r="AB173" s="4"/>
      <x:c r="AC173" s="4"/>
      <x:c r="AD173" s="4"/>
      <x:c r="AE173" s="4"/>
    </x:row>
    <x:row r="174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  <x:c r="AA174" s="4"/>
      <x:c r="AB174" s="4"/>
      <x:c r="AC174" s="4"/>
      <x:c r="AD174" s="4"/>
      <x:c r="AE174" s="4"/>
    </x:row>
    <x:row r="175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  <x:c r="AA175" s="4"/>
      <x:c r="AB175" s="4"/>
      <x:c r="AC175" s="4"/>
      <x:c r="AD175" s="4"/>
      <x:c r="AE175" s="4"/>
    </x:row>
    <x:row r="176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  <x:c r="AA176" s="4"/>
      <x:c r="AB176" s="4"/>
      <x:c r="AC176" s="4"/>
      <x:c r="AD176" s="4"/>
      <x:c r="AE176" s="4"/>
    </x:row>
    <x:row r="177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  <x:c r="AA177" s="4"/>
      <x:c r="AB177" s="4"/>
      <x:c r="AC177" s="4"/>
      <x:c r="AD177" s="4"/>
      <x:c r="AE177" s="4"/>
    </x:row>
    <x:row r="178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  <x:c r="AA178" s="4"/>
      <x:c r="AB178" s="4"/>
      <x:c r="AC178" s="4"/>
      <x:c r="AD178" s="4"/>
      <x:c r="AE178" s="4"/>
    </x:row>
    <x:row r="179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  <x:c r="AA179" s="4"/>
      <x:c r="AB179" s="4"/>
      <x:c r="AC179" s="4"/>
      <x:c r="AD179" s="4"/>
      <x:c r="AE179" s="4"/>
    </x:row>
    <x:row r="180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  <x:c r="AA180" s="4"/>
      <x:c r="AB180" s="4"/>
      <x:c r="AC180" s="4"/>
      <x:c r="AD180" s="4"/>
      <x:c r="AE180" s="4"/>
    </x:row>
    <x:row r="18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  <x:c r="AA181" s="4"/>
      <x:c r="AB181" s="4"/>
      <x:c r="AC181" s="4"/>
      <x:c r="AD181" s="4"/>
      <x:c r="AE181" s="4"/>
    </x:row>
    <x:row r="182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  <x:c r="AA182" s="4"/>
      <x:c r="AB182" s="4"/>
      <x:c r="AC182" s="4"/>
      <x:c r="AD182" s="4"/>
      <x:c r="AE182" s="4"/>
    </x:row>
    <x:row r="183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  <x:c r="AA183" s="4"/>
      <x:c r="AB183" s="4"/>
      <x:c r="AC183" s="4"/>
      <x:c r="AD183" s="4"/>
      <x:c r="AE183" s="4"/>
    </x:row>
    <x:row r="184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  <x:c r="AA184" s="4"/>
      <x:c r="AB184" s="4"/>
      <x:c r="AC184" s="4"/>
      <x:c r="AD184" s="4"/>
      <x:c r="AE184" s="4"/>
    </x:row>
    <x:row r="185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  <x:c r="AA185" s="4"/>
      <x:c r="AB185" s="4"/>
      <x:c r="AC185" s="4"/>
      <x:c r="AD185" s="4"/>
      <x:c r="AE185" s="4"/>
    </x:row>
    <x:row r="186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  <x:c r="AA186" s="4"/>
      <x:c r="AB186" s="4"/>
      <x:c r="AC186" s="4"/>
      <x:c r="AD186" s="4"/>
      <x:c r="AE186" s="4"/>
    </x:row>
    <x:row r="187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  <x:c r="AA187" s="4"/>
      <x:c r="AB187" s="4"/>
      <x:c r="AC187" s="4"/>
      <x:c r="AD187" s="4"/>
      <x:c r="AE187" s="4"/>
    </x:row>
    <x:row r="188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  <x:c r="AA188" s="4"/>
      <x:c r="AB188" s="4"/>
      <x:c r="AC188" s="4"/>
      <x:c r="AD188" s="4"/>
      <x:c r="AE188" s="4"/>
    </x:row>
    <x:row r="189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  <x:c r="AA189" s="4"/>
      <x:c r="AB189" s="4"/>
      <x:c r="AC189" s="4"/>
      <x:c r="AD189" s="4"/>
      <x:c r="AE189" s="4"/>
    </x:row>
    <x:row r="190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  <x:c r="AA190" s="4"/>
      <x:c r="AB190" s="4"/>
      <x:c r="AC190" s="4"/>
      <x:c r="AD190" s="4"/>
      <x:c r="AE190" s="4"/>
    </x:row>
    <x:row r="19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  <x:c r="AA191" s="4"/>
      <x:c r="AB191" s="4"/>
      <x:c r="AC191" s="4"/>
      <x:c r="AD191" s="4"/>
      <x:c r="AE191" s="4"/>
    </x:row>
    <x:row r="192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  <x:c r="AA192" s="4"/>
      <x:c r="AB192" s="4"/>
      <x:c r="AC192" s="4"/>
      <x:c r="AD192" s="4"/>
      <x:c r="AE192" s="4"/>
    </x:row>
    <x:row r="193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  <x:c r="AA193" s="4"/>
      <x:c r="AB193" s="4"/>
      <x:c r="AC193" s="4"/>
      <x:c r="AD193" s="4"/>
      <x:c r="AE193" s="4"/>
    </x:row>
    <x:row r="194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  <x:c r="AA194" s="4"/>
      <x:c r="AB194" s="4"/>
      <x:c r="AC194" s="4"/>
      <x:c r="AD194" s="4"/>
      <x:c r="AE194" s="4"/>
    </x:row>
    <x:row r="195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  <x:c r="AA195" s="4"/>
      <x:c r="AB195" s="4"/>
      <x:c r="AC195" s="4"/>
      <x:c r="AD195" s="4"/>
      <x:c r="AE195" s="4"/>
    </x:row>
    <x:row r="196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  <x:c r="AA196" s="4"/>
      <x:c r="AB196" s="4"/>
      <x:c r="AC196" s="4"/>
      <x:c r="AD196" s="4"/>
      <x:c r="AE196" s="4"/>
    </x:row>
    <x:row r="197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  <x:c r="AA197" s="4"/>
      <x:c r="AB197" s="4"/>
      <x:c r="AC197" s="4"/>
      <x:c r="AD197" s="4"/>
      <x:c r="AE197" s="4"/>
    </x:row>
    <x:row r="198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  <x:c r="AA198" s="4"/>
      <x:c r="AB198" s="4"/>
      <x:c r="AC198" s="4"/>
      <x:c r="AD198" s="4"/>
      <x:c r="AE198" s="4"/>
    </x:row>
    <x:row r="199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  <x:c r="AA199" s="4"/>
      <x:c r="AB199" s="4"/>
      <x:c r="AC199" s="4"/>
      <x:c r="AD199" s="4"/>
      <x:c r="AE199" s="4"/>
    </x:row>
    <x:row r="200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  <x:c r="AA200" s="4"/>
      <x:c r="AB200" s="4"/>
      <x:c r="AC200" s="4"/>
      <x:c r="AD200" s="4"/>
      <x:c r="AE200" s="4"/>
    </x:row>
  </x:sheetData>
  <x:pageMargins left="0.7" right="0.7" top="0.75" bottom="0.75" header="0.3" footer="0.3"/>
  <x:tableParts count="1">
    <x:tablePart xmlns:r="http://schemas.openxmlformats.org/officeDocument/2006/relationships" r:id="R5fd6801ac2cc418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8" hidden="0" customWidth="1"/>
    <x:col min="4" max="4" width="26" hidden="0" customWidth="1"/>
    <x:col min="5" max="5" width="18" hidden="0" customWidth="1"/>
    <x:col min="6" max="6" width="28" hidden="0" customWidth="1"/>
    <x:col min="7" max="7" width="9" hidden="0" customWidth="1"/>
    <x:col min="8" max="8" width="9" hidden="0" customWidth="1"/>
    <x:col min="9" max="9" width="14" hidden="0" customWidth="1"/>
    <x:col min="10" max="10" width="22" hidden="0" customWidth="1"/>
    <x:col min="11" max="11" width="14" hidden="0" customWidth="1"/>
    <x:col min="12" max="12" width="16" hidden="0" customWidth="1"/>
    <x:col min="13" max="13" width="13" hidden="0" customWidth="1"/>
    <x:col min="14" max="14" width="16" hidden="0" customWidth="1"/>
    <x:col min="15" max="15" width="12" hidden="0" customWidth="1"/>
    <x:col min="16" max="16" width="16" hidden="0" customWidth="1"/>
    <x:col min="17" max="17" width="12" hidden="0" customWidth="1"/>
    <x:col min="18" max="18" width="24" hidden="0" customWidth="1"/>
    <x:col min="19" max="19" width="14" hidden="0" customWidth="1"/>
    <x:col min="20" max="20" width="16" hidden="0" customWidth="1"/>
    <x:col min="21" max="21" width="42" hidden="0" customWidth="1"/>
    <x:col min="22" max="22" width="44" hidden="0" customWidth="1"/>
    <x:col min="23" max="23" width="11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4" hidden="0" customWidth="1"/>
    <x:col min="30" max="30" width="16" hidden="0" customWidth="1"/>
    <x:col min="31" max="31" width="14" hidden="0" customWidth="1"/>
  </x:cols>
  <x:sheetData>
    <x:row r="1" ht="28" customHeight="1">
      <x:c r="A1" s="9" t="str">
        <x:v>Hunt Area</x:v>
      </x:c>
      <x:c r="B1" s="9" t="str">
        <x:v>Hunt Category</x:v>
      </x:c>
      <x:c r="C1" s="9" t="str">
        <x:v>Species</x:v>
      </x:c>
      <x:c r="D1" s="9" t="str">
        <x:v>Applicants Last Year</x:v>
      </x:c>
      <x:c r="E1" s="9" t="str">
        <x:v>Permits/Groups</x:v>
      </x:c>
      <x:c r="F1" s="9" t="str">
        <x:v>Draw Odds</x:v>
      </x:c>
      <x:c r="G1" s="9" t="str">
        <x:v>Odds Tier</x:v>
      </x:c>
      <x:c r="H1" s="9" t="str">
        <x:v>Source URL</x:v>
      </x:c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  <x:c r="AA1" s="9"/>
      <x:c r="AB1" s="9"/>
      <x:c r="AC1" s="9"/>
      <x:c r="AD1" s="9"/>
      <x:c r="AE1" s="9"/>
    </x:row>
    <x:row r="2">
      <x:c r="A2" s="4" t="str">
        <x:v>Gene Howe WMA</x:v>
      </x:c>
      <x:c r="B2" s="4" t="str">
        <x:v>Feral Hog</x:v>
      </x:c>
      <x:c r="C2" s="4" t="str">
        <x:v>Feral Hog</x:v>
      </x:c>
      <x:c r="D2" s="4" t="n">
        <x:v>344</x:v>
      </x:c>
      <x:c r="E2" s="4" t="n">
        <x:v>6</x:v>
      </x:c>
      <x:c r="F2" s="28" t="n">
        <x:v>0.33</x:v>
      </x:c>
      <x:c r="G2" s="4" t="str">
        <x:v>Good</x:v>
      </x:c>
      <x:c r="H2" s="4" t="str">
        <x:v>https://tpwd.texas.gov/huntwild/hunt/public/public_hunt_drawing/hunt-category-details.phtml?OCat=GFH</x:v>
      </x:c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</x:row>
    <x:row r="3">
      <x:c r="A3" s="4" t="str">
        <x:v>Matador WMA</x:v>
      </x:c>
      <x:c r="B3" s="4" t="str">
        <x:v>Youth Only Feral Hog</x:v>
      </x:c>
      <x:c r="C3" s="4" t="str">
        <x:v>Feral Hog</x:v>
      </x:c>
      <x:c r="D3" s="4" t="n">
        <x:v>347</x:v>
      </x:c>
      <x:c r="E3" s="4" t="n">
        <x:v>26</x:v>
      </x:c>
      <x:c r="F3" s="28" t="n">
        <x:v>0.18</x:v>
      </x:c>
      <x:c r="G3" s="4" t="str">
        <x:v>Fair</x:v>
      </x:c>
      <x:c r="H3" s="4" t="str">
        <x:v>https://tpwd.texas.gov/huntwild/hunt/public/public_hunt_drawing/hunt-category-details.phtml?OCat=YFH</x:v>
      </x:c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  <x:c r="AD3" s="4"/>
      <x:c r="AE3" s="4"/>
    </x:row>
    <x:row r="4">
      <x:c r="A4" s="4" t="str">
        <x:v>Fort Boggy SP</x:v>
      </x:c>
      <x:c r="B4" s="4" t="str">
        <x:v>Feral Hog</x:v>
      </x:c>
      <x:c r="C4" s="4" t="str">
        <x:v>Feral Hog</x:v>
      </x:c>
      <x:c r="D4" s="4" t="n">
        <x:v>296</x:v>
      </x:c>
      <x:c r="E4" s="4" t="n">
        <x:v>5</x:v>
      </x:c>
      <x:c r="F4" s="28" t="n">
        <x:v>0.2</x:v>
      </x:c>
      <x:c r="G4" s="4" t="str">
        <x:v>Fair</x:v>
      </x:c>
      <x:c r="H4" s="4" t="str">
        <x:v>https://tpwd.texas.gov/huntwild/hunt/public/public_hunt_drawing/hunt-category-details.phtml?OCat=GFH</x:v>
      </x:c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  <x:c r="AA4" s="4"/>
      <x:c r="AB4" s="4"/>
      <x:c r="AC4" s="4"/>
      <x:c r="AD4" s="4"/>
      <x:c r="AE4" s="4"/>
    </x:row>
    <x:row r="5">
      <x:c r="A5" s="4" t="str">
        <x:v>Justin Hurst WMA</x:v>
      </x:c>
      <x:c r="B5" s="4" t="str">
        <x:v>Youth Only Feral Hog</x:v>
      </x:c>
      <x:c r="C5" s="4" t="str">
        <x:v>Feral Hog</x:v>
      </x:c>
      <x:c r="D5" s="4" t="n">
        <x:v>529</x:v>
      </x:c>
      <x:c r="E5" s="4" t="n">
        <x:v>30</x:v>
      </x:c>
      <x:c r="F5" s="28" t="n">
        <x:v>0.62</x:v>
      </x:c>
      <x:c r="G5" s="4" t="str">
        <x:v>High</x:v>
      </x:c>
      <x:c r="H5" s="4" t="str">
        <x:v>https://tpwd.texas.gov/huntwild/hunt/public/public_hunt_drawing/hunt-category-details.phtml?OCat=YFH</x:v>
      </x:c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  <x:c r="AA5" s="4"/>
      <x:c r="AB5" s="4"/>
      <x:c r="AC5" s="4"/>
      <x:c r="AD5" s="4"/>
      <x:c r="AE5" s="4"/>
    </x:row>
    <x:row r="6">
      <x:c r="A6" s="4"/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  <x:c r="AA6" s="4"/>
      <x:c r="AB6" s="4"/>
      <x:c r="AC6" s="4"/>
      <x:c r="AD6" s="4"/>
      <x:c r="AE6" s="4"/>
    </x:row>
    <x:row r="7">
      <x:c r="A7" s="4"/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  <x:c r="AB7" s="4"/>
      <x:c r="AC7" s="4"/>
      <x:c r="AD7" s="4"/>
      <x:c r="AE7" s="4"/>
    </x:row>
    <x:row r="8">
      <x:c r="A8" s="4"/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  <x:c r="AA8" s="4"/>
      <x:c r="AB8" s="4"/>
      <x:c r="AC8" s="4"/>
      <x:c r="AD8" s="4"/>
      <x:c r="AE8" s="4"/>
    </x:row>
    <x:row r="9">
      <x:c r="A9" s="4"/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  <x:c r="AA9" s="4"/>
      <x:c r="AB9" s="4"/>
      <x:c r="AC9" s="4"/>
      <x:c r="AD9" s="4"/>
      <x:c r="AE9" s="4"/>
    </x:row>
    <x:row r="10">
      <x:c r="A10" s="4"/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  <x:c r="AA10" s="4"/>
      <x:c r="AB10" s="4"/>
      <x:c r="AC10" s="4"/>
      <x:c r="AD10" s="4"/>
      <x:c r="AE10" s="4"/>
    </x:row>
    <x:row r="11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  <x:c r="AA11" s="4"/>
      <x:c r="AB11" s="4"/>
      <x:c r="AC11" s="4"/>
      <x:c r="AD11" s="4"/>
      <x:c r="AE11" s="4"/>
    </x:row>
    <x:row r="12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  <x:c r="AA12" s="4"/>
      <x:c r="AB12" s="4"/>
      <x:c r="AC12" s="4"/>
      <x:c r="AD12" s="4"/>
      <x:c r="AE12" s="4"/>
    </x:row>
    <x:row r="13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  <x:c r="AA13" s="4"/>
      <x:c r="AB13" s="4"/>
      <x:c r="AC13" s="4"/>
      <x:c r="AD13" s="4"/>
      <x:c r="AE13" s="4"/>
    </x:row>
    <x:row r="14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  <x:c r="AA14" s="4"/>
      <x:c r="AB14" s="4"/>
      <x:c r="AC14" s="4"/>
      <x:c r="AD14" s="4"/>
      <x:c r="AE14" s="4"/>
    </x:row>
    <x:row r="15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  <x:c r="AA15" s="4"/>
      <x:c r="AB15" s="4"/>
      <x:c r="AC15" s="4"/>
      <x:c r="AD15" s="4"/>
      <x:c r="AE15" s="4"/>
    </x:row>
    <x:row r="16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  <x:c r="AA16" s="4"/>
      <x:c r="AB16" s="4"/>
      <x:c r="AC16" s="4"/>
      <x:c r="AD16" s="4"/>
      <x:c r="AE16" s="4"/>
    </x:row>
    <x:row r="17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/>
      <x:c r="AB17" s="4"/>
      <x:c r="AC17" s="4"/>
      <x:c r="AD17" s="4"/>
      <x:c r="AE17" s="4"/>
    </x:row>
    <x:row r="18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  <x:c r="AA18" s="4"/>
      <x:c r="AB18" s="4"/>
      <x:c r="AC18" s="4"/>
      <x:c r="AD18" s="4"/>
      <x:c r="AE18" s="4"/>
    </x:row>
    <x:row r="19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  <x:c r="AA20" s="4"/>
      <x:c r="AB20" s="4"/>
      <x:c r="AC20" s="4"/>
      <x:c r="AD20" s="4"/>
      <x:c r="AE20" s="4"/>
    </x:row>
    <x:row r="2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  <x:c r="AA21" s="4"/>
      <x:c r="AB21" s="4"/>
      <x:c r="AC21" s="4"/>
      <x:c r="AD21" s="4"/>
      <x:c r="AE21" s="4"/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  <x:c r="AA22" s="4"/>
      <x:c r="AB22" s="4"/>
      <x:c r="AC22" s="4"/>
      <x:c r="AD22" s="4"/>
      <x:c r="AE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  <x:c r="AA23" s="4"/>
      <x:c r="AB23" s="4"/>
      <x:c r="AC23" s="4"/>
      <x:c r="AD23" s="4"/>
      <x:c r="AE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  <x:c r="AA24" s="4"/>
      <x:c r="AB24" s="4"/>
      <x:c r="AC24" s="4"/>
      <x:c r="AD24" s="4"/>
      <x:c r="AE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  <x:c r="AA25" s="4"/>
      <x:c r="AB25" s="4"/>
      <x:c r="AC25" s="4"/>
      <x:c r="AD25" s="4"/>
      <x:c r="AE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  <x:c r="AA26" s="4"/>
      <x:c r="AB26" s="4"/>
      <x:c r="AC26" s="4"/>
      <x:c r="AD26" s="4"/>
      <x:c r="AE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  <x:c r="AA27" s="4"/>
      <x:c r="AB27" s="4"/>
      <x:c r="AC27" s="4"/>
      <x:c r="AD27" s="4"/>
      <x:c r="AE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  <x:c r="AA28" s="4"/>
      <x:c r="AB28" s="4"/>
      <x:c r="AC28" s="4"/>
      <x:c r="AD28" s="4"/>
      <x:c r="AE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  <x:c r="AA29" s="4"/>
      <x:c r="AB29" s="4"/>
      <x:c r="AC29" s="4"/>
      <x:c r="AD29" s="4"/>
      <x:c r="AE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  <x:c r="AA30" s="4"/>
      <x:c r="AB30" s="4"/>
      <x:c r="AC30" s="4"/>
      <x:c r="AD30" s="4"/>
      <x:c r="AE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  <x:c r="AA31" s="4"/>
      <x:c r="AB31" s="4"/>
      <x:c r="AC31" s="4"/>
      <x:c r="AD31" s="4"/>
      <x:c r="AE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  <x:c r="AA32" s="4"/>
      <x:c r="AB32" s="4"/>
      <x:c r="AC32" s="4"/>
      <x:c r="AD32" s="4"/>
      <x:c r="AE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  <x:c r="AA33" s="4"/>
      <x:c r="AB33" s="4"/>
      <x:c r="AC33" s="4"/>
      <x:c r="AD33" s="4"/>
      <x:c r="AE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  <x:c r="AA34" s="4"/>
      <x:c r="AB34" s="4"/>
      <x:c r="AC34" s="4"/>
      <x:c r="AD34" s="4"/>
      <x:c r="AE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  <x:c r="AA35" s="4"/>
      <x:c r="AB35" s="4"/>
      <x:c r="AC35" s="4"/>
      <x:c r="AD35" s="4"/>
      <x:c r="AE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  <x:c r="AA36" s="4"/>
      <x:c r="AB36" s="4"/>
      <x:c r="AC36" s="4"/>
      <x:c r="AD36" s="4"/>
      <x:c r="AE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  <x:c r="AA37" s="4"/>
      <x:c r="AB37" s="4"/>
      <x:c r="AC37" s="4"/>
      <x:c r="AD37" s="4"/>
      <x:c r="AE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  <x:c r="AA39" s="4"/>
      <x:c r="AB39" s="4"/>
      <x:c r="AC39" s="4"/>
      <x:c r="AD39" s="4"/>
      <x:c r="AE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  <x:c r="AA40" s="4"/>
      <x:c r="AB40" s="4"/>
      <x:c r="AC40" s="4"/>
      <x:c r="AD40" s="4"/>
      <x:c r="AE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  <x:c r="AA41" s="4"/>
      <x:c r="AB41" s="4"/>
      <x:c r="AC41" s="4"/>
      <x:c r="AD41" s="4"/>
      <x:c r="AE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  <x:c r="AA42" s="4"/>
      <x:c r="AB42" s="4"/>
      <x:c r="AC42" s="4"/>
      <x:c r="AD42" s="4"/>
      <x:c r="AE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  <x:c r="AA43" s="4"/>
      <x:c r="AB43" s="4"/>
      <x:c r="AC43" s="4"/>
      <x:c r="AD43" s="4"/>
      <x:c r="AE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  <x:c r="AA44" s="4"/>
      <x:c r="AB44" s="4"/>
      <x:c r="AC44" s="4"/>
      <x:c r="AD44" s="4"/>
      <x:c r="AE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  <x:c r="AA45" s="4"/>
      <x:c r="AB45" s="4"/>
      <x:c r="AC45" s="4"/>
      <x:c r="AD45" s="4"/>
      <x:c r="AE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  <x:c r="AA46" s="4"/>
      <x:c r="AB46" s="4"/>
      <x:c r="AC46" s="4"/>
      <x:c r="AD46" s="4"/>
      <x:c r="AE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  <x:c r="AA47" s="4"/>
      <x:c r="AB47" s="4"/>
      <x:c r="AC47" s="4"/>
      <x:c r="AD47" s="4"/>
      <x:c r="AE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  <x:c r="AA48" s="4"/>
      <x:c r="AB48" s="4"/>
      <x:c r="AC48" s="4"/>
      <x:c r="AD48" s="4"/>
      <x:c r="AE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  <x:c r="AA49" s="4"/>
      <x:c r="AB49" s="4"/>
      <x:c r="AC49" s="4"/>
      <x:c r="AD49" s="4"/>
      <x:c r="AE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  <x:c r="AA50" s="4"/>
      <x:c r="AB50" s="4"/>
      <x:c r="AC50" s="4"/>
      <x:c r="AD50" s="4"/>
      <x:c r="AE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  <x:c r="AA51" s="4"/>
      <x:c r="AB51" s="4"/>
      <x:c r="AC51" s="4"/>
      <x:c r="AD51" s="4"/>
      <x:c r="AE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  <x:c r="AA52" s="4"/>
      <x:c r="AB52" s="4"/>
      <x:c r="AC52" s="4"/>
      <x:c r="AD52" s="4"/>
      <x:c r="AE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  <x:c r="AA53" s="4"/>
      <x:c r="AB53" s="4"/>
      <x:c r="AC53" s="4"/>
      <x:c r="AD53" s="4"/>
      <x:c r="AE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  <x:c r="AA54" s="4"/>
      <x:c r="AB54" s="4"/>
      <x:c r="AC54" s="4"/>
      <x:c r="AD54" s="4"/>
      <x:c r="AE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  <x:c r="AA55" s="4"/>
      <x:c r="AB55" s="4"/>
      <x:c r="AC55" s="4"/>
      <x:c r="AD55" s="4"/>
      <x:c r="AE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  <x:c r="AA56" s="4"/>
      <x:c r="AB56" s="4"/>
      <x:c r="AC56" s="4"/>
      <x:c r="AD56" s="4"/>
      <x:c r="AE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  <x:c r="AA58" s="4"/>
      <x:c r="AB58" s="4"/>
      <x:c r="AC58" s="4"/>
      <x:c r="AD58" s="4"/>
      <x:c r="AE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  <x:c r="AA59" s="4"/>
      <x:c r="AB59" s="4"/>
      <x:c r="AC59" s="4"/>
      <x:c r="AD59" s="4"/>
      <x:c r="AE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  <x:c r="AA60" s="4"/>
      <x:c r="AB60" s="4"/>
      <x:c r="AC60" s="4"/>
      <x:c r="AD60" s="4"/>
      <x:c r="AE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  <x:c r="AA61" s="4"/>
      <x:c r="AB61" s="4"/>
      <x:c r="AC61" s="4"/>
      <x:c r="AD61" s="4"/>
      <x:c r="AE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  <x:c r="AA62" s="4"/>
      <x:c r="AB62" s="4"/>
      <x:c r="AC62" s="4"/>
      <x:c r="AD62" s="4"/>
      <x:c r="AE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  <x:c r="AA63" s="4"/>
      <x:c r="AB63" s="4"/>
      <x:c r="AC63" s="4"/>
      <x:c r="AD63" s="4"/>
      <x:c r="AE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  <x:c r="AA64" s="4"/>
      <x:c r="AB64" s="4"/>
      <x:c r="AC64" s="4"/>
      <x:c r="AD64" s="4"/>
      <x:c r="AE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  <x:c r="AA65" s="4"/>
      <x:c r="AB65" s="4"/>
      <x:c r="AC65" s="4"/>
      <x:c r="AD65" s="4"/>
      <x:c r="AE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  <x:c r="AA66" s="4"/>
      <x:c r="AB66" s="4"/>
      <x:c r="AC66" s="4"/>
      <x:c r="AD66" s="4"/>
      <x:c r="AE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  <x:c r="AA67" s="4"/>
      <x:c r="AB67" s="4"/>
      <x:c r="AC67" s="4"/>
      <x:c r="AD67" s="4"/>
      <x:c r="AE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s="4"/>
      <x:c r="AB68" s="4"/>
      <x:c r="AC68" s="4"/>
      <x:c r="AD68" s="4"/>
      <x:c r="AE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  <x:c r="AA69" s="4"/>
      <x:c r="AB69" s="4"/>
      <x:c r="AC69" s="4"/>
      <x:c r="AD69" s="4"/>
      <x:c r="AE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  <x:c r="AA70" s="4"/>
      <x:c r="AB70" s="4"/>
      <x:c r="AC70" s="4"/>
      <x:c r="AD70" s="4"/>
      <x:c r="AE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  <x:c r="AA71" s="4"/>
      <x:c r="AB71" s="4"/>
      <x:c r="AC71" s="4"/>
      <x:c r="AD71" s="4"/>
      <x:c r="AE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  <x:c r="AA72" s="4"/>
      <x:c r="AB72" s="4"/>
      <x:c r="AC72" s="4"/>
      <x:c r="AD72" s="4"/>
      <x:c r="AE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  <x:c r="AA73" s="4"/>
      <x:c r="AB73" s="4"/>
      <x:c r="AC73" s="4"/>
      <x:c r="AD73" s="4"/>
      <x:c r="AE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  <x:c r="AA74" s="4"/>
      <x:c r="AB74" s="4"/>
      <x:c r="AC74" s="4"/>
      <x:c r="AD74" s="4"/>
      <x:c r="AE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  <x:c r="AA75" s="4"/>
      <x:c r="AB75" s="4"/>
      <x:c r="AC75" s="4"/>
      <x:c r="AD75" s="4"/>
      <x:c r="AE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  <x:c r="AA77" s="4"/>
      <x:c r="AB77" s="4"/>
      <x:c r="AC77" s="4"/>
      <x:c r="AD77" s="4"/>
      <x:c r="AE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  <x:c r="AA78" s="4"/>
      <x:c r="AB78" s="4"/>
      <x:c r="AC78" s="4"/>
      <x:c r="AD78" s="4"/>
      <x:c r="AE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  <x:c r="AA79" s="4"/>
      <x:c r="AB79" s="4"/>
      <x:c r="AC79" s="4"/>
      <x:c r="AD79" s="4"/>
      <x:c r="AE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  <x:c r="AA80" s="4"/>
      <x:c r="AB80" s="4"/>
      <x:c r="AC80" s="4"/>
      <x:c r="AD80" s="4"/>
      <x:c r="AE80" s="4"/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  <x:c r="AA81" s="4"/>
      <x:c r="AB81" s="4"/>
      <x:c r="AC81" s="4"/>
      <x:c r="AD81" s="4"/>
      <x:c r="AE81" s="4"/>
    </x:row>
    <x:row r="82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  <x:c r="AA82" s="4"/>
      <x:c r="AB82" s="4"/>
      <x:c r="AC82" s="4"/>
      <x:c r="AD82" s="4"/>
      <x:c r="AE82" s="4"/>
    </x:row>
    <x:row r="83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  <x:c r="AA83" s="4"/>
      <x:c r="AB83" s="4"/>
      <x:c r="AC83" s="4"/>
      <x:c r="AD83" s="4"/>
      <x:c r="AE83" s="4"/>
    </x:row>
    <x:row r="84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  <x:c r="AA84" s="4"/>
      <x:c r="AB84" s="4"/>
      <x:c r="AC84" s="4"/>
      <x:c r="AD84" s="4"/>
      <x:c r="AE84" s="4"/>
    </x:row>
    <x:row r="85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  <x:c r="AA85" s="4"/>
      <x:c r="AB85" s="4"/>
      <x:c r="AC85" s="4"/>
      <x:c r="AD85" s="4"/>
      <x:c r="AE85" s="4"/>
    </x:row>
    <x:row r="86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  <x:c r="AA86" s="4"/>
      <x:c r="AB86" s="4"/>
      <x:c r="AC86" s="4"/>
      <x:c r="AD86" s="4"/>
      <x:c r="AE86" s="4"/>
    </x:row>
    <x:row r="87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  <x:c r="AA87" s="4"/>
      <x:c r="AB87" s="4"/>
      <x:c r="AC87" s="4"/>
      <x:c r="AD87" s="4"/>
      <x:c r="AE87" s="4"/>
    </x:row>
    <x:row r="88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  <x:c r="AA88" s="4"/>
      <x:c r="AB88" s="4"/>
      <x:c r="AC88" s="4"/>
      <x:c r="AD88" s="4"/>
      <x:c r="AE88" s="4"/>
    </x:row>
    <x:row r="89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  <x:c r="AA89" s="4"/>
      <x:c r="AB89" s="4"/>
      <x:c r="AC89" s="4"/>
      <x:c r="AD89" s="4"/>
      <x:c r="AE89" s="4"/>
    </x:row>
    <x:row r="90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  <x:c r="AA90" s="4"/>
      <x:c r="AB90" s="4"/>
      <x:c r="AC90" s="4"/>
      <x:c r="AD90" s="4"/>
      <x:c r="AE90" s="4"/>
    </x:row>
    <x:row r="9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  <x:c r="AA91" s="4"/>
      <x:c r="AB91" s="4"/>
      <x:c r="AC91" s="4"/>
      <x:c r="AD91" s="4"/>
      <x:c r="AE91" s="4"/>
    </x:row>
    <x:row r="92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  <x:c r="AA92" s="4"/>
      <x:c r="AB92" s="4"/>
      <x:c r="AC92" s="4"/>
      <x:c r="AD92" s="4"/>
      <x:c r="AE92" s="4"/>
    </x:row>
    <x:row r="93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  <x:c r="AA93" s="4"/>
      <x:c r="AB93" s="4"/>
      <x:c r="AC93" s="4"/>
      <x:c r="AD93" s="4"/>
      <x:c r="AE93" s="4"/>
    </x:row>
    <x:row r="94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  <x:c r="AA94" s="4"/>
      <x:c r="AB94" s="4"/>
      <x:c r="AC94" s="4"/>
      <x:c r="AD94" s="4"/>
      <x:c r="AE94" s="4"/>
    </x:row>
    <x:row r="95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  <x:c r="AA96" s="4"/>
      <x:c r="AB96" s="4"/>
      <x:c r="AC96" s="4"/>
      <x:c r="AD96" s="4"/>
      <x:c r="AE96" s="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  <x:c r="AA97" s="4"/>
      <x:c r="AB97" s="4"/>
      <x:c r="AC97" s="4"/>
      <x:c r="AD97" s="4"/>
      <x:c r="AE97" s="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  <x:c r="AA98" s="4"/>
      <x:c r="AB98" s="4"/>
      <x:c r="AC98" s="4"/>
      <x:c r="AD98" s="4"/>
      <x:c r="AE98" s="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  <x:c r="AA99" s="4"/>
      <x:c r="AB99" s="4"/>
      <x:c r="AC99" s="4"/>
      <x:c r="AD99" s="4"/>
      <x:c r="AE99" s="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  <x:c r="AA100" s="4"/>
      <x:c r="AB100" s="4"/>
      <x:c r="AC100" s="4"/>
      <x:c r="AD100" s="4"/>
      <x:c r="AE100" s="4"/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  <x:c r="AA101" s="4"/>
      <x:c r="AB101" s="4"/>
      <x:c r="AC101" s="4"/>
      <x:c r="AD101" s="4"/>
      <x:c r="AE101" s="4"/>
    </x:row>
    <x:row r="102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  <x:c r="AA102" s="4"/>
      <x:c r="AB102" s="4"/>
      <x:c r="AC102" s="4"/>
      <x:c r="AD102" s="4"/>
      <x:c r="AE102" s="4"/>
    </x:row>
    <x:row r="103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  <x:c r="AA103" s="4"/>
      <x:c r="AB103" s="4"/>
      <x:c r="AC103" s="4"/>
      <x:c r="AD103" s="4"/>
      <x:c r="AE103" s="4"/>
    </x:row>
    <x:row r="104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  <x:c r="AA104" s="4"/>
      <x:c r="AB104" s="4"/>
      <x:c r="AC104" s="4"/>
      <x:c r="AD104" s="4"/>
      <x:c r="AE104" s="4"/>
    </x:row>
    <x:row r="105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  <x:c r="AA105" s="4"/>
      <x:c r="AB105" s="4"/>
      <x:c r="AC105" s="4"/>
      <x:c r="AD105" s="4"/>
      <x:c r="AE105" s="4"/>
    </x:row>
    <x:row r="106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  <x:c r="AA106" s="4"/>
      <x:c r="AB106" s="4"/>
      <x:c r="AC106" s="4"/>
      <x:c r="AD106" s="4"/>
      <x:c r="AE106" s="4"/>
    </x:row>
    <x:row r="107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  <x:c r="AA107" s="4"/>
      <x:c r="AB107" s="4"/>
      <x:c r="AC107" s="4"/>
      <x:c r="AD107" s="4"/>
      <x:c r="AE107" s="4"/>
    </x:row>
    <x:row r="108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  <x:c r="AA108" s="4"/>
      <x:c r="AB108" s="4"/>
      <x:c r="AC108" s="4"/>
      <x:c r="AD108" s="4"/>
      <x:c r="AE108" s="4"/>
    </x:row>
    <x:row r="109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  <x:c r="AA109" s="4"/>
      <x:c r="AB109" s="4"/>
      <x:c r="AC109" s="4"/>
      <x:c r="AD109" s="4"/>
      <x:c r="AE109" s="4"/>
    </x:row>
    <x:row r="110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  <x:c r="AA110" s="4"/>
      <x:c r="AB110" s="4"/>
      <x:c r="AC110" s="4"/>
      <x:c r="AD110" s="4"/>
      <x:c r="AE110" s="4"/>
    </x:row>
    <x:row r="11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  <x:c r="AA111" s="4"/>
      <x:c r="AB111" s="4"/>
      <x:c r="AC111" s="4"/>
      <x:c r="AD111" s="4"/>
      <x:c r="AE111" s="4"/>
    </x:row>
    <x:row r="112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  <x:c r="AA112" s="4"/>
      <x:c r="AB112" s="4"/>
      <x:c r="AC112" s="4"/>
      <x:c r="AD112" s="4"/>
      <x:c r="AE112" s="4"/>
    </x:row>
    <x:row r="113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  <x:c r="AA113" s="4"/>
      <x:c r="AB113" s="4"/>
      <x:c r="AC113" s="4"/>
      <x:c r="AD113" s="4"/>
      <x:c r="AE113" s="4"/>
    </x:row>
    <x:row r="114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  <x:c r="AA114" s="4"/>
      <x:c r="AB114" s="4"/>
      <x:c r="AC114" s="4"/>
      <x:c r="AD114" s="4"/>
      <x:c r="AE114" s="4"/>
    </x:row>
    <x:row r="115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  <x:c r="AA115" s="4"/>
      <x:c r="AB115" s="4"/>
      <x:c r="AC115" s="4"/>
      <x:c r="AD115" s="4"/>
      <x:c r="AE115" s="4"/>
    </x:row>
    <x:row r="116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  <x:c r="AA116" s="4"/>
      <x:c r="AB116" s="4"/>
      <x:c r="AC116" s="4"/>
      <x:c r="AD116" s="4"/>
      <x:c r="AE116" s="4"/>
    </x:row>
    <x:row r="117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  <x:c r="AA117" s="4"/>
      <x:c r="AB117" s="4"/>
      <x:c r="AC117" s="4"/>
      <x:c r="AD117" s="4"/>
      <x:c r="AE117" s="4"/>
    </x:row>
    <x:row r="118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  <x:c r="AA118" s="4"/>
      <x:c r="AB118" s="4"/>
      <x:c r="AC118" s="4"/>
      <x:c r="AD118" s="4"/>
      <x:c r="AE118" s="4"/>
    </x:row>
    <x:row r="119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  <x:c r="AA119" s="4"/>
      <x:c r="AB119" s="4"/>
      <x:c r="AC119" s="4"/>
      <x:c r="AD119" s="4"/>
      <x:c r="AE119" s="4"/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  <x:c r="AA120" s="4"/>
      <x:c r="AB120" s="4"/>
      <x:c r="AC120" s="4"/>
      <x:c r="AD120" s="4"/>
      <x:c r="AE120" s="4"/>
    </x:row>
    <x:row r="12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  <x:c r="AA121" s="4"/>
      <x:c r="AB121" s="4"/>
      <x:c r="AC121" s="4"/>
      <x:c r="AD121" s="4"/>
      <x:c r="AE121" s="4"/>
    </x:row>
    <x:row r="122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  <x:c r="AA122" s="4"/>
      <x:c r="AB122" s="4"/>
      <x:c r="AC122" s="4"/>
      <x:c r="AD122" s="4"/>
      <x:c r="AE122" s="4"/>
    </x:row>
    <x:row r="123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  <x:c r="AA123" s="4"/>
      <x:c r="AB123" s="4"/>
      <x:c r="AC123" s="4"/>
      <x:c r="AD123" s="4"/>
      <x:c r="AE123" s="4"/>
    </x:row>
    <x:row r="124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  <x:c r="AA124" s="4"/>
      <x:c r="AB124" s="4"/>
      <x:c r="AC124" s="4"/>
      <x:c r="AD124" s="4"/>
      <x:c r="AE124" s="4"/>
    </x:row>
    <x:row r="125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  <x:c r="AA125" s="4"/>
      <x:c r="AB125" s="4"/>
      <x:c r="AC125" s="4"/>
      <x:c r="AD125" s="4"/>
      <x:c r="AE125" s="4"/>
    </x:row>
    <x:row r="126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  <x:c r="AA126" s="4"/>
      <x:c r="AB126" s="4"/>
      <x:c r="AC126" s="4"/>
      <x:c r="AD126" s="4"/>
      <x:c r="AE126" s="4"/>
    </x:row>
    <x:row r="127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  <x:c r="AA127" s="4"/>
      <x:c r="AB127" s="4"/>
      <x:c r="AC127" s="4"/>
      <x:c r="AD127" s="4"/>
      <x:c r="AE127" s="4"/>
    </x:row>
    <x:row r="128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  <x:c r="AA128" s="4"/>
      <x:c r="AB128" s="4"/>
      <x:c r="AC128" s="4"/>
      <x:c r="AD128" s="4"/>
      <x:c r="AE128" s="4"/>
    </x:row>
    <x:row r="129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  <x:c r="AA129" s="4"/>
      <x:c r="AB129" s="4"/>
      <x:c r="AC129" s="4"/>
      <x:c r="AD129" s="4"/>
      <x:c r="AE129" s="4"/>
    </x:row>
    <x:row r="130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  <x:c r="AA130" s="4"/>
      <x:c r="AB130" s="4"/>
      <x:c r="AC130" s="4"/>
      <x:c r="AD130" s="4"/>
      <x:c r="AE130" s="4"/>
    </x:row>
    <x:row r="13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  <x:c r="AA131" s="4"/>
      <x:c r="AB131" s="4"/>
      <x:c r="AC131" s="4"/>
      <x:c r="AD131" s="4"/>
      <x:c r="AE131" s="4"/>
    </x:row>
    <x:row r="132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  <x:c r="AA132" s="4"/>
      <x:c r="AB132" s="4"/>
      <x:c r="AC132" s="4"/>
      <x:c r="AD132" s="4"/>
      <x:c r="AE132" s="4"/>
    </x:row>
    <x:row r="133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  <x:c r="AA133" s="4"/>
      <x:c r="AB133" s="4"/>
      <x:c r="AC133" s="4"/>
      <x:c r="AD133" s="4"/>
      <x:c r="AE133" s="4"/>
    </x:row>
    <x:row r="134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  <x:c r="AA134" s="4"/>
      <x:c r="AB134" s="4"/>
      <x:c r="AC134" s="4"/>
      <x:c r="AD134" s="4"/>
      <x:c r="AE134" s="4"/>
    </x:row>
    <x:row r="135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  <x:c r="AA135" s="4"/>
      <x:c r="AB135" s="4"/>
      <x:c r="AC135" s="4"/>
      <x:c r="AD135" s="4"/>
      <x:c r="AE135" s="4"/>
    </x:row>
    <x:row r="136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  <x:c r="AA136" s="4"/>
      <x:c r="AB136" s="4"/>
      <x:c r="AC136" s="4"/>
      <x:c r="AD136" s="4"/>
      <x:c r="AE136" s="4"/>
    </x:row>
    <x:row r="137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  <x:c r="AA137" s="4"/>
      <x:c r="AB137" s="4"/>
      <x:c r="AC137" s="4"/>
      <x:c r="AD137" s="4"/>
      <x:c r="AE137" s="4"/>
    </x:row>
    <x:row r="138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  <x:c r="AA138" s="4"/>
      <x:c r="AB138" s="4"/>
      <x:c r="AC138" s="4"/>
      <x:c r="AD138" s="4"/>
      <x:c r="AE138" s="4"/>
    </x:row>
    <x:row r="139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  <x:c r="AA139" s="4"/>
      <x:c r="AB139" s="4"/>
      <x:c r="AC139" s="4"/>
      <x:c r="AD139" s="4"/>
      <x:c r="AE139" s="4"/>
    </x:row>
    <x:row r="140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  <x:c r="AA140" s="4"/>
      <x:c r="AB140" s="4"/>
      <x:c r="AC140" s="4"/>
      <x:c r="AD140" s="4"/>
      <x:c r="AE140" s="4"/>
    </x:row>
    <x:row r="14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  <x:c r="AA141" s="4"/>
      <x:c r="AB141" s="4"/>
      <x:c r="AC141" s="4"/>
      <x:c r="AD141" s="4"/>
      <x:c r="AE141" s="4"/>
    </x:row>
    <x:row r="142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  <x:c r="AA142" s="4"/>
      <x:c r="AB142" s="4"/>
      <x:c r="AC142" s="4"/>
      <x:c r="AD142" s="4"/>
      <x:c r="AE142" s="4"/>
    </x:row>
    <x:row r="143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  <x:c r="AA143" s="4"/>
      <x:c r="AB143" s="4"/>
      <x:c r="AC143" s="4"/>
      <x:c r="AD143" s="4"/>
      <x:c r="AE143" s="4"/>
    </x:row>
    <x:row r="144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  <x:c r="AA144" s="4"/>
      <x:c r="AB144" s="4"/>
      <x:c r="AC144" s="4"/>
      <x:c r="AD144" s="4"/>
      <x:c r="AE144" s="4"/>
    </x:row>
    <x:row r="145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  <x:c r="AA145" s="4"/>
      <x:c r="AB145" s="4"/>
      <x:c r="AC145" s="4"/>
      <x:c r="AD145" s="4"/>
      <x:c r="AE145" s="4"/>
    </x:row>
    <x:row r="146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  <x:c r="AA146" s="4"/>
      <x:c r="AB146" s="4"/>
      <x:c r="AC146" s="4"/>
      <x:c r="AD146" s="4"/>
      <x:c r="AE146" s="4"/>
    </x:row>
    <x:row r="147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  <x:c r="AA147" s="4"/>
      <x:c r="AB147" s="4"/>
      <x:c r="AC147" s="4"/>
      <x:c r="AD147" s="4"/>
      <x:c r="AE147" s="4"/>
    </x:row>
    <x:row r="148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  <x:c r="AA148" s="4"/>
      <x:c r="AB148" s="4"/>
      <x:c r="AC148" s="4"/>
      <x:c r="AD148" s="4"/>
      <x:c r="AE148" s="4"/>
    </x:row>
    <x:row r="149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  <x:c r="AA149" s="4"/>
      <x:c r="AB149" s="4"/>
      <x:c r="AC149" s="4"/>
      <x:c r="AD149" s="4"/>
      <x:c r="AE149" s="4"/>
    </x:row>
    <x:row r="150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  <x:c r="AA150" s="4"/>
      <x:c r="AB150" s="4"/>
      <x:c r="AC150" s="4"/>
      <x:c r="AD150" s="4"/>
      <x:c r="AE150" s="4"/>
    </x:row>
    <x:row r="15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  <x:c r="AA151" s="4"/>
      <x:c r="AB151" s="4"/>
      <x:c r="AC151" s="4"/>
      <x:c r="AD151" s="4"/>
      <x:c r="AE151" s="4"/>
    </x:row>
    <x:row r="152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  <x:c r="AA152" s="4"/>
      <x:c r="AB152" s="4"/>
      <x:c r="AC152" s="4"/>
      <x:c r="AD152" s="4"/>
      <x:c r="AE152" s="4"/>
    </x:row>
    <x:row r="153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  <x:c r="AA153" s="4"/>
      <x:c r="AB153" s="4"/>
      <x:c r="AC153" s="4"/>
      <x:c r="AD153" s="4"/>
      <x:c r="AE153" s="4"/>
    </x:row>
    <x:row r="154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  <x:c r="AA154" s="4"/>
      <x:c r="AB154" s="4"/>
      <x:c r="AC154" s="4"/>
      <x:c r="AD154" s="4"/>
      <x:c r="AE154" s="4"/>
    </x:row>
    <x:row r="155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  <x:c r="AA155" s="4"/>
      <x:c r="AB155" s="4"/>
      <x:c r="AC155" s="4"/>
      <x:c r="AD155" s="4"/>
      <x:c r="AE155" s="4"/>
    </x:row>
    <x:row r="156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  <x:c r="AA156" s="4"/>
      <x:c r="AB156" s="4"/>
      <x:c r="AC156" s="4"/>
      <x:c r="AD156" s="4"/>
      <x:c r="AE156" s="4"/>
    </x:row>
    <x:row r="157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  <x:c r="AA157" s="4"/>
      <x:c r="AB157" s="4"/>
      <x:c r="AC157" s="4"/>
      <x:c r="AD157" s="4"/>
      <x:c r="AE157" s="4"/>
    </x:row>
    <x:row r="158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  <x:c r="AA158" s="4"/>
      <x:c r="AB158" s="4"/>
      <x:c r="AC158" s="4"/>
      <x:c r="AD158" s="4"/>
      <x:c r="AE158" s="4"/>
    </x:row>
    <x:row r="159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  <x:c r="AA159" s="4"/>
      <x:c r="AB159" s="4"/>
      <x:c r="AC159" s="4"/>
      <x:c r="AD159" s="4"/>
      <x:c r="AE159" s="4"/>
    </x:row>
    <x:row r="160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  <x:c r="AA160" s="4"/>
      <x:c r="AB160" s="4"/>
      <x:c r="AC160" s="4"/>
      <x:c r="AD160" s="4"/>
      <x:c r="AE160" s="4"/>
    </x:row>
    <x:row r="16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  <x:c r="AA161" s="4"/>
      <x:c r="AB161" s="4"/>
      <x:c r="AC161" s="4"/>
      <x:c r="AD161" s="4"/>
      <x:c r="AE161" s="4"/>
    </x:row>
    <x:row r="162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  <x:c r="AA162" s="4"/>
      <x:c r="AB162" s="4"/>
      <x:c r="AC162" s="4"/>
      <x:c r="AD162" s="4"/>
      <x:c r="AE162" s="4"/>
    </x:row>
    <x:row r="163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  <x:c r="AA163" s="4"/>
      <x:c r="AB163" s="4"/>
      <x:c r="AC163" s="4"/>
      <x:c r="AD163" s="4"/>
      <x:c r="AE163" s="4"/>
    </x:row>
    <x:row r="164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  <x:c r="AA164" s="4"/>
      <x:c r="AB164" s="4"/>
      <x:c r="AC164" s="4"/>
      <x:c r="AD164" s="4"/>
      <x:c r="AE164" s="4"/>
    </x:row>
    <x:row r="165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  <x:c r="AA165" s="4"/>
      <x:c r="AB165" s="4"/>
      <x:c r="AC165" s="4"/>
      <x:c r="AD165" s="4"/>
      <x:c r="AE165" s="4"/>
    </x:row>
    <x:row r="166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  <x:c r="AA166" s="4"/>
      <x:c r="AB166" s="4"/>
      <x:c r="AC166" s="4"/>
      <x:c r="AD166" s="4"/>
      <x:c r="AE166" s="4"/>
    </x:row>
    <x:row r="167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  <x:c r="AA167" s="4"/>
      <x:c r="AB167" s="4"/>
      <x:c r="AC167" s="4"/>
      <x:c r="AD167" s="4"/>
      <x:c r="AE167" s="4"/>
    </x:row>
    <x:row r="168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  <x:c r="AA168" s="4"/>
      <x:c r="AB168" s="4"/>
      <x:c r="AC168" s="4"/>
      <x:c r="AD168" s="4"/>
      <x:c r="AE168" s="4"/>
    </x:row>
    <x:row r="169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  <x:c r="AA169" s="4"/>
      <x:c r="AB169" s="4"/>
      <x:c r="AC169" s="4"/>
      <x:c r="AD169" s="4"/>
      <x:c r="AE169" s="4"/>
    </x:row>
    <x:row r="170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  <x:c r="AA170" s="4"/>
      <x:c r="AB170" s="4"/>
      <x:c r="AC170" s="4"/>
      <x:c r="AD170" s="4"/>
      <x:c r="AE170" s="4"/>
    </x:row>
    <x:row r="17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  <x:c r="AA171" s="4"/>
      <x:c r="AB171" s="4"/>
      <x:c r="AC171" s="4"/>
      <x:c r="AD171" s="4"/>
      <x:c r="AE171" s="4"/>
    </x:row>
    <x:row r="172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  <x:c r="AA172" s="4"/>
      <x:c r="AB172" s="4"/>
      <x:c r="AC172" s="4"/>
      <x:c r="AD172" s="4"/>
      <x:c r="AE172" s="4"/>
    </x:row>
    <x:row r="173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  <x:c r="AA173" s="4"/>
      <x:c r="AB173" s="4"/>
      <x:c r="AC173" s="4"/>
      <x:c r="AD173" s="4"/>
      <x:c r="AE173" s="4"/>
    </x:row>
    <x:row r="174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  <x:c r="AA174" s="4"/>
      <x:c r="AB174" s="4"/>
      <x:c r="AC174" s="4"/>
      <x:c r="AD174" s="4"/>
      <x:c r="AE174" s="4"/>
    </x:row>
    <x:row r="175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  <x:c r="AA175" s="4"/>
      <x:c r="AB175" s="4"/>
      <x:c r="AC175" s="4"/>
      <x:c r="AD175" s="4"/>
      <x:c r="AE175" s="4"/>
    </x:row>
    <x:row r="176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  <x:c r="AA176" s="4"/>
      <x:c r="AB176" s="4"/>
      <x:c r="AC176" s="4"/>
      <x:c r="AD176" s="4"/>
      <x:c r="AE176" s="4"/>
    </x:row>
    <x:row r="177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  <x:c r="AA177" s="4"/>
      <x:c r="AB177" s="4"/>
      <x:c r="AC177" s="4"/>
      <x:c r="AD177" s="4"/>
      <x:c r="AE177" s="4"/>
    </x:row>
    <x:row r="178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  <x:c r="AA178" s="4"/>
      <x:c r="AB178" s="4"/>
      <x:c r="AC178" s="4"/>
      <x:c r="AD178" s="4"/>
      <x:c r="AE178" s="4"/>
    </x:row>
    <x:row r="179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  <x:c r="AA179" s="4"/>
      <x:c r="AB179" s="4"/>
      <x:c r="AC179" s="4"/>
      <x:c r="AD179" s="4"/>
      <x:c r="AE179" s="4"/>
    </x:row>
    <x:row r="180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  <x:c r="AA180" s="4"/>
      <x:c r="AB180" s="4"/>
      <x:c r="AC180" s="4"/>
      <x:c r="AD180" s="4"/>
      <x:c r="AE180" s="4"/>
    </x:row>
    <x:row r="18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  <x:c r="AA181" s="4"/>
      <x:c r="AB181" s="4"/>
      <x:c r="AC181" s="4"/>
      <x:c r="AD181" s="4"/>
      <x:c r="AE181" s="4"/>
    </x:row>
    <x:row r="182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  <x:c r="AA182" s="4"/>
      <x:c r="AB182" s="4"/>
      <x:c r="AC182" s="4"/>
      <x:c r="AD182" s="4"/>
      <x:c r="AE182" s="4"/>
    </x:row>
    <x:row r="183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  <x:c r="AA183" s="4"/>
      <x:c r="AB183" s="4"/>
      <x:c r="AC183" s="4"/>
      <x:c r="AD183" s="4"/>
      <x:c r="AE183" s="4"/>
    </x:row>
    <x:row r="184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  <x:c r="AA184" s="4"/>
      <x:c r="AB184" s="4"/>
      <x:c r="AC184" s="4"/>
      <x:c r="AD184" s="4"/>
      <x:c r="AE184" s="4"/>
    </x:row>
    <x:row r="185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  <x:c r="AA185" s="4"/>
      <x:c r="AB185" s="4"/>
      <x:c r="AC185" s="4"/>
      <x:c r="AD185" s="4"/>
      <x:c r="AE185" s="4"/>
    </x:row>
    <x:row r="186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  <x:c r="AA186" s="4"/>
      <x:c r="AB186" s="4"/>
      <x:c r="AC186" s="4"/>
      <x:c r="AD186" s="4"/>
      <x:c r="AE186" s="4"/>
    </x:row>
    <x:row r="187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  <x:c r="AA187" s="4"/>
      <x:c r="AB187" s="4"/>
      <x:c r="AC187" s="4"/>
      <x:c r="AD187" s="4"/>
      <x:c r="AE187" s="4"/>
    </x:row>
    <x:row r="188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  <x:c r="AA188" s="4"/>
      <x:c r="AB188" s="4"/>
      <x:c r="AC188" s="4"/>
      <x:c r="AD188" s="4"/>
      <x:c r="AE188" s="4"/>
    </x:row>
    <x:row r="189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  <x:c r="AA189" s="4"/>
      <x:c r="AB189" s="4"/>
      <x:c r="AC189" s="4"/>
      <x:c r="AD189" s="4"/>
      <x:c r="AE189" s="4"/>
    </x:row>
    <x:row r="190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  <x:c r="AA190" s="4"/>
      <x:c r="AB190" s="4"/>
      <x:c r="AC190" s="4"/>
      <x:c r="AD190" s="4"/>
      <x:c r="AE190" s="4"/>
    </x:row>
    <x:row r="19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  <x:c r="AA191" s="4"/>
      <x:c r="AB191" s="4"/>
      <x:c r="AC191" s="4"/>
      <x:c r="AD191" s="4"/>
      <x:c r="AE191" s="4"/>
    </x:row>
    <x:row r="192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  <x:c r="AA192" s="4"/>
      <x:c r="AB192" s="4"/>
      <x:c r="AC192" s="4"/>
      <x:c r="AD192" s="4"/>
      <x:c r="AE192" s="4"/>
    </x:row>
    <x:row r="193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  <x:c r="AA193" s="4"/>
      <x:c r="AB193" s="4"/>
      <x:c r="AC193" s="4"/>
      <x:c r="AD193" s="4"/>
      <x:c r="AE193" s="4"/>
    </x:row>
    <x:row r="194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  <x:c r="AA194" s="4"/>
      <x:c r="AB194" s="4"/>
      <x:c r="AC194" s="4"/>
      <x:c r="AD194" s="4"/>
      <x:c r="AE194" s="4"/>
    </x:row>
    <x:row r="195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  <x:c r="AA195" s="4"/>
      <x:c r="AB195" s="4"/>
      <x:c r="AC195" s="4"/>
      <x:c r="AD195" s="4"/>
      <x:c r="AE195" s="4"/>
    </x:row>
    <x:row r="196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  <x:c r="AA196" s="4"/>
      <x:c r="AB196" s="4"/>
      <x:c r="AC196" s="4"/>
      <x:c r="AD196" s="4"/>
      <x:c r="AE196" s="4"/>
    </x:row>
    <x:row r="197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  <x:c r="AA197" s="4"/>
      <x:c r="AB197" s="4"/>
      <x:c r="AC197" s="4"/>
      <x:c r="AD197" s="4"/>
      <x:c r="AE197" s="4"/>
    </x:row>
    <x:row r="198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  <x:c r="AA198" s="4"/>
      <x:c r="AB198" s="4"/>
      <x:c r="AC198" s="4"/>
      <x:c r="AD198" s="4"/>
      <x:c r="AE198" s="4"/>
    </x:row>
    <x:row r="199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  <x:c r="AA199" s="4"/>
      <x:c r="AB199" s="4"/>
      <x:c r="AC199" s="4"/>
      <x:c r="AD199" s="4"/>
      <x:c r="AE199" s="4"/>
    </x:row>
    <x:row r="200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  <x:c r="AA200" s="4"/>
      <x:c r="AB200" s="4"/>
      <x:c r="AC200" s="4"/>
      <x:c r="AD200" s="4"/>
      <x:c r="AE200" s="4"/>
    </x:row>
  </x:sheetData>
  <x:pageMargins left="0.7" right="0.7" top="0.75" bottom="0.75" header="0.3" footer="0.3"/>
  <x:tableParts count="1">
    <x:tablePart xmlns:r="http://schemas.openxmlformats.org/officeDocument/2006/relationships" r:id="R2e817ff5230642d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8" hidden="0" customWidth="1"/>
    <x:col min="4" max="4" width="26" hidden="0" customWidth="1"/>
    <x:col min="5" max="5" width="18" hidden="0" customWidth="1"/>
    <x:col min="6" max="6" width="28" hidden="0" customWidth="1"/>
    <x:col min="7" max="7" width="9" hidden="0" customWidth="1"/>
    <x:col min="8" max="8" width="9" hidden="0" customWidth="1"/>
    <x:col min="9" max="9" width="14" hidden="0" customWidth="1"/>
    <x:col min="10" max="10" width="22" hidden="0" customWidth="1"/>
    <x:col min="11" max="11" width="14" hidden="0" customWidth="1"/>
    <x:col min="12" max="12" width="16" hidden="0" customWidth="1"/>
    <x:col min="13" max="13" width="13" hidden="0" customWidth="1"/>
    <x:col min="14" max="14" width="16" hidden="0" customWidth="1"/>
    <x:col min="15" max="15" width="12" hidden="0" customWidth="1"/>
    <x:col min="16" max="16" width="16" hidden="0" customWidth="1"/>
    <x:col min="17" max="17" width="12" hidden="0" customWidth="1"/>
    <x:col min="18" max="18" width="24" hidden="0" customWidth="1"/>
    <x:col min="19" max="19" width="14" hidden="0" customWidth="1"/>
    <x:col min="20" max="20" width="16" hidden="0" customWidth="1"/>
    <x:col min="21" max="21" width="42" hidden="0" customWidth="1"/>
    <x:col min="22" max="22" width="44" hidden="0" customWidth="1"/>
    <x:col min="23" max="23" width="11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4" hidden="0" customWidth="1"/>
    <x:col min="30" max="30" width="16" hidden="0" customWidth="1"/>
    <x:col min="31" max="31" width="14" hidden="0" customWidth="1"/>
  </x:cols>
  <x:sheetData>
    <x:row r="1" ht="28" customHeight="1">
      <x:c r="A1" s="22" t="str">
        <x:v>Hastings Family Draw Budget Planner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  <x:c r="AA1" s="9"/>
      <x:c r="AB1" s="9"/>
      <x:c r="AC1" s="9"/>
      <x:c r="AD1" s="9"/>
      <x:c r="AE1" s="9"/>
    </x:row>
    <x:row r="2">
      <x:c r="A2" s="7" t="str">
        <x:v>Input</x:v>
      </x:c>
      <x:c r="B2" s="7" t="str">
        <x:v>Value</x:v>
      </x:c>
      <x:c r="C2" s="7" t="str">
        <x:v>Formula/Notes</x:v>
      </x:c>
      <x:c r="D2" s="7"/>
      <x:c r="E2" s="7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</x:row>
    <x:row r="3">
      <x:c r="A3" s="4" t="str">
        <x:v>Fuel cost per mile</x:v>
      </x:c>
      <x:c r="B3" s="32" t="n">
        <x:v>0.22</x:v>
      </x:c>
      <x:c r="C3" s="4" t="str">
        <x:v>Change this to match your van/trailer gas estimate</x:v>
      </x:c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  <x:c r="AD3" s="4"/>
      <x:c r="AE3" s="4"/>
    </x:row>
    <x:row r="4">
      <x:c r="A4" s="4" t="str">
        <x:v>Camping/lodging per night</x:v>
      </x:c>
      <x:c r="B4" s="32" t="n">
        <x:v>25</x:v>
      </x:c>
      <x:c r="C4" s="4" t="str">
        <x:v>Enter your average camp cost</x:v>
      </x:c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  <x:c r="AA4" s="4"/>
      <x:c r="AB4" s="4"/>
      <x:c r="AC4" s="4"/>
      <x:c r="AD4" s="4"/>
      <x:c r="AE4" s="4"/>
    </x:row>
    <x:row r="5">
      <x:c r="A5" s="4" t="str">
        <x:v>Average nights per drawn hunt</x:v>
      </x:c>
      <x:c r="B5" s="32" t="n">
        <x:v>3</x:v>
      </x:c>
      <x:c r="C5" s="4" t="str">
        <x:v>Change per your family plan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  <x:c r="AA5" s="4"/>
      <x:c r="AB5" s="4"/>
      <x:c r="AC5" s="4"/>
      <x:c r="AD5" s="4"/>
      <x:c r="AE5" s="4"/>
    </x:row>
    <x:row r="6">
      <x:c r="A6" s="4" t="str"/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  <x:c r="AA6" s="4"/>
      <x:c r="AB6" s="4"/>
      <x:c r="AC6" s="4"/>
      <x:c r="AD6" s="4"/>
      <x:c r="AE6" s="4"/>
    </x:row>
    <x:row r="7">
      <x:c r="A7" s="7" t="str">
        <x:v>Summary</x:v>
      </x:c>
      <x:c r="B7" s="7" t="str">
        <x:v>Formula</x:v>
      </x:c>
      <x:c r="C7" s="7" t="str">
        <x:v>Value</x:v>
      </x:c>
      <x:c r="D7" s="7"/>
      <x:c r="E7" s="7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  <x:c r="AB7" s="4"/>
      <x:c r="AC7" s="4"/>
      <x:c r="AD7" s="4"/>
      <x:c r="AE7" s="4"/>
    </x:row>
    <x:row r="8">
      <x:c r="A8" s="4" t="str">
        <x:v>Applied application fees</x:v>
      </x:c>
      <x:c r="B8" s="26" t="n">
        <x:f>SUMIF('Master Hunt List'!A:A,"Yes",'Master Hunt List'!K:K)</x:f>
        <x:v>0</x:v>
      </x:c>
      <x:c r="C8" s="4" t="str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  <x:c r="AA8" s="4"/>
      <x:c r="AB8" s="4"/>
      <x:c r="AC8" s="4"/>
      <x:c r="AD8" s="4"/>
      <x:c r="AE8" s="4"/>
    </x:row>
    <x:row r="9">
      <x:c r="A9" s="4" t="str">
        <x:v>Potential permit fees if all applied draw</x:v>
      </x:c>
      <x:c r="B9" s="26" t="n">
        <x:f>SUMIF('Master Hunt List'!A:A,"Yes",'Master Hunt List'!L:L)</x:f>
        <x:v>0</x:v>
      </x:c>
      <x:c r="C9" s="4" t="str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  <x:c r="AA9" s="4"/>
      <x:c r="AB9" s="4"/>
      <x:c r="AC9" s="4"/>
      <x:c r="AD9" s="4"/>
      <x:c r="AE9" s="4"/>
    </x:row>
    <x:row r="10">
      <x:c r="A10" s="4" t="str">
        <x:v>Estimated fuel if all applied draw</x:v>
      </x:c>
      <x:c r="B10" s="26" t="n">
        <x:f>SUMIF('Master Hunt List'!A:A,"Yes",'Master Hunt List'!P:P)*2*$B$3</x:f>
        <x:v>0</x:v>
      </x:c>
      <x:c r="C10" s="4" t="str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  <x:c r="AA10" s="4"/>
      <x:c r="AB10" s="4"/>
      <x:c r="AC10" s="4"/>
      <x:c r="AD10" s="4"/>
      <x:c r="AE10" s="4"/>
    </x:row>
    <x:row r="11">
      <x:c r="A11" s="4" t="str">
        <x:v>Estimated camping if all applied draw</x:v>
      </x:c>
      <x:c r="B11" s="26" t="n">
        <x:f>COUNTIF('Master Hunt List'!A:A,"Yes")*$B$4*$B$5</x:f>
        <x:v>0</x:v>
      </x:c>
      <x:c r="C11" s="4" t="str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  <x:c r="AA11" s="4"/>
      <x:c r="AB11" s="4"/>
      <x:c r="AC11" s="4"/>
      <x:c r="AD11" s="4"/>
      <x:c r="AE11" s="4"/>
    </x:row>
    <x:row r="12">
      <x:c r="A12" s="4" t="str">
        <x:v>Total estimated cost if all applied draw</x:v>
      </x:c>
      <x:c r="B12" s="26" t="n">
        <x:f>SUM(B8:B11)</x:f>
        <x:v>0</x:v>
      </x:c>
      <x:c r="C12" s="4" t="str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  <x:c r="AA12" s="4"/>
      <x:c r="AB12" s="4"/>
      <x:c r="AC12" s="4"/>
      <x:c r="AD12" s="4"/>
      <x:c r="AE12" s="4"/>
    </x:row>
    <x:row r="13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  <x:c r="AA13" s="4"/>
      <x:c r="AB13" s="4"/>
      <x:c r="AC13" s="4"/>
      <x:c r="AD13" s="4"/>
      <x:c r="AE13" s="4"/>
    </x:row>
    <x:row r="14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  <x:c r="AA14" s="4"/>
      <x:c r="AB14" s="4"/>
      <x:c r="AC14" s="4"/>
      <x:c r="AD14" s="4"/>
      <x:c r="AE14" s="4"/>
    </x:row>
    <x:row r="15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  <x:c r="AA15" s="4"/>
      <x:c r="AB15" s="4"/>
      <x:c r="AC15" s="4"/>
      <x:c r="AD15" s="4"/>
      <x:c r="AE15" s="4"/>
    </x:row>
    <x:row r="16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  <x:c r="AA16" s="4"/>
      <x:c r="AB16" s="4"/>
      <x:c r="AC16" s="4"/>
      <x:c r="AD16" s="4"/>
      <x:c r="AE16" s="4"/>
    </x:row>
    <x:row r="17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/>
      <x:c r="AB17" s="4"/>
      <x:c r="AC17" s="4"/>
      <x:c r="AD17" s="4"/>
      <x:c r="AE17" s="4"/>
    </x:row>
    <x:row r="18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  <x:c r="AA18" s="4"/>
      <x:c r="AB18" s="4"/>
      <x:c r="AC18" s="4"/>
      <x:c r="AD18" s="4"/>
      <x:c r="AE18" s="4"/>
    </x:row>
    <x:row r="19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  <x:c r="AA20" s="4"/>
      <x:c r="AB20" s="4"/>
      <x:c r="AC20" s="4"/>
      <x:c r="AD20" s="4"/>
      <x:c r="AE20" s="4"/>
    </x:row>
    <x:row r="2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  <x:c r="AA21" s="4"/>
      <x:c r="AB21" s="4"/>
      <x:c r="AC21" s="4"/>
      <x:c r="AD21" s="4"/>
      <x:c r="AE21" s="4"/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  <x:c r="AA22" s="4"/>
      <x:c r="AB22" s="4"/>
      <x:c r="AC22" s="4"/>
      <x:c r="AD22" s="4"/>
      <x:c r="AE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  <x:c r="AA23" s="4"/>
      <x:c r="AB23" s="4"/>
      <x:c r="AC23" s="4"/>
      <x:c r="AD23" s="4"/>
      <x:c r="AE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  <x:c r="AA24" s="4"/>
      <x:c r="AB24" s="4"/>
      <x:c r="AC24" s="4"/>
      <x:c r="AD24" s="4"/>
      <x:c r="AE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  <x:c r="AA25" s="4"/>
      <x:c r="AB25" s="4"/>
      <x:c r="AC25" s="4"/>
      <x:c r="AD25" s="4"/>
      <x:c r="AE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  <x:c r="AA26" s="4"/>
      <x:c r="AB26" s="4"/>
      <x:c r="AC26" s="4"/>
      <x:c r="AD26" s="4"/>
      <x:c r="AE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  <x:c r="AA27" s="4"/>
      <x:c r="AB27" s="4"/>
      <x:c r="AC27" s="4"/>
      <x:c r="AD27" s="4"/>
      <x:c r="AE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  <x:c r="AA28" s="4"/>
      <x:c r="AB28" s="4"/>
      <x:c r="AC28" s="4"/>
      <x:c r="AD28" s="4"/>
      <x:c r="AE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  <x:c r="AA29" s="4"/>
      <x:c r="AB29" s="4"/>
      <x:c r="AC29" s="4"/>
      <x:c r="AD29" s="4"/>
      <x:c r="AE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  <x:c r="AA30" s="4"/>
      <x:c r="AB30" s="4"/>
      <x:c r="AC30" s="4"/>
      <x:c r="AD30" s="4"/>
      <x:c r="AE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  <x:c r="AA31" s="4"/>
      <x:c r="AB31" s="4"/>
      <x:c r="AC31" s="4"/>
      <x:c r="AD31" s="4"/>
      <x:c r="AE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  <x:c r="AA32" s="4"/>
      <x:c r="AB32" s="4"/>
      <x:c r="AC32" s="4"/>
      <x:c r="AD32" s="4"/>
      <x:c r="AE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  <x:c r="AA33" s="4"/>
      <x:c r="AB33" s="4"/>
      <x:c r="AC33" s="4"/>
      <x:c r="AD33" s="4"/>
      <x:c r="AE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  <x:c r="AA34" s="4"/>
      <x:c r="AB34" s="4"/>
      <x:c r="AC34" s="4"/>
      <x:c r="AD34" s="4"/>
      <x:c r="AE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  <x:c r="AA35" s="4"/>
      <x:c r="AB35" s="4"/>
      <x:c r="AC35" s="4"/>
      <x:c r="AD35" s="4"/>
      <x:c r="AE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  <x:c r="AA36" s="4"/>
      <x:c r="AB36" s="4"/>
      <x:c r="AC36" s="4"/>
      <x:c r="AD36" s="4"/>
      <x:c r="AE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  <x:c r="AA37" s="4"/>
      <x:c r="AB37" s="4"/>
      <x:c r="AC37" s="4"/>
      <x:c r="AD37" s="4"/>
      <x:c r="AE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  <x:c r="AA39" s="4"/>
      <x:c r="AB39" s="4"/>
      <x:c r="AC39" s="4"/>
      <x:c r="AD39" s="4"/>
      <x:c r="AE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  <x:c r="AA40" s="4"/>
      <x:c r="AB40" s="4"/>
      <x:c r="AC40" s="4"/>
      <x:c r="AD40" s="4"/>
      <x:c r="AE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  <x:c r="AA41" s="4"/>
      <x:c r="AB41" s="4"/>
      <x:c r="AC41" s="4"/>
      <x:c r="AD41" s="4"/>
      <x:c r="AE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  <x:c r="AA42" s="4"/>
      <x:c r="AB42" s="4"/>
      <x:c r="AC42" s="4"/>
      <x:c r="AD42" s="4"/>
      <x:c r="AE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  <x:c r="AA43" s="4"/>
      <x:c r="AB43" s="4"/>
      <x:c r="AC43" s="4"/>
      <x:c r="AD43" s="4"/>
      <x:c r="AE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  <x:c r="AA44" s="4"/>
      <x:c r="AB44" s="4"/>
      <x:c r="AC44" s="4"/>
      <x:c r="AD44" s="4"/>
      <x:c r="AE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  <x:c r="AA45" s="4"/>
      <x:c r="AB45" s="4"/>
      <x:c r="AC45" s="4"/>
      <x:c r="AD45" s="4"/>
      <x:c r="AE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  <x:c r="AA46" s="4"/>
      <x:c r="AB46" s="4"/>
      <x:c r="AC46" s="4"/>
      <x:c r="AD46" s="4"/>
      <x:c r="AE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  <x:c r="AA47" s="4"/>
      <x:c r="AB47" s="4"/>
      <x:c r="AC47" s="4"/>
      <x:c r="AD47" s="4"/>
      <x:c r="AE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  <x:c r="AA48" s="4"/>
      <x:c r="AB48" s="4"/>
      <x:c r="AC48" s="4"/>
      <x:c r="AD48" s="4"/>
      <x:c r="AE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  <x:c r="AA49" s="4"/>
      <x:c r="AB49" s="4"/>
      <x:c r="AC49" s="4"/>
      <x:c r="AD49" s="4"/>
      <x:c r="AE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  <x:c r="AA50" s="4"/>
      <x:c r="AB50" s="4"/>
      <x:c r="AC50" s="4"/>
      <x:c r="AD50" s="4"/>
      <x:c r="AE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  <x:c r="AA51" s="4"/>
      <x:c r="AB51" s="4"/>
      <x:c r="AC51" s="4"/>
      <x:c r="AD51" s="4"/>
      <x:c r="AE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  <x:c r="AA52" s="4"/>
      <x:c r="AB52" s="4"/>
      <x:c r="AC52" s="4"/>
      <x:c r="AD52" s="4"/>
      <x:c r="AE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  <x:c r="AA53" s="4"/>
      <x:c r="AB53" s="4"/>
      <x:c r="AC53" s="4"/>
      <x:c r="AD53" s="4"/>
      <x:c r="AE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  <x:c r="AA54" s="4"/>
      <x:c r="AB54" s="4"/>
      <x:c r="AC54" s="4"/>
      <x:c r="AD54" s="4"/>
      <x:c r="AE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  <x:c r="AA55" s="4"/>
      <x:c r="AB55" s="4"/>
      <x:c r="AC55" s="4"/>
      <x:c r="AD55" s="4"/>
      <x:c r="AE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  <x:c r="AA56" s="4"/>
      <x:c r="AB56" s="4"/>
      <x:c r="AC56" s="4"/>
      <x:c r="AD56" s="4"/>
      <x:c r="AE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  <x:c r="AA58" s="4"/>
      <x:c r="AB58" s="4"/>
      <x:c r="AC58" s="4"/>
      <x:c r="AD58" s="4"/>
      <x:c r="AE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  <x:c r="AA59" s="4"/>
      <x:c r="AB59" s="4"/>
      <x:c r="AC59" s="4"/>
      <x:c r="AD59" s="4"/>
      <x:c r="AE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  <x:c r="AA60" s="4"/>
      <x:c r="AB60" s="4"/>
      <x:c r="AC60" s="4"/>
      <x:c r="AD60" s="4"/>
      <x:c r="AE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  <x:c r="AA61" s="4"/>
      <x:c r="AB61" s="4"/>
      <x:c r="AC61" s="4"/>
      <x:c r="AD61" s="4"/>
      <x:c r="AE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  <x:c r="AA62" s="4"/>
      <x:c r="AB62" s="4"/>
      <x:c r="AC62" s="4"/>
      <x:c r="AD62" s="4"/>
      <x:c r="AE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  <x:c r="AA63" s="4"/>
      <x:c r="AB63" s="4"/>
      <x:c r="AC63" s="4"/>
      <x:c r="AD63" s="4"/>
      <x:c r="AE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  <x:c r="AA64" s="4"/>
      <x:c r="AB64" s="4"/>
      <x:c r="AC64" s="4"/>
      <x:c r="AD64" s="4"/>
      <x:c r="AE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  <x:c r="AA65" s="4"/>
      <x:c r="AB65" s="4"/>
      <x:c r="AC65" s="4"/>
      <x:c r="AD65" s="4"/>
      <x:c r="AE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  <x:c r="AA66" s="4"/>
      <x:c r="AB66" s="4"/>
      <x:c r="AC66" s="4"/>
      <x:c r="AD66" s="4"/>
      <x:c r="AE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  <x:c r="AA67" s="4"/>
      <x:c r="AB67" s="4"/>
      <x:c r="AC67" s="4"/>
      <x:c r="AD67" s="4"/>
      <x:c r="AE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s="4"/>
      <x:c r="AB68" s="4"/>
      <x:c r="AC68" s="4"/>
      <x:c r="AD68" s="4"/>
      <x:c r="AE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  <x:c r="AA69" s="4"/>
      <x:c r="AB69" s="4"/>
      <x:c r="AC69" s="4"/>
      <x:c r="AD69" s="4"/>
      <x:c r="AE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  <x:c r="AA70" s="4"/>
      <x:c r="AB70" s="4"/>
      <x:c r="AC70" s="4"/>
      <x:c r="AD70" s="4"/>
      <x:c r="AE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  <x:c r="AA71" s="4"/>
      <x:c r="AB71" s="4"/>
      <x:c r="AC71" s="4"/>
      <x:c r="AD71" s="4"/>
      <x:c r="AE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  <x:c r="AA72" s="4"/>
      <x:c r="AB72" s="4"/>
      <x:c r="AC72" s="4"/>
      <x:c r="AD72" s="4"/>
      <x:c r="AE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  <x:c r="AA73" s="4"/>
      <x:c r="AB73" s="4"/>
      <x:c r="AC73" s="4"/>
      <x:c r="AD73" s="4"/>
      <x:c r="AE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  <x:c r="AA74" s="4"/>
      <x:c r="AB74" s="4"/>
      <x:c r="AC74" s="4"/>
      <x:c r="AD74" s="4"/>
      <x:c r="AE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  <x:c r="AA75" s="4"/>
      <x:c r="AB75" s="4"/>
      <x:c r="AC75" s="4"/>
      <x:c r="AD75" s="4"/>
      <x:c r="AE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  <x:c r="AA77" s="4"/>
      <x:c r="AB77" s="4"/>
      <x:c r="AC77" s="4"/>
      <x:c r="AD77" s="4"/>
      <x:c r="AE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  <x:c r="AA78" s="4"/>
      <x:c r="AB78" s="4"/>
      <x:c r="AC78" s="4"/>
      <x:c r="AD78" s="4"/>
      <x:c r="AE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  <x:c r="AA79" s="4"/>
      <x:c r="AB79" s="4"/>
      <x:c r="AC79" s="4"/>
      <x:c r="AD79" s="4"/>
      <x:c r="AE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  <x:c r="AA80" s="4"/>
      <x:c r="AB80" s="4"/>
      <x:c r="AC80" s="4"/>
      <x:c r="AD80" s="4"/>
      <x:c r="AE80" s="4"/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  <x:c r="AA81" s="4"/>
      <x:c r="AB81" s="4"/>
      <x:c r="AC81" s="4"/>
      <x:c r="AD81" s="4"/>
      <x:c r="AE81" s="4"/>
    </x:row>
    <x:row r="82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  <x:c r="AA82" s="4"/>
      <x:c r="AB82" s="4"/>
      <x:c r="AC82" s="4"/>
      <x:c r="AD82" s="4"/>
      <x:c r="AE82" s="4"/>
    </x:row>
    <x:row r="83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  <x:c r="AA83" s="4"/>
      <x:c r="AB83" s="4"/>
      <x:c r="AC83" s="4"/>
      <x:c r="AD83" s="4"/>
      <x:c r="AE83" s="4"/>
    </x:row>
    <x:row r="84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  <x:c r="AA84" s="4"/>
      <x:c r="AB84" s="4"/>
      <x:c r="AC84" s="4"/>
      <x:c r="AD84" s="4"/>
      <x:c r="AE84" s="4"/>
    </x:row>
    <x:row r="85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  <x:c r="AA85" s="4"/>
      <x:c r="AB85" s="4"/>
      <x:c r="AC85" s="4"/>
      <x:c r="AD85" s="4"/>
      <x:c r="AE85" s="4"/>
    </x:row>
    <x:row r="86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  <x:c r="AA86" s="4"/>
      <x:c r="AB86" s="4"/>
      <x:c r="AC86" s="4"/>
      <x:c r="AD86" s="4"/>
      <x:c r="AE86" s="4"/>
    </x:row>
    <x:row r="87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  <x:c r="AA87" s="4"/>
      <x:c r="AB87" s="4"/>
      <x:c r="AC87" s="4"/>
      <x:c r="AD87" s="4"/>
      <x:c r="AE87" s="4"/>
    </x:row>
    <x:row r="88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  <x:c r="AA88" s="4"/>
      <x:c r="AB88" s="4"/>
      <x:c r="AC88" s="4"/>
      <x:c r="AD88" s="4"/>
      <x:c r="AE88" s="4"/>
    </x:row>
    <x:row r="89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  <x:c r="AA89" s="4"/>
      <x:c r="AB89" s="4"/>
      <x:c r="AC89" s="4"/>
      <x:c r="AD89" s="4"/>
      <x:c r="AE89" s="4"/>
    </x:row>
    <x:row r="90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  <x:c r="AA90" s="4"/>
      <x:c r="AB90" s="4"/>
      <x:c r="AC90" s="4"/>
      <x:c r="AD90" s="4"/>
      <x:c r="AE90" s="4"/>
    </x:row>
    <x:row r="9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  <x:c r="AA91" s="4"/>
      <x:c r="AB91" s="4"/>
      <x:c r="AC91" s="4"/>
      <x:c r="AD91" s="4"/>
      <x:c r="AE91" s="4"/>
    </x:row>
    <x:row r="92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  <x:c r="AA92" s="4"/>
      <x:c r="AB92" s="4"/>
      <x:c r="AC92" s="4"/>
      <x:c r="AD92" s="4"/>
      <x:c r="AE92" s="4"/>
    </x:row>
    <x:row r="93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  <x:c r="AA93" s="4"/>
      <x:c r="AB93" s="4"/>
      <x:c r="AC93" s="4"/>
      <x:c r="AD93" s="4"/>
      <x:c r="AE93" s="4"/>
    </x:row>
    <x:row r="94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  <x:c r="AA94" s="4"/>
      <x:c r="AB94" s="4"/>
      <x:c r="AC94" s="4"/>
      <x:c r="AD94" s="4"/>
      <x:c r="AE94" s="4"/>
    </x:row>
    <x:row r="95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  <x:c r="AA96" s="4"/>
      <x:c r="AB96" s="4"/>
      <x:c r="AC96" s="4"/>
      <x:c r="AD96" s="4"/>
      <x:c r="AE96" s="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  <x:c r="AA97" s="4"/>
      <x:c r="AB97" s="4"/>
      <x:c r="AC97" s="4"/>
      <x:c r="AD97" s="4"/>
      <x:c r="AE97" s="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  <x:c r="AA98" s="4"/>
      <x:c r="AB98" s="4"/>
      <x:c r="AC98" s="4"/>
      <x:c r="AD98" s="4"/>
      <x:c r="AE98" s="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  <x:c r="AA99" s="4"/>
      <x:c r="AB99" s="4"/>
      <x:c r="AC99" s="4"/>
      <x:c r="AD99" s="4"/>
      <x:c r="AE99" s="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  <x:c r="AA100" s="4"/>
      <x:c r="AB100" s="4"/>
      <x:c r="AC100" s="4"/>
      <x:c r="AD100" s="4"/>
      <x:c r="AE100" s="4"/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  <x:c r="AA101" s="4"/>
      <x:c r="AB101" s="4"/>
      <x:c r="AC101" s="4"/>
      <x:c r="AD101" s="4"/>
      <x:c r="AE101" s="4"/>
    </x:row>
    <x:row r="102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  <x:c r="AA102" s="4"/>
      <x:c r="AB102" s="4"/>
      <x:c r="AC102" s="4"/>
      <x:c r="AD102" s="4"/>
      <x:c r="AE102" s="4"/>
    </x:row>
    <x:row r="103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  <x:c r="AA103" s="4"/>
      <x:c r="AB103" s="4"/>
      <x:c r="AC103" s="4"/>
      <x:c r="AD103" s="4"/>
      <x:c r="AE103" s="4"/>
    </x:row>
    <x:row r="104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  <x:c r="AA104" s="4"/>
      <x:c r="AB104" s="4"/>
      <x:c r="AC104" s="4"/>
      <x:c r="AD104" s="4"/>
      <x:c r="AE104" s="4"/>
    </x:row>
    <x:row r="105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  <x:c r="AA105" s="4"/>
      <x:c r="AB105" s="4"/>
      <x:c r="AC105" s="4"/>
      <x:c r="AD105" s="4"/>
      <x:c r="AE105" s="4"/>
    </x:row>
    <x:row r="106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  <x:c r="AA106" s="4"/>
      <x:c r="AB106" s="4"/>
      <x:c r="AC106" s="4"/>
      <x:c r="AD106" s="4"/>
      <x:c r="AE106" s="4"/>
    </x:row>
    <x:row r="107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  <x:c r="AA107" s="4"/>
      <x:c r="AB107" s="4"/>
      <x:c r="AC107" s="4"/>
      <x:c r="AD107" s="4"/>
      <x:c r="AE107" s="4"/>
    </x:row>
    <x:row r="108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  <x:c r="AA108" s="4"/>
      <x:c r="AB108" s="4"/>
      <x:c r="AC108" s="4"/>
      <x:c r="AD108" s="4"/>
      <x:c r="AE108" s="4"/>
    </x:row>
    <x:row r="109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  <x:c r="AA109" s="4"/>
      <x:c r="AB109" s="4"/>
      <x:c r="AC109" s="4"/>
      <x:c r="AD109" s="4"/>
      <x:c r="AE109" s="4"/>
    </x:row>
    <x:row r="110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  <x:c r="AA110" s="4"/>
      <x:c r="AB110" s="4"/>
      <x:c r="AC110" s="4"/>
      <x:c r="AD110" s="4"/>
      <x:c r="AE110" s="4"/>
    </x:row>
    <x:row r="11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  <x:c r="AA111" s="4"/>
      <x:c r="AB111" s="4"/>
      <x:c r="AC111" s="4"/>
      <x:c r="AD111" s="4"/>
      <x:c r="AE111" s="4"/>
    </x:row>
    <x:row r="112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  <x:c r="AA112" s="4"/>
      <x:c r="AB112" s="4"/>
      <x:c r="AC112" s="4"/>
      <x:c r="AD112" s="4"/>
      <x:c r="AE112" s="4"/>
    </x:row>
    <x:row r="113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  <x:c r="AA113" s="4"/>
      <x:c r="AB113" s="4"/>
      <x:c r="AC113" s="4"/>
      <x:c r="AD113" s="4"/>
      <x:c r="AE113" s="4"/>
    </x:row>
    <x:row r="114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  <x:c r="AA114" s="4"/>
      <x:c r="AB114" s="4"/>
      <x:c r="AC114" s="4"/>
      <x:c r="AD114" s="4"/>
      <x:c r="AE114" s="4"/>
    </x:row>
    <x:row r="115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  <x:c r="AA115" s="4"/>
      <x:c r="AB115" s="4"/>
      <x:c r="AC115" s="4"/>
      <x:c r="AD115" s="4"/>
      <x:c r="AE115" s="4"/>
    </x:row>
    <x:row r="116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  <x:c r="AA116" s="4"/>
      <x:c r="AB116" s="4"/>
      <x:c r="AC116" s="4"/>
      <x:c r="AD116" s="4"/>
      <x:c r="AE116" s="4"/>
    </x:row>
    <x:row r="117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  <x:c r="AA117" s="4"/>
      <x:c r="AB117" s="4"/>
      <x:c r="AC117" s="4"/>
      <x:c r="AD117" s="4"/>
      <x:c r="AE117" s="4"/>
    </x:row>
    <x:row r="118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  <x:c r="AA118" s="4"/>
      <x:c r="AB118" s="4"/>
      <x:c r="AC118" s="4"/>
      <x:c r="AD118" s="4"/>
      <x:c r="AE118" s="4"/>
    </x:row>
    <x:row r="119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  <x:c r="AA119" s="4"/>
      <x:c r="AB119" s="4"/>
      <x:c r="AC119" s="4"/>
      <x:c r="AD119" s="4"/>
      <x:c r="AE119" s="4"/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  <x:c r="AA120" s="4"/>
      <x:c r="AB120" s="4"/>
      <x:c r="AC120" s="4"/>
      <x:c r="AD120" s="4"/>
      <x:c r="AE120" s="4"/>
    </x:row>
    <x:row r="12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  <x:c r="AA121" s="4"/>
      <x:c r="AB121" s="4"/>
      <x:c r="AC121" s="4"/>
      <x:c r="AD121" s="4"/>
      <x:c r="AE121" s="4"/>
    </x:row>
    <x:row r="122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  <x:c r="AA122" s="4"/>
      <x:c r="AB122" s="4"/>
      <x:c r="AC122" s="4"/>
      <x:c r="AD122" s="4"/>
      <x:c r="AE122" s="4"/>
    </x:row>
    <x:row r="123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  <x:c r="AA123" s="4"/>
      <x:c r="AB123" s="4"/>
      <x:c r="AC123" s="4"/>
      <x:c r="AD123" s="4"/>
      <x:c r="AE123" s="4"/>
    </x:row>
    <x:row r="124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  <x:c r="AA124" s="4"/>
      <x:c r="AB124" s="4"/>
      <x:c r="AC124" s="4"/>
      <x:c r="AD124" s="4"/>
      <x:c r="AE124" s="4"/>
    </x:row>
    <x:row r="125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  <x:c r="AA125" s="4"/>
      <x:c r="AB125" s="4"/>
      <x:c r="AC125" s="4"/>
      <x:c r="AD125" s="4"/>
      <x:c r="AE125" s="4"/>
    </x:row>
    <x:row r="126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  <x:c r="AA126" s="4"/>
      <x:c r="AB126" s="4"/>
      <x:c r="AC126" s="4"/>
      <x:c r="AD126" s="4"/>
      <x:c r="AE126" s="4"/>
    </x:row>
    <x:row r="127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  <x:c r="AA127" s="4"/>
      <x:c r="AB127" s="4"/>
      <x:c r="AC127" s="4"/>
      <x:c r="AD127" s="4"/>
      <x:c r="AE127" s="4"/>
    </x:row>
    <x:row r="128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  <x:c r="AA128" s="4"/>
      <x:c r="AB128" s="4"/>
      <x:c r="AC128" s="4"/>
      <x:c r="AD128" s="4"/>
      <x:c r="AE128" s="4"/>
    </x:row>
    <x:row r="129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  <x:c r="AA129" s="4"/>
      <x:c r="AB129" s="4"/>
      <x:c r="AC129" s="4"/>
      <x:c r="AD129" s="4"/>
      <x:c r="AE129" s="4"/>
    </x:row>
    <x:row r="130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  <x:c r="AA130" s="4"/>
      <x:c r="AB130" s="4"/>
      <x:c r="AC130" s="4"/>
      <x:c r="AD130" s="4"/>
      <x:c r="AE130" s="4"/>
    </x:row>
    <x:row r="13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  <x:c r="AA131" s="4"/>
      <x:c r="AB131" s="4"/>
      <x:c r="AC131" s="4"/>
      <x:c r="AD131" s="4"/>
      <x:c r="AE131" s="4"/>
    </x:row>
    <x:row r="132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  <x:c r="AA132" s="4"/>
      <x:c r="AB132" s="4"/>
      <x:c r="AC132" s="4"/>
      <x:c r="AD132" s="4"/>
      <x:c r="AE132" s="4"/>
    </x:row>
    <x:row r="133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  <x:c r="AA133" s="4"/>
      <x:c r="AB133" s="4"/>
      <x:c r="AC133" s="4"/>
      <x:c r="AD133" s="4"/>
      <x:c r="AE133" s="4"/>
    </x:row>
    <x:row r="134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  <x:c r="AA134" s="4"/>
      <x:c r="AB134" s="4"/>
      <x:c r="AC134" s="4"/>
      <x:c r="AD134" s="4"/>
      <x:c r="AE134" s="4"/>
    </x:row>
    <x:row r="135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  <x:c r="AA135" s="4"/>
      <x:c r="AB135" s="4"/>
      <x:c r="AC135" s="4"/>
      <x:c r="AD135" s="4"/>
      <x:c r="AE135" s="4"/>
    </x:row>
    <x:row r="136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  <x:c r="AA136" s="4"/>
      <x:c r="AB136" s="4"/>
      <x:c r="AC136" s="4"/>
      <x:c r="AD136" s="4"/>
      <x:c r="AE136" s="4"/>
    </x:row>
    <x:row r="137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  <x:c r="AA137" s="4"/>
      <x:c r="AB137" s="4"/>
      <x:c r="AC137" s="4"/>
      <x:c r="AD137" s="4"/>
      <x:c r="AE137" s="4"/>
    </x:row>
    <x:row r="138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  <x:c r="AA138" s="4"/>
      <x:c r="AB138" s="4"/>
      <x:c r="AC138" s="4"/>
      <x:c r="AD138" s="4"/>
      <x:c r="AE138" s="4"/>
    </x:row>
    <x:row r="139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  <x:c r="AA139" s="4"/>
      <x:c r="AB139" s="4"/>
      <x:c r="AC139" s="4"/>
      <x:c r="AD139" s="4"/>
      <x:c r="AE139" s="4"/>
    </x:row>
    <x:row r="140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  <x:c r="AA140" s="4"/>
      <x:c r="AB140" s="4"/>
      <x:c r="AC140" s="4"/>
      <x:c r="AD140" s="4"/>
      <x:c r="AE140" s="4"/>
    </x:row>
    <x:row r="14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  <x:c r="AA141" s="4"/>
      <x:c r="AB141" s="4"/>
      <x:c r="AC141" s="4"/>
      <x:c r="AD141" s="4"/>
      <x:c r="AE141" s="4"/>
    </x:row>
    <x:row r="142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  <x:c r="AA142" s="4"/>
      <x:c r="AB142" s="4"/>
      <x:c r="AC142" s="4"/>
      <x:c r="AD142" s="4"/>
      <x:c r="AE142" s="4"/>
    </x:row>
    <x:row r="143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  <x:c r="AA143" s="4"/>
      <x:c r="AB143" s="4"/>
      <x:c r="AC143" s="4"/>
      <x:c r="AD143" s="4"/>
      <x:c r="AE143" s="4"/>
    </x:row>
    <x:row r="144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  <x:c r="AA144" s="4"/>
      <x:c r="AB144" s="4"/>
      <x:c r="AC144" s="4"/>
      <x:c r="AD144" s="4"/>
      <x:c r="AE144" s="4"/>
    </x:row>
    <x:row r="145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  <x:c r="AA145" s="4"/>
      <x:c r="AB145" s="4"/>
      <x:c r="AC145" s="4"/>
      <x:c r="AD145" s="4"/>
      <x:c r="AE145" s="4"/>
    </x:row>
    <x:row r="146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  <x:c r="AA146" s="4"/>
      <x:c r="AB146" s="4"/>
      <x:c r="AC146" s="4"/>
      <x:c r="AD146" s="4"/>
      <x:c r="AE146" s="4"/>
    </x:row>
    <x:row r="147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  <x:c r="AA147" s="4"/>
      <x:c r="AB147" s="4"/>
      <x:c r="AC147" s="4"/>
      <x:c r="AD147" s="4"/>
      <x:c r="AE147" s="4"/>
    </x:row>
    <x:row r="148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  <x:c r="AA148" s="4"/>
      <x:c r="AB148" s="4"/>
      <x:c r="AC148" s="4"/>
      <x:c r="AD148" s="4"/>
      <x:c r="AE148" s="4"/>
    </x:row>
    <x:row r="149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  <x:c r="AA149" s="4"/>
      <x:c r="AB149" s="4"/>
      <x:c r="AC149" s="4"/>
      <x:c r="AD149" s="4"/>
      <x:c r="AE149" s="4"/>
    </x:row>
    <x:row r="150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  <x:c r="AA150" s="4"/>
      <x:c r="AB150" s="4"/>
      <x:c r="AC150" s="4"/>
      <x:c r="AD150" s="4"/>
      <x:c r="AE150" s="4"/>
    </x:row>
    <x:row r="15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  <x:c r="AA151" s="4"/>
      <x:c r="AB151" s="4"/>
      <x:c r="AC151" s="4"/>
      <x:c r="AD151" s="4"/>
      <x:c r="AE151" s="4"/>
    </x:row>
    <x:row r="152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  <x:c r="AA152" s="4"/>
      <x:c r="AB152" s="4"/>
      <x:c r="AC152" s="4"/>
      <x:c r="AD152" s="4"/>
      <x:c r="AE152" s="4"/>
    </x:row>
    <x:row r="153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  <x:c r="AA153" s="4"/>
      <x:c r="AB153" s="4"/>
      <x:c r="AC153" s="4"/>
      <x:c r="AD153" s="4"/>
      <x:c r="AE153" s="4"/>
    </x:row>
    <x:row r="154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  <x:c r="AA154" s="4"/>
      <x:c r="AB154" s="4"/>
      <x:c r="AC154" s="4"/>
      <x:c r="AD154" s="4"/>
      <x:c r="AE154" s="4"/>
    </x:row>
    <x:row r="155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  <x:c r="AA155" s="4"/>
      <x:c r="AB155" s="4"/>
      <x:c r="AC155" s="4"/>
      <x:c r="AD155" s="4"/>
      <x:c r="AE155" s="4"/>
    </x:row>
    <x:row r="156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  <x:c r="AA156" s="4"/>
      <x:c r="AB156" s="4"/>
      <x:c r="AC156" s="4"/>
      <x:c r="AD156" s="4"/>
      <x:c r="AE156" s="4"/>
    </x:row>
    <x:row r="157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  <x:c r="AA157" s="4"/>
      <x:c r="AB157" s="4"/>
      <x:c r="AC157" s="4"/>
      <x:c r="AD157" s="4"/>
      <x:c r="AE157" s="4"/>
    </x:row>
    <x:row r="158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  <x:c r="AA158" s="4"/>
      <x:c r="AB158" s="4"/>
      <x:c r="AC158" s="4"/>
      <x:c r="AD158" s="4"/>
      <x:c r="AE158" s="4"/>
    </x:row>
    <x:row r="159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  <x:c r="AA159" s="4"/>
      <x:c r="AB159" s="4"/>
      <x:c r="AC159" s="4"/>
      <x:c r="AD159" s="4"/>
      <x:c r="AE159" s="4"/>
    </x:row>
    <x:row r="160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  <x:c r="AA160" s="4"/>
      <x:c r="AB160" s="4"/>
      <x:c r="AC160" s="4"/>
      <x:c r="AD160" s="4"/>
      <x:c r="AE160" s="4"/>
    </x:row>
    <x:row r="16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  <x:c r="AA161" s="4"/>
      <x:c r="AB161" s="4"/>
      <x:c r="AC161" s="4"/>
      <x:c r="AD161" s="4"/>
      <x:c r="AE161" s="4"/>
    </x:row>
    <x:row r="162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  <x:c r="AA162" s="4"/>
      <x:c r="AB162" s="4"/>
      <x:c r="AC162" s="4"/>
      <x:c r="AD162" s="4"/>
      <x:c r="AE162" s="4"/>
    </x:row>
    <x:row r="163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  <x:c r="AA163" s="4"/>
      <x:c r="AB163" s="4"/>
      <x:c r="AC163" s="4"/>
      <x:c r="AD163" s="4"/>
      <x:c r="AE163" s="4"/>
    </x:row>
    <x:row r="164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  <x:c r="AA164" s="4"/>
      <x:c r="AB164" s="4"/>
      <x:c r="AC164" s="4"/>
      <x:c r="AD164" s="4"/>
      <x:c r="AE164" s="4"/>
    </x:row>
    <x:row r="165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  <x:c r="AA165" s="4"/>
      <x:c r="AB165" s="4"/>
      <x:c r="AC165" s="4"/>
      <x:c r="AD165" s="4"/>
      <x:c r="AE165" s="4"/>
    </x:row>
    <x:row r="166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  <x:c r="AA166" s="4"/>
      <x:c r="AB166" s="4"/>
      <x:c r="AC166" s="4"/>
      <x:c r="AD166" s="4"/>
      <x:c r="AE166" s="4"/>
    </x:row>
    <x:row r="167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  <x:c r="AA167" s="4"/>
      <x:c r="AB167" s="4"/>
      <x:c r="AC167" s="4"/>
      <x:c r="AD167" s="4"/>
      <x:c r="AE167" s="4"/>
    </x:row>
    <x:row r="168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  <x:c r="AA168" s="4"/>
      <x:c r="AB168" s="4"/>
      <x:c r="AC168" s="4"/>
      <x:c r="AD168" s="4"/>
      <x:c r="AE168" s="4"/>
    </x:row>
    <x:row r="169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  <x:c r="AA169" s="4"/>
      <x:c r="AB169" s="4"/>
      <x:c r="AC169" s="4"/>
      <x:c r="AD169" s="4"/>
      <x:c r="AE169" s="4"/>
    </x:row>
    <x:row r="170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  <x:c r="AA170" s="4"/>
      <x:c r="AB170" s="4"/>
      <x:c r="AC170" s="4"/>
      <x:c r="AD170" s="4"/>
      <x:c r="AE170" s="4"/>
    </x:row>
    <x:row r="17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  <x:c r="AA171" s="4"/>
      <x:c r="AB171" s="4"/>
      <x:c r="AC171" s="4"/>
      <x:c r="AD171" s="4"/>
      <x:c r="AE171" s="4"/>
    </x:row>
    <x:row r="172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  <x:c r="AA172" s="4"/>
      <x:c r="AB172" s="4"/>
      <x:c r="AC172" s="4"/>
      <x:c r="AD172" s="4"/>
      <x:c r="AE172" s="4"/>
    </x:row>
    <x:row r="173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  <x:c r="AA173" s="4"/>
      <x:c r="AB173" s="4"/>
      <x:c r="AC173" s="4"/>
      <x:c r="AD173" s="4"/>
      <x:c r="AE173" s="4"/>
    </x:row>
    <x:row r="174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  <x:c r="AA174" s="4"/>
      <x:c r="AB174" s="4"/>
      <x:c r="AC174" s="4"/>
      <x:c r="AD174" s="4"/>
      <x:c r="AE174" s="4"/>
    </x:row>
    <x:row r="175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  <x:c r="AA175" s="4"/>
      <x:c r="AB175" s="4"/>
      <x:c r="AC175" s="4"/>
      <x:c r="AD175" s="4"/>
      <x:c r="AE175" s="4"/>
    </x:row>
    <x:row r="176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  <x:c r="AA176" s="4"/>
      <x:c r="AB176" s="4"/>
      <x:c r="AC176" s="4"/>
      <x:c r="AD176" s="4"/>
      <x:c r="AE176" s="4"/>
    </x:row>
    <x:row r="177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  <x:c r="AA177" s="4"/>
      <x:c r="AB177" s="4"/>
      <x:c r="AC177" s="4"/>
      <x:c r="AD177" s="4"/>
      <x:c r="AE177" s="4"/>
    </x:row>
    <x:row r="178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  <x:c r="AA178" s="4"/>
      <x:c r="AB178" s="4"/>
      <x:c r="AC178" s="4"/>
      <x:c r="AD178" s="4"/>
      <x:c r="AE178" s="4"/>
    </x:row>
    <x:row r="179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  <x:c r="AA179" s="4"/>
      <x:c r="AB179" s="4"/>
      <x:c r="AC179" s="4"/>
      <x:c r="AD179" s="4"/>
      <x:c r="AE179" s="4"/>
    </x:row>
    <x:row r="180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  <x:c r="AA180" s="4"/>
      <x:c r="AB180" s="4"/>
      <x:c r="AC180" s="4"/>
      <x:c r="AD180" s="4"/>
      <x:c r="AE180" s="4"/>
    </x:row>
    <x:row r="18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  <x:c r="AA181" s="4"/>
      <x:c r="AB181" s="4"/>
      <x:c r="AC181" s="4"/>
      <x:c r="AD181" s="4"/>
      <x:c r="AE181" s="4"/>
    </x:row>
    <x:row r="182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  <x:c r="AA182" s="4"/>
      <x:c r="AB182" s="4"/>
      <x:c r="AC182" s="4"/>
      <x:c r="AD182" s="4"/>
      <x:c r="AE182" s="4"/>
    </x:row>
    <x:row r="183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  <x:c r="AA183" s="4"/>
      <x:c r="AB183" s="4"/>
      <x:c r="AC183" s="4"/>
      <x:c r="AD183" s="4"/>
      <x:c r="AE183" s="4"/>
    </x:row>
    <x:row r="184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  <x:c r="AA184" s="4"/>
      <x:c r="AB184" s="4"/>
      <x:c r="AC184" s="4"/>
      <x:c r="AD184" s="4"/>
      <x:c r="AE184" s="4"/>
    </x:row>
    <x:row r="185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  <x:c r="AA185" s="4"/>
      <x:c r="AB185" s="4"/>
      <x:c r="AC185" s="4"/>
      <x:c r="AD185" s="4"/>
      <x:c r="AE185" s="4"/>
    </x:row>
    <x:row r="186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  <x:c r="AA186" s="4"/>
      <x:c r="AB186" s="4"/>
      <x:c r="AC186" s="4"/>
      <x:c r="AD186" s="4"/>
      <x:c r="AE186" s="4"/>
    </x:row>
    <x:row r="187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  <x:c r="AA187" s="4"/>
      <x:c r="AB187" s="4"/>
      <x:c r="AC187" s="4"/>
      <x:c r="AD187" s="4"/>
      <x:c r="AE187" s="4"/>
    </x:row>
    <x:row r="188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  <x:c r="AA188" s="4"/>
      <x:c r="AB188" s="4"/>
      <x:c r="AC188" s="4"/>
      <x:c r="AD188" s="4"/>
      <x:c r="AE188" s="4"/>
    </x:row>
    <x:row r="189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  <x:c r="AA189" s="4"/>
      <x:c r="AB189" s="4"/>
      <x:c r="AC189" s="4"/>
      <x:c r="AD189" s="4"/>
      <x:c r="AE189" s="4"/>
    </x:row>
    <x:row r="190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  <x:c r="AA190" s="4"/>
      <x:c r="AB190" s="4"/>
      <x:c r="AC190" s="4"/>
      <x:c r="AD190" s="4"/>
      <x:c r="AE190" s="4"/>
    </x:row>
    <x:row r="19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  <x:c r="AA191" s="4"/>
      <x:c r="AB191" s="4"/>
      <x:c r="AC191" s="4"/>
      <x:c r="AD191" s="4"/>
      <x:c r="AE191" s="4"/>
    </x:row>
    <x:row r="192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  <x:c r="AA192" s="4"/>
      <x:c r="AB192" s="4"/>
      <x:c r="AC192" s="4"/>
      <x:c r="AD192" s="4"/>
      <x:c r="AE192" s="4"/>
    </x:row>
    <x:row r="193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  <x:c r="AA193" s="4"/>
      <x:c r="AB193" s="4"/>
      <x:c r="AC193" s="4"/>
      <x:c r="AD193" s="4"/>
      <x:c r="AE193" s="4"/>
    </x:row>
    <x:row r="194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  <x:c r="AA194" s="4"/>
      <x:c r="AB194" s="4"/>
      <x:c r="AC194" s="4"/>
      <x:c r="AD194" s="4"/>
      <x:c r="AE194" s="4"/>
    </x:row>
    <x:row r="195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  <x:c r="AA195" s="4"/>
      <x:c r="AB195" s="4"/>
      <x:c r="AC195" s="4"/>
      <x:c r="AD195" s="4"/>
      <x:c r="AE195" s="4"/>
    </x:row>
    <x:row r="196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  <x:c r="AA196" s="4"/>
      <x:c r="AB196" s="4"/>
      <x:c r="AC196" s="4"/>
      <x:c r="AD196" s="4"/>
      <x:c r="AE196" s="4"/>
    </x:row>
    <x:row r="197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  <x:c r="AA197" s="4"/>
      <x:c r="AB197" s="4"/>
      <x:c r="AC197" s="4"/>
      <x:c r="AD197" s="4"/>
      <x:c r="AE197" s="4"/>
    </x:row>
    <x:row r="198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  <x:c r="AA198" s="4"/>
      <x:c r="AB198" s="4"/>
      <x:c r="AC198" s="4"/>
      <x:c r="AD198" s="4"/>
      <x:c r="AE198" s="4"/>
    </x:row>
    <x:row r="199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  <x:c r="AA199" s="4"/>
      <x:c r="AB199" s="4"/>
      <x:c r="AC199" s="4"/>
      <x:c r="AD199" s="4"/>
      <x:c r="AE199" s="4"/>
    </x:row>
    <x:row r="200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  <x:c r="AA200" s="4"/>
      <x:c r="AB200" s="4"/>
      <x:c r="AC200" s="4"/>
      <x:c r="AD200" s="4"/>
      <x:c r="AE200" s="4"/>
    </x:row>
  </x:sheetData>
  <x:mergeCells>
    <x:mergeCell ref="A1:E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8" hidden="0" customWidth="1"/>
    <x:col min="4" max="4" width="26" hidden="0" customWidth="1"/>
    <x:col min="5" max="5" width="18" hidden="0" customWidth="1"/>
    <x:col min="6" max="6" width="28" hidden="0" customWidth="1"/>
    <x:col min="7" max="7" width="9" hidden="0" customWidth="1"/>
    <x:col min="8" max="8" width="9" hidden="0" customWidth="1"/>
    <x:col min="9" max="9" width="14" hidden="0" customWidth="1"/>
    <x:col min="10" max="10" width="22" hidden="0" customWidth="1"/>
    <x:col min="11" max="11" width="14" hidden="0" customWidth="1"/>
    <x:col min="12" max="12" width="16" hidden="0" customWidth="1"/>
    <x:col min="13" max="13" width="13" hidden="0" customWidth="1"/>
    <x:col min="14" max="14" width="16" hidden="0" customWidth="1"/>
    <x:col min="15" max="15" width="12" hidden="0" customWidth="1"/>
    <x:col min="16" max="16" width="16" hidden="0" customWidth="1"/>
    <x:col min="17" max="17" width="12" hidden="0" customWidth="1"/>
    <x:col min="18" max="18" width="24" hidden="0" customWidth="1"/>
    <x:col min="19" max="19" width="14" hidden="0" customWidth="1"/>
    <x:col min="20" max="20" width="16" hidden="0" customWidth="1"/>
    <x:col min="21" max="21" width="42" hidden="0" customWidth="1"/>
    <x:col min="22" max="22" width="44" hidden="0" customWidth="1"/>
    <x:col min="23" max="23" width="11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4" hidden="0" customWidth="1"/>
    <x:col min="30" max="30" width="16" hidden="0" customWidth="1"/>
    <x:col min="31" max="31" width="14" hidden="0" customWidth="1"/>
  </x:cols>
  <x:sheetData>
    <x:row r="1" ht="28" customHeight="1">
      <x:c r="A1" s="9" t="str">
        <x:v>Year</x:v>
      </x:c>
      <x:c r="B1" s="9" t="str">
        <x:v>Hunt Area</x:v>
      </x:c>
      <x:c r="C1" s="9" t="str">
        <x:v>Species</x:v>
      </x:c>
      <x:c r="D1" s="9" t="str">
        <x:v>Hunt Type</x:v>
      </x:c>
      <x:c r="E1" s="9" t="str">
        <x:v>Drawn?</x:v>
      </x:c>
      <x:c r="F1" s="9" t="str">
        <x:v>Harvest?</x:v>
      </x:c>
      <x:c r="G1" s="9" t="str">
        <x:v>Camped?</x:v>
      </x:c>
      <x:c r="H1" s="9" t="str">
        <x:v>Backpack?</x:v>
      </x:c>
      <x:c r="I1" s="9" t="str">
        <x:v>Notes</x:v>
      </x:c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  <x:c r="AA1" s="9"/>
      <x:c r="AB1" s="9"/>
      <x:c r="AC1" s="9"/>
      <x:c r="AD1" s="9"/>
      <x:c r="AE1" s="9"/>
    </x:row>
    <x:row r="2">
      <x:c r="A2" s="4" t="n">
        <x:v>2025</x:v>
      </x:c>
      <x:c r="B2" s="4" t="str">
        <x:v>Caprock Canyons SP</x:v>
      </x:c>
      <x:c r="C2" s="4" t="str">
        <x:v>Mule Deer</x:v>
      </x:c>
      <x:c r="D2" s="4" t="str">
        <x:v>Youth Caprock Canyon</x:v>
      </x:c>
      <x:c r="E2" s="4" t="str">
        <x:v>Yes</x:v>
      </x:c>
      <x:c r="F2" s="4" t="str"/>
      <x:c r="G2" s="4" t="str">
        <x:v>Yes</x:v>
      </x:c>
      <x:c r="H2" s="4" t="str"/>
      <x:c r="I2" s="4" t="str">
        <x:v>User reported drawn last year.</x:v>
      </x:c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</x:row>
    <x:row r="3">
      <x:c r="A3" s="4" t="n">
        <x:v>2025</x:v>
      </x:c>
      <x:c r="B3" s="4" t="str">
        <x:v>Lake McClellan</x:v>
      </x:c>
      <x:c r="C3" s="4" t="str">
        <x:v>Whitetail Deer</x:v>
      </x:c>
      <x:c r="D3" s="4" t="str">
        <x:v>Youth Lake McClellan</x:v>
      </x:c>
      <x:c r="E3" s="4" t="str">
        <x:v>Yes</x:v>
      </x:c>
      <x:c r="F3" s="4" t="str"/>
      <x:c r="G3" s="4" t="str">
        <x:v>Yes</x:v>
      </x:c>
      <x:c r="H3" s="4" t="str"/>
      <x:c r="I3" s="4" t="str">
        <x:v>User reported drawn last year.</x:v>
      </x:c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  <x:c r="AD3" s="4"/>
      <x:c r="AE3" s="4"/>
    </x:row>
    <x:row r="4">
      <x:c r="A4" s="4" t="n">
        <x:v>2025</x:v>
      </x:c>
      <x:c r="B4" s="4" t="str">
        <x:v>Potter County Cross Bar</x:v>
      </x:c>
      <x:c r="C4" s="4" t="str">
        <x:v>Whitetail Deer</x:v>
      </x:c>
      <x:c r="D4" s="4" t="str">
        <x:v>Whitetail Management</x:v>
      </x:c>
      <x:c r="E4" s="4" t="str">
        <x:v>Yes</x:v>
      </x:c>
      <x:c r="F4" s="4" t="str"/>
      <x:c r="G4" s="4" t="str">
        <x:v>Yes</x:v>
      </x:c>
      <x:c r="H4" s="4" t="str">
        <x:v>Yes</x:v>
      </x:c>
      <x:c r="I4" s="4" t="str">
        <x:v>User reported drawn; prior context says Cross Bar backpack hunt.</x:v>
      </x:c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  <x:c r="AA4" s="4"/>
      <x:c r="AB4" s="4"/>
      <x:c r="AC4" s="4"/>
      <x:c r="AD4" s="4"/>
      <x:c r="AE4" s="4"/>
    </x:row>
    <x:row r="5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  <x:c r="AA5" s="4"/>
      <x:c r="AB5" s="4"/>
      <x:c r="AC5" s="4"/>
      <x:c r="AD5" s="4"/>
      <x:c r="AE5" s="4"/>
    </x:row>
    <x:row r="6">
      <x:c r="A6" s="4"/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  <x:c r="AA6" s="4"/>
      <x:c r="AB6" s="4"/>
      <x:c r="AC6" s="4"/>
      <x:c r="AD6" s="4"/>
      <x:c r="AE6" s="4"/>
    </x:row>
    <x:row r="7">
      <x:c r="A7" s="4"/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  <x:c r="AB7" s="4"/>
      <x:c r="AC7" s="4"/>
      <x:c r="AD7" s="4"/>
      <x:c r="AE7" s="4"/>
    </x:row>
    <x:row r="8">
      <x:c r="A8" s="4"/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  <x:c r="AA8" s="4"/>
      <x:c r="AB8" s="4"/>
      <x:c r="AC8" s="4"/>
      <x:c r="AD8" s="4"/>
      <x:c r="AE8" s="4"/>
    </x:row>
    <x:row r="9">
      <x:c r="A9" s="4"/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  <x:c r="AA9" s="4"/>
      <x:c r="AB9" s="4"/>
      <x:c r="AC9" s="4"/>
      <x:c r="AD9" s="4"/>
      <x:c r="AE9" s="4"/>
    </x:row>
    <x:row r="10">
      <x:c r="A10" s="4"/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  <x:c r="AA10" s="4"/>
      <x:c r="AB10" s="4"/>
      <x:c r="AC10" s="4"/>
      <x:c r="AD10" s="4"/>
      <x:c r="AE10" s="4"/>
    </x:row>
    <x:row r="11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  <x:c r="AA11" s="4"/>
      <x:c r="AB11" s="4"/>
      <x:c r="AC11" s="4"/>
      <x:c r="AD11" s="4"/>
      <x:c r="AE11" s="4"/>
    </x:row>
    <x:row r="12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  <x:c r="AA12" s="4"/>
      <x:c r="AB12" s="4"/>
      <x:c r="AC12" s="4"/>
      <x:c r="AD12" s="4"/>
      <x:c r="AE12" s="4"/>
    </x:row>
    <x:row r="13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  <x:c r="AA13" s="4"/>
      <x:c r="AB13" s="4"/>
      <x:c r="AC13" s="4"/>
      <x:c r="AD13" s="4"/>
      <x:c r="AE13" s="4"/>
    </x:row>
    <x:row r="14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  <x:c r="AA14" s="4"/>
      <x:c r="AB14" s="4"/>
      <x:c r="AC14" s="4"/>
      <x:c r="AD14" s="4"/>
      <x:c r="AE14" s="4"/>
    </x:row>
    <x:row r="15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  <x:c r="AA15" s="4"/>
      <x:c r="AB15" s="4"/>
      <x:c r="AC15" s="4"/>
      <x:c r="AD15" s="4"/>
      <x:c r="AE15" s="4"/>
    </x:row>
    <x:row r="16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  <x:c r="AA16" s="4"/>
      <x:c r="AB16" s="4"/>
      <x:c r="AC16" s="4"/>
      <x:c r="AD16" s="4"/>
      <x:c r="AE16" s="4"/>
    </x:row>
    <x:row r="17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/>
      <x:c r="AB17" s="4"/>
      <x:c r="AC17" s="4"/>
      <x:c r="AD17" s="4"/>
      <x:c r="AE17" s="4"/>
    </x:row>
    <x:row r="18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  <x:c r="AA18" s="4"/>
      <x:c r="AB18" s="4"/>
      <x:c r="AC18" s="4"/>
      <x:c r="AD18" s="4"/>
      <x:c r="AE18" s="4"/>
    </x:row>
    <x:row r="19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  <x:c r="AA20" s="4"/>
      <x:c r="AB20" s="4"/>
      <x:c r="AC20" s="4"/>
      <x:c r="AD20" s="4"/>
      <x:c r="AE20" s="4"/>
    </x:row>
    <x:row r="2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  <x:c r="AA21" s="4"/>
      <x:c r="AB21" s="4"/>
      <x:c r="AC21" s="4"/>
      <x:c r="AD21" s="4"/>
      <x:c r="AE21" s="4"/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  <x:c r="AA22" s="4"/>
      <x:c r="AB22" s="4"/>
      <x:c r="AC22" s="4"/>
      <x:c r="AD22" s="4"/>
      <x:c r="AE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  <x:c r="AA23" s="4"/>
      <x:c r="AB23" s="4"/>
      <x:c r="AC23" s="4"/>
      <x:c r="AD23" s="4"/>
      <x:c r="AE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  <x:c r="AA24" s="4"/>
      <x:c r="AB24" s="4"/>
      <x:c r="AC24" s="4"/>
      <x:c r="AD24" s="4"/>
      <x:c r="AE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  <x:c r="AA25" s="4"/>
      <x:c r="AB25" s="4"/>
      <x:c r="AC25" s="4"/>
      <x:c r="AD25" s="4"/>
      <x:c r="AE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  <x:c r="AA26" s="4"/>
      <x:c r="AB26" s="4"/>
      <x:c r="AC26" s="4"/>
      <x:c r="AD26" s="4"/>
      <x:c r="AE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  <x:c r="AA27" s="4"/>
      <x:c r="AB27" s="4"/>
      <x:c r="AC27" s="4"/>
      <x:c r="AD27" s="4"/>
      <x:c r="AE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  <x:c r="AA28" s="4"/>
      <x:c r="AB28" s="4"/>
      <x:c r="AC28" s="4"/>
      <x:c r="AD28" s="4"/>
      <x:c r="AE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  <x:c r="AA29" s="4"/>
      <x:c r="AB29" s="4"/>
      <x:c r="AC29" s="4"/>
      <x:c r="AD29" s="4"/>
      <x:c r="AE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  <x:c r="AA30" s="4"/>
      <x:c r="AB30" s="4"/>
      <x:c r="AC30" s="4"/>
      <x:c r="AD30" s="4"/>
      <x:c r="AE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  <x:c r="AA31" s="4"/>
      <x:c r="AB31" s="4"/>
      <x:c r="AC31" s="4"/>
      <x:c r="AD31" s="4"/>
      <x:c r="AE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  <x:c r="AA32" s="4"/>
      <x:c r="AB32" s="4"/>
      <x:c r="AC32" s="4"/>
      <x:c r="AD32" s="4"/>
      <x:c r="AE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  <x:c r="AA33" s="4"/>
      <x:c r="AB33" s="4"/>
      <x:c r="AC33" s="4"/>
      <x:c r="AD33" s="4"/>
      <x:c r="AE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  <x:c r="AA34" s="4"/>
      <x:c r="AB34" s="4"/>
      <x:c r="AC34" s="4"/>
      <x:c r="AD34" s="4"/>
      <x:c r="AE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  <x:c r="AA35" s="4"/>
      <x:c r="AB35" s="4"/>
      <x:c r="AC35" s="4"/>
      <x:c r="AD35" s="4"/>
      <x:c r="AE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  <x:c r="AA36" s="4"/>
      <x:c r="AB36" s="4"/>
      <x:c r="AC36" s="4"/>
      <x:c r="AD36" s="4"/>
      <x:c r="AE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  <x:c r="AA37" s="4"/>
      <x:c r="AB37" s="4"/>
      <x:c r="AC37" s="4"/>
      <x:c r="AD37" s="4"/>
      <x:c r="AE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  <x:c r="AA39" s="4"/>
      <x:c r="AB39" s="4"/>
      <x:c r="AC39" s="4"/>
      <x:c r="AD39" s="4"/>
      <x:c r="AE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  <x:c r="AA40" s="4"/>
      <x:c r="AB40" s="4"/>
      <x:c r="AC40" s="4"/>
      <x:c r="AD40" s="4"/>
      <x:c r="AE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  <x:c r="AA41" s="4"/>
      <x:c r="AB41" s="4"/>
      <x:c r="AC41" s="4"/>
      <x:c r="AD41" s="4"/>
      <x:c r="AE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  <x:c r="AA42" s="4"/>
      <x:c r="AB42" s="4"/>
      <x:c r="AC42" s="4"/>
      <x:c r="AD42" s="4"/>
      <x:c r="AE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  <x:c r="AA43" s="4"/>
      <x:c r="AB43" s="4"/>
      <x:c r="AC43" s="4"/>
      <x:c r="AD43" s="4"/>
      <x:c r="AE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  <x:c r="AA44" s="4"/>
      <x:c r="AB44" s="4"/>
      <x:c r="AC44" s="4"/>
      <x:c r="AD44" s="4"/>
      <x:c r="AE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  <x:c r="AA45" s="4"/>
      <x:c r="AB45" s="4"/>
      <x:c r="AC45" s="4"/>
      <x:c r="AD45" s="4"/>
      <x:c r="AE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  <x:c r="AA46" s="4"/>
      <x:c r="AB46" s="4"/>
      <x:c r="AC46" s="4"/>
      <x:c r="AD46" s="4"/>
      <x:c r="AE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  <x:c r="AA47" s="4"/>
      <x:c r="AB47" s="4"/>
      <x:c r="AC47" s="4"/>
      <x:c r="AD47" s="4"/>
      <x:c r="AE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  <x:c r="AA48" s="4"/>
      <x:c r="AB48" s="4"/>
      <x:c r="AC48" s="4"/>
      <x:c r="AD48" s="4"/>
      <x:c r="AE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  <x:c r="AA49" s="4"/>
      <x:c r="AB49" s="4"/>
      <x:c r="AC49" s="4"/>
      <x:c r="AD49" s="4"/>
      <x:c r="AE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  <x:c r="AA50" s="4"/>
      <x:c r="AB50" s="4"/>
      <x:c r="AC50" s="4"/>
      <x:c r="AD50" s="4"/>
      <x:c r="AE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  <x:c r="AA51" s="4"/>
      <x:c r="AB51" s="4"/>
      <x:c r="AC51" s="4"/>
      <x:c r="AD51" s="4"/>
      <x:c r="AE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  <x:c r="AA52" s="4"/>
      <x:c r="AB52" s="4"/>
      <x:c r="AC52" s="4"/>
      <x:c r="AD52" s="4"/>
      <x:c r="AE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  <x:c r="AA53" s="4"/>
      <x:c r="AB53" s="4"/>
      <x:c r="AC53" s="4"/>
      <x:c r="AD53" s="4"/>
      <x:c r="AE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  <x:c r="AA54" s="4"/>
      <x:c r="AB54" s="4"/>
      <x:c r="AC54" s="4"/>
      <x:c r="AD54" s="4"/>
      <x:c r="AE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  <x:c r="AA55" s="4"/>
      <x:c r="AB55" s="4"/>
      <x:c r="AC55" s="4"/>
      <x:c r="AD55" s="4"/>
      <x:c r="AE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  <x:c r="AA56" s="4"/>
      <x:c r="AB56" s="4"/>
      <x:c r="AC56" s="4"/>
      <x:c r="AD56" s="4"/>
      <x:c r="AE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  <x:c r="AA58" s="4"/>
      <x:c r="AB58" s="4"/>
      <x:c r="AC58" s="4"/>
      <x:c r="AD58" s="4"/>
      <x:c r="AE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  <x:c r="AA59" s="4"/>
      <x:c r="AB59" s="4"/>
      <x:c r="AC59" s="4"/>
      <x:c r="AD59" s="4"/>
      <x:c r="AE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  <x:c r="AA60" s="4"/>
      <x:c r="AB60" s="4"/>
      <x:c r="AC60" s="4"/>
      <x:c r="AD60" s="4"/>
      <x:c r="AE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  <x:c r="AA61" s="4"/>
      <x:c r="AB61" s="4"/>
      <x:c r="AC61" s="4"/>
      <x:c r="AD61" s="4"/>
      <x:c r="AE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  <x:c r="AA62" s="4"/>
      <x:c r="AB62" s="4"/>
      <x:c r="AC62" s="4"/>
      <x:c r="AD62" s="4"/>
      <x:c r="AE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  <x:c r="AA63" s="4"/>
      <x:c r="AB63" s="4"/>
      <x:c r="AC63" s="4"/>
      <x:c r="AD63" s="4"/>
      <x:c r="AE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  <x:c r="AA64" s="4"/>
      <x:c r="AB64" s="4"/>
      <x:c r="AC64" s="4"/>
      <x:c r="AD64" s="4"/>
      <x:c r="AE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  <x:c r="AA65" s="4"/>
      <x:c r="AB65" s="4"/>
      <x:c r="AC65" s="4"/>
      <x:c r="AD65" s="4"/>
      <x:c r="AE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  <x:c r="AA66" s="4"/>
      <x:c r="AB66" s="4"/>
      <x:c r="AC66" s="4"/>
      <x:c r="AD66" s="4"/>
      <x:c r="AE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  <x:c r="AA67" s="4"/>
      <x:c r="AB67" s="4"/>
      <x:c r="AC67" s="4"/>
      <x:c r="AD67" s="4"/>
      <x:c r="AE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s="4"/>
      <x:c r="AB68" s="4"/>
      <x:c r="AC68" s="4"/>
      <x:c r="AD68" s="4"/>
      <x:c r="AE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  <x:c r="AA69" s="4"/>
      <x:c r="AB69" s="4"/>
      <x:c r="AC69" s="4"/>
      <x:c r="AD69" s="4"/>
      <x:c r="AE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  <x:c r="AA70" s="4"/>
      <x:c r="AB70" s="4"/>
      <x:c r="AC70" s="4"/>
      <x:c r="AD70" s="4"/>
      <x:c r="AE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  <x:c r="AA71" s="4"/>
      <x:c r="AB71" s="4"/>
      <x:c r="AC71" s="4"/>
      <x:c r="AD71" s="4"/>
      <x:c r="AE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  <x:c r="AA72" s="4"/>
      <x:c r="AB72" s="4"/>
      <x:c r="AC72" s="4"/>
      <x:c r="AD72" s="4"/>
      <x:c r="AE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  <x:c r="AA73" s="4"/>
      <x:c r="AB73" s="4"/>
      <x:c r="AC73" s="4"/>
      <x:c r="AD73" s="4"/>
      <x:c r="AE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  <x:c r="AA74" s="4"/>
      <x:c r="AB74" s="4"/>
      <x:c r="AC74" s="4"/>
      <x:c r="AD74" s="4"/>
      <x:c r="AE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  <x:c r="AA75" s="4"/>
      <x:c r="AB75" s="4"/>
      <x:c r="AC75" s="4"/>
      <x:c r="AD75" s="4"/>
      <x:c r="AE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  <x:c r="AA77" s="4"/>
      <x:c r="AB77" s="4"/>
      <x:c r="AC77" s="4"/>
      <x:c r="AD77" s="4"/>
      <x:c r="AE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  <x:c r="AA78" s="4"/>
      <x:c r="AB78" s="4"/>
      <x:c r="AC78" s="4"/>
      <x:c r="AD78" s="4"/>
      <x:c r="AE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  <x:c r="AA79" s="4"/>
      <x:c r="AB79" s="4"/>
      <x:c r="AC79" s="4"/>
      <x:c r="AD79" s="4"/>
      <x:c r="AE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  <x:c r="AA80" s="4"/>
      <x:c r="AB80" s="4"/>
      <x:c r="AC80" s="4"/>
      <x:c r="AD80" s="4"/>
      <x:c r="AE80" s="4"/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  <x:c r="AA81" s="4"/>
      <x:c r="AB81" s="4"/>
      <x:c r="AC81" s="4"/>
      <x:c r="AD81" s="4"/>
      <x:c r="AE81" s="4"/>
    </x:row>
    <x:row r="82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  <x:c r="AA82" s="4"/>
      <x:c r="AB82" s="4"/>
      <x:c r="AC82" s="4"/>
      <x:c r="AD82" s="4"/>
      <x:c r="AE82" s="4"/>
    </x:row>
    <x:row r="83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  <x:c r="AA83" s="4"/>
      <x:c r="AB83" s="4"/>
      <x:c r="AC83" s="4"/>
      <x:c r="AD83" s="4"/>
      <x:c r="AE83" s="4"/>
    </x:row>
    <x:row r="84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  <x:c r="AA84" s="4"/>
      <x:c r="AB84" s="4"/>
      <x:c r="AC84" s="4"/>
      <x:c r="AD84" s="4"/>
      <x:c r="AE84" s="4"/>
    </x:row>
    <x:row r="85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  <x:c r="AA85" s="4"/>
      <x:c r="AB85" s="4"/>
      <x:c r="AC85" s="4"/>
      <x:c r="AD85" s="4"/>
      <x:c r="AE85" s="4"/>
    </x:row>
    <x:row r="86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  <x:c r="AA86" s="4"/>
      <x:c r="AB86" s="4"/>
      <x:c r="AC86" s="4"/>
      <x:c r="AD86" s="4"/>
      <x:c r="AE86" s="4"/>
    </x:row>
    <x:row r="87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  <x:c r="AA87" s="4"/>
      <x:c r="AB87" s="4"/>
      <x:c r="AC87" s="4"/>
      <x:c r="AD87" s="4"/>
      <x:c r="AE87" s="4"/>
    </x:row>
    <x:row r="88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  <x:c r="AA88" s="4"/>
      <x:c r="AB88" s="4"/>
      <x:c r="AC88" s="4"/>
      <x:c r="AD88" s="4"/>
      <x:c r="AE88" s="4"/>
    </x:row>
    <x:row r="89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  <x:c r="AA89" s="4"/>
      <x:c r="AB89" s="4"/>
      <x:c r="AC89" s="4"/>
      <x:c r="AD89" s="4"/>
      <x:c r="AE89" s="4"/>
    </x:row>
    <x:row r="90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  <x:c r="AA90" s="4"/>
      <x:c r="AB90" s="4"/>
      <x:c r="AC90" s="4"/>
      <x:c r="AD90" s="4"/>
      <x:c r="AE90" s="4"/>
    </x:row>
    <x:row r="9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  <x:c r="AA91" s="4"/>
      <x:c r="AB91" s="4"/>
      <x:c r="AC91" s="4"/>
      <x:c r="AD91" s="4"/>
      <x:c r="AE91" s="4"/>
    </x:row>
    <x:row r="92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  <x:c r="AA92" s="4"/>
      <x:c r="AB92" s="4"/>
      <x:c r="AC92" s="4"/>
      <x:c r="AD92" s="4"/>
      <x:c r="AE92" s="4"/>
    </x:row>
    <x:row r="93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  <x:c r="AA93" s="4"/>
      <x:c r="AB93" s="4"/>
      <x:c r="AC93" s="4"/>
      <x:c r="AD93" s="4"/>
      <x:c r="AE93" s="4"/>
    </x:row>
    <x:row r="94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  <x:c r="AA94" s="4"/>
      <x:c r="AB94" s="4"/>
      <x:c r="AC94" s="4"/>
      <x:c r="AD94" s="4"/>
      <x:c r="AE94" s="4"/>
    </x:row>
    <x:row r="95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  <x:c r="AA96" s="4"/>
      <x:c r="AB96" s="4"/>
      <x:c r="AC96" s="4"/>
      <x:c r="AD96" s="4"/>
      <x:c r="AE96" s="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  <x:c r="AA97" s="4"/>
      <x:c r="AB97" s="4"/>
      <x:c r="AC97" s="4"/>
      <x:c r="AD97" s="4"/>
      <x:c r="AE97" s="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  <x:c r="AA98" s="4"/>
      <x:c r="AB98" s="4"/>
      <x:c r="AC98" s="4"/>
      <x:c r="AD98" s="4"/>
      <x:c r="AE98" s="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  <x:c r="AA99" s="4"/>
      <x:c r="AB99" s="4"/>
      <x:c r="AC99" s="4"/>
      <x:c r="AD99" s="4"/>
      <x:c r="AE99" s="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  <x:c r="AA100" s="4"/>
      <x:c r="AB100" s="4"/>
      <x:c r="AC100" s="4"/>
      <x:c r="AD100" s="4"/>
      <x:c r="AE100" s="4"/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  <x:c r="AA101" s="4"/>
      <x:c r="AB101" s="4"/>
      <x:c r="AC101" s="4"/>
      <x:c r="AD101" s="4"/>
      <x:c r="AE101" s="4"/>
    </x:row>
    <x:row r="102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  <x:c r="AA102" s="4"/>
      <x:c r="AB102" s="4"/>
      <x:c r="AC102" s="4"/>
      <x:c r="AD102" s="4"/>
      <x:c r="AE102" s="4"/>
    </x:row>
    <x:row r="103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  <x:c r="AA103" s="4"/>
      <x:c r="AB103" s="4"/>
      <x:c r="AC103" s="4"/>
      <x:c r="AD103" s="4"/>
      <x:c r="AE103" s="4"/>
    </x:row>
    <x:row r="104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  <x:c r="AA104" s="4"/>
      <x:c r="AB104" s="4"/>
      <x:c r="AC104" s="4"/>
      <x:c r="AD104" s="4"/>
      <x:c r="AE104" s="4"/>
    </x:row>
    <x:row r="105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  <x:c r="AA105" s="4"/>
      <x:c r="AB105" s="4"/>
      <x:c r="AC105" s="4"/>
      <x:c r="AD105" s="4"/>
      <x:c r="AE105" s="4"/>
    </x:row>
    <x:row r="106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  <x:c r="AA106" s="4"/>
      <x:c r="AB106" s="4"/>
      <x:c r="AC106" s="4"/>
      <x:c r="AD106" s="4"/>
      <x:c r="AE106" s="4"/>
    </x:row>
    <x:row r="107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  <x:c r="AA107" s="4"/>
      <x:c r="AB107" s="4"/>
      <x:c r="AC107" s="4"/>
      <x:c r="AD107" s="4"/>
      <x:c r="AE107" s="4"/>
    </x:row>
    <x:row r="108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  <x:c r="AA108" s="4"/>
      <x:c r="AB108" s="4"/>
      <x:c r="AC108" s="4"/>
      <x:c r="AD108" s="4"/>
      <x:c r="AE108" s="4"/>
    </x:row>
    <x:row r="109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  <x:c r="AA109" s="4"/>
      <x:c r="AB109" s="4"/>
      <x:c r="AC109" s="4"/>
      <x:c r="AD109" s="4"/>
      <x:c r="AE109" s="4"/>
    </x:row>
    <x:row r="110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  <x:c r="AA110" s="4"/>
      <x:c r="AB110" s="4"/>
      <x:c r="AC110" s="4"/>
      <x:c r="AD110" s="4"/>
      <x:c r="AE110" s="4"/>
    </x:row>
    <x:row r="11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  <x:c r="AA111" s="4"/>
      <x:c r="AB111" s="4"/>
      <x:c r="AC111" s="4"/>
      <x:c r="AD111" s="4"/>
      <x:c r="AE111" s="4"/>
    </x:row>
    <x:row r="112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  <x:c r="AA112" s="4"/>
      <x:c r="AB112" s="4"/>
      <x:c r="AC112" s="4"/>
      <x:c r="AD112" s="4"/>
      <x:c r="AE112" s="4"/>
    </x:row>
    <x:row r="113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  <x:c r="AA113" s="4"/>
      <x:c r="AB113" s="4"/>
      <x:c r="AC113" s="4"/>
      <x:c r="AD113" s="4"/>
      <x:c r="AE113" s="4"/>
    </x:row>
    <x:row r="114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  <x:c r="AA114" s="4"/>
      <x:c r="AB114" s="4"/>
      <x:c r="AC114" s="4"/>
      <x:c r="AD114" s="4"/>
      <x:c r="AE114" s="4"/>
    </x:row>
    <x:row r="115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  <x:c r="AA115" s="4"/>
      <x:c r="AB115" s="4"/>
      <x:c r="AC115" s="4"/>
      <x:c r="AD115" s="4"/>
      <x:c r="AE115" s="4"/>
    </x:row>
    <x:row r="116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  <x:c r="AA116" s="4"/>
      <x:c r="AB116" s="4"/>
      <x:c r="AC116" s="4"/>
      <x:c r="AD116" s="4"/>
      <x:c r="AE116" s="4"/>
    </x:row>
    <x:row r="117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  <x:c r="AA117" s="4"/>
      <x:c r="AB117" s="4"/>
      <x:c r="AC117" s="4"/>
      <x:c r="AD117" s="4"/>
      <x:c r="AE117" s="4"/>
    </x:row>
    <x:row r="118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  <x:c r="AA118" s="4"/>
      <x:c r="AB118" s="4"/>
      <x:c r="AC118" s="4"/>
      <x:c r="AD118" s="4"/>
      <x:c r="AE118" s="4"/>
    </x:row>
    <x:row r="119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  <x:c r="AA119" s="4"/>
      <x:c r="AB119" s="4"/>
      <x:c r="AC119" s="4"/>
      <x:c r="AD119" s="4"/>
      <x:c r="AE119" s="4"/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  <x:c r="AA120" s="4"/>
      <x:c r="AB120" s="4"/>
      <x:c r="AC120" s="4"/>
      <x:c r="AD120" s="4"/>
      <x:c r="AE120" s="4"/>
    </x:row>
    <x:row r="12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  <x:c r="AA121" s="4"/>
      <x:c r="AB121" s="4"/>
      <x:c r="AC121" s="4"/>
      <x:c r="AD121" s="4"/>
      <x:c r="AE121" s="4"/>
    </x:row>
    <x:row r="122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  <x:c r="AA122" s="4"/>
      <x:c r="AB122" s="4"/>
      <x:c r="AC122" s="4"/>
      <x:c r="AD122" s="4"/>
      <x:c r="AE122" s="4"/>
    </x:row>
    <x:row r="123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  <x:c r="AA123" s="4"/>
      <x:c r="AB123" s="4"/>
      <x:c r="AC123" s="4"/>
      <x:c r="AD123" s="4"/>
      <x:c r="AE123" s="4"/>
    </x:row>
    <x:row r="124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  <x:c r="AA124" s="4"/>
      <x:c r="AB124" s="4"/>
      <x:c r="AC124" s="4"/>
      <x:c r="AD124" s="4"/>
      <x:c r="AE124" s="4"/>
    </x:row>
    <x:row r="125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  <x:c r="AA125" s="4"/>
      <x:c r="AB125" s="4"/>
      <x:c r="AC125" s="4"/>
      <x:c r="AD125" s="4"/>
      <x:c r="AE125" s="4"/>
    </x:row>
    <x:row r="126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  <x:c r="AA126" s="4"/>
      <x:c r="AB126" s="4"/>
      <x:c r="AC126" s="4"/>
      <x:c r="AD126" s="4"/>
      <x:c r="AE126" s="4"/>
    </x:row>
    <x:row r="127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  <x:c r="AA127" s="4"/>
      <x:c r="AB127" s="4"/>
      <x:c r="AC127" s="4"/>
      <x:c r="AD127" s="4"/>
      <x:c r="AE127" s="4"/>
    </x:row>
    <x:row r="128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  <x:c r="AA128" s="4"/>
      <x:c r="AB128" s="4"/>
      <x:c r="AC128" s="4"/>
      <x:c r="AD128" s="4"/>
      <x:c r="AE128" s="4"/>
    </x:row>
    <x:row r="129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  <x:c r="AA129" s="4"/>
      <x:c r="AB129" s="4"/>
      <x:c r="AC129" s="4"/>
      <x:c r="AD129" s="4"/>
      <x:c r="AE129" s="4"/>
    </x:row>
    <x:row r="130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  <x:c r="AA130" s="4"/>
      <x:c r="AB130" s="4"/>
      <x:c r="AC130" s="4"/>
      <x:c r="AD130" s="4"/>
      <x:c r="AE130" s="4"/>
    </x:row>
    <x:row r="13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  <x:c r="AA131" s="4"/>
      <x:c r="AB131" s="4"/>
      <x:c r="AC131" s="4"/>
      <x:c r="AD131" s="4"/>
      <x:c r="AE131" s="4"/>
    </x:row>
    <x:row r="132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  <x:c r="AA132" s="4"/>
      <x:c r="AB132" s="4"/>
      <x:c r="AC132" s="4"/>
      <x:c r="AD132" s="4"/>
      <x:c r="AE132" s="4"/>
    </x:row>
    <x:row r="133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  <x:c r="AA133" s="4"/>
      <x:c r="AB133" s="4"/>
      <x:c r="AC133" s="4"/>
      <x:c r="AD133" s="4"/>
      <x:c r="AE133" s="4"/>
    </x:row>
    <x:row r="134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  <x:c r="AA134" s="4"/>
      <x:c r="AB134" s="4"/>
      <x:c r="AC134" s="4"/>
      <x:c r="AD134" s="4"/>
      <x:c r="AE134" s="4"/>
    </x:row>
    <x:row r="135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  <x:c r="AA135" s="4"/>
      <x:c r="AB135" s="4"/>
      <x:c r="AC135" s="4"/>
      <x:c r="AD135" s="4"/>
      <x:c r="AE135" s="4"/>
    </x:row>
    <x:row r="136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  <x:c r="AA136" s="4"/>
      <x:c r="AB136" s="4"/>
      <x:c r="AC136" s="4"/>
      <x:c r="AD136" s="4"/>
      <x:c r="AE136" s="4"/>
    </x:row>
    <x:row r="137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  <x:c r="AA137" s="4"/>
      <x:c r="AB137" s="4"/>
      <x:c r="AC137" s="4"/>
      <x:c r="AD137" s="4"/>
      <x:c r="AE137" s="4"/>
    </x:row>
    <x:row r="138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  <x:c r="AA138" s="4"/>
      <x:c r="AB138" s="4"/>
      <x:c r="AC138" s="4"/>
      <x:c r="AD138" s="4"/>
      <x:c r="AE138" s="4"/>
    </x:row>
    <x:row r="139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  <x:c r="AA139" s="4"/>
      <x:c r="AB139" s="4"/>
      <x:c r="AC139" s="4"/>
      <x:c r="AD139" s="4"/>
      <x:c r="AE139" s="4"/>
    </x:row>
    <x:row r="140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  <x:c r="AA140" s="4"/>
      <x:c r="AB140" s="4"/>
      <x:c r="AC140" s="4"/>
      <x:c r="AD140" s="4"/>
      <x:c r="AE140" s="4"/>
    </x:row>
    <x:row r="14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  <x:c r="AA141" s="4"/>
      <x:c r="AB141" s="4"/>
      <x:c r="AC141" s="4"/>
      <x:c r="AD141" s="4"/>
      <x:c r="AE141" s="4"/>
    </x:row>
    <x:row r="142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  <x:c r="AA142" s="4"/>
      <x:c r="AB142" s="4"/>
      <x:c r="AC142" s="4"/>
      <x:c r="AD142" s="4"/>
      <x:c r="AE142" s="4"/>
    </x:row>
    <x:row r="143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  <x:c r="AA143" s="4"/>
      <x:c r="AB143" s="4"/>
      <x:c r="AC143" s="4"/>
      <x:c r="AD143" s="4"/>
      <x:c r="AE143" s="4"/>
    </x:row>
    <x:row r="144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  <x:c r="AA144" s="4"/>
      <x:c r="AB144" s="4"/>
      <x:c r="AC144" s="4"/>
      <x:c r="AD144" s="4"/>
      <x:c r="AE144" s="4"/>
    </x:row>
    <x:row r="145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  <x:c r="AA145" s="4"/>
      <x:c r="AB145" s="4"/>
      <x:c r="AC145" s="4"/>
      <x:c r="AD145" s="4"/>
      <x:c r="AE145" s="4"/>
    </x:row>
    <x:row r="146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  <x:c r="AA146" s="4"/>
      <x:c r="AB146" s="4"/>
      <x:c r="AC146" s="4"/>
      <x:c r="AD146" s="4"/>
      <x:c r="AE146" s="4"/>
    </x:row>
    <x:row r="147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  <x:c r="AA147" s="4"/>
      <x:c r="AB147" s="4"/>
      <x:c r="AC147" s="4"/>
      <x:c r="AD147" s="4"/>
      <x:c r="AE147" s="4"/>
    </x:row>
    <x:row r="148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  <x:c r="AA148" s="4"/>
      <x:c r="AB148" s="4"/>
      <x:c r="AC148" s="4"/>
      <x:c r="AD148" s="4"/>
      <x:c r="AE148" s="4"/>
    </x:row>
    <x:row r="149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  <x:c r="AA149" s="4"/>
      <x:c r="AB149" s="4"/>
      <x:c r="AC149" s="4"/>
      <x:c r="AD149" s="4"/>
      <x:c r="AE149" s="4"/>
    </x:row>
    <x:row r="150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  <x:c r="AA150" s="4"/>
      <x:c r="AB150" s="4"/>
      <x:c r="AC150" s="4"/>
      <x:c r="AD150" s="4"/>
      <x:c r="AE150" s="4"/>
    </x:row>
    <x:row r="15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  <x:c r="AA151" s="4"/>
      <x:c r="AB151" s="4"/>
      <x:c r="AC151" s="4"/>
      <x:c r="AD151" s="4"/>
      <x:c r="AE151" s="4"/>
    </x:row>
    <x:row r="152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  <x:c r="AA152" s="4"/>
      <x:c r="AB152" s="4"/>
      <x:c r="AC152" s="4"/>
      <x:c r="AD152" s="4"/>
      <x:c r="AE152" s="4"/>
    </x:row>
    <x:row r="153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  <x:c r="AA153" s="4"/>
      <x:c r="AB153" s="4"/>
      <x:c r="AC153" s="4"/>
      <x:c r="AD153" s="4"/>
      <x:c r="AE153" s="4"/>
    </x:row>
    <x:row r="154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  <x:c r="AA154" s="4"/>
      <x:c r="AB154" s="4"/>
      <x:c r="AC154" s="4"/>
      <x:c r="AD154" s="4"/>
      <x:c r="AE154" s="4"/>
    </x:row>
    <x:row r="155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  <x:c r="AA155" s="4"/>
      <x:c r="AB155" s="4"/>
      <x:c r="AC155" s="4"/>
      <x:c r="AD155" s="4"/>
      <x:c r="AE155" s="4"/>
    </x:row>
    <x:row r="156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  <x:c r="AA156" s="4"/>
      <x:c r="AB156" s="4"/>
      <x:c r="AC156" s="4"/>
      <x:c r="AD156" s="4"/>
      <x:c r="AE156" s="4"/>
    </x:row>
    <x:row r="157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  <x:c r="AA157" s="4"/>
      <x:c r="AB157" s="4"/>
      <x:c r="AC157" s="4"/>
      <x:c r="AD157" s="4"/>
      <x:c r="AE157" s="4"/>
    </x:row>
    <x:row r="158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  <x:c r="AA158" s="4"/>
      <x:c r="AB158" s="4"/>
      <x:c r="AC158" s="4"/>
      <x:c r="AD158" s="4"/>
      <x:c r="AE158" s="4"/>
    </x:row>
    <x:row r="159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  <x:c r="AA159" s="4"/>
      <x:c r="AB159" s="4"/>
      <x:c r="AC159" s="4"/>
      <x:c r="AD159" s="4"/>
      <x:c r="AE159" s="4"/>
    </x:row>
    <x:row r="160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  <x:c r="AA160" s="4"/>
      <x:c r="AB160" s="4"/>
      <x:c r="AC160" s="4"/>
      <x:c r="AD160" s="4"/>
      <x:c r="AE160" s="4"/>
    </x:row>
    <x:row r="16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  <x:c r="AA161" s="4"/>
      <x:c r="AB161" s="4"/>
      <x:c r="AC161" s="4"/>
      <x:c r="AD161" s="4"/>
      <x:c r="AE161" s="4"/>
    </x:row>
    <x:row r="162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  <x:c r="AA162" s="4"/>
      <x:c r="AB162" s="4"/>
      <x:c r="AC162" s="4"/>
      <x:c r="AD162" s="4"/>
      <x:c r="AE162" s="4"/>
    </x:row>
    <x:row r="163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  <x:c r="AA163" s="4"/>
      <x:c r="AB163" s="4"/>
      <x:c r="AC163" s="4"/>
      <x:c r="AD163" s="4"/>
      <x:c r="AE163" s="4"/>
    </x:row>
    <x:row r="164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  <x:c r="AA164" s="4"/>
      <x:c r="AB164" s="4"/>
      <x:c r="AC164" s="4"/>
      <x:c r="AD164" s="4"/>
      <x:c r="AE164" s="4"/>
    </x:row>
    <x:row r="165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  <x:c r="AA165" s="4"/>
      <x:c r="AB165" s="4"/>
      <x:c r="AC165" s="4"/>
      <x:c r="AD165" s="4"/>
      <x:c r="AE165" s="4"/>
    </x:row>
    <x:row r="166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  <x:c r="AA166" s="4"/>
      <x:c r="AB166" s="4"/>
      <x:c r="AC166" s="4"/>
      <x:c r="AD166" s="4"/>
      <x:c r="AE166" s="4"/>
    </x:row>
    <x:row r="167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  <x:c r="AA167" s="4"/>
      <x:c r="AB167" s="4"/>
      <x:c r="AC167" s="4"/>
      <x:c r="AD167" s="4"/>
      <x:c r="AE167" s="4"/>
    </x:row>
    <x:row r="168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  <x:c r="AA168" s="4"/>
      <x:c r="AB168" s="4"/>
      <x:c r="AC168" s="4"/>
      <x:c r="AD168" s="4"/>
      <x:c r="AE168" s="4"/>
    </x:row>
    <x:row r="169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  <x:c r="AA169" s="4"/>
      <x:c r="AB169" s="4"/>
      <x:c r="AC169" s="4"/>
      <x:c r="AD169" s="4"/>
      <x:c r="AE169" s="4"/>
    </x:row>
    <x:row r="170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  <x:c r="AA170" s="4"/>
      <x:c r="AB170" s="4"/>
      <x:c r="AC170" s="4"/>
      <x:c r="AD170" s="4"/>
      <x:c r="AE170" s="4"/>
    </x:row>
    <x:row r="17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  <x:c r="AA171" s="4"/>
      <x:c r="AB171" s="4"/>
      <x:c r="AC171" s="4"/>
      <x:c r="AD171" s="4"/>
      <x:c r="AE171" s="4"/>
    </x:row>
    <x:row r="172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  <x:c r="AA172" s="4"/>
      <x:c r="AB172" s="4"/>
      <x:c r="AC172" s="4"/>
      <x:c r="AD172" s="4"/>
      <x:c r="AE172" s="4"/>
    </x:row>
    <x:row r="173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  <x:c r="AA173" s="4"/>
      <x:c r="AB173" s="4"/>
      <x:c r="AC173" s="4"/>
      <x:c r="AD173" s="4"/>
      <x:c r="AE173" s="4"/>
    </x:row>
    <x:row r="174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  <x:c r="AA174" s="4"/>
      <x:c r="AB174" s="4"/>
      <x:c r="AC174" s="4"/>
      <x:c r="AD174" s="4"/>
      <x:c r="AE174" s="4"/>
    </x:row>
    <x:row r="175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  <x:c r="AA175" s="4"/>
      <x:c r="AB175" s="4"/>
      <x:c r="AC175" s="4"/>
      <x:c r="AD175" s="4"/>
      <x:c r="AE175" s="4"/>
    </x:row>
    <x:row r="176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  <x:c r="AA176" s="4"/>
      <x:c r="AB176" s="4"/>
      <x:c r="AC176" s="4"/>
      <x:c r="AD176" s="4"/>
      <x:c r="AE176" s="4"/>
    </x:row>
    <x:row r="177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  <x:c r="AA177" s="4"/>
      <x:c r="AB177" s="4"/>
      <x:c r="AC177" s="4"/>
      <x:c r="AD177" s="4"/>
      <x:c r="AE177" s="4"/>
    </x:row>
    <x:row r="178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  <x:c r="AA178" s="4"/>
      <x:c r="AB178" s="4"/>
      <x:c r="AC178" s="4"/>
      <x:c r="AD178" s="4"/>
      <x:c r="AE178" s="4"/>
    </x:row>
    <x:row r="179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  <x:c r="AA179" s="4"/>
      <x:c r="AB179" s="4"/>
      <x:c r="AC179" s="4"/>
      <x:c r="AD179" s="4"/>
      <x:c r="AE179" s="4"/>
    </x:row>
    <x:row r="180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  <x:c r="AA180" s="4"/>
      <x:c r="AB180" s="4"/>
      <x:c r="AC180" s="4"/>
      <x:c r="AD180" s="4"/>
      <x:c r="AE180" s="4"/>
    </x:row>
    <x:row r="18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  <x:c r="AA181" s="4"/>
      <x:c r="AB181" s="4"/>
      <x:c r="AC181" s="4"/>
      <x:c r="AD181" s="4"/>
      <x:c r="AE181" s="4"/>
    </x:row>
    <x:row r="182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  <x:c r="AA182" s="4"/>
      <x:c r="AB182" s="4"/>
      <x:c r="AC182" s="4"/>
      <x:c r="AD182" s="4"/>
      <x:c r="AE182" s="4"/>
    </x:row>
    <x:row r="183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  <x:c r="AA183" s="4"/>
      <x:c r="AB183" s="4"/>
      <x:c r="AC183" s="4"/>
      <x:c r="AD183" s="4"/>
      <x:c r="AE183" s="4"/>
    </x:row>
    <x:row r="184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  <x:c r="AA184" s="4"/>
      <x:c r="AB184" s="4"/>
      <x:c r="AC184" s="4"/>
      <x:c r="AD184" s="4"/>
      <x:c r="AE184" s="4"/>
    </x:row>
    <x:row r="185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  <x:c r="AA185" s="4"/>
      <x:c r="AB185" s="4"/>
      <x:c r="AC185" s="4"/>
      <x:c r="AD185" s="4"/>
      <x:c r="AE185" s="4"/>
    </x:row>
    <x:row r="186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  <x:c r="AA186" s="4"/>
      <x:c r="AB186" s="4"/>
      <x:c r="AC186" s="4"/>
      <x:c r="AD186" s="4"/>
      <x:c r="AE186" s="4"/>
    </x:row>
    <x:row r="187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  <x:c r="AA187" s="4"/>
      <x:c r="AB187" s="4"/>
      <x:c r="AC187" s="4"/>
      <x:c r="AD187" s="4"/>
      <x:c r="AE187" s="4"/>
    </x:row>
    <x:row r="188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  <x:c r="AA188" s="4"/>
      <x:c r="AB188" s="4"/>
      <x:c r="AC188" s="4"/>
      <x:c r="AD188" s="4"/>
      <x:c r="AE188" s="4"/>
    </x:row>
    <x:row r="189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  <x:c r="AA189" s="4"/>
      <x:c r="AB189" s="4"/>
      <x:c r="AC189" s="4"/>
      <x:c r="AD189" s="4"/>
      <x:c r="AE189" s="4"/>
    </x:row>
    <x:row r="190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  <x:c r="AA190" s="4"/>
      <x:c r="AB190" s="4"/>
      <x:c r="AC190" s="4"/>
      <x:c r="AD190" s="4"/>
      <x:c r="AE190" s="4"/>
    </x:row>
    <x:row r="19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  <x:c r="AA191" s="4"/>
      <x:c r="AB191" s="4"/>
      <x:c r="AC191" s="4"/>
      <x:c r="AD191" s="4"/>
      <x:c r="AE191" s="4"/>
    </x:row>
    <x:row r="192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  <x:c r="AA192" s="4"/>
      <x:c r="AB192" s="4"/>
      <x:c r="AC192" s="4"/>
      <x:c r="AD192" s="4"/>
      <x:c r="AE192" s="4"/>
    </x:row>
    <x:row r="193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  <x:c r="AA193" s="4"/>
      <x:c r="AB193" s="4"/>
      <x:c r="AC193" s="4"/>
      <x:c r="AD193" s="4"/>
      <x:c r="AE193" s="4"/>
    </x:row>
    <x:row r="194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  <x:c r="AA194" s="4"/>
      <x:c r="AB194" s="4"/>
      <x:c r="AC194" s="4"/>
      <x:c r="AD194" s="4"/>
      <x:c r="AE194" s="4"/>
    </x:row>
    <x:row r="195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  <x:c r="AA195" s="4"/>
      <x:c r="AB195" s="4"/>
      <x:c r="AC195" s="4"/>
      <x:c r="AD195" s="4"/>
      <x:c r="AE195" s="4"/>
    </x:row>
    <x:row r="196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  <x:c r="AA196" s="4"/>
      <x:c r="AB196" s="4"/>
      <x:c r="AC196" s="4"/>
      <x:c r="AD196" s="4"/>
      <x:c r="AE196" s="4"/>
    </x:row>
    <x:row r="197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  <x:c r="AA197" s="4"/>
      <x:c r="AB197" s="4"/>
      <x:c r="AC197" s="4"/>
      <x:c r="AD197" s="4"/>
      <x:c r="AE197" s="4"/>
    </x:row>
    <x:row r="198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  <x:c r="AA198" s="4"/>
      <x:c r="AB198" s="4"/>
      <x:c r="AC198" s="4"/>
      <x:c r="AD198" s="4"/>
      <x:c r="AE198" s="4"/>
    </x:row>
    <x:row r="199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  <x:c r="AA199" s="4"/>
      <x:c r="AB199" s="4"/>
      <x:c r="AC199" s="4"/>
      <x:c r="AD199" s="4"/>
      <x:c r="AE199" s="4"/>
    </x:row>
    <x:row r="200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  <x:c r="AA200" s="4"/>
      <x:c r="AB200" s="4"/>
      <x:c r="AC200" s="4"/>
      <x:c r="AD200" s="4"/>
      <x:c r="AE200" s="4"/>
    </x:row>
  </x:sheetData>
  <x:pageMargins left="0.7" right="0.7" top="0.75" bottom="0.75" header="0.3" footer="0.3"/>
  <x:tableParts count="1">
    <x:tablePart xmlns:r="http://schemas.openxmlformats.org/officeDocument/2006/relationships" r:id="R3b8ea2dc21244687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" hidden="0" customWidth="1"/>
    <x:col min="3" max="3" width="16" hidden="0" customWidth="1"/>
    <x:col min="4" max="4" width="32" hidden="0" customWidth="1"/>
    <x:col min="5" max="5" width="24" hidden="0" customWidth="1"/>
    <x:col min="6" max="6" width="34" hidden="0" customWidth="1"/>
    <x:col min="7" max="7" width="9" hidden="0" customWidth="1"/>
    <x:col min="8" max="8" width="9" hidden="0" customWidth="1"/>
    <x:col min="9" max="9" width="14" hidden="0" customWidth="1"/>
    <x:col min="10" max="10" width="20" hidden="0" customWidth="1"/>
    <x:col min="11" max="11" width="12" hidden="0" customWidth="1"/>
    <x:col min="12" max="12" width="14" hidden="0" customWidth="1"/>
    <x:col min="13" max="13" width="13" hidden="0" customWidth="1"/>
    <x:col min="14" max="14" width="15" hidden="0" customWidth="1"/>
    <x:col min="15" max="15" width="11" hidden="0" customWidth="1"/>
    <x:col min="16" max="16" width="14" hidden="0" customWidth="1"/>
    <x:col min="17" max="17" width="12" hidden="0" customWidth="1"/>
    <x:col min="18" max="18" width="28" hidden="0" customWidth="1"/>
    <x:col min="19" max="19" width="12" hidden="0" customWidth="1"/>
    <x:col min="20" max="20" width="13" hidden="0" customWidth="1"/>
    <x:col min="21" max="21" width="42" hidden="0" customWidth="1"/>
    <x:col min="22" max="22" width="42" hidden="0" customWidth="1"/>
    <x:col min="23" max="23" width="11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4" hidden="0" customWidth="1"/>
    <x:col min="30" max="30" width="16" hidden="0" customWidth="1"/>
    <x:col min="31" max="31" width="14" hidden="0" customWidth="1"/>
    <x:col min="39" max="39" width="27" hidden="0" customWidth="1"/>
    <x:col min="40" max="40" width="27" hidden="0" customWidth="1"/>
    <x:col min="41" max="41" width="27" hidden="0" customWidth="1"/>
    <x:col min="42" max="42" width="27" hidden="0" customWidth="1"/>
    <x:col min="43" max="43" width="14" hidden="0" customWidth="1"/>
    <x:col min="44" max="44" width="42" hidden="0" customWidth="1"/>
  </x:cols>
  <x:sheetData>
    <x:row r="1" ht="28" customHeight="1">
      <x:c r="A1" s="150" t="str">
        <x:v>Applied</x:v>
      </x:c>
      <x:c r="B1" s="150" t="str">
        <x:v>Priority</x:v>
      </x:c>
      <x:c r="C1" s="150" t="str">
        <x:v>Species Group</x:v>
      </x:c>
      <x:c r="D1" s="150" t="str">
        <x:v>Hunt Area</x:v>
      </x:c>
      <x:c r="E1" s="150" t="str">
        <x:v>Region</x:v>
      </x:c>
      <x:c r="F1" s="150" t="str">
        <x:v>Hunt Category</x:v>
      </x:c>
      <x:c r="G1" s="150" t="str">
        <x:v>Adult</x:v>
      </x:c>
      <x:c r="H1" s="150" t="str">
        <x:v>Youth</x:v>
      </x:c>
      <x:c r="I1" s="150" t="str">
        <x:v>Application Deadline</x:v>
      </x:c>
      <x:c r="J1" s="150" t="str">
        <x:v>Hunt Window</x:v>
      </x:c>
      <x:c r="K1" s="150" t="str">
        <x:v>Application Fee</x:v>
      </x:c>
      <x:c r="L1" s="150" t="str">
        <x:v>Estimated Permit Fee</x:v>
      </x:c>
      <x:c r="M1" s="150" t="str">
        <x:v>Permits/Groups</x:v>
      </x:c>
      <x:c r="N1" s="150" t="str">
        <x:v>Applicants Last Year</x:v>
      </x:c>
      <x:c r="O1" s="150" t="str">
        <x:v>Draw Odds</x:v>
      </x:c>
      <x:c r="P1" s="150" t="str">
        <x:v>Approx Miles from Amarillo</x:v>
      </x:c>
      <x:c r="Q1" s="150" t="str">
        <x:v>Drive Zone</x:v>
      </x:c>
      <x:c r="R1" s="150" t="str">
        <x:v>Camping Notes</x:v>
      </x:c>
      <x:c r="S1" s="150" t="str">
        <x:v>Backpack Rating</x:v>
      </x:c>
      <x:c r="T1" s="150" t="str">
        <x:v>Past Drawn by Hastings</x:v>
      </x:c>
      <x:c r="U1" s="150" t="str">
        <x:v>Notes</x:v>
      </x:c>
      <x:c r="V1" s="150" t="str">
        <x:v>Source URL</x:v>
      </x:c>
      <x:c r="W1" s="150" t="str">
        <x:v>Odds Score</x:v>
      </x:c>
      <x:c r="X1" s="150" t="str">
        <x:v>Distance Score</x:v>
      </x:c>
      <x:c r="Y1" s="150" t="str">
        <x:v>Youth Fit Score</x:v>
      </x:c>
      <x:c r="Z1" s="150" t="str">
        <x:v>Camping Score</x:v>
      </x:c>
      <x:c r="AA1" s="150" t="str">
        <x:v>Backpack Score</x:v>
      </x:c>
      <x:c r="AB1" s="150" t="str">
        <x:v>Past Draw Bonus</x:v>
      </x:c>
      <x:c r="AC1" s="150" t="str">
        <x:v>Hastings Score</x:v>
      </x:c>
      <x:c r="AD1" s="150" t="str">
        <x:v>Estimated Total If Drawn</x:v>
      </x:c>
      <x:c r="AE1" s="150" t="str">
        <x:v>Deadline Month</x:v>
      </x:c>
      <x:c r="AF1" s="150" t="str">
        <x:v>Applicant(s)</x:v>
      </x:c>
      <x:c r="AG1" s="150" t="str">
        <x:v>Date Applied</x:v>
      </x:c>
      <x:c r="AH1" s="150" t="str">
        <x:v>TPWD Confirmation #</x:v>
      </x:c>
      <x:c r="AI1" s="150" t="str">
        <x:v>Draw Status</x:v>
      </x:c>
      <x:c r="AJ1" s="150" t="str">
        <x:v>Draw Result Date</x:v>
      </x:c>
      <x:c r="AK1" s="150" t="str">
        <x:v>Harvest/Outcome</x:v>
      </x:c>
      <x:c r="AL1" s="150" t="str">
        <x:v>Post-Hunt Notes</x:v>
      </x:c>
      <x:c r="AM1" s="150" t="str">
        <x:v>Official Category Link</x:v>
      </x:c>
      <x:c r="AN1" s="150" t="str">
        <x:v>TPWD Area / Brochure Search</x:v>
      </x:c>
      <x:c r="AO1" s="150" t="str">
        <x:v>TPWD Apply Portal</x:v>
      </x:c>
      <x:c r="AP1" s="150" t="str">
        <x:v>Google Maps</x:v>
      </x:c>
      <x:c r="AQ1" s="150" t="str">
        <x:v>Preference Adjustment</x:v>
      </x:c>
      <x:c r="AR1" s="150" t="str">
        <x:v>Priority Reason</x:v>
      </x:c>
    </x:row>
    <x:row r="2">
      <x:c r="A2" s="4" t="str">
        <x:v>No</x:v>
      </x:c>
      <x:c r="B2" s="4" t="str">
        <x:v>B</x:v>
      </x:c>
      <x:c r="C2" s="4" t="str">
        <x:v>Whitetail Deer</x:v>
      </x:c>
      <x:c r="D2" s="4" t="str">
        <x:v>Abilene SP</x:v>
      </x:c>
      <x:c r="E2" s="4" t="str">
        <x:v>West-Central Texas</x:v>
      </x:c>
      <x:c r="F2" s="4" t="str">
        <x:v>Archery Deer</x:v>
      </x:c>
      <x:c r="G2" s="4" t="str">
        <x:v>Yes</x:v>
      </x:c>
      <x:c r="H2" s="4" t="str">
        <x:v>Yes</x:v>
      </x:c>
      <x:c r="I2" s="24" t="str">
        <x:v>2026-08-15</x:v>
      </x:c>
      <x:c r="J2" s="4" t="str">
        <x:v>See TPWD category page</x:v>
      </x:c>
      <x:c r="K2" s="4" t="n">
        <x:v>3</x:v>
      </x:c>
      <x:c r="L2" s="4"/>
      <x:c r="M2" s="4"/>
      <x:c r="N2" s="4"/>
      <x:c r="O2" s="4"/>
      <x:c r="P2" s="4" t="n">
        <x:v>300</x:v>
      </x:c>
      <x:c r="Q2" s="4" t="str">
        <x:v>Extended</x:v>
      </x:c>
      <x:c r="R2" s="4" t="str">
        <x:v>Research before draw; property brochure linked from TPWD</x:v>
      </x:c>
      <x:c r="S2" s="4" t="str">
        <x:v>Low</x:v>
      </x:c>
      <x:c r="T2" s="4" t="str">
        <x:v>No</x:v>
      </x:c>
      <x:c r="U2" s="4" t="str">
        <x:v>Verified in TPWD 2026-2027 statewide deer category catalog. V5 preference rule: Lower priority: archery whitetail is more than 200 miles from Amarillo.</x:v>
      </x:c>
      <x:c r="V2" s="4" t="str">
        <x:v>https://tpwd.texas.gov/huntwild/hunt/public/public_hunt_drawing/hunt-category-details.phtml?OCat=ADE</x:v>
      </x:c>
      <x:c r="W2" s="4" t="n">
        <x:v>2</x:v>
      </x:c>
      <x:c r="X2" s="4" t="n">
        <x:v>4</x:v>
      </x:c>
      <x:c r="Y2" s="4" t="n">
        <x:v>4</x:v>
      </x:c>
      <x:c r="Z2" s="4" t="n">
        <x:v>3</x:v>
      </x:c>
      <x:c r="AA2" s="4" t="n">
        <x:v>2</x:v>
      </x:c>
      <x:c r="AB2" s="4" t="n">
        <x:v>0</x:v>
      </x:c>
      <x:c r="AC2" s="4" t="n">
        <x:v>1.6</x:v>
      </x:c>
      <x:c r="AD2" s="4"/>
      <x:c r="AE2" s="4" t="str">
        <x:v>2026-08-15</x:v>
      </x:c>
      <x:c r="AF2" s="2"/>
      <x:c r="AG2" s="2"/>
      <x:c r="AH2" s="2"/>
      <x:c r="AI2" s="2"/>
      <x:c r="AJ2" s="2"/>
      <x:c r="AK2" s="2"/>
      <x:c r="AL2" s="2"/>
      <x:c r="AM2" s="2" t="str">
        <x:v>https://tpwd.texas.gov/huntwild/hunt/public/public_hunt_drawing/hunt-category-details.phtml?OCat=ADE</x:v>
      </x:c>
      <x:c r="AN2" s="2" t="str">
        <x:v>https://tpwd.texas.gov/search/?q=Abilene+SP+public+hunting+brochure</x:v>
      </x:c>
      <x:c r="AO2" s="2" t="str">
        <x:v>https://apps.tpwd.state.tx.us/huntwild/hunt/public/public_hunt_drawing/</x:v>
      </x:c>
      <x:c r="AP2" s="2" t="str">
        <x:v>https://www.google.com/maps/search/?api=1&amp;query=Abilene+SP%2C+Texas</x:v>
      </x:c>
      <x:c r="AQ2" s="2" t="n">
        <x:v>-1</x:v>
      </x:c>
      <x:c r="AR2" s="2" t="str">
        <x:v>Lower priority: archery whitetail is more than 200 miles from Amarillo</x:v>
      </x:c>
    </x:row>
    <x:row r="3">
      <x:c r="A3" s="4" t="str">
        <x:v>No</x:v>
      </x:c>
      <x:c r="B3" s="4" t="str">
        <x:v>B</x:v>
      </x:c>
      <x:c r="C3" s="4" t="str">
        <x:v>Whitetail Deer</x:v>
      </x:c>
      <x:c r="D3" s="4" t="str">
        <x:v>Chaparral WMA</x:v>
      </x:c>
      <x:c r="E3" s="4" t="str">
        <x:v>South Texas / Rio Grande Valley</x:v>
      </x:c>
      <x:c r="F3" s="4" t="str">
        <x:v>Archery Deer</x:v>
      </x:c>
      <x:c r="G3" s="4" t="str">
        <x:v>Yes</x:v>
      </x:c>
      <x:c r="H3" s="4" t="str">
        <x:v>Yes</x:v>
      </x:c>
      <x:c r="I3" s="24" t="str">
        <x:v>2026-08-15</x:v>
      </x:c>
      <x:c r="J3" s="4" t="str">
        <x:v>See TPWD category page</x:v>
      </x:c>
      <x:c r="K3" s="4" t="n">
        <x:v>3</x:v>
      </x:c>
      <x:c r="L3" s="4"/>
      <x:c r="M3" s="4"/>
      <x:c r="N3" s="4"/>
      <x:c r="O3" s="4"/>
      <x:c r="P3" s="4" t="n">
        <x:v>700</x:v>
      </x:c>
      <x:c r="Q3" s="4" t="str">
        <x:v>Long Haul</x:v>
      </x:c>
      <x:c r="R3" s="4" t="str">
        <x:v>Research before draw; property brochure linked from TPWD</x:v>
      </x:c>
      <x:c r="S3" s="4" t="str">
        <x:v>Low</x:v>
      </x:c>
      <x:c r="T3" s="4" t="str">
        <x:v>No</x:v>
      </x:c>
      <x:c r="U3" s="4" t="str">
        <x:v>Verified in TPWD 2026-2027 statewide deer category catalog. V5 preference rule: Lower priority: archery whitetail is more than 200 miles from Amarillo.</x:v>
      </x:c>
      <x:c r="V3" s="4" t="str">
        <x:v>https://tpwd.texas.gov/huntwild/hunt/public/public_hunt_drawing/hunt-category-details.phtml?OCat=ADE</x:v>
      </x:c>
      <x:c r="W3" s="4" t="n">
        <x:v>2</x:v>
      </x:c>
      <x:c r="X3" s="4" t="n">
        <x:v>1</x:v>
      </x:c>
      <x:c r="Y3" s="4" t="n">
        <x:v>4</x:v>
      </x:c>
      <x:c r="Z3" s="4" t="n">
        <x:v>3</x:v>
      </x:c>
      <x:c r="AA3" s="4" t="n">
        <x:v>2</x:v>
      </x:c>
      <x:c r="AB3" s="4" t="n">
        <x:v>0</x:v>
      </x:c>
      <x:c r="AC3" s="4" t="n">
        <x:v>1.1</x:v>
      </x:c>
      <x:c r="AD3" s="4"/>
      <x:c r="AE3" s="4" t="str">
        <x:v>2026-08-15</x:v>
      </x:c>
      <x:c r="AF3" s="2"/>
      <x:c r="AG3" s="2"/>
      <x:c r="AH3" s="2"/>
      <x:c r="AI3" s="2"/>
      <x:c r="AJ3" s="2"/>
      <x:c r="AK3" s="2"/>
      <x:c r="AL3" s="2"/>
      <x:c r="AM3" s="2" t="str">
        <x:v>https://tpwd.texas.gov/huntwild/hunt/public/public_hunt_drawing/hunt-category-details.phtml?OCat=ADE</x:v>
      </x:c>
      <x:c r="AN3" s="2" t="str">
        <x:v>https://tpwd.texas.gov/search/?q=Chaparral+WMA+public+hunting+brochure</x:v>
      </x:c>
      <x:c r="AO3" s="2" t="str">
        <x:v>https://apps.tpwd.state.tx.us/huntwild/hunt/public/public_hunt_drawing/</x:v>
      </x:c>
      <x:c r="AP3" s="2" t="str">
        <x:v>https://www.google.com/maps/search/?api=1&amp;query=Chaparral+WMA%2C+Texas</x:v>
      </x:c>
      <x:c r="AQ3" s="2" t="n">
        <x:v>-1</x:v>
      </x:c>
      <x:c r="AR3" s="2" t="str">
        <x:v>Lower priority: archery whitetail is more than 200 miles from Amarillo</x:v>
      </x:c>
    </x:row>
    <x:row r="4">
      <x:c r="A4" s="4" t="str">
        <x:v>No</x:v>
      </x:c>
      <x:c r="B4" s="4" t="str">
        <x:v>B</x:v>
      </x:c>
      <x:c r="C4" s="4" t="str">
        <x:v>Whitetail Deer</x:v>
      </x:c>
      <x:c r="D4" s="4" t="str">
        <x:v>Choke Canyon SP - North Shore Unit</x:v>
      </x:c>
      <x:c r="E4" s="4" t="str">
        <x:v>South Texas / Rio Grande Valley</x:v>
      </x:c>
      <x:c r="F4" s="4" t="str">
        <x:v>Archery Deer</x:v>
      </x:c>
      <x:c r="G4" s="4" t="str">
        <x:v>Yes</x:v>
      </x:c>
      <x:c r="H4" s="4" t="str">
        <x:v>Yes</x:v>
      </x:c>
      <x:c r="I4" s="24" t="str">
        <x:v>2026-08-15</x:v>
      </x:c>
      <x:c r="J4" s="4" t="str">
        <x:v>See TPWD category page</x:v>
      </x:c>
      <x:c r="K4" s="4" t="n">
        <x:v>3</x:v>
      </x:c>
      <x:c r="L4" s="4"/>
      <x:c r="M4" s="4"/>
      <x:c r="N4" s="4"/>
      <x:c r="O4" s="4"/>
      <x:c r="P4" s="4" t="n">
        <x:v>700</x:v>
      </x:c>
      <x:c r="Q4" s="4" t="str">
        <x:v>Long Haul</x:v>
      </x:c>
      <x:c r="R4" s="4" t="str">
        <x:v>Research before draw; property brochure linked from TPWD</x:v>
      </x:c>
      <x:c r="S4" s="4" t="str">
        <x:v>Low</x:v>
      </x:c>
      <x:c r="T4" s="4" t="str">
        <x:v>No</x:v>
      </x:c>
      <x:c r="U4" s="4" t="str">
        <x:v>Verified in TPWD 2026-2027 statewide deer category catalog. V5 preference rule: Lower priority: archery whitetail is more than 200 miles from Amarillo.</x:v>
      </x:c>
      <x:c r="V4" s="4" t="str">
        <x:v>https://tpwd.texas.gov/huntwild/hunt/public/public_hunt_drawing/hunt-category-details.phtml?OCat=ADE</x:v>
      </x:c>
      <x:c r="W4" s="4" t="n">
        <x:v>2</x:v>
      </x:c>
      <x:c r="X4" s="4" t="n">
        <x:v>1</x:v>
      </x:c>
      <x:c r="Y4" s="4" t="n">
        <x:v>4</x:v>
      </x:c>
      <x:c r="Z4" s="4" t="n">
        <x:v>3</x:v>
      </x:c>
      <x:c r="AA4" s="4" t="n">
        <x:v>2</x:v>
      </x:c>
      <x:c r="AB4" s="4" t="n">
        <x:v>0</x:v>
      </x:c>
      <x:c r="AC4" s="4" t="n">
        <x:v>1.1</x:v>
      </x:c>
      <x:c r="AD4" s="4"/>
      <x:c r="AE4" s="4" t="str">
        <x:v>2026-08-15</x:v>
      </x:c>
      <x:c r="AF4" s="2"/>
      <x:c r="AG4" s="2"/>
      <x:c r="AH4" s="2"/>
      <x:c r="AI4" s="2"/>
      <x:c r="AJ4" s="2"/>
      <x:c r="AK4" s="2"/>
      <x:c r="AL4" s="2"/>
      <x:c r="AM4" s="2" t="str">
        <x:v>https://tpwd.texas.gov/huntwild/hunt/public/public_hunt_drawing/hunt-category-details.phtml?OCat=ADE</x:v>
      </x:c>
      <x:c r="AN4" s="2" t="str">
        <x:v>https://tpwd.texas.gov/search/?q=Choke+Canyon+SP+-+North+Shore+Unit+public+hunting+brochure</x:v>
      </x:c>
      <x:c r="AO4" s="2" t="str">
        <x:v>https://apps.tpwd.state.tx.us/huntwild/hunt/public/public_hunt_drawing/</x:v>
      </x:c>
      <x:c r="AP4" s="2" t="str">
        <x:v>https://www.google.com/maps/search/?api=1&amp;query=Choke+Canyon+SP+-+North+Shore+Unit%2C+Texas</x:v>
      </x:c>
      <x:c r="AQ4" s="2" t="n">
        <x:v>-1</x:v>
      </x:c>
      <x:c r="AR4" s="2" t="str">
        <x:v>Lower priority: archery whitetail is more than 200 miles from Amarillo</x:v>
      </x:c>
    </x:row>
    <x:row r="5">
      <x:c r="A5" s="4" t="str">
        <x:v>No</x:v>
      </x:c>
      <x:c r="B5" s="4" t="str">
        <x:v>B</x:v>
      </x:c>
      <x:c r="C5" s="4" t="str">
        <x:v>Whitetail Deer</x:v>
      </x:c>
      <x:c r="D5" s="4" t="str">
        <x:v>Colorado Bend SP</x:v>
      </x:c>
      <x:c r="E5" s="4" t="str">
        <x:v>Central Texas / Austin</x:v>
      </x:c>
      <x:c r="F5" s="4" t="str">
        <x:v>Archery Deer</x:v>
      </x:c>
      <x:c r="G5" s="4" t="str">
        <x:v>Yes</x:v>
      </x:c>
      <x:c r="H5" s="4" t="str">
        <x:v>Yes</x:v>
      </x:c>
      <x:c r="I5" s="24" t="str">
        <x:v>2026-08-15</x:v>
      </x:c>
      <x:c r="J5" s="4" t="str">
        <x:v>See TPWD category page</x:v>
      </x:c>
      <x:c r="K5" s="4" t="n">
        <x:v>3</x:v>
      </x:c>
      <x:c r="L5" s="4"/>
      <x:c r="M5" s="4"/>
      <x:c r="N5" s="4"/>
      <x:c r="O5" s="4"/>
      <x:c r="P5" s="4" t="n">
        <x:v>490</x:v>
      </x:c>
      <x:c r="Q5" s="4" t="str">
        <x:v>Statewide</x:v>
      </x:c>
      <x:c r="R5" s="4" t="str">
        <x:v>Research before draw; property brochure linked from TPWD</x:v>
      </x:c>
      <x:c r="S5" s="4" t="str">
        <x:v>Low</x:v>
      </x:c>
      <x:c r="T5" s="4" t="str">
        <x:v>No</x:v>
      </x:c>
      <x:c r="U5" s="4" t="str">
        <x:v>Verified in TPWD 2026-2027 statewide deer category catalog. V5 preference rule: Lower priority: archery whitetail is more than 200 miles from Amarillo.</x:v>
      </x:c>
      <x:c r="V5" s="4" t="str">
        <x:v>https://tpwd.texas.gov/huntwild/hunt/public/public_hunt_drawing/hunt-category-details.phtml?OCat=ADE</x:v>
      </x:c>
      <x:c r="W5" s="4" t="n">
        <x:v>2</x:v>
      </x:c>
      <x:c r="X5" s="4" t="n">
        <x:v>2</x:v>
      </x:c>
      <x:c r="Y5" s="4" t="n">
        <x:v>4</x:v>
      </x:c>
      <x:c r="Z5" s="4" t="n">
        <x:v>3</x:v>
      </x:c>
      <x:c r="AA5" s="4" t="n">
        <x:v>2</x:v>
      </x:c>
      <x:c r="AB5" s="4" t="n">
        <x:v>0</x:v>
      </x:c>
      <x:c r="AC5" s="4" t="n">
        <x:v>1.3</x:v>
      </x:c>
      <x:c r="AD5" s="4"/>
      <x:c r="AE5" s="4" t="str">
        <x:v>2026-08-15</x:v>
      </x:c>
      <x:c r="AF5" s="2"/>
      <x:c r="AG5" s="2"/>
      <x:c r="AH5" s="2"/>
      <x:c r="AI5" s="2"/>
      <x:c r="AJ5" s="2"/>
      <x:c r="AK5" s="2"/>
      <x:c r="AL5" s="2"/>
      <x:c r="AM5" s="2" t="str">
        <x:v>https://tpwd.texas.gov/huntwild/hunt/public/public_hunt_drawing/hunt-category-details.phtml?OCat=ADE</x:v>
      </x:c>
      <x:c r="AN5" s="2" t="str">
        <x:v>https://tpwd.texas.gov/search/?q=Colorado+Bend+SP+public+hunting+brochure</x:v>
      </x:c>
      <x:c r="AO5" s="2" t="str">
        <x:v>https://apps.tpwd.state.tx.us/huntwild/hunt/public/public_hunt_drawing/</x:v>
      </x:c>
      <x:c r="AP5" s="2" t="str">
        <x:v>https://www.google.com/maps/search/?api=1&amp;query=Colorado+Bend+SP%2C+Texas</x:v>
      </x:c>
      <x:c r="AQ5" s="2" t="n">
        <x:v>-1</x:v>
      </x:c>
      <x:c r="AR5" s="2" t="str">
        <x:v>Lower priority: archery whitetail is more than 200 miles from Amarillo</x:v>
      </x:c>
    </x:row>
    <x:row r="6">
      <x:c r="A6" s="4" t="str">
        <x:v>No</x:v>
      </x:c>
      <x:c r="B6" s="4" t="str">
        <x:v>B</x:v>
      </x:c>
      <x:c r="C6" s="4" t="str">
        <x:v>Whitetail Deer</x:v>
      </x:c>
      <x:c r="D6" s="4" t="str">
        <x:v>Copper Breaks SP</x:v>
      </x:c>
      <x:c r="E6" s="4" t="str">
        <x:v>West-Central Texas</x:v>
      </x:c>
      <x:c r="F6" s="4" t="str">
        <x:v>Archery Deer</x:v>
      </x:c>
      <x:c r="G6" s="4" t="str">
        <x:v>Yes</x:v>
      </x:c>
      <x:c r="H6" s="4" t="str">
        <x:v>Yes</x:v>
      </x:c>
      <x:c r="I6" s="24" t="str">
        <x:v>2026-08-15</x:v>
      </x:c>
      <x:c r="J6" s="4" t="str">
        <x:v>See TPWD category page</x:v>
      </x:c>
      <x:c r="K6" s="4" t="n">
        <x:v>3</x:v>
      </x:c>
      <x:c r="L6" s="4"/>
      <x:c r="M6" s="4"/>
      <x:c r="N6" s="4"/>
      <x:c r="O6" s="4"/>
      <x:c r="P6" s="4" t="n">
        <x:v>300</x:v>
      </x:c>
      <x:c r="Q6" s="4" t="str">
        <x:v>Extended</x:v>
      </x:c>
      <x:c r="R6" s="4" t="str">
        <x:v>Research before draw; property brochure linked from TPWD</x:v>
      </x:c>
      <x:c r="S6" s="4" t="str">
        <x:v>Low</x:v>
      </x:c>
      <x:c r="T6" s="4" t="str">
        <x:v>No</x:v>
      </x:c>
      <x:c r="U6" s="4" t="str">
        <x:v>Verified in TPWD 2026-2027 statewide deer category catalog. V5 preference rule: Lower priority: archery whitetail is more than 200 miles from Amarillo.</x:v>
      </x:c>
      <x:c r="V6" s="4" t="str">
        <x:v>https://tpwd.texas.gov/huntwild/hunt/public/public_hunt_drawing/hunt-category-details.phtml?OCat=ADE</x:v>
      </x:c>
      <x:c r="W6" s="4" t="n">
        <x:v>2</x:v>
      </x:c>
      <x:c r="X6" s="4" t="n">
        <x:v>4</x:v>
      </x:c>
      <x:c r="Y6" s="4" t="n">
        <x:v>4</x:v>
      </x:c>
      <x:c r="Z6" s="4" t="n">
        <x:v>3</x:v>
      </x:c>
      <x:c r="AA6" s="4" t="n">
        <x:v>2</x:v>
      </x:c>
      <x:c r="AB6" s="4" t="n">
        <x:v>0</x:v>
      </x:c>
      <x:c r="AC6" s="4" t="n">
        <x:v>1.6</x:v>
      </x:c>
      <x:c r="AD6" s="4"/>
      <x:c r="AE6" s="4" t="str">
        <x:v>2026-08-15</x:v>
      </x:c>
      <x:c r="AF6" s="2"/>
      <x:c r="AG6" s="2"/>
      <x:c r="AH6" s="2"/>
      <x:c r="AI6" s="2"/>
      <x:c r="AJ6" s="2"/>
      <x:c r="AK6" s="2"/>
      <x:c r="AL6" s="2"/>
      <x:c r="AM6" s="2" t="str">
        <x:v>https://tpwd.texas.gov/huntwild/hunt/public/public_hunt_drawing/hunt-category-details.phtml?OCat=ADE</x:v>
      </x:c>
      <x:c r="AN6" s="2" t="str">
        <x:v>https://tpwd.texas.gov/search/?q=Copper+Breaks+SP+public+hunting+brochure</x:v>
      </x:c>
      <x:c r="AO6" s="2" t="str">
        <x:v>https://apps.tpwd.state.tx.us/huntwild/hunt/public/public_hunt_drawing/</x:v>
      </x:c>
      <x:c r="AP6" s="2" t="str">
        <x:v>https://www.google.com/maps/search/?api=1&amp;query=Copper+Breaks+SP%2C+Texas</x:v>
      </x:c>
      <x:c r="AQ6" s="2" t="n">
        <x:v>-1</x:v>
      </x:c>
      <x:c r="AR6" s="2" t="str">
        <x:v>Lower priority: archery whitetail is more than 200 miles from Amarillo</x:v>
      </x:c>
    </x:row>
    <x:row r="7">
      <x:c r="A7" s="4" t="str">
        <x:v>No</x:v>
      </x:c>
      <x:c r="B7" s="4" t="str">
        <x:v>B</x:v>
      </x:c>
      <x:c r="C7" s="4" t="str">
        <x:v>Whitetail Deer</x:v>
      </x:c>
      <x:c r="D7" s="4" t="str">
        <x:v>Enchanted Rock SNA</x:v>
      </x:c>
      <x:c r="E7" s="4" t="str">
        <x:v>Hill Country / San Antonio</x:v>
      </x:c>
      <x:c r="F7" s="4" t="str">
        <x:v>Archery Deer</x:v>
      </x:c>
      <x:c r="G7" s="4" t="str">
        <x:v>Yes</x:v>
      </x:c>
      <x:c r="H7" s="4" t="str">
        <x:v>Yes</x:v>
      </x:c>
      <x:c r="I7" s="24" t="str">
        <x:v>2026-08-15</x:v>
      </x:c>
      <x:c r="J7" s="4" t="str">
        <x:v>See TPWD category page</x:v>
      </x:c>
      <x:c r="K7" s="4" t="n">
        <x:v>3</x:v>
      </x:c>
      <x:c r="L7" s="4"/>
      <x:c r="M7" s="4"/>
      <x:c r="N7" s="4"/>
      <x:c r="O7" s="4"/>
      <x:c r="P7" s="4" t="n">
        <x:v>520</x:v>
      </x:c>
      <x:c r="Q7" s="4" t="str">
        <x:v>Statewide</x:v>
      </x:c>
      <x:c r="R7" s="4" t="str">
        <x:v>Research before draw; property brochure linked from TPWD</x:v>
      </x:c>
      <x:c r="S7" s="4" t="str">
        <x:v>Low</x:v>
      </x:c>
      <x:c r="T7" s="4" t="str">
        <x:v>No</x:v>
      </x:c>
      <x:c r="U7" s="4" t="str">
        <x:v>Verified in TPWD 2026-2027 statewide deer category catalog. V5 preference rule: Lower priority: archery whitetail is more than 200 miles from Amarillo.</x:v>
      </x:c>
      <x:c r="V7" s="4" t="str">
        <x:v>https://tpwd.texas.gov/huntwild/hunt/public/public_hunt_drawing/hunt-category-details.phtml?OCat=ADE</x:v>
      </x:c>
      <x:c r="W7" s="4" t="n">
        <x:v>2</x:v>
      </x:c>
      <x:c r="X7" s="4" t="n">
        <x:v>2</x:v>
      </x:c>
      <x:c r="Y7" s="4" t="n">
        <x:v>4</x:v>
      </x:c>
      <x:c r="Z7" s="4" t="n">
        <x:v>3</x:v>
      </x:c>
      <x:c r="AA7" s="4" t="n">
        <x:v>2</x:v>
      </x:c>
      <x:c r="AB7" s="4" t="n">
        <x:v>0</x:v>
      </x:c>
      <x:c r="AC7" s="4" t="n">
        <x:v>1.3</x:v>
      </x:c>
      <x:c r="AD7" s="4"/>
      <x:c r="AE7" s="4" t="str">
        <x:v>2026-08-15</x:v>
      </x:c>
      <x:c r="AF7" s="2"/>
      <x:c r="AG7" s="2"/>
      <x:c r="AH7" s="2"/>
      <x:c r="AI7" s="2"/>
      <x:c r="AJ7" s="2"/>
      <x:c r="AK7" s="2"/>
      <x:c r="AL7" s="2"/>
      <x:c r="AM7" s="2" t="str">
        <x:v>https://tpwd.texas.gov/huntwild/hunt/public/public_hunt_drawing/hunt-category-details.phtml?OCat=ADE</x:v>
      </x:c>
      <x:c r="AN7" s="2" t="str">
        <x:v>https://tpwd.texas.gov/search/?q=Enchanted+Rock+SNA+public+hunting+brochure</x:v>
      </x:c>
      <x:c r="AO7" s="2" t="str">
        <x:v>https://apps.tpwd.state.tx.us/huntwild/hunt/public/public_hunt_drawing/</x:v>
      </x:c>
      <x:c r="AP7" s="2" t="str">
        <x:v>https://www.google.com/maps/search/?api=1&amp;query=Enchanted+Rock+SNA%2C+Texas</x:v>
      </x:c>
      <x:c r="AQ7" s="2" t="n">
        <x:v>-1</x:v>
      </x:c>
      <x:c r="AR7" s="2" t="str">
        <x:v>Lower priority: archery whitetail is more than 200 miles from Amarillo</x:v>
      </x:c>
    </x:row>
    <x:row r="8">
      <x:c r="A8" s="4" t="str">
        <x:v>No</x:v>
      </x:c>
      <x:c r="B8" s="4" t="str">
        <x:v>B</x:v>
      </x:c>
      <x:c r="C8" s="4" t="str">
        <x:v>Whitetail Deer</x:v>
      </x:c>
      <x:c r="D8" s="4" t="str">
        <x:v>Fort Boggy SP</x:v>
      </x:c>
      <x:c r="E8" s="4" t="str">
        <x:v>North Texas / DFW</x:v>
      </x:c>
      <x:c r="F8" s="4" t="str">
        <x:v>Archery Deer</x:v>
      </x:c>
      <x:c r="G8" s="4" t="str">
        <x:v>Yes</x:v>
      </x:c>
      <x:c r="H8" s="4" t="str">
        <x:v>Yes</x:v>
      </x:c>
      <x:c r="I8" s="24" t="str">
        <x:v>2026-08-15</x:v>
      </x:c>
      <x:c r="J8" s="4" t="str">
        <x:v>See TPWD category page</x:v>
      </x:c>
      <x:c r="K8" s="4" t="n">
        <x:v>3</x:v>
      </x:c>
      <x:c r="L8" s="4"/>
      <x:c r="M8" s="4"/>
      <x:c r="N8" s="4"/>
      <x:c r="O8" s="4"/>
      <x:c r="P8" s="4" t="n">
        <x:v>360</x:v>
      </x:c>
      <x:c r="Q8" s="4" t="str">
        <x:v>Extended</x:v>
      </x:c>
      <x:c r="R8" s="4" t="str">
        <x:v>Research before draw; property brochure linked from TPWD</x:v>
      </x:c>
      <x:c r="S8" s="4" t="str">
        <x:v>Low</x:v>
      </x:c>
      <x:c r="T8" s="4" t="str">
        <x:v>No</x:v>
      </x:c>
      <x:c r="U8" s="4" t="str">
        <x:v>Verified in TPWD 2026-2027 statewide deer category catalog. V5 preference rule: Lower priority: archery whitetail is more than 200 miles from Amarillo.</x:v>
      </x:c>
      <x:c r="V8" s="4" t="str">
        <x:v>https://tpwd.texas.gov/huntwild/hunt/public/public_hunt_drawing/hunt-category-details.phtml?OCat=ADE</x:v>
      </x:c>
      <x:c r="W8" s="4" t="n">
        <x:v>2</x:v>
      </x:c>
      <x:c r="X8" s="4" t="n">
        <x:v>3</x:v>
      </x:c>
      <x:c r="Y8" s="4" t="n">
        <x:v>4</x:v>
      </x:c>
      <x:c r="Z8" s="4" t="n">
        <x:v>3</x:v>
      </x:c>
      <x:c r="AA8" s="4" t="n">
        <x:v>2</x:v>
      </x:c>
      <x:c r="AB8" s="4" t="n">
        <x:v>0</x:v>
      </x:c>
      <x:c r="AC8" s="4" t="n">
        <x:v>1.5</x:v>
      </x:c>
      <x:c r="AD8" s="4"/>
      <x:c r="AE8" s="4" t="str">
        <x:v>2026-08-15</x:v>
      </x:c>
      <x:c r="AF8" s="2"/>
      <x:c r="AG8" s="2"/>
      <x:c r="AH8" s="2"/>
      <x:c r="AI8" s="2"/>
      <x:c r="AJ8" s="2"/>
      <x:c r="AK8" s="2"/>
      <x:c r="AL8" s="2"/>
      <x:c r="AM8" s="2" t="str">
        <x:v>https://tpwd.texas.gov/huntwild/hunt/public/public_hunt_drawing/hunt-category-details.phtml?OCat=ADE</x:v>
      </x:c>
      <x:c r="AN8" s="2" t="str">
        <x:v>https://tpwd.texas.gov/search/?q=Fort+Boggy+SP+public+hunting+brochure</x:v>
      </x:c>
      <x:c r="AO8" s="2" t="str">
        <x:v>https://apps.tpwd.state.tx.us/huntwild/hunt/public/public_hunt_drawing/</x:v>
      </x:c>
      <x:c r="AP8" s="2" t="str">
        <x:v>https://www.google.com/maps/search/?api=1&amp;query=Fort+Boggy+SP%2C+Texas</x:v>
      </x:c>
      <x:c r="AQ8" s="2" t="n">
        <x:v>-1</x:v>
      </x:c>
      <x:c r="AR8" s="2" t="str">
        <x:v>Lower priority: archery whitetail is more than 200 miles from Amarillo</x:v>
      </x:c>
    </x:row>
    <x:row r="9">
      <x:c r="A9" s="4" t="str">
        <x:v>No</x:v>
      </x:c>
      <x:c r="B9" s="4" t="str">
        <x:v>B</x:v>
      </x:c>
      <x:c r="C9" s="4" t="str">
        <x:v>Whitetail Deer</x:v>
      </x:c>
      <x:c r="D9" s="4" t="str">
        <x:v>Garner SP</x:v>
      </x:c>
      <x:c r="E9" s="4" t="str">
        <x:v>Hill Country / San Antonio</x:v>
      </x:c>
      <x:c r="F9" s="4" t="str">
        <x:v>Archery Deer</x:v>
      </x:c>
      <x:c r="G9" s="4" t="str">
        <x:v>Yes</x:v>
      </x:c>
      <x:c r="H9" s="4" t="str">
        <x:v>Yes</x:v>
      </x:c>
      <x:c r="I9" s="24" t="str">
        <x:v>2026-08-15</x:v>
      </x:c>
      <x:c r="J9" s="4" t="str">
        <x:v>See TPWD category page</x:v>
      </x:c>
      <x:c r="K9" s="4" t="n">
        <x:v>3</x:v>
      </x:c>
      <x:c r="L9" s="4"/>
      <x:c r="M9" s="4"/>
      <x:c r="N9" s="4"/>
      <x:c r="O9" s="4"/>
      <x:c r="P9" s="4" t="n">
        <x:v>520</x:v>
      </x:c>
      <x:c r="Q9" s="4" t="str">
        <x:v>Statewide</x:v>
      </x:c>
      <x:c r="R9" s="4" t="str">
        <x:v>Research before draw; property brochure linked from TPWD</x:v>
      </x:c>
      <x:c r="S9" s="4" t="str">
        <x:v>Low</x:v>
      </x:c>
      <x:c r="T9" s="4" t="str">
        <x:v>No</x:v>
      </x:c>
      <x:c r="U9" s="4" t="str">
        <x:v>Verified in TPWD 2026-2027 statewide deer category catalog. V5 preference rule: Lower priority: archery whitetail is more than 200 miles from Amarillo.</x:v>
      </x:c>
      <x:c r="V9" s="4" t="str">
        <x:v>https://tpwd.texas.gov/huntwild/hunt/public/public_hunt_drawing/hunt-category-details.phtml?OCat=ADE</x:v>
      </x:c>
      <x:c r="W9" s="4" t="n">
        <x:v>2</x:v>
      </x:c>
      <x:c r="X9" s="4" t="n">
        <x:v>2</x:v>
      </x:c>
      <x:c r="Y9" s="4" t="n">
        <x:v>4</x:v>
      </x:c>
      <x:c r="Z9" s="4" t="n">
        <x:v>3</x:v>
      </x:c>
      <x:c r="AA9" s="4" t="n">
        <x:v>2</x:v>
      </x:c>
      <x:c r="AB9" s="4" t="n">
        <x:v>0</x:v>
      </x:c>
      <x:c r="AC9" s="4" t="n">
        <x:v>1.3</x:v>
      </x:c>
      <x:c r="AD9" s="4"/>
      <x:c r="AE9" s="4" t="str">
        <x:v>2026-08-15</x:v>
      </x:c>
      <x:c r="AF9" s="2"/>
      <x:c r="AG9" s="2"/>
      <x:c r="AH9" s="2"/>
      <x:c r="AI9" s="2"/>
      <x:c r="AJ9" s="2"/>
      <x:c r="AK9" s="2"/>
      <x:c r="AL9" s="2"/>
      <x:c r="AM9" s="2" t="str">
        <x:v>https://tpwd.texas.gov/huntwild/hunt/public/public_hunt_drawing/hunt-category-details.phtml?OCat=ADE</x:v>
      </x:c>
      <x:c r="AN9" s="2" t="str">
        <x:v>https://tpwd.texas.gov/search/?q=Garner+SP+public+hunting+brochure</x:v>
      </x:c>
      <x:c r="AO9" s="2" t="str">
        <x:v>https://apps.tpwd.state.tx.us/huntwild/hunt/public/public_hunt_drawing/</x:v>
      </x:c>
      <x:c r="AP9" s="2" t="str">
        <x:v>https://www.google.com/maps/search/?api=1&amp;query=Garner+SP%2C+Texas</x:v>
      </x:c>
      <x:c r="AQ9" s="2" t="n">
        <x:v>-1</x:v>
      </x:c>
      <x:c r="AR9" s="2" t="str">
        <x:v>Lower priority: archery whitetail is more than 200 miles from Amarillo</x:v>
      </x:c>
    </x:row>
    <x:row r="10">
      <x:c r="A10" s="4" t="str">
        <x:v>No</x:v>
      </x:c>
      <x:c r="B10" s="4" t="str">
        <x:v>A</x:v>
      </x:c>
      <x:c r="C10" s="4" t="str">
        <x:v>Whitetail Deer</x:v>
      </x:c>
      <x:c r="D10" s="4" t="str">
        <x:v>Gene Howe WMA</x:v>
      </x:c>
      <x:c r="E10" s="4" t="str">
        <x:v>Panhandle / Rolling Plains</x:v>
      </x:c>
      <x:c r="F10" s="4" t="str">
        <x:v>Archery Deer</x:v>
      </x:c>
      <x:c r="G10" s="4" t="str">
        <x:v>Yes</x:v>
      </x:c>
      <x:c r="H10" s="4" t="str">
        <x:v>Yes</x:v>
      </x:c>
      <x:c r="I10" s="24" t="str">
        <x:v>2026-08-15</x:v>
      </x:c>
      <x:c r="J10" s="4" t="str">
        <x:v>See TPWD category page</x:v>
      </x:c>
      <x:c r="K10" s="4" t="n">
        <x:v>3</x:v>
      </x:c>
      <x:c r="L10" s="4"/>
      <x:c r="M10" s="4"/>
      <x:c r="N10" s="4"/>
      <x:c r="O10" s="4"/>
      <x:c r="P10" s="4" t="n">
        <x:v>130</x:v>
      </x:c>
      <x:c r="Q10" s="4" t="str">
        <x:v>Core</x:v>
      </x:c>
      <x:c r="R10" s="4" t="str">
        <x:v>Research before draw; property brochure linked from TPWD</x:v>
      </x:c>
      <x:c r="S10" s="4" t="str">
        <x:v>High</x:v>
      </x:c>
      <x:c r="T10" s="4" t="str">
        <x:v>No</x:v>
      </x:c>
      <x:c r="U10" s="4" t="str">
        <x:v>Verified in TPWD 2026-2027 statewide deer category catalog.</x:v>
      </x:c>
      <x:c r="V10" s="4" t="str">
        <x:v>https://tpwd.texas.gov/huntwild/hunt/public/public_hunt_drawing/hunt-category-details.phtml?OCat=ADE</x:v>
      </x:c>
      <x:c r="W10" s="4" t="n">
        <x:v>2</x:v>
      </x:c>
      <x:c r="X10" s="4" t="n">
        <x:v>5</x:v>
      </x:c>
      <x:c r="Y10" s="4" t="n">
        <x:v>4</x:v>
      </x:c>
      <x:c r="Z10" s="4" t="n">
        <x:v>3</x:v>
      </x:c>
      <x:c r="AA10" s="4" t="n">
        <x:v>4</x:v>
      </x:c>
      <x:c r="AB10" s="4" t="n">
        <x:v>0</x:v>
      </x:c>
      <x:c r="AC10" s="4" t="n">
        <x:v>2.9</x:v>
      </x:c>
      <x:c r="AD10" s="4"/>
      <x:c r="AE10" s="4" t="str">
        <x:v>2026-08-15</x:v>
      </x:c>
      <x:c r="AF10" s="2"/>
      <x:c r="AG10" s="2"/>
      <x:c r="AH10" s="2"/>
      <x:c r="AI10" s="2"/>
      <x:c r="AJ10" s="2"/>
      <x:c r="AK10" s="2"/>
      <x:c r="AL10" s="2"/>
      <x:c r="AM10" s="2" t="str">
        <x:v>https://tpwd.texas.gov/huntwild/hunt/public/public_hunt_drawing/hunt-category-details.phtml?OCat=ADE</x:v>
      </x:c>
      <x:c r="AN10" s="2" t="str">
        <x:v>https://tpwd.texas.gov/search/?q=Gene+Howe+WMA+public+hunting+brochure</x:v>
      </x:c>
      <x:c r="AO10" s="2" t="str">
        <x:v>https://apps.tpwd.state.tx.us/huntwild/hunt/public/public_hunt_drawing/</x:v>
      </x:c>
      <x:c r="AP10" s="2" t="str">
        <x:v>https://www.google.com/maps/search/?api=1&amp;query=Gene+Howe+WMA%2C+Texas</x:v>
      </x:c>
      <x:c r="AQ10" s="2" t="n">
        <x:v>0</x:v>
      </x:c>
      <x:c r="AR10" s="2" t="str">
        <x:v>Standard Hastings ranking</x:v>
      </x:c>
    </x:row>
    <x:row r="11">
      <x:c r="A11" s="4" t="str">
        <x:v>No</x:v>
      </x:c>
      <x:c r="B11" s="4" t="str">
        <x:v>B</x:v>
      </x:c>
      <x:c r="C11" s="4" t="str">
        <x:v>Whitetail Deer</x:v>
      </x:c>
      <x:c r="D11" s="4" t="str">
        <x:v>Government Canyon SNA</x:v>
      </x:c>
      <x:c r="E11" s="4" t="str">
        <x:v>Hill Country / San Antonio</x:v>
      </x:c>
      <x:c r="F11" s="4" t="str">
        <x:v>Archery Deer</x:v>
      </x:c>
      <x:c r="G11" s="4" t="str">
        <x:v>Yes</x:v>
      </x:c>
      <x:c r="H11" s="4" t="str">
        <x:v>Yes</x:v>
      </x:c>
      <x:c r="I11" s="24" t="str">
        <x:v>2026-08-15</x:v>
      </x:c>
      <x:c r="J11" s="4" t="str">
        <x:v>See TPWD category page</x:v>
      </x:c>
      <x:c r="K11" s="4" t="n">
        <x:v>3</x:v>
      </x:c>
      <x:c r="L11" s="4"/>
      <x:c r="M11" s="4"/>
      <x:c r="N11" s="4"/>
      <x:c r="O11" s="4"/>
      <x:c r="P11" s="4" t="n">
        <x:v>520</x:v>
      </x:c>
      <x:c r="Q11" s="4" t="str">
        <x:v>Statewide</x:v>
      </x:c>
      <x:c r="R11" s="4" t="str">
        <x:v>Research before draw; property brochure linked from TPWD</x:v>
      </x:c>
      <x:c r="S11" s="4" t="str">
        <x:v>Low</x:v>
      </x:c>
      <x:c r="T11" s="4" t="str">
        <x:v>No</x:v>
      </x:c>
      <x:c r="U11" s="4" t="str">
        <x:v>Verified in TPWD 2026-2027 statewide deer category catalog. V5 preference rule: Lower priority: archery whitetail is more than 200 miles from Amarillo.</x:v>
      </x:c>
      <x:c r="V11" s="4" t="str">
        <x:v>https://tpwd.texas.gov/huntwild/hunt/public/public_hunt_drawing/hunt-category-details.phtml?OCat=ADE</x:v>
      </x:c>
      <x:c r="W11" s="4" t="n">
        <x:v>2</x:v>
      </x:c>
      <x:c r="X11" s="4" t="n">
        <x:v>2</x:v>
      </x:c>
      <x:c r="Y11" s="4" t="n">
        <x:v>4</x:v>
      </x:c>
      <x:c r="Z11" s="4" t="n">
        <x:v>3</x:v>
      </x:c>
      <x:c r="AA11" s="4" t="n">
        <x:v>2</x:v>
      </x:c>
      <x:c r="AB11" s="4" t="n">
        <x:v>0</x:v>
      </x:c>
      <x:c r="AC11" s="4" t="n">
        <x:v>1.3</x:v>
      </x:c>
      <x:c r="AD11" s="4"/>
      <x:c r="AE11" s="4" t="str">
        <x:v>2026-08-15</x:v>
      </x:c>
      <x:c r="AF11" s="2"/>
      <x:c r="AG11" s="2"/>
      <x:c r="AH11" s="2"/>
      <x:c r="AI11" s="2"/>
      <x:c r="AJ11" s="2"/>
      <x:c r="AK11" s="2"/>
      <x:c r="AL11" s="2"/>
      <x:c r="AM11" s="2" t="str">
        <x:v>https://tpwd.texas.gov/huntwild/hunt/public/public_hunt_drawing/hunt-category-details.phtml?OCat=ADE</x:v>
      </x:c>
      <x:c r="AN11" s="2" t="str">
        <x:v>https://tpwd.texas.gov/search/?q=Government+Canyon+SNA+public+hunting+brochure</x:v>
      </x:c>
      <x:c r="AO11" s="2" t="str">
        <x:v>https://apps.tpwd.state.tx.us/huntwild/hunt/public/public_hunt_drawing/</x:v>
      </x:c>
      <x:c r="AP11" s="2" t="str">
        <x:v>https://www.google.com/maps/search/?api=1&amp;query=Government+Canyon+SNA%2C+Texas</x:v>
      </x:c>
      <x:c r="AQ11" s="2" t="n">
        <x:v>-1</x:v>
      </x:c>
      <x:c r="AR11" s="2" t="str">
        <x:v>Lower priority: archery whitetail is more than 200 miles from Amarillo</x:v>
      </x:c>
    </x:row>
    <x:row r="12">
      <x:c r="A12" s="4" t="str">
        <x:v>No</x:v>
      </x:c>
      <x:c r="B12" s="4" t="str">
        <x:v>B</x:v>
      </x:c>
      <x:c r="C12" s="4" t="str">
        <x:v>Whitetail Deer</x:v>
      </x:c>
      <x:c r="D12" s="4" t="str">
        <x:v>Gus Engeling WMA</x:v>
      </x:c>
      <x:c r="E12" s="4" t="str">
        <x:v>Statewide / Other</x:v>
      </x:c>
      <x:c r="F12" s="4" t="str">
        <x:v>Archery Deer</x:v>
      </x:c>
      <x:c r="G12" s="4" t="str">
        <x:v>Yes</x:v>
      </x:c>
      <x:c r="H12" s="4" t="str">
        <x:v>Yes</x:v>
      </x:c>
      <x:c r="I12" s="24" t="str">
        <x:v>2026-08-15</x:v>
      </x:c>
      <x:c r="J12" s="4" t="str">
        <x:v>See TPWD category page</x:v>
      </x:c>
      <x:c r="K12" s="4" t="n">
        <x:v>3</x:v>
      </x:c>
      <x:c r="L12" s="4"/>
      <x:c r="M12" s="4"/>
      <x:c r="N12" s="4"/>
      <x:c r="O12" s="4"/>
      <x:c r="P12" s="4" t="n">
        <x:v>500</x:v>
      </x:c>
      <x:c r="Q12" s="4" t="str">
        <x:v>Statewide</x:v>
      </x:c>
      <x:c r="R12" s="4" t="str">
        <x:v>Research before draw; property brochure linked from TPWD</x:v>
      </x:c>
      <x:c r="S12" s="4" t="str">
        <x:v>Low</x:v>
      </x:c>
      <x:c r="T12" s="4" t="str">
        <x:v>No</x:v>
      </x:c>
      <x:c r="U12" s="4" t="str">
        <x:v>Verified in TPWD 2026-2027 statewide deer category catalog. V5 preference rule: Lower priority: archery whitetail is more than 200 miles from Amarillo.</x:v>
      </x:c>
      <x:c r="V12" s="4" t="str">
        <x:v>https://tpwd.texas.gov/huntwild/hunt/public/public_hunt_drawing/hunt-category-details.phtml?OCat=ADE</x:v>
      </x:c>
      <x:c r="W12" s="4" t="n">
        <x:v>2</x:v>
      </x:c>
      <x:c r="X12" s="4" t="n">
        <x:v>2</x:v>
      </x:c>
      <x:c r="Y12" s="4" t="n">
        <x:v>4</x:v>
      </x:c>
      <x:c r="Z12" s="4" t="n">
        <x:v>3</x:v>
      </x:c>
      <x:c r="AA12" s="4" t="n">
        <x:v>2</x:v>
      </x:c>
      <x:c r="AB12" s="4" t="n">
        <x:v>0</x:v>
      </x:c>
      <x:c r="AC12" s="4" t="n">
        <x:v>1.3</x:v>
      </x:c>
      <x:c r="AD12" s="4"/>
      <x:c r="AE12" s="4" t="str">
        <x:v>2026-08-15</x:v>
      </x:c>
      <x:c r="AF12" s="2"/>
      <x:c r="AG12" s="2"/>
      <x:c r="AH12" s="2"/>
      <x:c r="AI12" s="2"/>
      <x:c r="AJ12" s="2"/>
      <x:c r="AK12" s="2"/>
      <x:c r="AL12" s="2"/>
      <x:c r="AM12" s="2" t="str">
        <x:v>https://tpwd.texas.gov/huntwild/hunt/public/public_hunt_drawing/hunt-category-details.phtml?OCat=ADE</x:v>
      </x:c>
      <x:c r="AN12" s="2" t="str">
        <x:v>https://tpwd.texas.gov/search/?q=Gus+Engeling+WMA+public+hunting+brochure</x:v>
      </x:c>
      <x:c r="AO12" s="2" t="str">
        <x:v>https://apps.tpwd.state.tx.us/huntwild/hunt/public/public_hunt_drawing/</x:v>
      </x:c>
      <x:c r="AP12" s="2" t="str">
        <x:v>https://www.google.com/maps/search/?api=1&amp;query=Gus+Engeling+WMA%2C+Texas</x:v>
      </x:c>
      <x:c r="AQ12" s="2" t="n">
        <x:v>-1</x:v>
      </x:c>
      <x:c r="AR12" s="2" t="str">
        <x:v>Lower priority: archery whitetail is more than 200 miles from Amarillo</x:v>
      </x:c>
    </x:row>
    <x:row r="13">
      <x:c r="A13" s="4" t="str">
        <x:v>No</x:v>
      </x:c>
      <x:c r="B13" s="4" t="str">
        <x:v>B</x:v>
      </x:c>
      <x:c r="C13" s="4" t="str">
        <x:v>Whitetail Deer</x:v>
      </x:c>
      <x:c r="D13" s="4" t="str">
        <x:v>James Daughtrey WMA</x:v>
      </x:c>
      <x:c r="E13" s="4" t="str">
        <x:v>South Texas / Rio Grande Valley</x:v>
      </x:c>
      <x:c r="F13" s="4" t="str">
        <x:v>Archery Deer</x:v>
      </x:c>
      <x:c r="G13" s="4" t="str">
        <x:v>Yes</x:v>
      </x:c>
      <x:c r="H13" s="4" t="str">
        <x:v>Yes</x:v>
      </x:c>
      <x:c r="I13" s="24" t="str">
        <x:v>2026-08-15</x:v>
      </x:c>
      <x:c r="J13" s="4" t="str">
        <x:v>See TPWD category page</x:v>
      </x:c>
      <x:c r="K13" s="4" t="n">
        <x:v>3</x:v>
      </x:c>
      <x:c r="L13" s="4"/>
      <x:c r="M13" s="4"/>
      <x:c r="N13" s="4"/>
      <x:c r="O13" s="4"/>
      <x:c r="P13" s="4" t="n">
        <x:v>700</x:v>
      </x:c>
      <x:c r="Q13" s="4" t="str">
        <x:v>Long Haul</x:v>
      </x:c>
      <x:c r="R13" s="4" t="str">
        <x:v>Research before draw; property brochure linked from TPWD</x:v>
      </x:c>
      <x:c r="S13" s="4" t="str">
        <x:v>Low</x:v>
      </x:c>
      <x:c r="T13" s="4" t="str">
        <x:v>No</x:v>
      </x:c>
      <x:c r="U13" s="4" t="str">
        <x:v>Verified in TPWD 2026-2027 statewide deer category catalog. V5 preference rule: Lower priority: archery whitetail is more than 200 miles from Amarillo.</x:v>
      </x:c>
      <x:c r="V13" s="4" t="str">
        <x:v>https://tpwd.texas.gov/huntwild/hunt/public/public_hunt_drawing/hunt-category-details.phtml?OCat=ADE</x:v>
      </x:c>
      <x:c r="W13" s="4" t="n">
        <x:v>2</x:v>
      </x:c>
      <x:c r="X13" s="4" t="n">
        <x:v>1</x:v>
      </x:c>
      <x:c r="Y13" s="4" t="n">
        <x:v>4</x:v>
      </x:c>
      <x:c r="Z13" s="4" t="n">
        <x:v>3</x:v>
      </x:c>
      <x:c r="AA13" s="4" t="n">
        <x:v>2</x:v>
      </x:c>
      <x:c r="AB13" s="4" t="n">
        <x:v>0</x:v>
      </x:c>
      <x:c r="AC13" s="4" t="n">
        <x:v>1.1</x:v>
      </x:c>
      <x:c r="AD13" s="4"/>
      <x:c r="AE13" s="4" t="str">
        <x:v>2026-08-15</x:v>
      </x:c>
      <x:c r="AF13" s="2"/>
      <x:c r="AG13" s="2"/>
      <x:c r="AH13" s="2"/>
      <x:c r="AI13" s="2"/>
      <x:c r="AJ13" s="2"/>
      <x:c r="AK13" s="2"/>
      <x:c r="AL13" s="2"/>
      <x:c r="AM13" s="2" t="str">
        <x:v>https://tpwd.texas.gov/huntwild/hunt/public/public_hunt_drawing/hunt-category-details.phtml?OCat=ADE</x:v>
      </x:c>
      <x:c r="AN13" s="2" t="str">
        <x:v>https://tpwd.texas.gov/search/?q=James+Daughtrey+WMA+public+hunting+brochure</x:v>
      </x:c>
      <x:c r="AO13" s="2" t="str">
        <x:v>https://apps.tpwd.state.tx.us/huntwild/hunt/public/public_hunt_drawing/</x:v>
      </x:c>
      <x:c r="AP13" s="2" t="str">
        <x:v>https://www.google.com/maps/search/?api=1&amp;query=James+Daughtrey+WMA%2C+Texas</x:v>
      </x:c>
      <x:c r="AQ13" s="2" t="n">
        <x:v>-1</x:v>
      </x:c>
      <x:c r="AR13" s="2" t="str">
        <x:v>Lower priority: archery whitetail is more than 200 miles from Amarillo</x:v>
      </x:c>
    </x:row>
    <x:row r="14">
      <x:c r="A14" s="4" t="str">
        <x:v>No</x:v>
      </x:c>
      <x:c r="B14" s="4" t="str">
        <x:v>B</x:v>
      </x:c>
      <x:c r="C14" s="4" t="str">
        <x:v>Whitetail Deer</x:v>
      </x:c>
      <x:c r="D14" s="4" t="str">
        <x:v>Lake Brownwood SP</x:v>
      </x:c>
      <x:c r="E14" s="4" t="str">
        <x:v>West-Central Texas</x:v>
      </x:c>
      <x:c r="F14" s="4" t="str">
        <x:v>Archery Deer</x:v>
      </x:c>
      <x:c r="G14" s="4" t="str">
        <x:v>Yes</x:v>
      </x:c>
      <x:c r="H14" s="4" t="str">
        <x:v>Yes</x:v>
      </x:c>
      <x:c r="I14" s="24" t="str">
        <x:v>2026-08-15</x:v>
      </x:c>
      <x:c r="J14" s="4" t="str">
        <x:v>See TPWD category page</x:v>
      </x:c>
      <x:c r="K14" s="4" t="n">
        <x:v>3</x:v>
      </x:c>
      <x:c r="L14" s="4"/>
      <x:c r="M14" s="4"/>
      <x:c r="N14" s="4"/>
      <x:c r="O14" s="4"/>
      <x:c r="P14" s="4" t="n">
        <x:v>300</x:v>
      </x:c>
      <x:c r="Q14" s="4" t="str">
        <x:v>Extended</x:v>
      </x:c>
      <x:c r="R14" s="4" t="str">
        <x:v>Research before draw; property brochure linked from TPWD</x:v>
      </x:c>
      <x:c r="S14" s="4" t="str">
        <x:v>Low</x:v>
      </x:c>
      <x:c r="T14" s="4" t="str">
        <x:v>No</x:v>
      </x:c>
      <x:c r="U14" s="4" t="str">
        <x:v>Verified in TPWD 2026-2027 statewide deer category catalog. V5 preference rule: Lower priority: archery whitetail is more than 200 miles from Amarillo.</x:v>
      </x:c>
      <x:c r="V14" s="4" t="str">
        <x:v>https://tpwd.texas.gov/huntwild/hunt/public/public_hunt_drawing/hunt-category-details.phtml?OCat=ADE</x:v>
      </x:c>
      <x:c r="W14" s="4" t="n">
        <x:v>2</x:v>
      </x:c>
      <x:c r="X14" s="4" t="n">
        <x:v>4</x:v>
      </x:c>
      <x:c r="Y14" s="4" t="n">
        <x:v>4</x:v>
      </x:c>
      <x:c r="Z14" s="4" t="n">
        <x:v>3</x:v>
      </x:c>
      <x:c r="AA14" s="4" t="n">
        <x:v>2</x:v>
      </x:c>
      <x:c r="AB14" s="4" t="n">
        <x:v>0</x:v>
      </x:c>
      <x:c r="AC14" s="4" t="n">
        <x:v>1.6</x:v>
      </x:c>
      <x:c r="AD14" s="4"/>
      <x:c r="AE14" s="4" t="str">
        <x:v>2026-08-15</x:v>
      </x:c>
      <x:c r="AF14" s="2"/>
      <x:c r="AG14" s="2"/>
      <x:c r="AH14" s="2"/>
      <x:c r="AI14" s="2"/>
      <x:c r="AJ14" s="2"/>
      <x:c r="AK14" s="2"/>
      <x:c r="AL14" s="2"/>
      <x:c r="AM14" s="2" t="str">
        <x:v>https://tpwd.texas.gov/huntwild/hunt/public/public_hunt_drawing/hunt-category-details.phtml?OCat=ADE</x:v>
      </x:c>
      <x:c r="AN14" s="2" t="str">
        <x:v>https://tpwd.texas.gov/search/?q=Lake+Brownwood+SP+public+hunting+brochure</x:v>
      </x:c>
      <x:c r="AO14" s="2" t="str">
        <x:v>https://apps.tpwd.state.tx.us/huntwild/hunt/public/public_hunt_drawing/</x:v>
      </x:c>
      <x:c r="AP14" s="2" t="str">
        <x:v>https://www.google.com/maps/search/?api=1&amp;query=Lake+Brownwood+SP%2C+Texas</x:v>
      </x:c>
      <x:c r="AQ14" s="2" t="n">
        <x:v>-1</x:v>
      </x:c>
      <x:c r="AR14" s="2" t="str">
        <x:v>Lower priority: archery whitetail is more than 200 miles from Amarillo</x:v>
      </x:c>
    </x:row>
    <x:row r="15">
      <x:c r="A15" s="4" t="str">
        <x:v>No</x:v>
      </x:c>
      <x:c r="B15" s="4" t="str">
        <x:v>B</x:v>
      </x:c>
      <x:c r="C15" s="4" t="str">
        <x:v>Whitetail Deer</x:v>
      </x:c>
      <x:c r="D15" s="4" t="str">
        <x:v>Lake Mineral Wells SP</x:v>
      </x:c>
      <x:c r="E15" s="4" t="str">
        <x:v>North Texas / DFW</x:v>
      </x:c>
      <x:c r="F15" s="4" t="str">
        <x:v>Archery Deer</x:v>
      </x:c>
      <x:c r="G15" s="4" t="str">
        <x:v>Yes</x:v>
      </x:c>
      <x:c r="H15" s="4" t="str">
        <x:v>Yes</x:v>
      </x:c>
      <x:c r="I15" s="24" t="str">
        <x:v>2026-08-15</x:v>
      </x:c>
      <x:c r="J15" s="4" t="str">
        <x:v>See TPWD category page</x:v>
      </x:c>
      <x:c r="K15" s="4" t="n">
        <x:v>3</x:v>
      </x:c>
      <x:c r="L15" s="4"/>
      <x:c r="M15" s="4"/>
      <x:c r="N15" s="4"/>
      <x:c r="O15" s="4"/>
      <x:c r="P15" s="4" t="n">
        <x:v>360</x:v>
      </x:c>
      <x:c r="Q15" s="4" t="str">
        <x:v>Extended</x:v>
      </x:c>
      <x:c r="R15" s="4" t="str">
        <x:v>Research before draw; property brochure linked from TPWD</x:v>
      </x:c>
      <x:c r="S15" s="4" t="str">
        <x:v>Low</x:v>
      </x:c>
      <x:c r="T15" s="4" t="str">
        <x:v>No</x:v>
      </x:c>
      <x:c r="U15" s="4" t="str">
        <x:v>Verified in TPWD 2026-2027 statewide deer category catalog. V5 preference rule: Lower priority: archery whitetail is more than 200 miles from Amarillo.</x:v>
      </x:c>
      <x:c r="V15" s="4" t="str">
        <x:v>https://tpwd.texas.gov/huntwild/hunt/public/public_hunt_drawing/hunt-category-details.phtml?OCat=ADE</x:v>
      </x:c>
      <x:c r="W15" s="4" t="n">
        <x:v>2</x:v>
      </x:c>
      <x:c r="X15" s="4" t="n">
        <x:v>3</x:v>
      </x:c>
      <x:c r="Y15" s="4" t="n">
        <x:v>4</x:v>
      </x:c>
      <x:c r="Z15" s="4" t="n">
        <x:v>3</x:v>
      </x:c>
      <x:c r="AA15" s="4" t="n">
        <x:v>2</x:v>
      </x:c>
      <x:c r="AB15" s="4" t="n">
        <x:v>0</x:v>
      </x:c>
      <x:c r="AC15" s="4" t="n">
        <x:v>1.5</x:v>
      </x:c>
      <x:c r="AD15" s="4"/>
      <x:c r="AE15" s="4" t="str">
        <x:v>2026-08-15</x:v>
      </x:c>
      <x:c r="AF15" s="2"/>
      <x:c r="AG15" s="2"/>
      <x:c r="AH15" s="2"/>
      <x:c r="AI15" s="2"/>
      <x:c r="AJ15" s="2"/>
      <x:c r="AK15" s="2"/>
      <x:c r="AL15" s="2"/>
      <x:c r="AM15" s="2" t="str">
        <x:v>https://tpwd.texas.gov/huntwild/hunt/public/public_hunt_drawing/hunt-category-details.phtml?OCat=ADE</x:v>
      </x:c>
      <x:c r="AN15" s="2" t="str">
        <x:v>https://tpwd.texas.gov/search/?q=Lake+Mineral+Wells+SP+public+hunting+brochure</x:v>
      </x:c>
      <x:c r="AO15" s="2" t="str">
        <x:v>https://apps.tpwd.state.tx.us/huntwild/hunt/public/public_hunt_drawing/</x:v>
      </x:c>
      <x:c r="AP15" s="2" t="str">
        <x:v>https://www.google.com/maps/search/?api=1&amp;query=Lake+Mineral+Wells+SP%2C+Texas</x:v>
      </x:c>
      <x:c r="AQ15" s="2" t="n">
        <x:v>-1</x:v>
      </x:c>
      <x:c r="AR15" s="2" t="str">
        <x:v>Lower priority: archery whitetail is more than 200 miles from Amarillo</x:v>
      </x:c>
    </x:row>
    <x:row r="16">
      <x:c r="A16" s="4" t="str">
        <x:v>No</x:v>
      </x:c>
      <x:c r="B16" s="4" t="str">
        <x:v>B</x:v>
      </x:c>
      <x:c r="C16" s="4" t="str">
        <x:v>Whitetail Deer</x:v>
      </x:c>
      <x:c r="D16" s="4" t="str">
        <x:v>Las Palomas WMA - Arroyo Colorado Unit</x:v>
      </x:c>
      <x:c r="E16" s="4" t="str">
        <x:v>South Texas / Rio Grande Valley</x:v>
      </x:c>
      <x:c r="F16" s="4" t="str">
        <x:v>Archery Deer</x:v>
      </x:c>
      <x:c r="G16" s="4" t="str">
        <x:v>Yes</x:v>
      </x:c>
      <x:c r="H16" s="4" t="str">
        <x:v>Yes</x:v>
      </x:c>
      <x:c r="I16" s="24" t="str">
        <x:v>2026-08-15</x:v>
      </x:c>
      <x:c r="J16" s="4" t="str">
        <x:v>See TPWD category page</x:v>
      </x:c>
      <x:c r="K16" s="4" t="n">
        <x:v>3</x:v>
      </x:c>
      <x:c r="L16" s="4"/>
      <x:c r="M16" s="4"/>
      <x:c r="N16" s="4"/>
      <x:c r="O16" s="4"/>
      <x:c r="P16" s="4" t="n">
        <x:v>700</x:v>
      </x:c>
      <x:c r="Q16" s="4" t="str">
        <x:v>Long Haul</x:v>
      </x:c>
      <x:c r="R16" s="4" t="str">
        <x:v>Research before draw; property brochure linked from TPWD</x:v>
      </x:c>
      <x:c r="S16" s="4" t="str">
        <x:v>Low</x:v>
      </x:c>
      <x:c r="T16" s="4" t="str">
        <x:v>No</x:v>
      </x:c>
      <x:c r="U16" s="4" t="str">
        <x:v>Verified in TPWD 2026-2027 statewide deer category catalog. V5 preference rule: Lower priority: archery whitetail is more than 200 miles from Amarillo.</x:v>
      </x:c>
      <x:c r="V16" s="4" t="str">
        <x:v>https://tpwd.texas.gov/huntwild/hunt/public/public_hunt_drawing/hunt-category-details.phtml?OCat=ADE</x:v>
      </x:c>
      <x:c r="W16" s="4" t="n">
        <x:v>2</x:v>
      </x:c>
      <x:c r="X16" s="4" t="n">
        <x:v>1</x:v>
      </x:c>
      <x:c r="Y16" s="4" t="n">
        <x:v>4</x:v>
      </x:c>
      <x:c r="Z16" s="4" t="n">
        <x:v>3</x:v>
      </x:c>
      <x:c r="AA16" s="4" t="n">
        <x:v>2</x:v>
      </x:c>
      <x:c r="AB16" s="4" t="n">
        <x:v>0</x:v>
      </x:c>
      <x:c r="AC16" s="4" t="n">
        <x:v>1.1</x:v>
      </x:c>
      <x:c r="AD16" s="4"/>
      <x:c r="AE16" s="4" t="str">
        <x:v>2026-08-15</x:v>
      </x:c>
      <x:c r="AF16" s="2"/>
      <x:c r="AG16" s="2"/>
      <x:c r="AH16" s="2"/>
      <x:c r="AI16" s="2"/>
      <x:c r="AJ16" s="2"/>
      <x:c r="AK16" s="2"/>
      <x:c r="AL16" s="2"/>
      <x:c r="AM16" s="2" t="str">
        <x:v>https://tpwd.texas.gov/huntwild/hunt/public/public_hunt_drawing/hunt-category-details.phtml?OCat=ADE</x:v>
      </x:c>
      <x:c r="AN16" s="2" t="str">
        <x:v>https://tpwd.texas.gov/search/?q=Las+Palomas+WMA+-+Arroyo+Colorado+Unit+public+hunting+brochure</x:v>
      </x:c>
      <x:c r="AO16" s="2" t="str">
        <x:v>https://apps.tpwd.state.tx.us/huntwild/hunt/public/public_hunt_drawing/</x:v>
      </x:c>
      <x:c r="AP16" s="2" t="str">
        <x:v>https://www.google.com/maps/search/?api=1&amp;query=Las+Palomas+WMA+-+Arroyo+Colorado+Unit%2C+Texas</x:v>
      </x:c>
      <x:c r="AQ16" s="2" t="n">
        <x:v>-1</x:v>
      </x:c>
      <x:c r="AR16" s="2" t="str">
        <x:v>Lower priority: archery whitetail is more than 200 miles from Amarillo</x:v>
      </x:c>
    </x:row>
    <x:row r="17">
      <x:c r="A17" s="4" t="str">
        <x:v>No</x:v>
      </x:c>
      <x:c r="B17" s="4" t="str">
        <x:v>A</x:v>
      </x:c>
      <x:c r="C17" s="4" t="str">
        <x:v>Whitetail Deer</x:v>
      </x:c>
      <x:c r="D17" s="4" t="str">
        <x:v>Matador WMA</x:v>
      </x:c>
      <x:c r="E17" s="4" t="str">
        <x:v>Panhandle / Rolling Plains</x:v>
      </x:c>
      <x:c r="F17" s="4" t="str">
        <x:v>Archery Deer</x:v>
      </x:c>
      <x:c r="G17" s="4" t="str">
        <x:v>Yes</x:v>
      </x:c>
      <x:c r="H17" s="4" t="str">
        <x:v>Yes</x:v>
      </x:c>
      <x:c r="I17" s="24" t="str">
        <x:v>2026-08-15</x:v>
      </x:c>
      <x:c r="J17" s="4" t="str">
        <x:v>See TPWD category page</x:v>
      </x:c>
      <x:c r="K17" s="4" t="n">
        <x:v>3</x:v>
      </x:c>
      <x:c r="L17" s="4"/>
      <x:c r="M17" s="4"/>
      <x:c r="N17" s="4"/>
      <x:c r="O17" s="4"/>
      <x:c r="P17" s="4" t="n">
        <x:v>130</x:v>
      </x:c>
      <x:c r="Q17" s="4" t="str">
        <x:v>Core</x:v>
      </x:c>
      <x:c r="R17" s="4" t="str">
        <x:v>Research before draw; property brochure linked from TPWD</x:v>
      </x:c>
      <x:c r="S17" s="4" t="str">
        <x:v>High</x:v>
      </x:c>
      <x:c r="T17" s="4" t="str">
        <x:v>No</x:v>
      </x:c>
      <x:c r="U17" s="4" t="str">
        <x:v>Verified in TPWD 2026-2027 statewide deer category catalog.</x:v>
      </x:c>
      <x:c r="V17" s="4" t="str">
        <x:v>https://tpwd.texas.gov/huntwild/hunt/public/public_hunt_drawing/hunt-category-details.phtml?OCat=ADE</x:v>
      </x:c>
      <x:c r="W17" s="4" t="n">
        <x:v>2</x:v>
      </x:c>
      <x:c r="X17" s="4" t="n">
        <x:v>5</x:v>
      </x:c>
      <x:c r="Y17" s="4" t="n">
        <x:v>4</x:v>
      </x:c>
      <x:c r="Z17" s="4" t="n">
        <x:v>3</x:v>
      </x:c>
      <x:c r="AA17" s="4" t="n">
        <x:v>4</x:v>
      </x:c>
      <x:c r="AB17" s="4" t="n">
        <x:v>0</x:v>
      </x:c>
      <x:c r="AC17" s="4" t="n">
        <x:v>2.9</x:v>
      </x:c>
      <x:c r="AD17" s="4"/>
      <x:c r="AE17" s="4" t="str">
        <x:v>2026-08-15</x:v>
      </x:c>
      <x:c r="AF17" s="2"/>
      <x:c r="AG17" s="2"/>
      <x:c r="AH17" s="2"/>
      <x:c r="AI17" s="2"/>
      <x:c r="AJ17" s="2"/>
      <x:c r="AK17" s="2"/>
      <x:c r="AL17" s="2"/>
      <x:c r="AM17" s="2" t="str">
        <x:v>https://tpwd.texas.gov/huntwild/hunt/public/public_hunt_drawing/hunt-category-details.phtml?OCat=ADE</x:v>
      </x:c>
      <x:c r="AN17" s="2" t="str">
        <x:v>https://tpwd.texas.gov/search/?q=Matador+WMA+public+hunting+brochure</x:v>
      </x:c>
      <x:c r="AO17" s="2" t="str">
        <x:v>https://apps.tpwd.state.tx.us/huntwild/hunt/public/public_hunt_drawing/</x:v>
      </x:c>
      <x:c r="AP17" s="2" t="str">
        <x:v>https://www.google.com/maps/search/?api=1&amp;query=Matador+WMA%2C+Texas</x:v>
      </x:c>
      <x:c r="AQ17" s="2" t="n">
        <x:v>0</x:v>
      </x:c>
      <x:c r="AR17" s="2" t="str">
        <x:v>Standard Hastings ranking</x:v>
      </x:c>
    </x:row>
    <x:row r="18">
      <x:c r="A18" s="4" t="str">
        <x:v>No</x:v>
      </x:c>
      <x:c r="B18" s="4" t="str">
        <x:v>B</x:v>
      </x:c>
      <x:c r="C18" s="4" t="str">
        <x:v>Whitetail Deer</x:v>
      </x:c>
      <x:c r="D18" s="4" t="str">
        <x:v>Muse WMA</x:v>
      </x:c>
      <x:c r="E18" s="4" t="str">
        <x:v>Statewide / Other</x:v>
      </x:c>
      <x:c r="F18" s="4" t="str">
        <x:v>Archery Deer</x:v>
      </x:c>
      <x:c r="G18" s="4" t="str">
        <x:v>Yes</x:v>
      </x:c>
      <x:c r="H18" s="4" t="str">
        <x:v>Yes</x:v>
      </x:c>
      <x:c r="I18" s="24" t="str">
        <x:v>2026-08-15</x:v>
      </x:c>
      <x:c r="J18" s="4" t="str">
        <x:v>See TPWD category page</x:v>
      </x:c>
      <x:c r="K18" s="4" t="n">
        <x:v>3</x:v>
      </x:c>
      <x:c r="L18" s="4"/>
      <x:c r="M18" s="4"/>
      <x:c r="N18" s="4"/>
      <x:c r="O18" s="4"/>
      <x:c r="P18" s="4" t="n">
        <x:v>500</x:v>
      </x:c>
      <x:c r="Q18" s="4" t="str">
        <x:v>Statewide</x:v>
      </x:c>
      <x:c r="R18" s="4" t="str">
        <x:v>Research before draw; property brochure linked from TPWD</x:v>
      </x:c>
      <x:c r="S18" s="4" t="str">
        <x:v>Low</x:v>
      </x:c>
      <x:c r="T18" s="4" t="str">
        <x:v>No</x:v>
      </x:c>
      <x:c r="U18" s="4" t="str">
        <x:v>Verified in TPWD 2026-2027 statewide deer category catalog. V5 preference rule: Lower priority: archery whitetail is more than 200 miles from Amarillo.</x:v>
      </x:c>
      <x:c r="V18" s="4" t="str">
        <x:v>https://tpwd.texas.gov/huntwild/hunt/public/public_hunt_drawing/hunt-category-details.phtml?OCat=ADE</x:v>
      </x:c>
      <x:c r="W18" s="4" t="n">
        <x:v>2</x:v>
      </x:c>
      <x:c r="X18" s="4" t="n">
        <x:v>2</x:v>
      </x:c>
      <x:c r="Y18" s="4" t="n">
        <x:v>4</x:v>
      </x:c>
      <x:c r="Z18" s="4" t="n">
        <x:v>3</x:v>
      </x:c>
      <x:c r="AA18" s="4" t="n">
        <x:v>2</x:v>
      </x:c>
      <x:c r="AB18" s="4" t="n">
        <x:v>0</x:v>
      </x:c>
      <x:c r="AC18" s="4" t="n">
        <x:v>1.3</x:v>
      </x:c>
      <x:c r="AD18" s="4"/>
      <x:c r="AE18" s="4" t="str">
        <x:v>2026-08-15</x:v>
      </x:c>
      <x:c r="AF18" s="2"/>
      <x:c r="AG18" s="2"/>
      <x:c r="AH18" s="2"/>
      <x:c r="AI18" s="2"/>
      <x:c r="AJ18" s="2"/>
      <x:c r="AK18" s="2"/>
      <x:c r="AL18" s="2"/>
      <x:c r="AM18" s="2" t="str">
        <x:v>https://tpwd.texas.gov/huntwild/hunt/public/public_hunt_drawing/hunt-category-details.phtml?OCat=ADE</x:v>
      </x:c>
      <x:c r="AN18" s="2" t="str">
        <x:v>https://tpwd.texas.gov/search/?q=Muse+WMA+public+hunting+brochure</x:v>
      </x:c>
      <x:c r="AO18" s="2" t="str">
        <x:v>https://apps.tpwd.state.tx.us/huntwild/hunt/public/public_hunt_drawing/</x:v>
      </x:c>
      <x:c r="AP18" s="2" t="str">
        <x:v>https://www.google.com/maps/search/?api=1&amp;query=Muse+WMA%2C+Texas</x:v>
      </x:c>
      <x:c r="AQ18" s="2" t="n">
        <x:v>-1</x:v>
      </x:c>
      <x:c r="AR18" s="2" t="str">
        <x:v>Lower priority: archery whitetail is more than 200 miles from Amarillo</x:v>
      </x:c>
    </x:row>
    <x:row r="19">
      <x:c r="A19" s="4" t="str">
        <x:v>No</x:v>
      </x:c>
      <x:c r="B19" s="4" t="str">
        <x:v>B</x:v>
      </x:c>
      <x:c r="C19" s="4" t="str">
        <x:v>Whitetail Deer</x:v>
      </x:c>
      <x:c r="D19" s="4" t="str">
        <x:v>Nannie Stringfellow WMA</x:v>
      </x:c>
      <x:c r="E19" s="4" t="str">
        <x:v>Houston / Gulf Coast</x:v>
      </x:c>
      <x:c r="F19" s="4" t="str">
        <x:v>Archery Deer</x:v>
      </x:c>
      <x:c r="G19" s="4" t="str">
        <x:v>Yes</x:v>
      </x:c>
      <x:c r="H19" s="4" t="str">
        <x:v>Yes</x:v>
      </x:c>
      <x:c r="I19" s="24" t="str">
        <x:v>2026-08-15</x:v>
      </x:c>
      <x:c r="J19" s="4" t="str">
        <x:v>See TPWD category page</x:v>
      </x:c>
      <x:c r="K19" s="4" t="n">
        <x:v>3</x:v>
      </x:c>
      <x:c r="L19" s="4"/>
      <x:c r="M19" s="4"/>
      <x:c r="N19" s="4"/>
      <x:c r="O19" s="4"/>
      <x:c r="P19" s="4" t="n">
        <x:v>610</x:v>
      </x:c>
      <x:c r="Q19" s="4" t="str">
        <x:v>Long Haul</x:v>
      </x:c>
      <x:c r="R19" s="4" t="str">
        <x:v>Research before draw; property brochure linked from TPWD</x:v>
      </x:c>
      <x:c r="S19" s="4" t="str">
        <x:v>Low</x:v>
      </x:c>
      <x:c r="T19" s="4" t="str">
        <x:v>No</x:v>
      </x:c>
      <x:c r="U19" s="4" t="str">
        <x:v>Verified in TPWD 2026-2027 statewide deer category catalog. V5 preference rule: Lower priority: archery whitetail is more than 200 miles from Amarillo.</x:v>
      </x:c>
      <x:c r="V19" s="4" t="str">
        <x:v>https://tpwd.texas.gov/huntwild/hunt/public/public_hunt_drawing/hunt-category-details.phtml?OCat=ADE</x:v>
      </x:c>
      <x:c r="W19" s="4" t="n">
        <x:v>2</x:v>
      </x:c>
      <x:c r="X19" s="4" t="n">
        <x:v>1</x:v>
      </x:c>
      <x:c r="Y19" s="4" t="n">
        <x:v>4</x:v>
      </x:c>
      <x:c r="Z19" s="4" t="n">
        <x:v>3</x:v>
      </x:c>
      <x:c r="AA19" s="4" t="n">
        <x:v>2</x:v>
      </x:c>
      <x:c r="AB19" s="4" t="n">
        <x:v>0</x:v>
      </x:c>
      <x:c r="AC19" s="4" t="n">
        <x:v>1.1</x:v>
      </x:c>
      <x:c r="AD19" s="4"/>
      <x:c r="AE19" s="4" t="str">
        <x:v>2026-08-15</x:v>
      </x:c>
      <x:c r="AF19" s="2"/>
      <x:c r="AG19" s="2"/>
      <x:c r="AH19" s="2"/>
      <x:c r="AI19" s="2"/>
      <x:c r="AJ19" s="2"/>
      <x:c r="AK19" s="2"/>
      <x:c r="AL19" s="2"/>
      <x:c r="AM19" s="2" t="str">
        <x:v>https://tpwd.texas.gov/huntwild/hunt/public/public_hunt_drawing/hunt-category-details.phtml?OCat=ADE</x:v>
      </x:c>
      <x:c r="AN19" s="2" t="str">
        <x:v>https://tpwd.texas.gov/search/?q=Nannie+Stringfellow+WMA+public+hunting+brochure</x:v>
      </x:c>
      <x:c r="AO19" s="2" t="str">
        <x:v>https://apps.tpwd.state.tx.us/huntwild/hunt/public/public_hunt_drawing/</x:v>
      </x:c>
      <x:c r="AP19" s="2" t="str">
        <x:v>https://www.google.com/maps/search/?api=1&amp;query=Nannie+Stringfellow+WMA%2C+Texas</x:v>
      </x:c>
      <x:c r="AQ19" s="2" t="n">
        <x:v>-1</x:v>
      </x:c>
      <x:c r="AR19" s="2" t="str">
        <x:v>Lower priority: archery whitetail is more than 200 miles from Amarillo</x:v>
      </x:c>
    </x:row>
    <x:row r="20">
      <x:c r="A20" s="4" t="str">
        <x:v>No</x:v>
      </x:c>
      <x:c r="B20" s="4" t="str">
        <x:v>A</x:v>
      </x:c>
      <x:c r="C20" s="4" t="str">
        <x:v>Whitetail Deer</x:v>
      </x:c>
      <x:c r="D20" s="4" t="str">
        <x:v>Palo Duro Canyon SP</x:v>
      </x:c>
      <x:c r="E20" s="4" t="str">
        <x:v>Panhandle / Rolling Plains</x:v>
      </x:c>
      <x:c r="F20" s="4" t="str">
        <x:v>Archery Deer</x:v>
      </x:c>
      <x:c r="G20" s="4" t="str">
        <x:v>Yes</x:v>
      </x:c>
      <x:c r="H20" s="4" t="str">
        <x:v>Yes</x:v>
      </x:c>
      <x:c r="I20" s="24" t="str">
        <x:v>2026-08-15</x:v>
      </x:c>
      <x:c r="J20" s="4" t="str">
        <x:v>See TPWD category page</x:v>
      </x:c>
      <x:c r="K20" s="4" t="n">
        <x:v>3</x:v>
      </x:c>
      <x:c r="L20" s="4"/>
      <x:c r="M20" s="4"/>
      <x:c r="N20" s="4"/>
      <x:c r="O20" s="4"/>
      <x:c r="P20" s="4" t="n">
        <x:v>130</x:v>
      </x:c>
      <x:c r="Q20" s="4" t="str">
        <x:v>Core</x:v>
      </x:c>
      <x:c r="R20" s="4" t="str">
        <x:v>Research before draw; property brochure linked from TPWD</x:v>
      </x:c>
      <x:c r="S20" s="4" t="str">
        <x:v>High</x:v>
      </x:c>
      <x:c r="T20" s="4" t="str">
        <x:v>No</x:v>
      </x:c>
      <x:c r="U20" s="4" t="str">
        <x:v>Verified in TPWD 2026-2027 statewide deer category catalog.</x:v>
      </x:c>
      <x:c r="V20" s="4" t="str">
        <x:v>https://tpwd.texas.gov/huntwild/hunt/public/public_hunt_drawing/hunt-category-details.phtml?OCat=ADE</x:v>
      </x:c>
      <x:c r="W20" s="4" t="n">
        <x:v>2</x:v>
      </x:c>
      <x:c r="X20" s="4" t="n">
        <x:v>5</x:v>
      </x:c>
      <x:c r="Y20" s="4" t="n">
        <x:v>4</x:v>
      </x:c>
      <x:c r="Z20" s="4" t="n">
        <x:v>3</x:v>
      </x:c>
      <x:c r="AA20" s="4" t="n">
        <x:v>4</x:v>
      </x:c>
      <x:c r="AB20" s="4" t="n">
        <x:v>0</x:v>
      </x:c>
      <x:c r="AC20" s="4" t="n">
        <x:v>2.9</x:v>
      </x:c>
      <x:c r="AD20" s="4"/>
      <x:c r="AE20" s="4" t="str">
        <x:v>2026-08-15</x:v>
      </x:c>
      <x:c r="AF20" s="2"/>
      <x:c r="AG20" s="2"/>
      <x:c r="AH20" s="2"/>
      <x:c r="AI20" s="2"/>
      <x:c r="AJ20" s="2"/>
      <x:c r="AK20" s="2"/>
      <x:c r="AL20" s="2"/>
      <x:c r="AM20" s="2" t="str">
        <x:v>https://tpwd.texas.gov/huntwild/hunt/public/public_hunt_drawing/hunt-category-details.phtml?OCat=ADE</x:v>
      </x:c>
      <x:c r="AN20" s="2" t="str">
        <x:v>https://tpwd.texas.gov/search/?q=Palo+Duro+Canyon+SP+public+hunting+brochure</x:v>
      </x:c>
      <x:c r="AO20" s="2" t="str">
        <x:v>https://apps.tpwd.state.tx.us/huntwild/hunt/public/public_hunt_drawing/</x:v>
      </x:c>
      <x:c r="AP20" s="2" t="str">
        <x:v>https://www.google.com/maps/search/?api=1&amp;query=Palo+Duro+Canyon+SP%2C+Texas</x:v>
      </x:c>
      <x:c r="AQ20" s="2" t="n">
        <x:v>0</x:v>
      </x:c>
      <x:c r="AR20" s="2" t="str">
        <x:v>Standard Hastings ranking</x:v>
      </x:c>
    </x:row>
    <x:row r="21">
      <x:c r="A21" s="4" t="str">
        <x:v>No</x:v>
      </x:c>
      <x:c r="B21" s="4" t="str">
        <x:v>B</x:v>
      </x:c>
      <x:c r="C21" s="4" t="str">
        <x:v>Whitetail Deer</x:v>
      </x:c>
      <x:c r="D21" s="4" t="str">
        <x:v>Post Oak Ridge State Park</x:v>
      </x:c>
      <x:c r="E21" s="4" t="str">
        <x:v>Statewide / Other</x:v>
      </x:c>
      <x:c r="F21" s="4" t="str">
        <x:v>Archery Deer</x:v>
      </x:c>
      <x:c r="G21" s="4" t="str">
        <x:v>Yes</x:v>
      </x:c>
      <x:c r="H21" s="4" t="str">
        <x:v>Yes</x:v>
      </x:c>
      <x:c r="I21" s="24" t="str">
        <x:v>2026-08-15</x:v>
      </x:c>
      <x:c r="J21" s="4" t="str">
        <x:v>See TPWD category page</x:v>
      </x:c>
      <x:c r="K21" s="4" t="n">
        <x:v>3</x:v>
      </x:c>
      <x:c r="L21" s="4"/>
      <x:c r="M21" s="4"/>
      <x:c r="N21" s="4"/>
      <x:c r="O21" s="4"/>
      <x:c r="P21" s="4" t="n">
        <x:v>500</x:v>
      </x:c>
      <x:c r="Q21" s="4" t="str">
        <x:v>Statewide</x:v>
      </x:c>
      <x:c r="R21" s="4" t="str">
        <x:v>Research before draw; property brochure linked from TPWD</x:v>
      </x:c>
      <x:c r="S21" s="4" t="str">
        <x:v>Low</x:v>
      </x:c>
      <x:c r="T21" s="4" t="str">
        <x:v>No</x:v>
      </x:c>
      <x:c r="U21" s="4" t="str">
        <x:v>Verified in TPWD 2026-2027 statewide deer category catalog. V5 preference rule: Lower priority: archery whitetail is more than 200 miles from Amarillo.</x:v>
      </x:c>
      <x:c r="V21" s="4" t="str">
        <x:v>https://tpwd.texas.gov/huntwild/hunt/public/public_hunt_drawing/hunt-category-details.phtml?OCat=ADE</x:v>
      </x:c>
      <x:c r="W21" s="4" t="n">
        <x:v>2</x:v>
      </x:c>
      <x:c r="X21" s="4" t="n">
        <x:v>2</x:v>
      </x:c>
      <x:c r="Y21" s="4" t="n">
        <x:v>4</x:v>
      </x:c>
      <x:c r="Z21" s="4" t="n">
        <x:v>3</x:v>
      </x:c>
      <x:c r="AA21" s="4" t="n">
        <x:v>2</x:v>
      </x:c>
      <x:c r="AB21" s="4" t="n">
        <x:v>0</x:v>
      </x:c>
      <x:c r="AC21" s="4" t="n">
        <x:v>1.3</x:v>
      </x:c>
      <x:c r="AD21" s="4"/>
      <x:c r="AE21" s="4" t="str">
        <x:v>2026-08-15</x:v>
      </x:c>
      <x:c r="AF21" s="2"/>
      <x:c r="AG21" s="2"/>
      <x:c r="AH21" s="2"/>
      <x:c r="AI21" s="2"/>
      <x:c r="AJ21" s="2"/>
      <x:c r="AK21" s="2"/>
      <x:c r="AL21" s="2"/>
      <x:c r="AM21" s="2" t="str">
        <x:v>https://tpwd.texas.gov/huntwild/hunt/public/public_hunt_drawing/hunt-category-details.phtml?OCat=ADE</x:v>
      </x:c>
      <x:c r="AN21" s="2" t="str">
        <x:v>https://tpwd.texas.gov/search/?q=Post+Oak+Ridge+State+Park+public+hunting+brochure</x:v>
      </x:c>
      <x:c r="AO21" s="2" t="str">
        <x:v>https://apps.tpwd.state.tx.us/huntwild/hunt/public/public_hunt_drawing/</x:v>
      </x:c>
      <x:c r="AP21" s="2" t="str">
        <x:v>https://www.google.com/maps/search/?api=1&amp;query=Post+Oak+Ridge+State+Park%2C+Texas</x:v>
      </x:c>
      <x:c r="AQ21" s="2" t="n">
        <x:v>-1</x:v>
      </x:c>
      <x:c r="AR21" s="2" t="str">
        <x:v>Lower priority: archery whitetail is more than 200 miles from Amarillo</x:v>
      </x:c>
    </x:row>
    <x:row r="22">
      <x:c r="A22" s="4" t="str">
        <x:v>No</x:v>
      </x:c>
      <x:c r="B22" s="4" t="str">
        <x:v>A</x:v>
      </x:c>
      <x:c r="C22" s="4" t="str">
        <x:v>Whitetail Deer</x:v>
      </x:c>
      <x:c r="D22" s="4" t="str">
        <x:v>Potter County - Cross Bar Mgt. Area</x:v>
      </x:c>
      <x:c r="E22" s="4" t="str">
        <x:v>Panhandle / Rolling Plains</x:v>
      </x:c>
      <x:c r="F22" s="4" t="str">
        <x:v>Archery Deer</x:v>
      </x:c>
      <x:c r="G22" s="4" t="str">
        <x:v>Yes</x:v>
      </x:c>
      <x:c r="H22" s="4" t="str">
        <x:v>Yes</x:v>
      </x:c>
      <x:c r="I22" s="24" t="str">
        <x:v>2026-08-15</x:v>
      </x:c>
      <x:c r="J22" s="4" t="str">
        <x:v>See TPWD category page</x:v>
      </x:c>
      <x:c r="K22" s="4" t="n">
        <x:v>3</x:v>
      </x:c>
      <x:c r="L22" s="4"/>
      <x:c r="M22" s="4"/>
      <x:c r="N22" s="4"/>
      <x:c r="O22" s="4"/>
      <x:c r="P22" s="4" t="n">
        <x:v>130</x:v>
      </x:c>
      <x:c r="Q22" s="4" t="str">
        <x:v>Core</x:v>
      </x:c>
      <x:c r="R22" s="4" t="str">
        <x:v>Research before draw; property brochure linked from TPWD</x:v>
      </x:c>
      <x:c r="S22" s="4" t="str">
        <x:v>High</x:v>
      </x:c>
      <x:c r="T22" s="4" t="str">
        <x:v>Yes</x:v>
      </x:c>
      <x:c r="U22" s="4" t="str">
        <x:v>Verified in TPWD 2026-2027 statewide deer category catalog.</x:v>
      </x:c>
      <x:c r="V22" s="4" t="str">
        <x:v>https://tpwd.texas.gov/huntwild/hunt/public/public_hunt_drawing/hunt-category-details.phtml?OCat=ADE</x:v>
      </x:c>
      <x:c r="W22" s="4" t="n">
        <x:v>2</x:v>
      </x:c>
      <x:c r="X22" s="4" t="n">
        <x:v>5</x:v>
      </x:c>
      <x:c r="Y22" s="4" t="n">
        <x:v>4</x:v>
      </x:c>
      <x:c r="Z22" s="4" t="n">
        <x:v>3</x:v>
      </x:c>
      <x:c r="AA22" s="4" t="n">
        <x:v>4</x:v>
      </x:c>
      <x:c r="AB22" s="4" t="n">
        <x:v>5</x:v>
      </x:c>
      <x:c r="AC22" s="4" t="n">
        <x:v>3.7</x:v>
      </x:c>
      <x:c r="AD22" s="4"/>
      <x:c r="AE22" s="4" t="str">
        <x:v>2026-08-15</x:v>
      </x:c>
      <x:c r="AF22" s="2"/>
      <x:c r="AG22" s="2"/>
      <x:c r="AH22" s="2"/>
      <x:c r="AI22" s="2"/>
      <x:c r="AJ22" s="2"/>
      <x:c r="AK22" s="2"/>
      <x:c r="AL22" s="2"/>
      <x:c r="AM22" s="2" t="str">
        <x:v>https://tpwd.texas.gov/huntwild/hunt/public/public_hunt_drawing/hunt-category-details.phtml?OCat=ADE</x:v>
      </x:c>
      <x:c r="AN22" s="2" t="str">
        <x:v>https://tpwd.texas.gov/search/?q=Potter+County+-+Cross+Bar+Mgt.+Area+public+hunting+brochure</x:v>
      </x:c>
      <x:c r="AO22" s="2" t="str">
        <x:v>https://apps.tpwd.state.tx.us/huntwild/hunt/public/public_hunt_drawing/</x:v>
      </x:c>
      <x:c r="AP22" s="2" t="str">
        <x:v>https://www.google.com/maps/search/?api=1&amp;query=Potter+County+-+Cross+Bar+Mgt.+Area%2C+Texas</x:v>
      </x:c>
      <x:c r="AQ22" s="2" t="n">
        <x:v>0</x:v>
      </x:c>
      <x:c r="AR22" s="2" t="str">
        <x:v>Standard Hastings ranking</x:v>
      </x:c>
    </x:row>
    <x:row r="23">
      <x:c r="A23" s="4" t="str">
        <x:v>No</x:v>
      </x:c>
      <x:c r="B23" s="4" t="str">
        <x:v>B</x:v>
      </x:c>
      <x:c r="C23" s="4" t="str">
        <x:v>Whitetail Deer</x:v>
      </x:c>
      <x:c r="D23" s="4" t="str">
        <x:v>Richland Creek WMA - Carl Frentress Unit</x:v>
      </x:c>
      <x:c r="E23" s="4" t="str">
        <x:v>Statewide / Other</x:v>
      </x:c>
      <x:c r="F23" s="4" t="str">
        <x:v>Archery Deer</x:v>
      </x:c>
      <x:c r="G23" s="4" t="str">
        <x:v>Yes</x:v>
      </x:c>
      <x:c r="H23" s="4" t="str">
        <x:v>Yes</x:v>
      </x:c>
      <x:c r="I23" s="24" t="str">
        <x:v>2026-08-15</x:v>
      </x:c>
      <x:c r="J23" s="4" t="str">
        <x:v>See TPWD category page</x:v>
      </x:c>
      <x:c r="K23" s="4" t="n">
        <x:v>3</x:v>
      </x:c>
      <x:c r="L23" s="4"/>
      <x:c r="M23" s="4"/>
      <x:c r="N23" s="4"/>
      <x:c r="O23" s="4"/>
      <x:c r="P23" s="4" t="n">
        <x:v>500</x:v>
      </x:c>
      <x:c r="Q23" s="4" t="str">
        <x:v>Statewide</x:v>
      </x:c>
      <x:c r="R23" s="4" t="str">
        <x:v>Research before draw; property brochure linked from TPWD</x:v>
      </x:c>
      <x:c r="S23" s="4" t="str">
        <x:v>Low</x:v>
      </x:c>
      <x:c r="T23" s="4" t="str">
        <x:v>No</x:v>
      </x:c>
      <x:c r="U23" s="4" t="str">
        <x:v>Verified in TPWD 2026-2027 statewide deer category catalog. V5 preference rule: Lower priority: archery whitetail is more than 200 miles from Amarillo.</x:v>
      </x:c>
      <x:c r="V23" s="4" t="str">
        <x:v>https://tpwd.texas.gov/huntwild/hunt/public/public_hunt_drawing/hunt-category-details.phtml?OCat=ADE</x:v>
      </x:c>
      <x:c r="W23" s="4" t="n">
        <x:v>2</x:v>
      </x:c>
      <x:c r="X23" s="4" t="n">
        <x:v>2</x:v>
      </x:c>
      <x:c r="Y23" s="4" t="n">
        <x:v>4</x:v>
      </x:c>
      <x:c r="Z23" s="4" t="n">
        <x:v>3</x:v>
      </x:c>
      <x:c r="AA23" s="4" t="n">
        <x:v>2</x:v>
      </x:c>
      <x:c r="AB23" s="4" t="n">
        <x:v>0</x:v>
      </x:c>
      <x:c r="AC23" s="4" t="n">
        <x:v>1.3</x:v>
      </x:c>
      <x:c r="AD23" s="4"/>
      <x:c r="AE23" s="4" t="str">
        <x:v>2026-08-15</x:v>
      </x:c>
      <x:c r="AF23" s="2"/>
      <x:c r="AG23" s="2"/>
      <x:c r="AH23" s="2"/>
      <x:c r="AI23" s="2"/>
      <x:c r="AJ23" s="2"/>
      <x:c r="AK23" s="2"/>
      <x:c r="AL23" s="2"/>
      <x:c r="AM23" s="2" t="str">
        <x:v>https://tpwd.texas.gov/huntwild/hunt/public/public_hunt_drawing/hunt-category-details.phtml?OCat=ADE</x:v>
      </x:c>
      <x:c r="AN23" s="2" t="str">
        <x:v>https://tpwd.texas.gov/search/?q=Richland+Creek+WMA+-+Carl+Frentress+Unit+public+hunting+brochure</x:v>
      </x:c>
      <x:c r="AO23" s="2" t="str">
        <x:v>https://apps.tpwd.state.tx.us/huntwild/hunt/public/public_hunt_drawing/</x:v>
      </x:c>
      <x:c r="AP23" s="2" t="str">
        <x:v>https://www.google.com/maps/search/?api=1&amp;query=Richland+Creek+WMA+-+Carl+Frentress+Unit%2C+Texas</x:v>
      </x:c>
      <x:c r="AQ23" s="2" t="n">
        <x:v>-1</x:v>
      </x:c>
      <x:c r="AR23" s="2" t="str">
        <x:v>Lower priority: archery whitetail is more than 200 miles from Amarillo</x:v>
      </x:c>
    </x:row>
    <x:row r="24">
      <x:c r="A24" s="4" t="str">
        <x:v>No</x:v>
      </x:c>
      <x:c r="B24" s="4" t="str">
        <x:v>B</x:v>
      </x:c>
      <x:c r="C24" s="4" t="str">
        <x:v>Whitetail Deer</x:v>
      </x:c>
      <x:c r="D24" s="4" t="str">
        <x:v>Roger Fawcett WMA</x:v>
      </x:c>
      <x:c r="E24" s="4" t="str">
        <x:v>West-Central Texas</x:v>
      </x:c>
      <x:c r="F24" s="4" t="str">
        <x:v>Archery Deer</x:v>
      </x:c>
      <x:c r="G24" s="4" t="str">
        <x:v>Yes</x:v>
      </x:c>
      <x:c r="H24" s="4" t="str">
        <x:v>Yes</x:v>
      </x:c>
      <x:c r="I24" s="24" t="str">
        <x:v>2026-08-15</x:v>
      </x:c>
      <x:c r="J24" s="4" t="str">
        <x:v>See TPWD category page</x:v>
      </x:c>
      <x:c r="K24" s="4" t="n">
        <x:v>3</x:v>
      </x:c>
      <x:c r="L24" s="4"/>
      <x:c r="M24" s="4"/>
      <x:c r="N24" s="4"/>
      <x:c r="O24" s="4"/>
      <x:c r="P24" s="4" t="n">
        <x:v>300</x:v>
      </x:c>
      <x:c r="Q24" s="4" t="str">
        <x:v>Extended</x:v>
      </x:c>
      <x:c r="R24" s="4" t="str">
        <x:v>Research before draw; property brochure linked from TPWD</x:v>
      </x:c>
      <x:c r="S24" s="4" t="str">
        <x:v>Low</x:v>
      </x:c>
      <x:c r="T24" s="4" t="str">
        <x:v>No</x:v>
      </x:c>
      <x:c r="U24" s="4" t="str">
        <x:v>Verified in TPWD 2026-2027 statewide deer category catalog. V5 preference rule: Lower priority: archery whitetail is more than 200 miles from Amarillo.</x:v>
      </x:c>
      <x:c r="V24" s="4" t="str">
        <x:v>https://tpwd.texas.gov/huntwild/hunt/public/public_hunt_drawing/hunt-category-details.phtml?OCat=ADE</x:v>
      </x:c>
      <x:c r="W24" s="4" t="n">
        <x:v>2</x:v>
      </x:c>
      <x:c r="X24" s="4" t="n">
        <x:v>4</x:v>
      </x:c>
      <x:c r="Y24" s="4" t="n">
        <x:v>4</x:v>
      </x:c>
      <x:c r="Z24" s="4" t="n">
        <x:v>3</x:v>
      </x:c>
      <x:c r="AA24" s="4" t="n">
        <x:v>2</x:v>
      </x:c>
      <x:c r="AB24" s="4" t="n">
        <x:v>0</x:v>
      </x:c>
      <x:c r="AC24" s="4" t="n">
        <x:v>1.6</x:v>
      </x:c>
      <x:c r="AD24" s="4"/>
      <x:c r="AE24" s="4" t="str">
        <x:v>2026-08-15</x:v>
      </x:c>
      <x:c r="AF24" s="2"/>
      <x:c r="AG24" s="2"/>
      <x:c r="AH24" s="2"/>
      <x:c r="AI24" s="2"/>
      <x:c r="AJ24" s="2"/>
      <x:c r="AK24" s="2"/>
      <x:c r="AL24" s="2"/>
      <x:c r="AM24" s="2" t="str">
        <x:v>https://tpwd.texas.gov/huntwild/hunt/public/public_hunt_drawing/hunt-category-details.phtml?OCat=ADE</x:v>
      </x:c>
      <x:c r="AN24" s="2" t="str">
        <x:v>https://tpwd.texas.gov/search/?q=Roger+Fawcett+WMA+public+hunting+brochure</x:v>
      </x:c>
      <x:c r="AO24" s="2" t="str">
        <x:v>https://apps.tpwd.state.tx.us/huntwild/hunt/public/public_hunt_drawing/</x:v>
      </x:c>
      <x:c r="AP24" s="2" t="str">
        <x:v>https://www.google.com/maps/search/?api=1&amp;query=Roger+Fawcett+WMA%2C+Texas</x:v>
      </x:c>
      <x:c r="AQ24" s="2" t="n">
        <x:v>-1</x:v>
      </x:c>
      <x:c r="AR24" s="2" t="str">
        <x:v>Lower priority: archery whitetail is more than 200 miles from Amarillo</x:v>
      </x:c>
    </x:row>
    <x:row r="25">
      <x:c r="A25" s="4" t="str">
        <x:v>No</x:v>
      </x:c>
      <x:c r="B25" s="4" t="str">
        <x:v>A</x:v>
      </x:c>
      <x:c r="C25" s="4" t="str">
        <x:v>Whitetail Deer</x:v>
      </x:c>
      <x:c r="D25" s="4" t="str">
        <x:v>Abilene SP</x:v>
      </x:c>
      <x:c r="E25" s="4" t="str">
        <x:v>West-Central Texas</x:v>
      </x:c>
      <x:c r="F25" s="4" t="str">
        <x:v>Youth Gun Deer - Either Sex</x:v>
      </x:c>
      <x:c r="G25" s="4" t="str">
        <x:v>No</x:v>
      </x:c>
      <x:c r="H25" s="4" t="str">
        <x:v>Yes</x:v>
      </x:c>
      <x:c r="I25" s="24" t="str">
        <x:v>2026-09-01</x:v>
      </x:c>
      <x:c r="J25" s="4" t="str">
        <x:v>See TPWD category page</x:v>
      </x:c>
      <x:c r="K25" s="4" t="n">
        <x:v>0</x:v>
      </x:c>
      <x:c r="L25" s="4" t="n">
        <x:v>0</x:v>
      </x:c>
      <x:c r="M25" s="4"/>
      <x:c r="N25" s="4"/>
      <x:c r="O25" s="4"/>
      <x:c r="P25" s="4" t="n">
        <x:v>300</x:v>
      </x:c>
      <x:c r="Q25" s="4" t="str">
        <x:v>Extended</x:v>
      </x:c>
      <x:c r="R25" s="4" t="str">
        <x:v>Research before draw; property brochure linked from TPWD</x:v>
      </x:c>
      <x:c r="S25" s="4" t="str">
        <x:v>Low</x:v>
      </x:c>
      <x:c r="T25" s="4" t="str">
        <x:v>No</x:v>
      </x:c>
      <x:c r="U25" s="4" t="str">
        <x:v>Verified in TPWD 2026-2027 statewide deer category catalog.</x:v>
      </x:c>
      <x:c r="V25" s="4" t="str">
        <x:v>https://tpwd.texas.gov/huntwild/hunt/public/public_hunt_drawing/hunt-category-details.phtml?OCat=YDE</x:v>
      </x:c>
      <x:c r="W25" s="4" t="n">
        <x:v>2</x:v>
      </x:c>
      <x:c r="X25" s="4" t="n">
        <x:v>4</x:v>
      </x:c>
      <x:c r="Y25" s="4" t="n">
        <x:v>5</x:v>
      </x:c>
      <x:c r="Z25" s="4" t="n">
        <x:v>3</x:v>
      </x:c>
      <x:c r="AA25" s="4" t="n">
        <x:v>2</x:v>
      </x:c>
      <x:c r="AB25" s="4" t="n">
        <x:v>0</x:v>
      </x:c>
      <x:c r="AC25" s="4" t="n">
        <x:v>2.9</x:v>
      </x:c>
      <x:c r="AD25" s="4" t="n">
        <x:v>0</x:v>
      </x:c>
      <x:c r="AE25" s="4" t="str">
        <x:v>2026-09-01</x:v>
      </x:c>
      <x:c r="AF25" s="2"/>
      <x:c r="AG25" s="2"/>
      <x:c r="AH25" s="2"/>
      <x:c r="AI25" s="2"/>
      <x:c r="AJ25" s="2"/>
      <x:c r="AK25" s="2"/>
      <x:c r="AL25" s="2"/>
      <x:c r="AM25" s="2" t="str">
        <x:v>https://tpwd.texas.gov/huntwild/hunt/public/public_hunt_drawing/hunt-category-details.phtml?OCat=YDE</x:v>
      </x:c>
      <x:c r="AN25" s="2" t="str">
        <x:v>https://tpwd.texas.gov/search/?q=Abilene+SP+public+hunting+brochure</x:v>
      </x:c>
      <x:c r="AO25" s="2" t="str">
        <x:v>https://apps.tpwd.state.tx.us/huntwild/hunt/public/public_hunt_drawing/</x:v>
      </x:c>
      <x:c r="AP25" s="2" t="str">
        <x:v>https://www.google.com/maps/search/?api=1&amp;query=Abilene+SP%2C+Texas</x:v>
      </x:c>
      <x:c r="AQ25" s="2" t="n">
        <x:v>0</x:v>
      </x:c>
      <x:c r="AR25" s="2" t="str">
        <x:v>Standard Hastings ranking</x:v>
      </x:c>
    </x:row>
    <x:row r="26">
      <x:c r="A26" s="4" t="str">
        <x:v>No</x:v>
      </x:c>
      <x:c r="B26" s="4" t="str">
        <x:v>A</x:v>
      </x:c>
      <x:c r="C26" s="4" t="str">
        <x:v>Whitetail Deer</x:v>
      </x:c>
      <x:c r="D26" s="4" t="str">
        <x:v>Alazan Bayou WMA</x:v>
      </x:c>
      <x:c r="E26" s="4" t="str">
        <x:v>East Texas / Pineywoods</x:v>
      </x:c>
      <x:c r="F26" s="4" t="str">
        <x:v>Youth Gun Deer - Either Sex</x:v>
      </x:c>
      <x:c r="G26" s="4" t="str">
        <x:v>No</x:v>
      </x:c>
      <x:c r="H26" s="4" t="str">
        <x:v>Yes</x:v>
      </x:c>
      <x:c r="I26" s="24" t="str">
        <x:v>2026-09-01</x:v>
      </x:c>
      <x:c r="J26" s="4" t="str">
        <x:v>See TPWD category page</x:v>
      </x:c>
      <x:c r="K26" s="4" t="n">
        <x:v>0</x:v>
      </x:c>
      <x:c r="L26" s="4" t="n">
        <x:v>0</x:v>
      </x:c>
      <x:c r="M26" s="4"/>
      <x:c r="N26" s="4"/>
      <x:c r="O26" s="4"/>
      <x:c r="P26" s="4" t="n">
        <x:v>570</x:v>
      </x:c>
      <x:c r="Q26" s="4" t="str">
        <x:v>Statewide</x:v>
      </x:c>
      <x:c r="R26" s="4" t="str">
        <x:v>Research before draw; property brochure linked from TPWD</x:v>
      </x:c>
      <x:c r="S26" s="4" t="str">
        <x:v>Low</x:v>
      </x:c>
      <x:c r="T26" s="4" t="str">
        <x:v>No</x:v>
      </x:c>
      <x:c r="U26" s="4" t="str">
        <x:v>Verified in TPWD 2026-2027 statewide deer category catalog.</x:v>
      </x:c>
      <x:c r="V26" s="4" t="str">
        <x:v>https://tpwd.texas.gov/huntwild/hunt/public/public_hunt_drawing/hunt-category-details.phtml?OCat=YDE</x:v>
      </x:c>
      <x:c r="W26" s="4" t="n">
        <x:v>2</x:v>
      </x:c>
      <x:c r="X26" s="4" t="n">
        <x:v>2</x:v>
      </x:c>
      <x:c r="Y26" s="4" t="n">
        <x:v>5</x:v>
      </x:c>
      <x:c r="Z26" s="4" t="n">
        <x:v>3</x:v>
      </x:c>
      <x:c r="AA26" s="4" t="n">
        <x:v>2</x:v>
      </x:c>
      <x:c r="AB26" s="4" t="n">
        <x:v>0</x:v>
      </x:c>
      <x:c r="AC26" s="4" t="n">
        <x:v>2.5</x:v>
      </x:c>
      <x:c r="AD26" s="4" t="n">
        <x:v>0</x:v>
      </x:c>
      <x:c r="AE26" s="4" t="str">
        <x:v>2026-09-01</x:v>
      </x:c>
      <x:c r="AF26" s="2"/>
      <x:c r="AG26" s="2"/>
      <x:c r="AH26" s="2"/>
      <x:c r="AI26" s="2"/>
      <x:c r="AJ26" s="2"/>
      <x:c r="AK26" s="2"/>
      <x:c r="AL26" s="2"/>
      <x:c r="AM26" s="2" t="str">
        <x:v>https://tpwd.texas.gov/huntwild/hunt/public/public_hunt_drawing/hunt-category-details.phtml?OCat=YDE</x:v>
      </x:c>
      <x:c r="AN26" s="2" t="str">
        <x:v>https://tpwd.texas.gov/search/?q=Alazan+Bayou+WMA+public+hunting+brochure</x:v>
      </x:c>
      <x:c r="AO26" s="2" t="str">
        <x:v>https://apps.tpwd.state.tx.us/huntwild/hunt/public/public_hunt_drawing/</x:v>
      </x:c>
      <x:c r="AP26" s="2" t="str">
        <x:v>https://www.google.com/maps/search/?api=1&amp;query=Alazan+Bayou+WMA%2C+Texas</x:v>
      </x:c>
      <x:c r="AQ26" s="2" t="n">
        <x:v>0</x:v>
      </x:c>
      <x:c r="AR26" s="2" t="str">
        <x:v>Standard Hastings ranking</x:v>
      </x:c>
    </x:row>
    <x:row r="27">
      <x:c r="A27" s="4" t="str">
        <x:v>No</x:v>
      </x:c>
      <x:c r="B27" s="4" t="str">
        <x:v>A</x:v>
      </x:c>
      <x:c r="C27" s="4" t="str">
        <x:v>Whitetail Deer</x:v>
      </x:c>
      <x:c r="D27" s="4" t="str">
        <x:v>Atlanta SP</x:v>
      </x:c>
      <x:c r="E27" s="4" t="str">
        <x:v>East Texas / Pineywoods</x:v>
      </x:c>
      <x:c r="F27" s="4" t="str">
        <x:v>Youth Gun Deer - Either Sex</x:v>
      </x:c>
      <x:c r="G27" s="4" t="str">
        <x:v>No</x:v>
      </x:c>
      <x:c r="H27" s="4" t="str">
        <x:v>Yes</x:v>
      </x:c>
      <x:c r="I27" s="24" t="str">
        <x:v>2026-09-01</x:v>
      </x:c>
      <x:c r="J27" s="4" t="str">
        <x:v>See TPWD category page</x:v>
      </x:c>
      <x:c r="K27" s="4" t="n">
        <x:v>0</x:v>
      </x:c>
      <x:c r="L27" s="4" t="n">
        <x:v>0</x:v>
      </x:c>
      <x:c r="M27" s="4"/>
      <x:c r="N27" s="4"/>
      <x:c r="O27" s="4"/>
      <x:c r="P27" s="4" t="n">
        <x:v>570</x:v>
      </x:c>
      <x:c r="Q27" s="4" t="str">
        <x:v>Statewide</x:v>
      </x:c>
      <x:c r="R27" s="4" t="str">
        <x:v>Research before draw; property brochure linked from TPWD</x:v>
      </x:c>
      <x:c r="S27" s="4" t="str">
        <x:v>Low</x:v>
      </x:c>
      <x:c r="T27" s="4" t="str">
        <x:v>No</x:v>
      </x:c>
      <x:c r="U27" s="4" t="str">
        <x:v>Verified in TPWD 2026-2027 statewide deer category catalog.</x:v>
      </x:c>
      <x:c r="V27" s="4" t="str">
        <x:v>https://tpwd.texas.gov/huntwild/hunt/public/public_hunt_drawing/hunt-category-details.phtml?OCat=YDE</x:v>
      </x:c>
      <x:c r="W27" s="4" t="n">
        <x:v>2</x:v>
      </x:c>
      <x:c r="X27" s="4" t="n">
        <x:v>2</x:v>
      </x:c>
      <x:c r="Y27" s="4" t="n">
        <x:v>5</x:v>
      </x:c>
      <x:c r="Z27" s="4" t="n">
        <x:v>3</x:v>
      </x:c>
      <x:c r="AA27" s="4" t="n">
        <x:v>2</x:v>
      </x:c>
      <x:c r="AB27" s="4" t="n">
        <x:v>0</x:v>
      </x:c>
      <x:c r="AC27" s="4" t="n">
        <x:v>2.5</x:v>
      </x:c>
      <x:c r="AD27" s="4" t="n">
        <x:v>0</x:v>
      </x:c>
      <x:c r="AE27" s="4" t="str">
        <x:v>2026-09-01</x:v>
      </x:c>
      <x:c r="AF27" s="2"/>
      <x:c r="AG27" s="2"/>
      <x:c r="AH27" s="2"/>
      <x:c r="AI27" s="2"/>
      <x:c r="AJ27" s="2"/>
      <x:c r="AK27" s="2"/>
      <x:c r="AL27" s="2"/>
      <x:c r="AM27" s="2" t="str">
        <x:v>https://tpwd.texas.gov/huntwild/hunt/public/public_hunt_drawing/hunt-category-details.phtml?OCat=YDE</x:v>
      </x:c>
      <x:c r="AN27" s="2" t="str">
        <x:v>https://tpwd.texas.gov/search/?q=Atlanta+SP+public+hunting+brochure</x:v>
      </x:c>
      <x:c r="AO27" s="2" t="str">
        <x:v>https://apps.tpwd.state.tx.us/huntwild/hunt/public/public_hunt_drawing/</x:v>
      </x:c>
      <x:c r="AP27" s="2" t="str">
        <x:v>https://www.google.com/maps/search/?api=1&amp;query=Atlanta+SP%2C+Texas</x:v>
      </x:c>
      <x:c r="AQ27" s="2" t="n">
        <x:v>0</x:v>
      </x:c>
      <x:c r="AR27" s="2" t="str">
        <x:v>Standard Hastings ranking</x:v>
      </x:c>
    </x:row>
    <x:row r="28">
      <x:c r="A28" s="4" t="str">
        <x:v>No</x:v>
      </x:c>
      <x:c r="B28" s="4" t="str">
        <x:v>A</x:v>
      </x:c>
      <x:c r="C28" s="4" t="str">
        <x:v>Whitetail Deer</x:v>
      </x:c>
      <x:c r="D28" s="4" t="str">
        <x:v>Bastrop SP</x:v>
      </x:c>
      <x:c r="E28" s="4" t="str">
        <x:v>Central Texas / Austin</x:v>
      </x:c>
      <x:c r="F28" s="4" t="str">
        <x:v>Youth Gun Deer - Either Sex</x:v>
      </x:c>
      <x:c r="G28" s="4" t="str">
        <x:v>No</x:v>
      </x:c>
      <x:c r="H28" s="4" t="str">
        <x:v>Yes</x:v>
      </x:c>
      <x:c r="I28" s="24" t="str">
        <x:v>2026-09-01</x:v>
      </x:c>
      <x:c r="J28" s="4" t="str">
        <x:v>See TPWD category page</x:v>
      </x:c>
      <x:c r="K28" s="4" t="n">
        <x:v>0</x:v>
      </x:c>
      <x:c r="L28" s="4" t="n">
        <x:v>0</x:v>
      </x:c>
      <x:c r="M28" s="4"/>
      <x:c r="N28" s="4"/>
      <x:c r="O28" s="4"/>
      <x:c r="P28" s="4" t="n">
        <x:v>490</x:v>
      </x:c>
      <x:c r="Q28" s="4" t="str">
        <x:v>Statewide</x:v>
      </x:c>
      <x:c r="R28" s="4" t="str">
        <x:v>Research before draw; property brochure linked from TPWD</x:v>
      </x:c>
      <x:c r="S28" s="4" t="str">
        <x:v>Low</x:v>
      </x:c>
      <x:c r="T28" s="4" t="str">
        <x:v>No</x:v>
      </x:c>
      <x:c r="U28" s="4" t="str">
        <x:v>Verified in TPWD 2026-2027 statewide deer category catalog.</x:v>
      </x:c>
      <x:c r="V28" s="4" t="str">
        <x:v>https://tpwd.texas.gov/huntwild/hunt/public/public_hunt_drawing/hunt-category-details.phtml?OCat=YDE</x:v>
      </x:c>
      <x:c r="W28" s="4" t="n">
        <x:v>2</x:v>
      </x:c>
      <x:c r="X28" s="4" t="n">
        <x:v>2</x:v>
      </x:c>
      <x:c r="Y28" s="4" t="n">
        <x:v>5</x:v>
      </x:c>
      <x:c r="Z28" s="4" t="n">
        <x:v>3</x:v>
      </x:c>
      <x:c r="AA28" s="4" t="n">
        <x:v>2</x:v>
      </x:c>
      <x:c r="AB28" s="4" t="n">
        <x:v>0</x:v>
      </x:c>
      <x:c r="AC28" s="4" t="n">
        <x:v>2.5</x:v>
      </x:c>
      <x:c r="AD28" s="4" t="n">
        <x:v>0</x:v>
      </x:c>
      <x:c r="AE28" s="4" t="str">
        <x:v>2026-09-01</x:v>
      </x:c>
      <x:c r="AF28" s="2"/>
      <x:c r="AG28" s="2"/>
      <x:c r="AH28" s="2"/>
      <x:c r="AI28" s="2"/>
      <x:c r="AJ28" s="2"/>
      <x:c r="AK28" s="2"/>
      <x:c r="AL28" s="2"/>
      <x:c r="AM28" s="2" t="str">
        <x:v>https://tpwd.texas.gov/huntwild/hunt/public/public_hunt_drawing/hunt-category-details.phtml?OCat=YDE</x:v>
      </x:c>
      <x:c r="AN28" s="2" t="str">
        <x:v>https://tpwd.texas.gov/search/?q=Bastrop+SP+public+hunting+brochure</x:v>
      </x:c>
      <x:c r="AO28" s="2" t="str">
        <x:v>https://apps.tpwd.state.tx.us/huntwild/hunt/public/public_hunt_drawing/</x:v>
      </x:c>
      <x:c r="AP28" s="2" t="str">
        <x:v>https://www.google.com/maps/search/?api=1&amp;query=Bastrop+SP%2C+Texas</x:v>
      </x:c>
      <x:c r="AQ28" s="2" t="n">
        <x:v>0</x:v>
      </x:c>
      <x:c r="AR28" s="2" t="str">
        <x:v>Standard Hastings ranking</x:v>
      </x:c>
    </x:row>
    <x:row r="29">
      <x:c r="A29" s="4" t="str">
        <x:v>No</x:v>
      </x:c>
      <x:c r="B29" s="4" t="str">
        <x:v>A</x:v>
      </x:c>
      <x:c r="C29" s="4" t="str">
        <x:v>Whitetail Deer</x:v>
      </x:c>
      <x:c r="D29" s="4" t="str">
        <x:v>Chaparral WMA</x:v>
      </x:c>
      <x:c r="E29" s="4" t="str">
        <x:v>South Texas / Rio Grande Valley</x:v>
      </x:c>
      <x:c r="F29" s="4" t="str">
        <x:v>Youth Gun Deer - Either Sex</x:v>
      </x:c>
      <x:c r="G29" s="4" t="str">
        <x:v>No</x:v>
      </x:c>
      <x:c r="H29" s="4" t="str">
        <x:v>Yes</x:v>
      </x:c>
      <x:c r="I29" s="24" t="str">
        <x:v>2026-09-01</x:v>
      </x:c>
      <x:c r="J29" s="4" t="str">
        <x:v>See TPWD category page</x:v>
      </x:c>
      <x:c r="K29" s="4" t="n">
        <x:v>0</x:v>
      </x:c>
      <x:c r="L29" s="4" t="n">
        <x:v>0</x:v>
      </x:c>
      <x:c r="M29" s="4"/>
      <x:c r="N29" s="4"/>
      <x:c r="O29" s="4"/>
      <x:c r="P29" s="4" t="n">
        <x:v>700</x:v>
      </x:c>
      <x:c r="Q29" s="4" t="str">
        <x:v>Long Haul</x:v>
      </x:c>
      <x:c r="R29" s="4" t="str">
        <x:v>Research before draw; property brochure linked from TPWD</x:v>
      </x:c>
      <x:c r="S29" s="4" t="str">
        <x:v>Low</x:v>
      </x:c>
      <x:c r="T29" s="4" t="str">
        <x:v>No</x:v>
      </x:c>
      <x:c r="U29" s="4" t="str">
        <x:v>Verified in TPWD 2026-2027 statewide deer category catalog.</x:v>
      </x:c>
      <x:c r="V29" s="4" t="str">
        <x:v>https://tpwd.texas.gov/huntwild/hunt/public/public_hunt_drawing/hunt-category-details.phtml?OCat=YDE</x:v>
      </x:c>
      <x:c r="W29" s="4" t="n">
        <x:v>2</x:v>
      </x:c>
      <x:c r="X29" s="4" t="n">
        <x:v>1</x:v>
      </x:c>
      <x:c r="Y29" s="4" t="n">
        <x:v>5</x:v>
      </x:c>
      <x:c r="Z29" s="4" t="n">
        <x:v>3</x:v>
      </x:c>
      <x:c r="AA29" s="4" t="n">
        <x:v>2</x:v>
      </x:c>
      <x:c r="AB29" s="4" t="n">
        <x:v>0</x:v>
      </x:c>
      <x:c r="AC29" s="4" t="n">
        <x:v>2.4</x:v>
      </x:c>
      <x:c r="AD29" s="4" t="n">
        <x:v>0</x:v>
      </x:c>
      <x:c r="AE29" s="4" t="str">
        <x:v>2026-09-01</x:v>
      </x:c>
      <x:c r="AF29" s="2"/>
      <x:c r="AG29" s="2"/>
      <x:c r="AH29" s="2"/>
      <x:c r="AI29" s="2"/>
      <x:c r="AJ29" s="2"/>
      <x:c r="AK29" s="2"/>
      <x:c r="AL29" s="2"/>
      <x:c r="AM29" s="2" t="str">
        <x:v>https://tpwd.texas.gov/huntwild/hunt/public/public_hunt_drawing/hunt-category-details.phtml?OCat=YDE</x:v>
      </x:c>
      <x:c r="AN29" s="2" t="str">
        <x:v>https://tpwd.texas.gov/search/?q=Chaparral+WMA+public+hunting+brochure</x:v>
      </x:c>
      <x:c r="AO29" s="2" t="str">
        <x:v>https://apps.tpwd.state.tx.us/huntwild/hunt/public/public_hunt_drawing/</x:v>
      </x:c>
      <x:c r="AP29" s="2" t="str">
        <x:v>https://www.google.com/maps/search/?api=1&amp;query=Chaparral+WMA%2C+Texas</x:v>
      </x:c>
      <x:c r="AQ29" s="2" t="n">
        <x:v>0</x:v>
      </x:c>
      <x:c r="AR29" s="2" t="str">
        <x:v>Standard Hastings ranking</x:v>
      </x:c>
    </x:row>
    <x:row r="30">
      <x:c r="A30" s="4" t="str">
        <x:v>No</x:v>
      </x:c>
      <x:c r="B30" s="4" t="str">
        <x:v>A</x:v>
      </x:c>
      <x:c r="C30" s="4" t="str">
        <x:v>Whitetail Deer</x:v>
      </x:c>
      <x:c r="D30" s="4" t="str">
        <x:v>Choke Canyon SP - North Shore Unit</x:v>
      </x:c>
      <x:c r="E30" s="4" t="str">
        <x:v>South Texas / Rio Grande Valley</x:v>
      </x:c>
      <x:c r="F30" s="4" t="str">
        <x:v>Youth Gun Deer - Either Sex</x:v>
      </x:c>
      <x:c r="G30" s="4" t="str">
        <x:v>No</x:v>
      </x:c>
      <x:c r="H30" s="4" t="str">
        <x:v>Yes</x:v>
      </x:c>
      <x:c r="I30" s="24" t="str">
        <x:v>2026-09-01</x:v>
      </x:c>
      <x:c r="J30" s="4" t="str">
        <x:v>See TPWD category page</x:v>
      </x:c>
      <x:c r="K30" s="4" t="n">
        <x:v>0</x:v>
      </x:c>
      <x:c r="L30" s="4" t="n">
        <x:v>0</x:v>
      </x:c>
      <x:c r="M30" s="4"/>
      <x:c r="N30" s="4"/>
      <x:c r="O30" s="4"/>
      <x:c r="P30" s="4" t="n">
        <x:v>700</x:v>
      </x:c>
      <x:c r="Q30" s="4" t="str">
        <x:v>Long Haul</x:v>
      </x:c>
      <x:c r="R30" s="4" t="str">
        <x:v>Research before draw; property brochure linked from TPWD</x:v>
      </x:c>
      <x:c r="S30" s="4" t="str">
        <x:v>Low</x:v>
      </x:c>
      <x:c r="T30" s="4" t="str">
        <x:v>No</x:v>
      </x:c>
      <x:c r="U30" s="4" t="str">
        <x:v>Verified in TPWD 2026-2027 statewide deer category catalog.</x:v>
      </x:c>
      <x:c r="V30" s="4" t="str">
        <x:v>https://tpwd.texas.gov/huntwild/hunt/public/public_hunt_drawing/hunt-category-details.phtml?OCat=YDE</x:v>
      </x:c>
      <x:c r="W30" s="4" t="n">
        <x:v>2</x:v>
      </x:c>
      <x:c r="X30" s="4" t="n">
        <x:v>1</x:v>
      </x:c>
      <x:c r="Y30" s="4" t="n">
        <x:v>5</x:v>
      </x:c>
      <x:c r="Z30" s="4" t="n">
        <x:v>3</x:v>
      </x:c>
      <x:c r="AA30" s="4" t="n">
        <x:v>2</x:v>
      </x:c>
      <x:c r="AB30" s="4" t="n">
        <x:v>0</x:v>
      </x:c>
      <x:c r="AC30" s="4" t="n">
        <x:v>2.4</x:v>
      </x:c>
      <x:c r="AD30" s="4" t="n">
        <x:v>0</x:v>
      </x:c>
      <x:c r="AE30" s="4" t="str">
        <x:v>2026-09-01</x:v>
      </x:c>
      <x:c r="AF30" s="2"/>
      <x:c r="AG30" s="2"/>
      <x:c r="AH30" s="2"/>
      <x:c r="AI30" s="2"/>
      <x:c r="AJ30" s="2"/>
      <x:c r="AK30" s="2"/>
      <x:c r="AL30" s="2"/>
      <x:c r="AM30" s="2" t="str">
        <x:v>https://tpwd.texas.gov/huntwild/hunt/public/public_hunt_drawing/hunt-category-details.phtml?OCat=YDE</x:v>
      </x:c>
      <x:c r="AN30" s="2" t="str">
        <x:v>https://tpwd.texas.gov/search/?q=Choke+Canyon+SP+-+North+Shore+Unit+public+hunting+brochure</x:v>
      </x:c>
      <x:c r="AO30" s="2" t="str">
        <x:v>https://apps.tpwd.state.tx.us/huntwild/hunt/public/public_hunt_drawing/</x:v>
      </x:c>
      <x:c r="AP30" s="2" t="str">
        <x:v>https://www.google.com/maps/search/?api=1&amp;query=Choke+Canyon+SP+-+North+Shore+Unit%2C+Texas</x:v>
      </x:c>
      <x:c r="AQ30" s="2" t="n">
        <x:v>0</x:v>
      </x:c>
      <x:c r="AR30" s="2" t="str">
        <x:v>Standard Hastings ranking</x:v>
      </x:c>
    </x:row>
    <x:row r="31">
      <x:c r="A31" s="4" t="str">
        <x:v>No</x:v>
      </x:c>
      <x:c r="B31" s="4" t="str">
        <x:v>A</x:v>
      </x:c>
      <x:c r="C31" s="4" t="str">
        <x:v>Whitetail Deer</x:v>
      </x:c>
      <x:c r="D31" s="4" t="str">
        <x:v>Colorado Bend SP</x:v>
      </x:c>
      <x:c r="E31" s="4" t="str">
        <x:v>Central Texas / Austin</x:v>
      </x:c>
      <x:c r="F31" s="4" t="str">
        <x:v>Youth Gun Deer - Either Sex</x:v>
      </x:c>
      <x:c r="G31" s="4" t="str">
        <x:v>No</x:v>
      </x:c>
      <x:c r="H31" s="4" t="str">
        <x:v>Yes</x:v>
      </x:c>
      <x:c r="I31" s="24" t="str">
        <x:v>2026-09-01</x:v>
      </x:c>
      <x:c r="J31" s="4" t="str">
        <x:v>See TPWD category page</x:v>
      </x:c>
      <x:c r="K31" s="4" t="n">
        <x:v>0</x:v>
      </x:c>
      <x:c r="L31" s="4" t="n">
        <x:v>0</x:v>
      </x:c>
      <x:c r="M31" s="4"/>
      <x:c r="N31" s="4"/>
      <x:c r="O31" s="4"/>
      <x:c r="P31" s="4" t="n">
        <x:v>490</x:v>
      </x:c>
      <x:c r="Q31" s="4" t="str">
        <x:v>Statewide</x:v>
      </x:c>
      <x:c r="R31" s="4" t="str">
        <x:v>Research before draw; property brochure linked from TPWD</x:v>
      </x:c>
      <x:c r="S31" s="4" t="str">
        <x:v>Low</x:v>
      </x:c>
      <x:c r="T31" s="4" t="str">
        <x:v>No</x:v>
      </x:c>
      <x:c r="U31" s="4" t="str">
        <x:v>Verified in TPWD 2026-2027 statewide deer category catalog.</x:v>
      </x:c>
      <x:c r="V31" s="4" t="str">
        <x:v>https://tpwd.texas.gov/huntwild/hunt/public/public_hunt_drawing/hunt-category-details.phtml?OCat=YDE</x:v>
      </x:c>
      <x:c r="W31" s="4" t="n">
        <x:v>2</x:v>
      </x:c>
      <x:c r="X31" s="4" t="n">
        <x:v>2</x:v>
      </x:c>
      <x:c r="Y31" s="4" t="n">
        <x:v>5</x:v>
      </x:c>
      <x:c r="Z31" s="4" t="n">
        <x:v>3</x:v>
      </x:c>
      <x:c r="AA31" s="4" t="n">
        <x:v>2</x:v>
      </x:c>
      <x:c r="AB31" s="4" t="n">
        <x:v>0</x:v>
      </x:c>
      <x:c r="AC31" s="4" t="n">
        <x:v>2.5</x:v>
      </x:c>
      <x:c r="AD31" s="4" t="n">
        <x:v>0</x:v>
      </x:c>
      <x:c r="AE31" s="4" t="str">
        <x:v>2026-09-01</x:v>
      </x:c>
      <x:c r="AF31" s="2"/>
      <x:c r="AG31" s="2"/>
      <x:c r="AH31" s="2"/>
      <x:c r="AI31" s="2"/>
      <x:c r="AJ31" s="2"/>
      <x:c r="AK31" s="2"/>
      <x:c r="AL31" s="2"/>
      <x:c r="AM31" s="2" t="str">
        <x:v>https://tpwd.texas.gov/huntwild/hunt/public/public_hunt_drawing/hunt-category-details.phtml?OCat=YDE</x:v>
      </x:c>
      <x:c r="AN31" s="2" t="str">
        <x:v>https://tpwd.texas.gov/search/?q=Colorado+Bend+SP+public+hunting+brochure</x:v>
      </x:c>
      <x:c r="AO31" s="2" t="str">
        <x:v>https://apps.tpwd.state.tx.us/huntwild/hunt/public/public_hunt_drawing/</x:v>
      </x:c>
      <x:c r="AP31" s="2" t="str">
        <x:v>https://www.google.com/maps/search/?api=1&amp;query=Colorado+Bend+SP%2C+Texas</x:v>
      </x:c>
      <x:c r="AQ31" s="2" t="n">
        <x:v>0</x:v>
      </x:c>
      <x:c r="AR31" s="2" t="str">
        <x:v>Standard Hastings ranking</x:v>
      </x:c>
    </x:row>
    <x:row r="32">
      <x:c r="A32" s="4" t="str">
        <x:v>No</x:v>
      </x:c>
      <x:c r="B32" s="4" t="str">
        <x:v>A</x:v>
      </x:c>
      <x:c r="C32" s="4" t="str">
        <x:v>Whitetail Deer</x:v>
      </x:c>
      <x:c r="D32" s="4" t="str">
        <x:v>Cooper WMA</x:v>
      </x:c>
      <x:c r="E32" s="4" t="str">
        <x:v>North Texas / DFW</x:v>
      </x:c>
      <x:c r="F32" s="4" t="str">
        <x:v>Youth Gun Deer - Either Sex</x:v>
      </x:c>
      <x:c r="G32" s="4" t="str">
        <x:v>No</x:v>
      </x:c>
      <x:c r="H32" s="4" t="str">
        <x:v>Yes</x:v>
      </x:c>
      <x:c r="I32" s="24" t="str">
        <x:v>2026-09-01</x:v>
      </x:c>
      <x:c r="J32" s="4" t="str">
        <x:v>See TPWD category page</x:v>
      </x:c>
      <x:c r="K32" s="4" t="n">
        <x:v>0</x:v>
      </x:c>
      <x:c r="L32" s="4" t="n">
        <x:v>0</x:v>
      </x:c>
      <x:c r="M32" s="4"/>
      <x:c r="N32" s="4"/>
      <x:c r="O32" s="4"/>
      <x:c r="P32" s="4" t="n">
        <x:v>360</x:v>
      </x:c>
      <x:c r="Q32" s="4" t="str">
        <x:v>Extended</x:v>
      </x:c>
      <x:c r="R32" s="4" t="str">
        <x:v>Research before draw; property brochure linked from TPWD</x:v>
      </x:c>
      <x:c r="S32" s="4" t="str">
        <x:v>Low</x:v>
      </x:c>
      <x:c r="T32" s="4" t="str">
        <x:v>No</x:v>
      </x:c>
      <x:c r="U32" s="4" t="str">
        <x:v>Verified in TPWD 2026-2027 statewide deer category catalog.</x:v>
      </x:c>
      <x:c r="V32" s="4" t="str">
        <x:v>https://tpwd.texas.gov/huntwild/hunt/public/public_hunt_drawing/hunt-category-details.phtml?OCat=YDE</x:v>
      </x:c>
      <x:c r="W32" s="4" t="n">
        <x:v>2</x:v>
      </x:c>
      <x:c r="X32" s="4" t="n">
        <x:v>3</x:v>
      </x:c>
      <x:c r="Y32" s="4" t="n">
        <x:v>5</x:v>
      </x:c>
      <x:c r="Z32" s="4" t="n">
        <x:v>3</x:v>
      </x:c>
      <x:c r="AA32" s="4" t="n">
        <x:v>2</x:v>
      </x:c>
      <x:c r="AB32" s="4" t="n">
        <x:v>0</x:v>
      </x:c>
      <x:c r="AC32" s="4" t="n">
        <x:v>2.7</x:v>
      </x:c>
      <x:c r="AD32" s="4" t="n">
        <x:v>0</x:v>
      </x:c>
      <x:c r="AE32" s="4" t="str">
        <x:v>2026-09-01</x:v>
      </x:c>
      <x:c r="AF32" s="2"/>
      <x:c r="AG32" s="2"/>
      <x:c r="AH32" s="2"/>
      <x:c r="AI32" s="2"/>
      <x:c r="AJ32" s="2"/>
      <x:c r="AK32" s="2"/>
      <x:c r="AL32" s="2"/>
      <x:c r="AM32" s="2" t="str">
        <x:v>https://tpwd.texas.gov/huntwild/hunt/public/public_hunt_drawing/hunt-category-details.phtml?OCat=YDE</x:v>
      </x:c>
      <x:c r="AN32" s="2" t="str">
        <x:v>https://tpwd.texas.gov/search/?q=Cooper+WMA+public+hunting+brochure</x:v>
      </x:c>
      <x:c r="AO32" s="2" t="str">
        <x:v>https://apps.tpwd.state.tx.us/huntwild/hunt/public/public_hunt_drawing/</x:v>
      </x:c>
      <x:c r="AP32" s="2" t="str">
        <x:v>https://www.google.com/maps/search/?api=1&amp;query=Cooper+WMA%2C+Texas</x:v>
      </x:c>
      <x:c r="AQ32" s="2" t="n">
        <x:v>0</x:v>
      </x:c>
      <x:c r="AR32" s="2" t="str">
        <x:v>Standard Hastings ranking</x:v>
      </x:c>
    </x:row>
    <x:row r="33">
      <x:c r="A33" s="4" t="str">
        <x:v>No</x:v>
      </x:c>
      <x:c r="B33" s="4" t="str">
        <x:v>A</x:v>
      </x:c>
      <x:c r="C33" s="4" t="str">
        <x:v>Whitetail Deer</x:v>
      </x:c>
      <x:c r="D33" s="4" t="str">
        <x:v>Devil's Sinkhole SNA</x:v>
      </x:c>
      <x:c r="E33" s="4" t="str">
        <x:v>Hill Country / San Antonio</x:v>
      </x:c>
      <x:c r="F33" s="4" t="str">
        <x:v>Youth Gun Deer - Either Sex</x:v>
      </x:c>
      <x:c r="G33" s="4" t="str">
        <x:v>No</x:v>
      </x:c>
      <x:c r="H33" s="4" t="str">
        <x:v>Yes</x:v>
      </x:c>
      <x:c r="I33" s="24" t="str">
        <x:v>2026-09-01</x:v>
      </x:c>
      <x:c r="J33" s="4" t="str">
        <x:v>See TPWD category page</x:v>
      </x:c>
      <x:c r="K33" s="4" t="n">
        <x:v>0</x:v>
      </x:c>
      <x:c r="L33" s="4" t="n">
        <x:v>0</x:v>
      </x:c>
      <x:c r="M33" s="4"/>
      <x:c r="N33" s="4"/>
      <x:c r="O33" s="4"/>
      <x:c r="P33" s="4" t="n">
        <x:v>520</x:v>
      </x:c>
      <x:c r="Q33" s="4" t="str">
        <x:v>Statewide</x:v>
      </x:c>
      <x:c r="R33" s="4" t="str">
        <x:v>Research before draw; property brochure linked from TPWD</x:v>
      </x:c>
      <x:c r="S33" s="4" t="str">
        <x:v>Low</x:v>
      </x:c>
      <x:c r="T33" s="4" t="str">
        <x:v>No</x:v>
      </x:c>
      <x:c r="U33" s="4" t="str">
        <x:v>Verified in TPWD 2026-2027 statewide deer category catalog.</x:v>
      </x:c>
      <x:c r="V33" s="4" t="str">
        <x:v>https://tpwd.texas.gov/huntwild/hunt/public/public_hunt_drawing/hunt-category-details.phtml?OCat=YDE</x:v>
      </x:c>
      <x:c r="W33" s="4" t="n">
        <x:v>2</x:v>
      </x:c>
      <x:c r="X33" s="4" t="n">
        <x:v>2</x:v>
      </x:c>
      <x:c r="Y33" s="4" t="n">
        <x:v>5</x:v>
      </x:c>
      <x:c r="Z33" s="4" t="n">
        <x:v>3</x:v>
      </x:c>
      <x:c r="AA33" s="4" t="n">
        <x:v>2</x:v>
      </x:c>
      <x:c r="AB33" s="4" t="n">
        <x:v>0</x:v>
      </x:c>
      <x:c r="AC33" s="4" t="n">
        <x:v>2.5</x:v>
      </x:c>
      <x:c r="AD33" s="4" t="n">
        <x:v>0</x:v>
      </x:c>
      <x:c r="AE33" s="4" t="str">
        <x:v>2026-09-01</x:v>
      </x:c>
      <x:c r="AF33" s="2"/>
      <x:c r="AG33" s="2"/>
      <x:c r="AH33" s="2"/>
      <x:c r="AI33" s="2"/>
      <x:c r="AJ33" s="2"/>
      <x:c r="AK33" s="2"/>
      <x:c r="AL33" s="2"/>
      <x:c r="AM33" s="2" t="str">
        <x:v>https://tpwd.texas.gov/huntwild/hunt/public/public_hunt_drawing/hunt-category-details.phtml?OCat=YDE</x:v>
      </x:c>
      <x:c r="AN33" s="2" t="str">
        <x:v>https://tpwd.texas.gov/search/?q=Devil%27s+Sinkhole+SNA+public+hunting+brochure</x:v>
      </x:c>
      <x:c r="AO33" s="2" t="str">
        <x:v>https://apps.tpwd.state.tx.us/huntwild/hunt/public/public_hunt_drawing/</x:v>
      </x:c>
      <x:c r="AP33" s="2" t="str">
        <x:v>https://www.google.com/maps/search/?api=1&amp;query=Devil%27s+Sinkhole+SNA%2C+Texas</x:v>
      </x:c>
      <x:c r="AQ33" s="2" t="n">
        <x:v>0</x:v>
      </x:c>
      <x:c r="AR33" s="2" t="str">
        <x:v>Standard Hastings ranking</x:v>
      </x:c>
    </x:row>
    <x:row r="34">
      <x:c r="A34" s="4" t="str">
        <x:v>No</x:v>
      </x:c>
      <x:c r="B34" s="4" t="str">
        <x:v>A</x:v>
      </x:c>
      <x:c r="C34" s="4" t="str">
        <x:v>Whitetail Deer</x:v>
      </x:c>
      <x:c r="D34" s="4" t="str">
        <x:v>Devils River SNA - Dan Allen Hughes</x:v>
      </x:c>
      <x:c r="E34" s="4" t="str">
        <x:v>Trans-Pecos / West Texas</x:v>
      </x:c>
      <x:c r="F34" s="4" t="str">
        <x:v>Youth Gun Deer - Either Sex</x:v>
      </x:c>
      <x:c r="G34" s="4" t="str">
        <x:v>No</x:v>
      </x:c>
      <x:c r="H34" s="4" t="str">
        <x:v>Yes</x:v>
      </x:c>
      <x:c r="I34" s="24" t="str">
        <x:v>2026-09-01</x:v>
      </x:c>
      <x:c r="J34" s="4" t="str">
        <x:v>See TPWD category page</x:v>
      </x:c>
      <x:c r="K34" s="4" t="n">
        <x:v>0</x:v>
      </x:c>
      <x:c r="L34" s="4" t="n">
        <x:v>0</x:v>
      </x:c>
      <x:c r="M34" s="4"/>
      <x:c r="N34" s="4"/>
      <x:c r="O34" s="4"/>
      <x:c r="P34" s="4" t="n">
        <x:v>520</x:v>
      </x:c>
      <x:c r="Q34" s="4" t="str">
        <x:v>Statewide</x:v>
      </x:c>
      <x:c r="R34" s="4" t="str">
        <x:v>Research before draw; property brochure linked from TPWD</x:v>
      </x:c>
      <x:c r="S34" s="4" t="str">
        <x:v>High</x:v>
      </x:c>
      <x:c r="T34" s="4" t="str">
        <x:v>No</x:v>
      </x:c>
      <x:c r="U34" s="4" t="str">
        <x:v>Verified in TPWD 2026-2027 statewide deer category catalog. West Texas/El Paso-region opportunity; prioritize for mule deer adventure value.</x:v>
      </x:c>
      <x:c r="V34" s="4" t="str">
        <x:v>https://tpwd.texas.gov/huntwild/hunt/public/public_hunt_drawing/hunt-category-details.phtml?OCat=YDE</x:v>
      </x:c>
      <x:c r="W34" s="4" t="n">
        <x:v>2</x:v>
      </x:c>
      <x:c r="X34" s="4" t="n">
        <x:v>2</x:v>
      </x:c>
      <x:c r="Y34" s="4" t="n">
        <x:v>5</x:v>
      </x:c>
      <x:c r="Z34" s="4" t="n">
        <x:v>3</x:v>
      </x:c>
      <x:c r="AA34" s="4" t="n">
        <x:v>4</x:v>
      </x:c>
      <x:c r="AB34" s="4" t="n">
        <x:v>0</x:v>
      </x:c>
      <x:c r="AC34" s="4" t="n">
        <x:v>2.7</x:v>
      </x:c>
      <x:c r="AD34" s="4" t="n">
        <x:v>0</x:v>
      </x:c>
      <x:c r="AE34" s="4" t="str">
        <x:v>2026-09-01</x:v>
      </x:c>
      <x:c r="AF34" s="2"/>
      <x:c r="AG34" s="2"/>
      <x:c r="AH34" s="2"/>
      <x:c r="AI34" s="2"/>
      <x:c r="AJ34" s="2"/>
      <x:c r="AK34" s="2"/>
      <x:c r="AL34" s="2"/>
      <x:c r="AM34" s="2" t="str">
        <x:v>https://tpwd.texas.gov/huntwild/hunt/public/public_hunt_drawing/hunt-category-details.phtml?OCat=YDE</x:v>
      </x:c>
      <x:c r="AN34" s="2" t="str">
        <x:v>https://tpwd.texas.gov/search/?q=Devils+River+SNA+-+Dan+Allen+Hughes+public+hunting+brochure</x:v>
      </x:c>
      <x:c r="AO34" s="2" t="str">
        <x:v>https://apps.tpwd.state.tx.us/huntwild/hunt/public/public_hunt_drawing/</x:v>
      </x:c>
      <x:c r="AP34" s="2" t="str">
        <x:v>https://www.google.com/maps/search/?api=1&amp;query=Devils+River+SNA+-+Dan+Allen+Hughes%2C+Texas</x:v>
      </x:c>
      <x:c r="AQ34" s="2" t="n">
        <x:v>0</x:v>
      </x:c>
      <x:c r="AR34" s="2" t="str">
        <x:v>Standard Hastings ranking</x:v>
      </x:c>
    </x:row>
    <x:row r="35">
      <x:c r="A35" s="4" t="str">
        <x:v>No</x:v>
      </x:c>
      <x:c r="B35" s="4" t="str">
        <x:v>A</x:v>
      </x:c>
      <x:c r="C35" s="4" t="str">
        <x:v>Whitetail Deer</x:v>
      </x:c>
      <x:c r="D35" s="4" t="str">
        <x:v>E.O. Siecke State Forest</x:v>
      </x:c>
      <x:c r="E35" s="4" t="str">
        <x:v>East Texas / Pineywoods</x:v>
      </x:c>
      <x:c r="F35" s="4" t="str">
        <x:v>Youth Gun Deer - Either Sex</x:v>
      </x:c>
      <x:c r="G35" s="4" t="str">
        <x:v>No</x:v>
      </x:c>
      <x:c r="H35" s="4" t="str">
        <x:v>Yes</x:v>
      </x:c>
      <x:c r="I35" s="24" t="str">
        <x:v>2026-09-01</x:v>
      </x:c>
      <x:c r="J35" s="4" t="str">
        <x:v>See TPWD category page</x:v>
      </x:c>
      <x:c r="K35" s="4" t="n">
        <x:v>0</x:v>
      </x:c>
      <x:c r="L35" s="4" t="n">
        <x:v>0</x:v>
      </x:c>
      <x:c r="M35" s="4"/>
      <x:c r="N35" s="4"/>
      <x:c r="O35" s="4"/>
      <x:c r="P35" s="4" t="n">
        <x:v>570</x:v>
      </x:c>
      <x:c r="Q35" s="4" t="str">
        <x:v>Statewide</x:v>
      </x:c>
      <x:c r="R35" s="4" t="str">
        <x:v>Research before draw; property brochure linked from TPWD</x:v>
      </x:c>
      <x:c r="S35" s="4" t="str">
        <x:v>Low</x:v>
      </x:c>
      <x:c r="T35" s="4" t="str">
        <x:v>No</x:v>
      </x:c>
      <x:c r="U35" s="4" t="str">
        <x:v>Verified in TPWD 2026-2027 statewide deer category catalog.</x:v>
      </x:c>
      <x:c r="V35" s="4" t="str">
        <x:v>https://tpwd.texas.gov/huntwild/hunt/public/public_hunt_drawing/hunt-category-details.phtml?OCat=YDE</x:v>
      </x:c>
      <x:c r="W35" s="4" t="n">
        <x:v>2</x:v>
      </x:c>
      <x:c r="X35" s="4" t="n">
        <x:v>2</x:v>
      </x:c>
      <x:c r="Y35" s="4" t="n">
        <x:v>5</x:v>
      </x:c>
      <x:c r="Z35" s="4" t="n">
        <x:v>3</x:v>
      </x:c>
      <x:c r="AA35" s="4" t="n">
        <x:v>2</x:v>
      </x:c>
      <x:c r="AB35" s="4" t="n">
        <x:v>0</x:v>
      </x:c>
      <x:c r="AC35" s="4" t="n">
        <x:v>2.5</x:v>
      </x:c>
      <x:c r="AD35" s="4" t="n">
        <x:v>0</x:v>
      </x:c>
      <x:c r="AE35" s="4" t="str">
        <x:v>2026-09-01</x:v>
      </x:c>
      <x:c r="AF35" s="2"/>
      <x:c r="AG35" s="2"/>
      <x:c r="AH35" s="2"/>
      <x:c r="AI35" s="2"/>
      <x:c r="AJ35" s="2"/>
      <x:c r="AK35" s="2"/>
      <x:c r="AL35" s="2"/>
      <x:c r="AM35" s="2" t="str">
        <x:v>https://tpwd.texas.gov/huntwild/hunt/public/public_hunt_drawing/hunt-category-details.phtml?OCat=YDE</x:v>
      </x:c>
      <x:c r="AN35" s="2" t="str">
        <x:v>https://tpwd.texas.gov/search/?q=E.O.+Siecke+State+Forest+public+hunting+brochure</x:v>
      </x:c>
      <x:c r="AO35" s="2" t="str">
        <x:v>https://apps.tpwd.state.tx.us/huntwild/hunt/public/public_hunt_drawing/</x:v>
      </x:c>
      <x:c r="AP35" s="2" t="str">
        <x:v>https://www.google.com/maps/search/?api=1&amp;query=E.O.+Siecke+State+Forest%2C+Texas</x:v>
      </x:c>
      <x:c r="AQ35" s="2" t="n">
        <x:v>0</x:v>
      </x:c>
      <x:c r="AR35" s="2" t="str">
        <x:v>Standard Hastings ranking</x:v>
      </x:c>
    </x:row>
    <x:row r="36">
      <x:c r="A36" s="4" t="str">
        <x:v>No</x:v>
      </x:c>
      <x:c r="B36" s="4" t="str">
        <x:v>A</x:v>
      </x:c>
      <x:c r="C36" s="4" t="str">
        <x:v>Whitetail Deer</x:v>
      </x:c>
      <x:c r="D36" s="4" t="str">
        <x:v>Enchanted Rock SNA</x:v>
      </x:c>
      <x:c r="E36" s="4" t="str">
        <x:v>Hill Country / San Antonio</x:v>
      </x:c>
      <x:c r="F36" s="4" t="str">
        <x:v>Youth Gun Deer - Either Sex</x:v>
      </x:c>
      <x:c r="G36" s="4" t="str">
        <x:v>No</x:v>
      </x:c>
      <x:c r="H36" s="4" t="str">
        <x:v>Yes</x:v>
      </x:c>
      <x:c r="I36" s="24" t="str">
        <x:v>2026-09-01</x:v>
      </x:c>
      <x:c r="J36" s="4" t="str">
        <x:v>See TPWD category page</x:v>
      </x:c>
      <x:c r="K36" s="4" t="n">
        <x:v>0</x:v>
      </x:c>
      <x:c r="L36" s="4" t="n">
        <x:v>0</x:v>
      </x:c>
      <x:c r="M36" s="4"/>
      <x:c r="N36" s="4"/>
      <x:c r="O36" s="4"/>
      <x:c r="P36" s="4" t="n">
        <x:v>520</x:v>
      </x:c>
      <x:c r="Q36" s="4" t="str">
        <x:v>Statewide</x:v>
      </x:c>
      <x:c r="R36" s="4" t="str">
        <x:v>Research before draw; property brochure linked from TPWD</x:v>
      </x:c>
      <x:c r="S36" s="4" t="str">
        <x:v>Low</x:v>
      </x:c>
      <x:c r="T36" s="4" t="str">
        <x:v>No</x:v>
      </x:c>
      <x:c r="U36" s="4" t="str">
        <x:v>Verified in TPWD 2026-2027 statewide deer category catalog.</x:v>
      </x:c>
      <x:c r="V36" s="4" t="str">
        <x:v>https://tpwd.texas.gov/huntwild/hunt/public/public_hunt_drawing/hunt-category-details.phtml?OCat=YDE</x:v>
      </x:c>
      <x:c r="W36" s="4" t="n">
        <x:v>2</x:v>
      </x:c>
      <x:c r="X36" s="4" t="n">
        <x:v>2</x:v>
      </x:c>
      <x:c r="Y36" s="4" t="n">
        <x:v>5</x:v>
      </x:c>
      <x:c r="Z36" s="4" t="n">
        <x:v>3</x:v>
      </x:c>
      <x:c r="AA36" s="4" t="n">
        <x:v>2</x:v>
      </x:c>
      <x:c r="AB36" s="4" t="n">
        <x:v>0</x:v>
      </x:c>
      <x:c r="AC36" s="4" t="n">
        <x:v>2.5</x:v>
      </x:c>
      <x:c r="AD36" s="4" t="n">
        <x:v>0</x:v>
      </x:c>
      <x:c r="AE36" s="4" t="str">
        <x:v>2026-09-01</x:v>
      </x:c>
      <x:c r="AF36" s="2"/>
      <x:c r="AG36" s="2"/>
      <x:c r="AH36" s="2"/>
      <x:c r="AI36" s="2"/>
      <x:c r="AJ36" s="2"/>
      <x:c r="AK36" s="2"/>
      <x:c r="AL36" s="2"/>
      <x:c r="AM36" s="2" t="str">
        <x:v>https://tpwd.texas.gov/huntwild/hunt/public/public_hunt_drawing/hunt-category-details.phtml?OCat=YDE</x:v>
      </x:c>
      <x:c r="AN36" s="2" t="str">
        <x:v>https://tpwd.texas.gov/search/?q=Enchanted+Rock+SNA+public+hunting+brochure</x:v>
      </x:c>
      <x:c r="AO36" s="2" t="str">
        <x:v>https://apps.tpwd.state.tx.us/huntwild/hunt/public/public_hunt_drawing/</x:v>
      </x:c>
      <x:c r="AP36" s="2" t="str">
        <x:v>https://www.google.com/maps/search/?api=1&amp;query=Enchanted+Rock+SNA%2C+Texas</x:v>
      </x:c>
      <x:c r="AQ36" s="2" t="n">
        <x:v>0</x:v>
      </x:c>
      <x:c r="AR36" s="2" t="str">
        <x:v>Standard Hastings ranking</x:v>
      </x:c>
    </x:row>
    <x:row r="37">
      <x:c r="A37" s="4" t="str">
        <x:v>No</x:v>
      </x:c>
      <x:c r="B37" s="4" t="str">
        <x:v>A</x:v>
      </x:c>
      <x:c r="C37" s="4" t="str">
        <x:v>Whitetail Deer</x:v>
      </x:c>
      <x:c r="D37" s="4" t="str">
        <x:v>Garner SP</x:v>
      </x:c>
      <x:c r="E37" s="4" t="str">
        <x:v>Hill Country / San Antonio</x:v>
      </x:c>
      <x:c r="F37" s="4" t="str">
        <x:v>Youth Gun Deer - Either Sex</x:v>
      </x:c>
      <x:c r="G37" s="4" t="str">
        <x:v>No</x:v>
      </x:c>
      <x:c r="H37" s="4" t="str">
        <x:v>Yes</x:v>
      </x:c>
      <x:c r="I37" s="24" t="str">
        <x:v>2026-09-01</x:v>
      </x:c>
      <x:c r="J37" s="4" t="str">
        <x:v>See TPWD category page</x:v>
      </x:c>
      <x:c r="K37" s="4" t="n">
        <x:v>0</x:v>
      </x:c>
      <x:c r="L37" s="4" t="n">
        <x:v>0</x:v>
      </x:c>
      <x:c r="M37" s="4"/>
      <x:c r="N37" s="4"/>
      <x:c r="O37" s="4"/>
      <x:c r="P37" s="4" t="n">
        <x:v>520</x:v>
      </x:c>
      <x:c r="Q37" s="4" t="str">
        <x:v>Statewide</x:v>
      </x:c>
      <x:c r="R37" s="4" t="str">
        <x:v>Research before draw; property brochure linked from TPWD</x:v>
      </x:c>
      <x:c r="S37" s="4" t="str">
        <x:v>Low</x:v>
      </x:c>
      <x:c r="T37" s="4" t="str">
        <x:v>No</x:v>
      </x:c>
      <x:c r="U37" s="4" t="str">
        <x:v>Verified in TPWD 2026-2027 statewide deer category catalog.</x:v>
      </x:c>
      <x:c r="V37" s="4" t="str">
        <x:v>https://tpwd.texas.gov/huntwild/hunt/public/public_hunt_drawing/hunt-category-details.phtml?OCat=YDE</x:v>
      </x:c>
      <x:c r="W37" s="4" t="n">
        <x:v>2</x:v>
      </x:c>
      <x:c r="X37" s="4" t="n">
        <x:v>2</x:v>
      </x:c>
      <x:c r="Y37" s="4" t="n">
        <x:v>5</x:v>
      </x:c>
      <x:c r="Z37" s="4" t="n">
        <x:v>3</x:v>
      </x:c>
      <x:c r="AA37" s="4" t="n">
        <x:v>2</x:v>
      </x:c>
      <x:c r="AB37" s="4" t="n">
        <x:v>0</x:v>
      </x:c>
      <x:c r="AC37" s="4" t="n">
        <x:v>2.5</x:v>
      </x:c>
      <x:c r="AD37" s="4" t="n">
        <x:v>0</x:v>
      </x:c>
      <x:c r="AE37" s="4" t="str">
        <x:v>2026-09-01</x:v>
      </x:c>
      <x:c r="AF37" s="2"/>
      <x:c r="AG37" s="2"/>
      <x:c r="AH37" s="2"/>
      <x:c r="AI37" s="2"/>
      <x:c r="AJ37" s="2"/>
      <x:c r="AK37" s="2"/>
      <x:c r="AL37" s="2"/>
      <x:c r="AM37" s="2" t="str">
        <x:v>https://tpwd.texas.gov/huntwild/hunt/public/public_hunt_drawing/hunt-category-details.phtml?OCat=YDE</x:v>
      </x:c>
      <x:c r="AN37" s="2" t="str">
        <x:v>https://tpwd.texas.gov/search/?q=Garner+SP+public+hunting+brochure</x:v>
      </x:c>
      <x:c r="AO37" s="2" t="str">
        <x:v>https://apps.tpwd.state.tx.us/huntwild/hunt/public/public_hunt_drawing/</x:v>
      </x:c>
      <x:c r="AP37" s="2" t="str">
        <x:v>https://www.google.com/maps/search/?api=1&amp;query=Garner+SP%2C+Texas</x:v>
      </x:c>
      <x:c r="AQ37" s="2" t="n">
        <x:v>0</x:v>
      </x:c>
      <x:c r="AR37" s="2" t="str">
        <x:v>Standard Hastings ranking</x:v>
      </x:c>
    </x:row>
    <x:row r="38">
      <x:c r="A38" s="4" t="str">
        <x:v>No</x:v>
      </x:c>
      <x:c r="B38" s="4" t="str">
        <x:v>A</x:v>
      </x:c>
      <x:c r="C38" s="4" t="str">
        <x:v>Whitetail Deer</x:v>
      </x:c>
      <x:c r="D38" s="4" t="str">
        <x:v>Gene Howe WMA</x:v>
      </x:c>
      <x:c r="E38" s="4" t="str">
        <x:v>Panhandle / Rolling Plains</x:v>
      </x:c>
      <x:c r="F38" s="4" t="str">
        <x:v>Youth Gun Deer - Either Sex</x:v>
      </x:c>
      <x:c r="G38" s="4" t="str">
        <x:v>No</x:v>
      </x:c>
      <x:c r="H38" s="4" t="str">
        <x:v>Yes</x:v>
      </x:c>
      <x:c r="I38" s="24" t="str">
        <x:v>2026-09-01</x:v>
      </x:c>
      <x:c r="J38" s="4" t="str">
        <x:v>See TPWD category page</x:v>
      </x:c>
      <x:c r="K38" s="4" t="n">
        <x:v>0</x:v>
      </x:c>
      <x:c r="L38" s="4" t="n">
        <x:v>0</x:v>
      </x:c>
      <x:c r="M38" s="4"/>
      <x:c r="N38" s="4"/>
      <x:c r="O38" s="4"/>
      <x:c r="P38" s="4" t="n">
        <x:v>130</x:v>
      </x:c>
      <x:c r="Q38" s="4" t="str">
        <x:v>Core</x:v>
      </x:c>
      <x:c r="R38" s="4" t="str">
        <x:v>Research before draw; property brochure linked from TPWD</x:v>
      </x:c>
      <x:c r="S38" s="4" t="str">
        <x:v>High</x:v>
      </x:c>
      <x:c r="T38" s="4" t="str">
        <x:v>No</x:v>
      </x:c>
      <x:c r="U38" s="4" t="str">
        <x:v>Verified in TPWD 2026-2027 statewide deer category catalog.</x:v>
      </x:c>
      <x:c r="V38" s="4" t="str">
        <x:v>https://tpwd.texas.gov/huntwild/hunt/public/public_hunt_drawing/hunt-category-details.phtml?OCat=YDE</x:v>
      </x:c>
      <x:c r="W38" s="4" t="n">
        <x:v>2</x:v>
      </x:c>
      <x:c r="X38" s="4" t="n">
        <x:v>5</x:v>
      </x:c>
      <x:c r="Y38" s="4" t="n">
        <x:v>5</x:v>
      </x:c>
      <x:c r="Z38" s="4" t="n">
        <x:v>3</x:v>
      </x:c>
      <x:c r="AA38" s="4" t="n">
        <x:v>4</x:v>
      </x:c>
      <x:c r="AB38" s="4" t="n">
        <x:v>0</x:v>
      </x:c>
      <x:c r="AC38" s="4" t="n">
        <x:v>3.2</x:v>
      </x:c>
      <x:c r="AD38" s="4" t="n">
        <x:v>0</x:v>
      </x:c>
      <x:c r="AE38" s="4" t="str">
        <x:v>2026-09-01</x:v>
      </x:c>
      <x:c r="AF38" s="2"/>
      <x:c r="AG38" s="2"/>
      <x:c r="AH38" s="2"/>
      <x:c r="AI38" s="2"/>
      <x:c r="AJ38" s="2"/>
      <x:c r="AK38" s="2"/>
      <x:c r="AL38" s="2"/>
      <x:c r="AM38" s="2" t="str">
        <x:v>https://tpwd.texas.gov/huntwild/hunt/public/public_hunt_drawing/hunt-category-details.phtml?OCat=YDE</x:v>
      </x:c>
      <x:c r="AN38" s="2" t="str">
        <x:v>https://tpwd.texas.gov/search/?q=Gene+Howe+WMA+public+hunting+brochure</x:v>
      </x:c>
      <x:c r="AO38" s="2" t="str">
        <x:v>https://apps.tpwd.state.tx.us/huntwild/hunt/public/public_hunt_drawing/</x:v>
      </x:c>
      <x:c r="AP38" s="2" t="str">
        <x:v>https://www.google.com/maps/search/?api=1&amp;query=Gene+Howe+WMA%2C+Texas</x:v>
      </x:c>
      <x:c r="AQ38" s="2" t="n">
        <x:v>0</x:v>
      </x:c>
      <x:c r="AR38" s="2" t="str">
        <x:v>Standard Hastings ranking</x:v>
      </x:c>
    </x:row>
    <x:row r="39">
      <x:c r="A39" s="4" t="str">
        <x:v>No</x:v>
      </x:c>
      <x:c r="B39" s="4" t="str">
        <x:v>A</x:v>
      </x:c>
      <x:c r="C39" s="4" t="str">
        <x:v>Whitetail Deer</x:v>
      </x:c>
      <x:c r="D39" s="4" t="str">
        <x:v>Government Canyon SNA</x:v>
      </x:c>
      <x:c r="E39" s="4" t="str">
        <x:v>Hill Country / San Antonio</x:v>
      </x:c>
      <x:c r="F39" s="4" t="str">
        <x:v>Youth Gun Deer - Either Sex</x:v>
      </x:c>
      <x:c r="G39" s="4" t="str">
        <x:v>No</x:v>
      </x:c>
      <x:c r="H39" s="4" t="str">
        <x:v>Yes</x:v>
      </x:c>
      <x:c r="I39" s="24" t="str">
        <x:v>2026-09-01</x:v>
      </x:c>
      <x:c r="J39" s="4" t="str">
        <x:v>See TPWD category page</x:v>
      </x:c>
      <x:c r="K39" s="4" t="n">
        <x:v>0</x:v>
      </x:c>
      <x:c r="L39" s="4" t="n">
        <x:v>0</x:v>
      </x:c>
      <x:c r="M39" s="4"/>
      <x:c r="N39" s="4"/>
      <x:c r="O39" s="4"/>
      <x:c r="P39" s="4" t="n">
        <x:v>520</x:v>
      </x:c>
      <x:c r="Q39" s="4" t="str">
        <x:v>Statewide</x:v>
      </x:c>
      <x:c r="R39" s="4" t="str">
        <x:v>Research before draw; property brochure linked from TPWD</x:v>
      </x:c>
      <x:c r="S39" s="4" t="str">
        <x:v>Low</x:v>
      </x:c>
      <x:c r="T39" s="4" t="str">
        <x:v>No</x:v>
      </x:c>
      <x:c r="U39" s="4" t="str">
        <x:v>Verified in TPWD 2026-2027 statewide deer category catalog.</x:v>
      </x:c>
      <x:c r="V39" s="4" t="str">
        <x:v>https://tpwd.texas.gov/huntwild/hunt/public/public_hunt_drawing/hunt-category-details.phtml?OCat=YDE</x:v>
      </x:c>
      <x:c r="W39" s="4" t="n">
        <x:v>2</x:v>
      </x:c>
      <x:c r="X39" s="4" t="n">
        <x:v>2</x:v>
      </x:c>
      <x:c r="Y39" s="4" t="n">
        <x:v>5</x:v>
      </x:c>
      <x:c r="Z39" s="4" t="n">
        <x:v>3</x:v>
      </x:c>
      <x:c r="AA39" s="4" t="n">
        <x:v>2</x:v>
      </x:c>
      <x:c r="AB39" s="4" t="n">
        <x:v>0</x:v>
      </x:c>
      <x:c r="AC39" s="4" t="n">
        <x:v>2.5</x:v>
      </x:c>
      <x:c r="AD39" s="4" t="n">
        <x:v>0</x:v>
      </x:c>
      <x:c r="AE39" s="4" t="str">
        <x:v>2026-09-01</x:v>
      </x:c>
      <x:c r="AF39" s="2"/>
      <x:c r="AG39" s="2"/>
      <x:c r="AH39" s="2"/>
      <x:c r="AI39" s="2"/>
      <x:c r="AJ39" s="2"/>
      <x:c r="AK39" s="2"/>
      <x:c r="AL39" s="2"/>
      <x:c r="AM39" s="2" t="str">
        <x:v>https://tpwd.texas.gov/huntwild/hunt/public/public_hunt_drawing/hunt-category-details.phtml?OCat=YDE</x:v>
      </x:c>
      <x:c r="AN39" s="2" t="str">
        <x:v>https://tpwd.texas.gov/search/?q=Government+Canyon+SNA+public+hunting+brochure</x:v>
      </x:c>
      <x:c r="AO39" s="2" t="str">
        <x:v>https://apps.tpwd.state.tx.us/huntwild/hunt/public/public_hunt_drawing/</x:v>
      </x:c>
      <x:c r="AP39" s="2" t="str">
        <x:v>https://www.google.com/maps/search/?api=1&amp;query=Government+Canyon+SNA%2C+Texas</x:v>
      </x:c>
      <x:c r="AQ39" s="2" t="n">
        <x:v>0</x:v>
      </x:c>
      <x:c r="AR39" s="2" t="str">
        <x:v>Standard Hastings ranking</x:v>
      </x:c>
    </x:row>
    <x:row r="40">
      <x:c r="A40" s="4" t="str">
        <x:v>No</x:v>
      </x:c>
      <x:c r="B40" s="4" t="str">
        <x:v>A</x:v>
      </x:c>
      <x:c r="C40" s="4" t="str">
        <x:v>Whitetail Deer</x:v>
      </x:c>
      <x:c r="D40" s="4" t="str">
        <x:v>Guadalupe River SP</x:v>
      </x:c>
      <x:c r="E40" s="4" t="str">
        <x:v>Hill Country / San Antonio</x:v>
      </x:c>
      <x:c r="F40" s="4" t="str">
        <x:v>Youth Gun Deer - Either Sex</x:v>
      </x:c>
      <x:c r="G40" s="4" t="str">
        <x:v>No</x:v>
      </x:c>
      <x:c r="H40" s="4" t="str">
        <x:v>Yes</x:v>
      </x:c>
      <x:c r="I40" s="24" t="str">
        <x:v>2026-09-01</x:v>
      </x:c>
      <x:c r="J40" s="4" t="str">
        <x:v>See TPWD category page</x:v>
      </x:c>
      <x:c r="K40" s="4" t="n">
        <x:v>0</x:v>
      </x:c>
      <x:c r="L40" s="4" t="n">
        <x:v>0</x:v>
      </x:c>
      <x:c r="M40" s="4"/>
      <x:c r="N40" s="4"/>
      <x:c r="O40" s="4"/>
      <x:c r="P40" s="4" t="n">
        <x:v>520</x:v>
      </x:c>
      <x:c r="Q40" s="4" t="str">
        <x:v>Statewide</x:v>
      </x:c>
      <x:c r="R40" s="4" t="str">
        <x:v>Research before draw; property brochure linked from TPWD</x:v>
      </x:c>
      <x:c r="S40" s="4" t="str">
        <x:v>Low</x:v>
      </x:c>
      <x:c r="T40" s="4" t="str">
        <x:v>No</x:v>
      </x:c>
      <x:c r="U40" s="4" t="str">
        <x:v>Verified in TPWD 2026-2027 statewide deer category catalog.</x:v>
      </x:c>
      <x:c r="V40" s="4" t="str">
        <x:v>https://tpwd.texas.gov/huntwild/hunt/public/public_hunt_drawing/hunt-category-details.phtml?OCat=YDE</x:v>
      </x:c>
      <x:c r="W40" s="4" t="n">
        <x:v>2</x:v>
      </x:c>
      <x:c r="X40" s="4" t="n">
        <x:v>2</x:v>
      </x:c>
      <x:c r="Y40" s="4" t="n">
        <x:v>5</x:v>
      </x:c>
      <x:c r="Z40" s="4" t="n">
        <x:v>3</x:v>
      </x:c>
      <x:c r="AA40" s="4" t="n">
        <x:v>2</x:v>
      </x:c>
      <x:c r="AB40" s="4" t="n">
        <x:v>0</x:v>
      </x:c>
      <x:c r="AC40" s="4" t="n">
        <x:v>2.5</x:v>
      </x:c>
      <x:c r="AD40" s="4" t="n">
        <x:v>0</x:v>
      </x:c>
      <x:c r="AE40" s="4" t="str">
        <x:v>2026-09-01</x:v>
      </x:c>
      <x:c r="AF40" s="2"/>
      <x:c r="AG40" s="2"/>
      <x:c r="AH40" s="2"/>
      <x:c r="AI40" s="2"/>
      <x:c r="AJ40" s="2"/>
      <x:c r="AK40" s="2"/>
      <x:c r="AL40" s="2"/>
      <x:c r="AM40" s="2" t="str">
        <x:v>https://tpwd.texas.gov/huntwild/hunt/public/public_hunt_drawing/hunt-category-details.phtml?OCat=YDE</x:v>
      </x:c>
      <x:c r="AN40" s="2" t="str">
        <x:v>https://tpwd.texas.gov/search/?q=Guadalupe+River+SP+public+hunting+brochure</x:v>
      </x:c>
      <x:c r="AO40" s="2" t="str">
        <x:v>https://apps.tpwd.state.tx.us/huntwild/hunt/public/public_hunt_drawing/</x:v>
      </x:c>
      <x:c r="AP40" s="2" t="str">
        <x:v>https://www.google.com/maps/search/?api=1&amp;query=Guadalupe+River+SP%2C+Texas</x:v>
      </x:c>
      <x:c r="AQ40" s="2" t="n">
        <x:v>0</x:v>
      </x:c>
      <x:c r="AR40" s="2" t="str">
        <x:v>Standard Hastings ranking</x:v>
      </x:c>
    </x:row>
    <x:row r="41">
      <x:c r="A41" s="4" t="str">
        <x:v>No</x:v>
      </x:c>
      <x:c r="B41" s="4" t="str">
        <x:v>A</x:v>
      </x:c>
      <x:c r="C41" s="4" t="str">
        <x:v>Whitetail Deer</x:v>
      </x:c>
      <x:c r="D41" s="4" t="str">
        <x:v>Gus Engeling WMA</x:v>
      </x:c>
      <x:c r="E41" s="4" t="str">
        <x:v>Statewide / Other</x:v>
      </x:c>
      <x:c r="F41" s="4" t="str">
        <x:v>Youth Gun Deer - Either Sex</x:v>
      </x:c>
      <x:c r="G41" s="4" t="str">
        <x:v>No</x:v>
      </x:c>
      <x:c r="H41" s="4" t="str">
        <x:v>Yes</x:v>
      </x:c>
      <x:c r="I41" s="24" t="str">
        <x:v>2026-09-01</x:v>
      </x:c>
      <x:c r="J41" s="4" t="str">
        <x:v>See TPWD category page</x:v>
      </x:c>
      <x:c r="K41" s="4" t="n">
        <x:v>0</x:v>
      </x:c>
      <x:c r="L41" s="4" t="n">
        <x:v>0</x:v>
      </x:c>
      <x:c r="M41" s="4"/>
      <x:c r="N41" s="4"/>
      <x:c r="O41" s="4"/>
      <x:c r="P41" s="4" t="n">
        <x:v>500</x:v>
      </x:c>
      <x:c r="Q41" s="4" t="str">
        <x:v>Statewide</x:v>
      </x:c>
      <x:c r="R41" s="4" t="str">
        <x:v>Research before draw; property brochure linked from TPWD</x:v>
      </x:c>
      <x:c r="S41" s="4" t="str">
        <x:v>Low</x:v>
      </x:c>
      <x:c r="T41" s="4" t="str">
        <x:v>No</x:v>
      </x:c>
      <x:c r="U41" s="4" t="str">
        <x:v>Verified in TPWD 2026-2027 statewide deer category catalog.</x:v>
      </x:c>
      <x:c r="V41" s="4" t="str">
        <x:v>https://tpwd.texas.gov/huntwild/hunt/public/public_hunt_drawing/hunt-category-details.phtml?OCat=YDE</x:v>
      </x:c>
      <x:c r="W41" s="4" t="n">
        <x:v>2</x:v>
      </x:c>
      <x:c r="X41" s="4" t="n">
        <x:v>2</x:v>
      </x:c>
      <x:c r="Y41" s="4" t="n">
        <x:v>5</x:v>
      </x:c>
      <x:c r="Z41" s="4" t="n">
        <x:v>3</x:v>
      </x:c>
      <x:c r="AA41" s="4" t="n">
        <x:v>2</x:v>
      </x:c>
      <x:c r="AB41" s="4" t="n">
        <x:v>0</x:v>
      </x:c>
      <x:c r="AC41" s="4" t="n">
        <x:v>2.5</x:v>
      </x:c>
      <x:c r="AD41" s="4" t="n">
        <x:v>0</x:v>
      </x:c>
      <x:c r="AE41" s="4" t="str">
        <x:v>2026-09-01</x:v>
      </x:c>
      <x:c r="AF41" s="2"/>
      <x:c r="AG41" s="2"/>
      <x:c r="AH41" s="2"/>
      <x:c r="AI41" s="2"/>
      <x:c r="AJ41" s="2"/>
      <x:c r="AK41" s="2"/>
      <x:c r="AL41" s="2"/>
      <x:c r="AM41" s="2" t="str">
        <x:v>https://tpwd.texas.gov/huntwild/hunt/public/public_hunt_drawing/hunt-category-details.phtml?OCat=YDE</x:v>
      </x:c>
      <x:c r="AN41" s="2" t="str">
        <x:v>https://tpwd.texas.gov/search/?q=Gus+Engeling+WMA+public+hunting+brochure</x:v>
      </x:c>
      <x:c r="AO41" s="2" t="str">
        <x:v>https://apps.tpwd.state.tx.us/huntwild/hunt/public/public_hunt_drawing/</x:v>
      </x:c>
      <x:c r="AP41" s="2" t="str">
        <x:v>https://www.google.com/maps/search/?api=1&amp;query=Gus+Engeling+WMA%2C+Texas</x:v>
      </x:c>
      <x:c r="AQ41" s="2" t="n">
        <x:v>0</x:v>
      </x:c>
      <x:c r="AR41" s="2" t="str">
        <x:v>Standard Hastings ranking</x:v>
      </x:c>
    </x:row>
    <x:row r="42">
      <x:c r="A42" s="4" t="str">
        <x:v>No</x:v>
      </x:c>
      <x:c r="B42" s="4" t="str">
        <x:v>A</x:v>
      </x:c>
      <x:c r="C42" s="4" t="str">
        <x:v>Whitetail Deer</x:v>
      </x:c>
      <x:c r="D42" s="4" t="str">
        <x:v>Hill Country SNA</x:v>
      </x:c>
      <x:c r="E42" s="4" t="str">
        <x:v>Hill Country / San Antonio</x:v>
      </x:c>
      <x:c r="F42" s="4" t="str">
        <x:v>Youth Gun Deer - Either Sex</x:v>
      </x:c>
      <x:c r="G42" s="4" t="str">
        <x:v>No</x:v>
      </x:c>
      <x:c r="H42" s="4" t="str">
        <x:v>Yes</x:v>
      </x:c>
      <x:c r="I42" s="24" t="str">
        <x:v>2026-09-01</x:v>
      </x:c>
      <x:c r="J42" s="4" t="str">
        <x:v>See TPWD category page</x:v>
      </x:c>
      <x:c r="K42" s="4" t="n">
        <x:v>0</x:v>
      </x:c>
      <x:c r="L42" s="4" t="n">
        <x:v>0</x:v>
      </x:c>
      <x:c r="M42" s="4"/>
      <x:c r="N42" s="4"/>
      <x:c r="O42" s="4"/>
      <x:c r="P42" s="4" t="n">
        <x:v>520</x:v>
      </x:c>
      <x:c r="Q42" s="4" t="str">
        <x:v>Statewide</x:v>
      </x:c>
      <x:c r="R42" s="4" t="str">
        <x:v>Research before draw; property brochure linked from TPWD</x:v>
      </x:c>
      <x:c r="S42" s="4" t="str">
        <x:v>Low</x:v>
      </x:c>
      <x:c r="T42" s="4" t="str">
        <x:v>No</x:v>
      </x:c>
      <x:c r="U42" s="4" t="str">
        <x:v>Verified in TPWD 2026-2027 statewide deer category catalog.</x:v>
      </x:c>
      <x:c r="V42" s="4" t="str">
        <x:v>https://tpwd.texas.gov/huntwild/hunt/public/public_hunt_drawing/hunt-category-details.phtml?OCat=YDE</x:v>
      </x:c>
      <x:c r="W42" s="4" t="n">
        <x:v>2</x:v>
      </x:c>
      <x:c r="X42" s="4" t="n">
        <x:v>2</x:v>
      </x:c>
      <x:c r="Y42" s="4" t="n">
        <x:v>5</x:v>
      </x:c>
      <x:c r="Z42" s="4" t="n">
        <x:v>3</x:v>
      </x:c>
      <x:c r="AA42" s="4" t="n">
        <x:v>2</x:v>
      </x:c>
      <x:c r="AB42" s="4" t="n">
        <x:v>0</x:v>
      </x:c>
      <x:c r="AC42" s="4" t="n">
        <x:v>2.5</x:v>
      </x:c>
      <x:c r="AD42" s="4" t="n">
        <x:v>0</x:v>
      </x:c>
      <x:c r="AE42" s="4" t="str">
        <x:v>2026-09-01</x:v>
      </x:c>
      <x:c r="AF42" s="2"/>
      <x:c r="AG42" s="2"/>
      <x:c r="AH42" s="2"/>
      <x:c r="AI42" s="2"/>
      <x:c r="AJ42" s="2"/>
      <x:c r="AK42" s="2"/>
      <x:c r="AL42" s="2"/>
      <x:c r="AM42" s="2" t="str">
        <x:v>https://tpwd.texas.gov/huntwild/hunt/public/public_hunt_drawing/hunt-category-details.phtml?OCat=YDE</x:v>
      </x:c>
      <x:c r="AN42" s="2" t="str">
        <x:v>https://tpwd.texas.gov/search/?q=Hill+Country+SNA+public+hunting+brochure</x:v>
      </x:c>
      <x:c r="AO42" s="2" t="str">
        <x:v>https://apps.tpwd.state.tx.us/huntwild/hunt/public/public_hunt_drawing/</x:v>
      </x:c>
      <x:c r="AP42" s="2" t="str">
        <x:v>https://www.google.com/maps/search/?api=1&amp;query=Hill+Country+SNA%2C+Texas</x:v>
      </x:c>
      <x:c r="AQ42" s="2" t="n">
        <x:v>0</x:v>
      </x:c>
      <x:c r="AR42" s="2" t="str">
        <x:v>Standard Hastings ranking</x:v>
      </x:c>
    </x:row>
    <x:row r="43">
      <x:c r="A43" s="4" t="str">
        <x:v>No</x:v>
      </x:c>
      <x:c r="B43" s="4" t="str">
        <x:v>A</x:v>
      </x:c>
      <x:c r="C43" s="4" t="str">
        <x:v>Whitetail Deer</x:v>
      </x:c>
      <x:c r="D43" s="4" t="str">
        <x:v>Honey Creek SNA</x:v>
      </x:c>
      <x:c r="E43" s="4" t="str">
        <x:v>Hill Country / San Antonio</x:v>
      </x:c>
      <x:c r="F43" s="4" t="str">
        <x:v>Youth Gun Deer - Either Sex</x:v>
      </x:c>
      <x:c r="G43" s="4" t="str">
        <x:v>No</x:v>
      </x:c>
      <x:c r="H43" s="4" t="str">
        <x:v>Yes</x:v>
      </x:c>
      <x:c r="I43" s="24" t="str">
        <x:v>2026-09-01</x:v>
      </x:c>
      <x:c r="J43" s="4" t="str">
        <x:v>See TPWD category page</x:v>
      </x:c>
      <x:c r="K43" s="4" t="n">
        <x:v>0</x:v>
      </x:c>
      <x:c r="L43" s="4" t="n">
        <x:v>0</x:v>
      </x:c>
      <x:c r="M43" s="4"/>
      <x:c r="N43" s="4"/>
      <x:c r="O43" s="4"/>
      <x:c r="P43" s="4" t="n">
        <x:v>520</x:v>
      </x:c>
      <x:c r="Q43" s="4" t="str">
        <x:v>Statewide</x:v>
      </x:c>
      <x:c r="R43" s="4" t="str">
        <x:v>Research before draw; property brochure linked from TPWD</x:v>
      </x:c>
      <x:c r="S43" s="4" t="str">
        <x:v>Low</x:v>
      </x:c>
      <x:c r="T43" s="4" t="str">
        <x:v>No</x:v>
      </x:c>
      <x:c r="U43" s="4" t="str">
        <x:v>Verified in TPWD 2026-2027 statewide deer category catalog.</x:v>
      </x:c>
      <x:c r="V43" s="4" t="str">
        <x:v>https://tpwd.texas.gov/huntwild/hunt/public/public_hunt_drawing/hunt-category-details.phtml?OCat=YDE</x:v>
      </x:c>
      <x:c r="W43" s="4" t="n">
        <x:v>2</x:v>
      </x:c>
      <x:c r="X43" s="4" t="n">
        <x:v>2</x:v>
      </x:c>
      <x:c r="Y43" s="4" t="n">
        <x:v>5</x:v>
      </x:c>
      <x:c r="Z43" s="4" t="n">
        <x:v>3</x:v>
      </x:c>
      <x:c r="AA43" s="4" t="n">
        <x:v>2</x:v>
      </x:c>
      <x:c r="AB43" s="4" t="n">
        <x:v>0</x:v>
      </x:c>
      <x:c r="AC43" s="4" t="n">
        <x:v>2.5</x:v>
      </x:c>
      <x:c r="AD43" s="4" t="n">
        <x:v>0</x:v>
      </x:c>
      <x:c r="AE43" s="4" t="str">
        <x:v>2026-09-01</x:v>
      </x:c>
      <x:c r="AF43" s="2"/>
      <x:c r="AG43" s="2"/>
      <x:c r="AH43" s="2"/>
      <x:c r="AI43" s="2"/>
      <x:c r="AJ43" s="2"/>
      <x:c r="AK43" s="2"/>
      <x:c r="AL43" s="2"/>
      <x:c r="AM43" s="2" t="str">
        <x:v>https://tpwd.texas.gov/huntwild/hunt/public/public_hunt_drawing/hunt-category-details.phtml?OCat=YDE</x:v>
      </x:c>
      <x:c r="AN43" s="2" t="str">
        <x:v>https://tpwd.texas.gov/search/?q=Honey+Creek+SNA+public+hunting+brochure</x:v>
      </x:c>
      <x:c r="AO43" s="2" t="str">
        <x:v>https://apps.tpwd.state.tx.us/huntwild/hunt/public/public_hunt_drawing/</x:v>
      </x:c>
      <x:c r="AP43" s="2" t="str">
        <x:v>https://www.google.com/maps/search/?api=1&amp;query=Honey+Creek+SNA%2C+Texas</x:v>
      </x:c>
      <x:c r="AQ43" s="2" t="n">
        <x:v>0</x:v>
      </x:c>
      <x:c r="AR43" s="2" t="str">
        <x:v>Standard Hastings ranking</x:v>
      </x:c>
    </x:row>
    <x:row r="44">
      <x:c r="A44" s="4" t="str">
        <x:v>No</x:v>
      </x:c>
      <x:c r="B44" s="4" t="str">
        <x:v>A</x:v>
      </x:c>
      <x:c r="C44" s="4" t="str">
        <x:v>Whitetail Deer</x:v>
      </x:c>
      <x:c r="D44" s="4" t="str">
        <x:v>Huntsville SP</x:v>
      </x:c>
      <x:c r="E44" s="4" t="str">
        <x:v>East Texas / Pineywoods</x:v>
      </x:c>
      <x:c r="F44" s="4" t="str">
        <x:v>Youth Gun Deer - Either Sex</x:v>
      </x:c>
      <x:c r="G44" s="4" t="str">
        <x:v>No</x:v>
      </x:c>
      <x:c r="H44" s="4" t="str">
        <x:v>Yes</x:v>
      </x:c>
      <x:c r="I44" s="24" t="str">
        <x:v>2026-09-01</x:v>
      </x:c>
      <x:c r="J44" s="4" t="str">
        <x:v>See TPWD category page</x:v>
      </x:c>
      <x:c r="K44" s="4" t="n">
        <x:v>0</x:v>
      </x:c>
      <x:c r="L44" s="4" t="n">
        <x:v>0</x:v>
      </x:c>
      <x:c r="M44" s="4"/>
      <x:c r="N44" s="4"/>
      <x:c r="O44" s="4"/>
      <x:c r="P44" s="4" t="n">
        <x:v>570</x:v>
      </x:c>
      <x:c r="Q44" s="4" t="str">
        <x:v>Statewide</x:v>
      </x:c>
      <x:c r="R44" s="4" t="str">
        <x:v>Research before draw; property brochure linked from TPWD</x:v>
      </x:c>
      <x:c r="S44" s="4" t="str">
        <x:v>Low</x:v>
      </x:c>
      <x:c r="T44" s="4" t="str">
        <x:v>No</x:v>
      </x:c>
      <x:c r="U44" s="4" t="str">
        <x:v>Verified in TPWD 2026-2027 statewide deer category catalog.</x:v>
      </x:c>
      <x:c r="V44" s="4" t="str">
        <x:v>https://tpwd.texas.gov/huntwild/hunt/public/public_hunt_drawing/hunt-category-details.phtml?OCat=YDE</x:v>
      </x:c>
      <x:c r="W44" s="4" t="n">
        <x:v>2</x:v>
      </x:c>
      <x:c r="X44" s="4" t="n">
        <x:v>2</x:v>
      </x:c>
      <x:c r="Y44" s="4" t="n">
        <x:v>5</x:v>
      </x:c>
      <x:c r="Z44" s="4" t="n">
        <x:v>3</x:v>
      </x:c>
      <x:c r="AA44" s="4" t="n">
        <x:v>2</x:v>
      </x:c>
      <x:c r="AB44" s="4" t="n">
        <x:v>0</x:v>
      </x:c>
      <x:c r="AC44" s="4" t="n">
        <x:v>2.5</x:v>
      </x:c>
      <x:c r="AD44" s="4" t="n">
        <x:v>0</x:v>
      </x:c>
      <x:c r="AE44" s="4" t="str">
        <x:v>2026-09-01</x:v>
      </x:c>
      <x:c r="AF44" s="2"/>
      <x:c r="AG44" s="2"/>
      <x:c r="AH44" s="2"/>
      <x:c r="AI44" s="2"/>
      <x:c r="AJ44" s="2"/>
      <x:c r="AK44" s="2"/>
      <x:c r="AL44" s="2"/>
      <x:c r="AM44" s="2" t="str">
        <x:v>https://tpwd.texas.gov/huntwild/hunt/public/public_hunt_drawing/hunt-category-details.phtml?OCat=YDE</x:v>
      </x:c>
      <x:c r="AN44" s="2" t="str">
        <x:v>https://tpwd.texas.gov/search/?q=Huntsville+SP+public+hunting+brochure</x:v>
      </x:c>
      <x:c r="AO44" s="2" t="str">
        <x:v>https://apps.tpwd.state.tx.us/huntwild/hunt/public/public_hunt_drawing/</x:v>
      </x:c>
      <x:c r="AP44" s="2" t="str">
        <x:v>https://www.google.com/maps/search/?api=1&amp;query=Huntsville+SP%2C+Texas</x:v>
      </x:c>
      <x:c r="AQ44" s="2" t="n">
        <x:v>0</x:v>
      </x:c>
      <x:c r="AR44" s="2" t="str">
        <x:v>Standard Hastings ranking</x:v>
      </x:c>
    </x:row>
    <x:row r="45">
      <x:c r="A45" s="4" t="str">
        <x:v>No</x:v>
      </x:c>
      <x:c r="B45" s="4" t="str">
        <x:v>A</x:v>
      </x:c>
      <x:c r="C45" s="4" t="str">
        <x:v>Whitetail Deer</x:v>
      </x:c>
      <x:c r="D45" s="4" t="str">
        <x:v>I.D. Fairchild State Forest</x:v>
      </x:c>
      <x:c r="E45" s="4" t="str">
        <x:v>East Texas / Pineywoods</x:v>
      </x:c>
      <x:c r="F45" s="4" t="str">
        <x:v>Youth Gun Deer - Either Sex</x:v>
      </x:c>
      <x:c r="G45" s="4" t="str">
        <x:v>No</x:v>
      </x:c>
      <x:c r="H45" s="4" t="str">
        <x:v>Yes</x:v>
      </x:c>
      <x:c r="I45" s="24" t="str">
        <x:v>2026-09-01</x:v>
      </x:c>
      <x:c r="J45" s="4" t="str">
        <x:v>See TPWD category page</x:v>
      </x:c>
      <x:c r="K45" s="4" t="n">
        <x:v>0</x:v>
      </x:c>
      <x:c r="L45" s="4" t="n">
        <x:v>0</x:v>
      </x:c>
      <x:c r="M45" s="4"/>
      <x:c r="N45" s="4"/>
      <x:c r="O45" s="4"/>
      <x:c r="P45" s="4" t="n">
        <x:v>570</x:v>
      </x:c>
      <x:c r="Q45" s="4" t="str">
        <x:v>Statewide</x:v>
      </x:c>
      <x:c r="R45" s="4" t="str">
        <x:v>Research before draw; property brochure linked from TPWD</x:v>
      </x:c>
      <x:c r="S45" s="4" t="str">
        <x:v>Low</x:v>
      </x:c>
      <x:c r="T45" s="4" t="str">
        <x:v>No</x:v>
      </x:c>
      <x:c r="U45" s="4" t="str">
        <x:v>Verified in TPWD 2026-2027 statewide deer category catalog.</x:v>
      </x:c>
      <x:c r="V45" s="4" t="str">
        <x:v>https://tpwd.texas.gov/huntwild/hunt/public/public_hunt_drawing/hunt-category-details.phtml?OCat=YDE</x:v>
      </x:c>
      <x:c r="W45" s="4" t="n">
        <x:v>2</x:v>
      </x:c>
      <x:c r="X45" s="4" t="n">
        <x:v>2</x:v>
      </x:c>
      <x:c r="Y45" s="4" t="n">
        <x:v>5</x:v>
      </x:c>
      <x:c r="Z45" s="4" t="n">
        <x:v>3</x:v>
      </x:c>
      <x:c r="AA45" s="4" t="n">
        <x:v>2</x:v>
      </x:c>
      <x:c r="AB45" s="4" t="n">
        <x:v>0</x:v>
      </x:c>
      <x:c r="AC45" s="4" t="n">
        <x:v>2.5</x:v>
      </x:c>
      <x:c r="AD45" s="4" t="n">
        <x:v>0</x:v>
      </x:c>
      <x:c r="AE45" s="4" t="str">
        <x:v>2026-09-01</x:v>
      </x:c>
      <x:c r="AF45" s="2"/>
      <x:c r="AG45" s="2"/>
      <x:c r="AH45" s="2"/>
      <x:c r="AI45" s="2"/>
      <x:c r="AJ45" s="2"/>
      <x:c r="AK45" s="2"/>
      <x:c r="AL45" s="2"/>
      <x:c r="AM45" s="2" t="str">
        <x:v>https://tpwd.texas.gov/huntwild/hunt/public/public_hunt_drawing/hunt-category-details.phtml?OCat=YDE</x:v>
      </x:c>
      <x:c r="AN45" s="2" t="str">
        <x:v>https://tpwd.texas.gov/search/?q=I.D.+Fairchild+State+Forest+public+hunting+brochure</x:v>
      </x:c>
      <x:c r="AO45" s="2" t="str">
        <x:v>https://apps.tpwd.state.tx.us/huntwild/hunt/public/public_hunt_drawing/</x:v>
      </x:c>
      <x:c r="AP45" s="2" t="str">
        <x:v>https://www.google.com/maps/search/?api=1&amp;query=I.D.+Fairchild+State+Forest%2C+Texas</x:v>
      </x:c>
      <x:c r="AQ45" s="2" t="n">
        <x:v>0</x:v>
      </x:c>
      <x:c r="AR45" s="2" t="str">
        <x:v>Standard Hastings ranking</x:v>
      </x:c>
    </x:row>
    <x:row r="46">
      <x:c r="A46" s="4" t="str">
        <x:v>No</x:v>
      </x:c>
      <x:c r="B46" s="4" t="str">
        <x:v>A</x:v>
      </x:c>
      <x:c r="C46" s="4" t="str">
        <x:v>Whitetail Deer</x:v>
      </x:c>
      <x:c r="D46" s="4" t="str">
        <x:v>Inks Lake/Longhorn Caverns SP</x:v>
      </x:c>
      <x:c r="E46" s="4" t="str">
        <x:v>Central Texas / Austin</x:v>
      </x:c>
      <x:c r="F46" s="4" t="str">
        <x:v>Youth Gun Deer - Either Sex</x:v>
      </x:c>
      <x:c r="G46" s="4" t="str">
        <x:v>No</x:v>
      </x:c>
      <x:c r="H46" s="4" t="str">
        <x:v>Yes</x:v>
      </x:c>
      <x:c r="I46" s="24" t="str">
        <x:v>2026-09-01</x:v>
      </x:c>
      <x:c r="J46" s="4" t="str">
        <x:v>See TPWD category page</x:v>
      </x:c>
      <x:c r="K46" s="4" t="n">
        <x:v>0</x:v>
      </x:c>
      <x:c r="L46" s="4" t="n">
        <x:v>0</x:v>
      </x:c>
      <x:c r="M46" s="4"/>
      <x:c r="N46" s="4"/>
      <x:c r="O46" s="4"/>
      <x:c r="P46" s="4" t="n">
        <x:v>490</x:v>
      </x:c>
      <x:c r="Q46" s="4" t="str">
        <x:v>Statewide</x:v>
      </x:c>
      <x:c r="R46" s="4" t="str">
        <x:v>Research before draw; property brochure linked from TPWD</x:v>
      </x:c>
      <x:c r="S46" s="4" t="str">
        <x:v>Low</x:v>
      </x:c>
      <x:c r="T46" s="4" t="str">
        <x:v>No</x:v>
      </x:c>
      <x:c r="U46" s="4" t="str">
        <x:v>Verified in TPWD 2026-2027 statewide deer category catalog.</x:v>
      </x:c>
      <x:c r="V46" s="4" t="str">
        <x:v>https://tpwd.texas.gov/huntwild/hunt/public/public_hunt_drawing/hunt-category-details.phtml?OCat=YDE</x:v>
      </x:c>
      <x:c r="W46" s="4" t="n">
        <x:v>2</x:v>
      </x:c>
      <x:c r="X46" s="4" t="n">
        <x:v>2</x:v>
      </x:c>
      <x:c r="Y46" s="4" t="n">
        <x:v>5</x:v>
      </x:c>
      <x:c r="Z46" s="4" t="n">
        <x:v>3</x:v>
      </x:c>
      <x:c r="AA46" s="4" t="n">
        <x:v>2</x:v>
      </x:c>
      <x:c r="AB46" s="4" t="n">
        <x:v>0</x:v>
      </x:c>
      <x:c r="AC46" s="4" t="n">
        <x:v>2.5</x:v>
      </x:c>
      <x:c r="AD46" s="4" t="n">
        <x:v>0</x:v>
      </x:c>
      <x:c r="AE46" s="4" t="str">
        <x:v>2026-09-01</x:v>
      </x:c>
      <x:c r="AF46" s="2"/>
      <x:c r="AG46" s="2"/>
      <x:c r="AH46" s="2"/>
      <x:c r="AI46" s="2"/>
      <x:c r="AJ46" s="2"/>
      <x:c r="AK46" s="2"/>
      <x:c r="AL46" s="2"/>
      <x:c r="AM46" s="2" t="str">
        <x:v>https://tpwd.texas.gov/huntwild/hunt/public/public_hunt_drawing/hunt-category-details.phtml?OCat=YDE</x:v>
      </x:c>
      <x:c r="AN46" s="2" t="str">
        <x:v>https://tpwd.texas.gov/search/?q=Inks+Lake%2FLonghorn+Caverns+SP+public+hunting+brochure</x:v>
      </x:c>
      <x:c r="AO46" s="2" t="str">
        <x:v>https://apps.tpwd.state.tx.us/huntwild/hunt/public/public_hunt_drawing/</x:v>
      </x:c>
      <x:c r="AP46" s="2" t="str">
        <x:v>https://www.google.com/maps/search/?api=1&amp;query=Inks+Lake%2FLonghorn+Caverns+SP%2C+Texas</x:v>
      </x:c>
      <x:c r="AQ46" s="2" t="n">
        <x:v>0</x:v>
      </x:c>
      <x:c r="AR46" s="2" t="str">
        <x:v>Standard Hastings ranking</x:v>
      </x:c>
    </x:row>
    <x:row r="47">
      <x:c r="A47" s="4" t="str">
        <x:v>No</x:v>
      </x:c>
      <x:c r="B47" s="4" t="str">
        <x:v>A</x:v>
      </x:c>
      <x:c r="C47" s="4" t="str">
        <x:v>Whitetail Deer</x:v>
      </x:c>
      <x:c r="D47" s="4" t="str">
        <x:v>James Daughtrey WMA</x:v>
      </x:c>
      <x:c r="E47" s="4" t="str">
        <x:v>South Texas / Rio Grande Valley</x:v>
      </x:c>
      <x:c r="F47" s="4" t="str">
        <x:v>Youth Gun Deer - Either Sex</x:v>
      </x:c>
      <x:c r="G47" s="4" t="str">
        <x:v>No</x:v>
      </x:c>
      <x:c r="H47" s="4" t="str">
        <x:v>Yes</x:v>
      </x:c>
      <x:c r="I47" s="24" t="str">
        <x:v>2026-09-01</x:v>
      </x:c>
      <x:c r="J47" s="4" t="str">
        <x:v>See TPWD category page</x:v>
      </x:c>
      <x:c r="K47" s="4" t="n">
        <x:v>0</x:v>
      </x:c>
      <x:c r="L47" s="4" t="n">
        <x:v>0</x:v>
      </x:c>
      <x:c r="M47" s="4"/>
      <x:c r="N47" s="4"/>
      <x:c r="O47" s="4"/>
      <x:c r="P47" s="4" t="n">
        <x:v>700</x:v>
      </x:c>
      <x:c r="Q47" s="4" t="str">
        <x:v>Long Haul</x:v>
      </x:c>
      <x:c r="R47" s="4" t="str">
        <x:v>Research before draw; property brochure linked from TPWD</x:v>
      </x:c>
      <x:c r="S47" s="4" t="str">
        <x:v>Low</x:v>
      </x:c>
      <x:c r="T47" s="4" t="str">
        <x:v>No</x:v>
      </x:c>
      <x:c r="U47" s="4" t="str">
        <x:v>Verified in TPWD 2026-2027 statewide deer category catalog.</x:v>
      </x:c>
      <x:c r="V47" s="4" t="str">
        <x:v>https://tpwd.texas.gov/huntwild/hunt/public/public_hunt_drawing/hunt-category-details.phtml?OCat=YDE</x:v>
      </x:c>
      <x:c r="W47" s="4" t="n">
        <x:v>2</x:v>
      </x:c>
      <x:c r="X47" s="4" t="n">
        <x:v>1</x:v>
      </x:c>
      <x:c r="Y47" s="4" t="n">
        <x:v>5</x:v>
      </x:c>
      <x:c r="Z47" s="4" t="n">
        <x:v>3</x:v>
      </x:c>
      <x:c r="AA47" s="4" t="n">
        <x:v>2</x:v>
      </x:c>
      <x:c r="AB47" s="4" t="n">
        <x:v>0</x:v>
      </x:c>
      <x:c r="AC47" s="4" t="n">
        <x:v>2.4</x:v>
      </x:c>
      <x:c r="AD47" s="4" t="n">
        <x:v>0</x:v>
      </x:c>
      <x:c r="AE47" s="4" t="str">
        <x:v>2026-09-01</x:v>
      </x:c>
      <x:c r="AF47" s="2"/>
      <x:c r="AG47" s="2"/>
      <x:c r="AH47" s="2"/>
      <x:c r="AI47" s="2"/>
      <x:c r="AJ47" s="2"/>
      <x:c r="AK47" s="2"/>
      <x:c r="AL47" s="2"/>
      <x:c r="AM47" s="2" t="str">
        <x:v>https://tpwd.texas.gov/huntwild/hunt/public/public_hunt_drawing/hunt-category-details.phtml?OCat=YDE</x:v>
      </x:c>
      <x:c r="AN47" s="2" t="str">
        <x:v>https://tpwd.texas.gov/search/?q=James+Daughtrey+WMA+public+hunting+brochure</x:v>
      </x:c>
      <x:c r="AO47" s="2" t="str">
        <x:v>https://apps.tpwd.state.tx.us/huntwild/hunt/public/public_hunt_drawing/</x:v>
      </x:c>
      <x:c r="AP47" s="2" t="str">
        <x:v>https://www.google.com/maps/search/?api=1&amp;query=James+Daughtrey+WMA%2C+Texas</x:v>
      </x:c>
      <x:c r="AQ47" s="2" t="n">
        <x:v>0</x:v>
      </x:c>
      <x:c r="AR47" s="2" t="str">
        <x:v>Standard Hastings ranking</x:v>
      </x:c>
    </x:row>
    <x:row r="48">
      <x:c r="A48" s="4" t="str">
        <x:v>No</x:v>
      </x:c>
      <x:c r="B48" s="4" t="str">
        <x:v>A</x:v>
      </x:c>
      <x:c r="C48" s="4" t="str">
        <x:v>Whitetail Deer</x:v>
      </x:c>
      <x:c r="D48" s="4" t="str">
        <x:v>John Henry Kirby State Forest</x:v>
      </x:c>
      <x:c r="E48" s="4" t="str">
        <x:v>East Texas / Pineywoods</x:v>
      </x:c>
      <x:c r="F48" s="4" t="str">
        <x:v>Youth Gun Deer - Either Sex</x:v>
      </x:c>
      <x:c r="G48" s="4" t="str">
        <x:v>No</x:v>
      </x:c>
      <x:c r="H48" s="4" t="str">
        <x:v>Yes</x:v>
      </x:c>
      <x:c r="I48" s="24" t="str">
        <x:v>2026-09-01</x:v>
      </x:c>
      <x:c r="J48" s="4" t="str">
        <x:v>See TPWD category page</x:v>
      </x:c>
      <x:c r="K48" s="4" t="n">
        <x:v>0</x:v>
      </x:c>
      <x:c r="L48" s="4" t="n">
        <x:v>0</x:v>
      </x:c>
      <x:c r="M48" s="4"/>
      <x:c r="N48" s="4"/>
      <x:c r="O48" s="4"/>
      <x:c r="P48" s="4" t="n">
        <x:v>570</x:v>
      </x:c>
      <x:c r="Q48" s="4" t="str">
        <x:v>Statewide</x:v>
      </x:c>
      <x:c r="R48" s="4" t="str">
        <x:v>Research before draw; property brochure linked from TPWD</x:v>
      </x:c>
      <x:c r="S48" s="4" t="str">
        <x:v>Low</x:v>
      </x:c>
      <x:c r="T48" s="4" t="str">
        <x:v>No</x:v>
      </x:c>
      <x:c r="U48" s="4" t="str">
        <x:v>Verified in TPWD 2026-2027 statewide deer category catalog.</x:v>
      </x:c>
      <x:c r="V48" s="4" t="str">
        <x:v>https://tpwd.texas.gov/huntwild/hunt/public/public_hunt_drawing/hunt-category-details.phtml?OCat=YDE</x:v>
      </x:c>
      <x:c r="W48" s="4" t="n">
        <x:v>2</x:v>
      </x:c>
      <x:c r="X48" s="4" t="n">
        <x:v>2</x:v>
      </x:c>
      <x:c r="Y48" s="4" t="n">
        <x:v>5</x:v>
      </x:c>
      <x:c r="Z48" s="4" t="n">
        <x:v>3</x:v>
      </x:c>
      <x:c r="AA48" s="4" t="n">
        <x:v>2</x:v>
      </x:c>
      <x:c r="AB48" s="4" t="n">
        <x:v>0</x:v>
      </x:c>
      <x:c r="AC48" s="4" t="n">
        <x:v>2.5</x:v>
      </x:c>
      <x:c r="AD48" s="4" t="n">
        <x:v>0</x:v>
      </x:c>
      <x:c r="AE48" s="4" t="str">
        <x:v>2026-09-01</x:v>
      </x:c>
      <x:c r="AF48" s="2"/>
      <x:c r="AG48" s="2"/>
      <x:c r="AH48" s="2"/>
      <x:c r="AI48" s="2"/>
      <x:c r="AJ48" s="2"/>
      <x:c r="AK48" s="2"/>
      <x:c r="AL48" s="2"/>
      <x:c r="AM48" s="2" t="str">
        <x:v>https://tpwd.texas.gov/huntwild/hunt/public/public_hunt_drawing/hunt-category-details.phtml?OCat=YDE</x:v>
      </x:c>
      <x:c r="AN48" s="2" t="str">
        <x:v>https://tpwd.texas.gov/search/?q=John+Henry+Kirby+State+Forest+public+hunting+brochure</x:v>
      </x:c>
      <x:c r="AO48" s="2" t="str">
        <x:v>https://apps.tpwd.state.tx.us/huntwild/hunt/public/public_hunt_drawing/</x:v>
      </x:c>
      <x:c r="AP48" s="2" t="str">
        <x:v>https://www.google.com/maps/search/?api=1&amp;query=John+Henry+Kirby+State+Forest%2C+Texas</x:v>
      </x:c>
      <x:c r="AQ48" s="2" t="n">
        <x:v>0</x:v>
      </x:c>
      <x:c r="AR48" s="2" t="str">
        <x:v>Standard Hastings ranking</x:v>
      </x:c>
    </x:row>
    <x:row r="49">
      <x:c r="A49" s="4" t="str">
        <x:v>No</x:v>
      </x:c>
      <x:c r="B49" s="4" t="str">
        <x:v>A</x:v>
      </x:c>
      <x:c r="C49" s="4" t="str">
        <x:v>Whitetail Deer</x:v>
      </x:c>
      <x:c r="D49" s="4" t="str">
        <x:v>Justin Hurst WMA</x:v>
      </x:c>
      <x:c r="E49" s="4" t="str">
        <x:v>Houston / Gulf Coast</x:v>
      </x:c>
      <x:c r="F49" s="4" t="str">
        <x:v>Youth Gun Deer - Either Sex</x:v>
      </x:c>
      <x:c r="G49" s="4" t="str">
        <x:v>No</x:v>
      </x:c>
      <x:c r="H49" s="4" t="str">
        <x:v>Yes</x:v>
      </x:c>
      <x:c r="I49" s="24" t="str">
        <x:v>2026-09-01</x:v>
      </x:c>
      <x:c r="J49" s="4" t="str">
        <x:v>See TPWD category page</x:v>
      </x:c>
      <x:c r="K49" s="4" t="n">
        <x:v>0</x:v>
      </x:c>
      <x:c r="L49" s="4" t="n">
        <x:v>0</x:v>
      </x:c>
      <x:c r="M49" s="4"/>
      <x:c r="N49" s="4"/>
      <x:c r="O49" s="4"/>
      <x:c r="P49" s="4" t="n">
        <x:v>610</x:v>
      </x:c>
      <x:c r="Q49" s="4" t="str">
        <x:v>Long Haul</x:v>
      </x:c>
      <x:c r="R49" s="4" t="str">
        <x:v>Research before draw; property brochure linked from TPWD</x:v>
      </x:c>
      <x:c r="S49" s="4" t="str">
        <x:v>Low</x:v>
      </x:c>
      <x:c r="T49" s="4" t="str">
        <x:v>No</x:v>
      </x:c>
      <x:c r="U49" s="4" t="str">
        <x:v>Verified in TPWD 2026-2027 statewide deer category catalog.</x:v>
      </x:c>
      <x:c r="V49" s="4" t="str">
        <x:v>https://tpwd.texas.gov/huntwild/hunt/public/public_hunt_drawing/hunt-category-details.phtml?OCat=YDE</x:v>
      </x:c>
      <x:c r="W49" s="4" t="n">
        <x:v>2</x:v>
      </x:c>
      <x:c r="X49" s="4" t="n">
        <x:v>1</x:v>
      </x:c>
      <x:c r="Y49" s="4" t="n">
        <x:v>5</x:v>
      </x:c>
      <x:c r="Z49" s="4" t="n">
        <x:v>3</x:v>
      </x:c>
      <x:c r="AA49" s="4" t="n">
        <x:v>2</x:v>
      </x:c>
      <x:c r="AB49" s="4" t="n">
        <x:v>0</x:v>
      </x:c>
      <x:c r="AC49" s="4" t="n">
        <x:v>2.4</x:v>
      </x:c>
      <x:c r="AD49" s="4" t="n">
        <x:v>0</x:v>
      </x:c>
      <x:c r="AE49" s="4" t="str">
        <x:v>2026-09-01</x:v>
      </x:c>
      <x:c r="AF49" s="2"/>
      <x:c r="AG49" s="2"/>
      <x:c r="AH49" s="2"/>
      <x:c r="AI49" s="2"/>
      <x:c r="AJ49" s="2"/>
      <x:c r="AK49" s="2"/>
      <x:c r="AL49" s="2"/>
      <x:c r="AM49" s="2" t="str">
        <x:v>https://tpwd.texas.gov/huntwild/hunt/public/public_hunt_drawing/hunt-category-details.phtml?OCat=YDE</x:v>
      </x:c>
      <x:c r="AN49" s="2" t="str">
        <x:v>https://tpwd.texas.gov/search/?q=Justin+Hurst+WMA+public+hunting+brochure</x:v>
      </x:c>
      <x:c r="AO49" s="2" t="str">
        <x:v>https://apps.tpwd.state.tx.us/huntwild/hunt/public/public_hunt_drawing/</x:v>
      </x:c>
      <x:c r="AP49" s="2" t="str">
        <x:v>https://www.google.com/maps/search/?api=1&amp;query=Justin+Hurst+WMA%2C+Texas</x:v>
      </x:c>
      <x:c r="AQ49" s="2" t="n">
        <x:v>0</x:v>
      </x:c>
      <x:c r="AR49" s="2" t="str">
        <x:v>Standard Hastings ranking</x:v>
      </x:c>
    </x:row>
    <x:row r="50">
      <x:c r="A50" s="4" t="str">
        <x:v>No</x:v>
      </x:c>
      <x:c r="B50" s="4" t="str">
        <x:v>A</x:v>
      </x:c>
      <x:c r="C50" s="4" t="str">
        <x:v>Whitetail Deer</x:v>
      </x:c>
      <x:c r="D50" s="4" t="str">
        <x:v>Kerr WMA</x:v>
      </x:c>
      <x:c r="E50" s="4" t="str">
        <x:v>Hill Country / San Antonio</x:v>
      </x:c>
      <x:c r="F50" s="4" t="str">
        <x:v>Youth Gun Deer - Either Sex</x:v>
      </x:c>
      <x:c r="G50" s="4" t="str">
        <x:v>No</x:v>
      </x:c>
      <x:c r="H50" s="4" t="str">
        <x:v>Yes</x:v>
      </x:c>
      <x:c r="I50" s="24" t="str">
        <x:v>2026-09-01</x:v>
      </x:c>
      <x:c r="J50" s="4" t="str">
        <x:v>See TPWD category page</x:v>
      </x:c>
      <x:c r="K50" s="4" t="n">
        <x:v>0</x:v>
      </x:c>
      <x:c r="L50" s="4" t="n">
        <x:v>0</x:v>
      </x:c>
      <x:c r="M50" s="4"/>
      <x:c r="N50" s="4"/>
      <x:c r="O50" s="4"/>
      <x:c r="P50" s="4" t="n">
        <x:v>520</x:v>
      </x:c>
      <x:c r="Q50" s="4" t="str">
        <x:v>Statewide</x:v>
      </x:c>
      <x:c r="R50" s="4" t="str">
        <x:v>Research before draw; property brochure linked from TPWD</x:v>
      </x:c>
      <x:c r="S50" s="4" t="str">
        <x:v>Low</x:v>
      </x:c>
      <x:c r="T50" s="4" t="str">
        <x:v>No</x:v>
      </x:c>
      <x:c r="U50" s="4" t="str">
        <x:v>Verified in TPWD 2026-2027 statewide deer category catalog.</x:v>
      </x:c>
      <x:c r="V50" s="4" t="str">
        <x:v>https://tpwd.texas.gov/huntwild/hunt/public/public_hunt_drawing/hunt-category-details.phtml?OCat=YDE</x:v>
      </x:c>
      <x:c r="W50" s="4" t="n">
        <x:v>2</x:v>
      </x:c>
      <x:c r="X50" s="4" t="n">
        <x:v>2</x:v>
      </x:c>
      <x:c r="Y50" s="4" t="n">
        <x:v>5</x:v>
      </x:c>
      <x:c r="Z50" s="4" t="n">
        <x:v>3</x:v>
      </x:c>
      <x:c r="AA50" s="4" t="n">
        <x:v>2</x:v>
      </x:c>
      <x:c r="AB50" s="4" t="n">
        <x:v>0</x:v>
      </x:c>
      <x:c r="AC50" s="4" t="n">
        <x:v>2.5</x:v>
      </x:c>
      <x:c r="AD50" s="4" t="n">
        <x:v>0</x:v>
      </x:c>
      <x:c r="AE50" s="4" t="str">
        <x:v>2026-09-01</x:v>
      </x:c>
      <x:c r="AF50" s="2"/>
      <x:c r="AG50" s="2"/>
      <x:c r="AH50" s="2"/>
      <x:c r="AI50" s="2"/>
      <x:c r="AJ50" s="2"/>
      <x:c r="AK50" s="2"/>
      <x:c r="AL50" s="2"/>
      <x:c r="AM50" s="2" t="str">
        <x:v>https://tpwd.texas.gov/huntwild/hunt/public/public_hunt_drawing/hunt-category-details.phtml?OCat=YDE</x:v>
      </x:c>
      <x:c r="AN50" s="2" t="str">
        <x:v>https://tpwd.texas.gov/search/?q=Kerr+WMA+public+hunting+brochure</x:v>
      </x:c>
      <x:c r="AO50" s="2" t="str">
        <x:v>https://apps.tpwd.state.tx.us/huntwild/hunt/public/public_hunt_drawing/</x:v>
      </x:c>
      <x:c r="AP50" s="2" t="str">
        <x:v>https://www.google.com/maps/search/?api=1&amp;query=Kerr+WMA%2C+Texas</x:v>
      </x:c>
      <x:c r="AQ50" s="2" t="n">
        <x:v>0</x:v>
      </x:c>
      <x:c r="AR50" s="2" t="str">
        <x:v>Standard Hastings ranking</x:v>
      </x:c>
    </x:row>
    <x:row r="51">
      <x:c r="A51" s="4" t="str">
        <x:v>No</x:v>
      </x:c>
      <x:c r="B51" s="4" t="str">
        <x:v>A</x:v>
      </x:c>
      <x:c r="C51" s="4" t="str">
        <x:v>Whitetail Deer</x:v>
      </x:c>
      <x:c r="D51" s="4" t="str">
        <x:v>Lake Brownwood SP</x:v>
      </x:c>
      <x:c r="E51" s="4" t="str">
        <x:v>West-Central Texas</x:v>
      </x:c>
      <x:c r="F51" s="4" t="str">
        <x:v>Youth Gun Deer - Either Sex</x:v>
      </x:c>
      <x:c r="G51" s="4" t="str">
        <x:v>No</x:v>
      </x:c>
      <x:c r="H51" s="4" t="str">
        <x:v>Yes</x:v>
      </x:c>
      <x:c r="I51" s="24" t="str">
        <x:v>2026-09-01</x:v>
      </x:c>
      <x:c r="J51" s="4" t="str">
        <x:v>See TPWD category page</x:v>
      </x:c>
      <x:c r="K51" s="4" t="n">
        <x:v>0</x:v>
      </x:c>
      <x:c r="L51" s="4" t="n">
        <x:v>0</x:v>
      </x:c>
      <x:c r="M51" s="4"/>
      <x:c r="N51" s="4"/>
      <x:c r="O51" s="4"/>
      <x:c r="P51" s="4" t="n">
        <x:v>300</x:v>
      </x:c>
      <x:c r="Q51" s="4" t="str">
        <x:v>Extended</x:v>
      </x:c>
      <x:c r="R51" s="4" t="str">
        <x:v>Research before draw; property brochure linked from TPWD</x:v>
      </x:c>
      <x:c r="S51" s="4" t="str">
        <x:v>Low</x:v>
      </x:c>
      <x:c r="T51" s="4" t="str">
        <x:v>No</x:v>
      </x:c>
      <x:c r="U51" s="4" t="str">
        <x:v>Verified in TPWD 2026-2027 statewide deer category catalog.</x:v>
      </x:c>
      <x:c r="V51" s="4" t="str">
        <x:v>https://tpwd.texas.gov/huntwild/hunt/public/public_hunt_drawing/hunt-category-details.phtml?OCat=YDE</x:v>
      </x:c>
      <x:c r="W51" s="4" t="n">
        <x:v>2</x:v>
      </x:c>
      <x:c r="X51" s="4" t="n">
        <x:v>4</x:v>
      </x:c>
      <x:c r="Y51" s="4" t="n">
        <x:v>5</x:v>
      </x:c>
      <x:c r="Z51" s="4" t="n">
        <x:v>3</x:v>
      </x:c>
      <x:c r="AA51" s="4" t="n">
        <x:v>2</x:v>
      </x:c>
      <x:c r="AB51" s="4" t="n">
        <x:v>0</x:v>
      </x:c>
      <x:c r="AC51" s="4" t="n">
        <x:v>2.9</x:v>
      </x:c>
      <x:c r="AD51" s="4" t="n">
        <x:v>0</x:v>
      </x:c>
      <x:c r="AE51" s="4" t="str">
        <x:v>2026-09-01</x:v>
      </x:c>
      <x:c r="AF51" s="2"/>
      <x:c r="AG51" s="2"/>
      <x:c r="AH51" s="2"/>
      <x:c r="AI51" s="2"/>
      <x:c r="AJ51" s="2"/>
      <x:c r="AK51" s="2"/>
      <x:c r="AL51" s="2"/>
      <x:c r="AM51" s="2" t="str">
        <x:v>https://tpwd.texas.gov/huntwild/hunt/public/public_hunt_drawing/hunt-category-details.phtml?OCat=YDE</x:v>
      </x:c>
      <x:c r="AN51" s="2" t="str">
        <x:v>https://tpwd.texas.gov/search/?q=Lake+Brownwood+SP+public+hunting+brochure</x:v>
      </x:c>
      <x:c r="AO51" s="2" t="str">
        <x:v>https://apps.tpwd.state.tx.us/huntwild/hunt/public/public_hunt_drawing/</x:v>
      </x:c>
      <x:c r="AP51" s="2" t="str">
        <x:v>https://www.google.com/maps/search/?api=1&amp;query=Lake+Brownwood+SP%2C+Texas</x:v>
      </x:c>
      <x:c r="AQ51" s="2" t="n">
        <x:v>0</x:v>
      </x:c>
      <x:c r="AR51" s="2" t="str">
        <x:v>Standard Hastings ranking</x:v>
      </x:c>
    </x:row>
    <x:row r="52">
      <x:c r="A52" s="4" t="str">
        <x:v>No</x:v>
      </x:c>
      <x:c r="B52" s="4" t="str">
        <x:v>A</x:v>
      </x:c>
      <x:c r="C52" s="4" t="str">
        <x:v>Whitetail Deer</x:v>
      </x:c>
      <x:c r="D52" s="4" t="str">
        <x:v>Lake McClellan Recreation Area</x:v>
      </x:c>
      <x:c r="E52" s="4" t="str">
        <x:v>Panhandle / Rolling Plains</x:v>
      </x:c>
      <x:c r="F52" s="4" t="str">
        <x:v>Youth Gun Deer - Either Sex</x:v>
      </x:c>
      <x:c r="G52" s="4" t="str">
        <x:v>No</x:v>
      </x:c>
      <x:c r="H52" s="4" t="str">
        <x:v>Yes</x:v>
      </x:c>
      <x:c r="I52" s="24" t="str">
        <x:v>2026-09-01</x:v>
      </x:c>
      <x:c r="J52" s="4" t="str">
        <x:v>See TPWD category page</x:v>
      </x:c>
      <x:c r="K52" s="4" t="n">
        <x:v>0</x:v>
      </x:c>
      <x:c r="L52" s="4" t="n">
        <x:v>0</x:v>
      </x:c>
      <x:c r="M52" s="4"/>
      <x:c r="N52" s="4"/>
      <x:c r="O52" s="4"/>
      <x:c r="P52" s="4" t="n">
        <x:v>130</x:v>
      </x:c>
      <x:c r="Q52" s="4" t="str">
        <x:v>Core</x:v>
      </x:c>
      <x:c r="R52" s="4" t="str">
        <x:v>Research before draw; property brochure linked from TPWD</x:v>
      </x:c>
      <x:c r="S52" s="4" t="str">
        <x:v>High</x:v>
      </x:c>
      <x:c r="T52" s="4" t="str">
        <x:v>No</x:v>
      </x:c>
      <x:c r="U52" s="4" t="str">
        <x:v>Verified in TPWD 2026-2027 statewide deer category catalog.</x:v>
      </x:c>
      <x:c r="V52" s="4" t="str">
        <x:v>https://tpwd.texas.gov/huntwild/hunt/public/public_hunt_drawing/hunt-category-details.phtml?OCat=YDE</x:v>
      </x:c>
      <x:c r="W52" s="4" t="n">
        <x:v>2</x:v>
      </x:c>
      <x:c r="X52" s="4" t="n">
        <x:v>5</x:v>
      </x:c>
      <x:c r="Y52" s="4" t="n">
        <x:v>5</x:v>
      </x:c>
      <x:c r="Z52" s="4" t="n">
        <x:v>3</x:v>
      </x:c>
      <x:c r="AA52" s="4" t="n">
        <x:v>4</x:v>
      </x:c>
      <x:c r="AB52" s="4" t="n">
        <x:v>0</x:v>
      </x:c>
      <x:c r="AC52" s="4" t="n">
        <x:v>3.2</x:v>
      </x:c>
      <x:c r="AD52" s="4" t="n">
        <x:v>0</x:v>
      </x:c>
      <x:c r="AE52" s="4" t="str">
        <x:v>2026-09-01</x:v>
      </x:c>
      <x:c r="AF52" s="2"/>
      <x:c r="AG52" s="2"/>
      <x:c r="AH52" s="2"/>
      <x:c r="AI52" s="2"/>
      <x:c r="AJ52" s="2"/>
      <x:c r="AK52" s="2"/>
      <x:c r="AL52" s="2"/>
      <x:c r="AM52" s="2" t="str">
        <x:v>https://tpwd.texas.gov/huntwild/hunt/public/public_hunt_drawing/hunt-category-details.phtml?OCat=YDE</x:v>
      </x:c>
      <x:c r="AN52" s="2" t="str">
        <x:v>https://tpwd.texas.gov/search/?q=Lake+McClellan+Recreation+Area+public+hunting+brochure</x:v>
      </x:c>
      <x:c r="AO52" s="2" t="str">
        <x:v>https://apps.tpwd.state.tx.us/huntwild/hunt/public/public_hunt_drawing/</x:v>
      </x:c>
      <x:c r="AP52" s="2" t="str">
        <x:v>https://www.google.com/maps/search/?api=1&amp;query=Lake+McClellan+Recreation+Area%2C+Texas</x:v>
      </x:c>
      <x:c r="AQ52" s="2" t="n">
        <x:v>0</x:v>
      </x:c>
      <x:c r="AR52" s="2" t="str">
        <x:v>Standard Hastings ranking</x:v>
      </x:c>
    </x:row>
    <x:row r="53">
      <x:c r="A53" s="4" t="str">
        <x:v>No</x:v>
      </x:c>
      <x:c r="B53" s="4" t="str">
        <x:v>A</x:v>
      </x:c>
      <x:c r="C53" s="4" t="str">
        <x:v>Whitetail Deer</x:v>
      </x:c>
      <x:c r="D53" s="4" t="str">
        <x:v>Lake Mineral Wells SP</x:v>
      </x:c>
      <x:c r="E53" s="4" t="str">
        <x:v>North Texas / DFW</x:v>
      </x:c>
      <x:c r="F53" s="4" t="str">
        <x:v>Youth Gun Deer - Either Sex</x:v>
      </x:c>
      <x:c r="G53" s="4" t="str">
        <x:v>No</x:v>
      </x:c>
      <x:c r="H53" s="4" t="str">
        <x:v>Yes</x:v>
      </x:c>
      <x:c r="I53" s="24" t="str">
        <x:v>2026-09-01</x:v>
      </x:c>
      <x:c r="J53" s="4" t="str">
        <x:v>See TPWD category page</x:v>
      </x:c>
      <x:c r="K53" s="4" t="n">
        <x:v>0</x:v>
      </x:c>
      <x:c r="L53" s="4" t="n">
        <x:v>0</x:v>
      </x:c>
      <x:c r="M53" s="4"/>
      <x:c r="N53" s="4"/>
      <x:c r="O53" s="4"/>
      <x:c r="P53" s="4" t="n">
        <x:v>360</x:v>
      </x:c>
      <x:c r="Q53" s="4" t="str">
        <x:v>Extended</x:v>
      </x:c>
      <x:c r="R53" s="4" t="str">
        <x:v>Research before draw; property brochure linked from TPWD</x:v>
      </x:c>
      <x:c r="S53" s="4" t="str">
        <x:v>Low</x:v>
      </x:c>
      <x:c r="T53" s="4" t="str">
        <x:v>No</x:v>
      </x:c>
      <x:c r="U53" s="4" t="str">
        <x:v>Verified in TPWD 2026-2027 statewide deer category catalog.</x:v>
      </x:c>
      <x:c r="V53" s="4" t="str">
        <x:v>https://tpwd.texas.gov/huntwild/hunt/public/public_hunt_drawing/hunt-category-details.phtml?OCat=YDE</x:v>
      </x:c>
      <x:c r="W53" s="4" t="n">
        <x:v>2</x:v>
      </x:c>
      <x:c r="X53" s="4" t="n">
        <x:v>3</x:v>
      </x:c>
      <x:c r="Y53" s="4" t="n">
        <x:v>5</x:v>
      </x:c>
      <x:c r="Z53" s="4" t="n">
        <x:v>3</x:v>
      </x:c>
      <x:c r="AA53" s="4" t="n">
        <x:v>2</x:v>
      </x:c>
      <x:c r="AB53" s="4" t="n">
        <x:v>0</x:v>
      </x:c>
      <x:c r="AC53" s="4" t="n">
        <x:v>2.7</x:v>
      </x:c>
      <x:c r="AD53" s="4" t="n">
        <x:v>0</x:v>
      </x:c>
      <x:c r="AE53" s="4" t="str">
        <x:v>2026-09-01</x:v>
      </x:c>
      <x:c r="AF53" s="2"/>
      <x:c r="AG53" s="2"/>
      <x:c r="AH53" s="2"/>
      <x:c r="AI53" s="2"/>
      <x:c r="AJ53" s="2"/>
      <x:c r="AK53" s="2"/>
      <x:c r="AL53" s="2"/>
      <x:c r="AM53" s="2" t="str">
        <x:v>https://tpwd.texas.gov/huntwild/hunt/public/public_hunt_drawing/hunt-category-details.phtml?OCat=YDE</x:v>
      </x:c>
      <x:c r="AN53" s="2" t="str">
        <x:v>https://tpwd.texas.gov/search/?q=Lake+Mineral+Wells+SP+public+hunting+brochure</x:v>
      </x:c>
      <x:c r="AO53" s="2" t="str">
        <x:v>https://apps.tpwd.state.tx.us/huntwild/hunt/public/public_hunt_drawing/</x:v>
      </x:c>
      <x:c r="AP53" s="2" t="str">
        <x:v>https://www.google.com/maps/search/?api=1&amp;query=Lake+Mineral+Wells+SP%2C+Texas</x:v>
      </x:c>
      <x:c r="AQ53" s="2" t="n">
        <x:v>0</x:v>
      </x:c>
      <x:c r="AR53" s="2" t="str">
        <x:v>Standard Hastings ranking</x:v>
      </x:c>
    </x:row>
    <x:row r="54">
      <x:c r="A54" s="4" t="str">
        <x:v>No</x:v>
      </x:c>
      <x:c r="B54" s="4" t="str">
        <x:v>A</x:v>
      </x:c>
      <x:c r="C54" s="4" t="str">
        <x:v>Whitetail Deer</x:v>
      </x:c>
      <x:c r="D54" s="4" t="str">
        <x:v>Lake Somerville SP - Nails Creek Unit</x:v>
      </x:c>
      <x:c r="E54" s="4" t="str">
        <x:v>Central Texas / Austin</x:v>
      </x:c>
      <x:c r="F54" s="4" t="str">
        <x:v>Youth Gun Deer - Either Sex</x:v>
      </x:c>
      <x:c r="G54" s="4" t="str">
        <x:v>No</x:v>
      </x:c>
      <x:c r="H54" s="4" t="str">
        <x:v>Yes</x:v>
      </x:c>
      <x:c r="I54" s="24" t="str">
        <x:v>2026-09-01</x:v>
      </x:c>
      <x:c r="J54" s="4" t="str">
        <x:v>See TPWD category page</x:v>
      </x:c>
      <x:c r="K54" s="4" t="n">
        <x:v>0</x:v>
      </x:c>
      <x:c r="L54" s="4" t="n">
        <x:v>0</x:v>
      </x:c>
      <x:c r="M54" s="4"/>
      <x:c r="N54" s="4"/>
      <x:c r="O54" s="4"/>
      <x:c r="P54" s="4" t="n">
        <x:v>490</x:v>
      </x:c>
      <x:c r="Q54" s="4" t="str">
        <x:v>Statewide</x:v>
      </x:c>
      <x:c r="R54" s="4" t="str">
        <x:v>Research before draw; property brochure linked from TPWD</x:v>
      </x:c>
      <x:c r="S54" s="4" t="str">
        <x:v>Low</x:v>
      </x:c>
      <x:c r="T54" s="4" t="str">
        <x:v>No</x:v>
      </x:c>
      <x:c r="U54" s="4" t="str">
        <x:v>Verified in TPWD 2026-2027 statewide deer category catalog.</x:v>
      </x:c>
      <x:c r="V54" s="4" t="str">
        <x:v>https://tpwd.texas.gov/huntwild/hunt/public/public_hunt_drawing/hunt-category-details.phtml?OCat=YDE</x:v>
      </x:c>
      <x:c r="W54" s="4" t="n">
        <x:v>2</x:v>
      </x:c>
      <x:c r="X54" s="4" t="n">
        <x:v>2</x:v>
      </x:c>
      <x:c r="Y54" s="4" t="n">
        <x:v>5</x:v>
      </x:c>
      <x:c r="Z54" s="4" t="n">
        <x:v>3</x:v>
      </x:c>
      <x:c r="AA54" s="4" t="n">
        <x:v>2</x:v>
      </x:c>
      <x:c r="AB54" s="4" t="n">
        <x:v>0</x:v>
      </x:c>
      <x:c r="AC54" s="4" t="n">
        <x:v>2.5</x:v>
      </x:c>
      <x:c r="AD54" s="4" t="n">
        <x:v>0</x:v>
      </x:c>
      <x:c r="AE54" s="4" t="str">
        <x:v>2026-09-01</x:v>
      </x:c>
      <x:c r="AF54" s="2"/>
      <x:c r="AG54" s="2"/>
      <x:c r="AH54" s="2"/>
      <x:c r="AI54" s="2"/>
      <x:c r="AJ54" s="2"/>
      <x:c r="AK54" s="2"/>
      <x:c r="AL54" s="2"/>
      <x:c r="AM54" s="2" t="str">
        <x:v>https://tpwd.texas.gov/huntwild/hunt/public/public_hunt_drawing/hunt-category-details.phtml?OCat=YDE</x:v>
      </x:c>
      <x:c r="AN54" s="2" t="str">
        <x:v>https://tpwd.texas.gov/search/?q=Lake+Somerville+SP+-+Nails+Creek+Unit+public+hunting+brochure</x:v>
      </x:c>
      <x:c r="AO54" s="2" t="str">
        <x:v>https://apps.tpwd.state.tx.us/huntwild/hunt/public/public_hunt_drawing/</x:v>
      </x:c>
      <x:c r="AP54" s="2" t="str">
        <x:v>https://www.google.com/maps/search/?api=1&amp;query=Lake+Somerville+SP+-+Nails+Creek+Unit%2C+Texas</x:v>
      </x:c>
      <x:c r="AQ54" s="2" t="n">
        <x:v>0</x:v>
      </x:c>
      <x:c r="AR54" s="2" t="str">
        <x:v>Standard Hastings ranking</x:v>
      </x:c>
    </x:row>
    <x:row r="55">
      <x:c r="A55" s="4" t="str">
        <x:v>No</x:v>
      </x:c>
      <x:c r="B55" s="4" t="str">
        <x:v>B</x:v>
      </x:c>
      <x:c r="C55" s="4" t="str">
        <x:v>Whitetail Deer</x:v>
      </x:c>
      <x:c r="D55" s="4" t="str">
        <x:v>Lake Whitney SP</x:v>
      </x:c>
      <x:c r="E55" s="4" t="str">
        <x:v>Central Texas / Austin</x:v>
      </x:c>
      <x:c r="F55" s="4" t="str">
        <x:v>E-Postcard Youth Archery Deer</x:v>
      </x:c>
      <x:c r="G55" s="4" t="str">
        <x:v>No</x:v>
      </x:c>
      <x:c r="H55" s="4" t="str">
        <x:v>Yes</x:v>
      </x:c>
      <x:c r="I55" s="24" t="str">
        <x:v>2026-09-01</x:v>
      </x:c>
      <x:c r="J55" s="4" t="str">
        <x:v>See TPWD category page</x:v>
      </x:c>
      <x:c r="K55" s="4" t="n">
        <x:v>0</x:v>
      </x:c>
      <x:c r="L55" s="4" t="n">
        <x:v>0</x:v>
      </x:c>
      <x:c r="M55" s="4"/>
      <x:c r="N55" s="4"/>
      <x:c r="O55" s="4"/>
      <x:c r="P55" s="4" t="n">
        <x:v>490</x:v>
      </x:c>
      <x:c r="Q55" s="4" t="str">
        <x:v>Statewide</x:v>
      </x:c>
      <x:c r="R55" s="4" t="str">
        <x:v>Research before draw; property brochure linked from TPWD</x:v>
      </x:c>
      <x:c r="S55" s="4" t="str">
        <x:v>Low</x:v>
      </x:c>
      <x:c r="T55" s="4" t="str">
        <x:v>No</x:v>
      </x:c>
      <x:c r="U55" s="4" t="str">
        <x:v>Verified in TPWD 2026-2027 statewide deer category catalog. APH/eligibility rules apply; confirm account and permit requirements. V5 preference rule: Lower priority: archery whitetail is more than 200 miles from Amarillo.</x:v>
      </x:c>
      <x:c r="V55" s="4" t="str">
        <x:v>https://tpwd.texas.gov/huntwild/hunt/public/public_hunt_drawing/hunt-category-details.phtml?OCat=EYA</x:v>
      </x:c>
      <x:c r="W55" s="4" t="n">
        <x:v>2</x:v>
      </x:c>
      <x:c r="X55" s="4" t="n">
        <x:v>2</x:v>
      </x:c>
      <x:c r="Y55" s="4" t="n">
        <x:v>5</x:v>
      </x:c>
      <x:c r="Z55" s="4" t="n">
        <x:v>3</x:v>
      </x:c>
      <x:c r="AA55" s="4" t="n">
        <x:v>2</x:v>
      </x:c>
      <x:c r="AB55" s="4" t="n">
        <x:v>0</x:v>
      </x:c>
      <x:c r="AC55" s="4" t="n">
        <x:v>1.5</x:v>
      </x:c>
      <x:c r="AD55" s="4" t="n">
        <x:v>0</x:v>
      </x:c>
      <x:c r="AE55" s="4" t="str">
        <x:v>2026-09-01</x:v>
      </x:c>
      <x:c r="AF55" s="2"/>
      <x:c r="AG55" s="2"/>
      <x:c r="AH55" s="2"/>
      <x:c r="AI55" s="2"/>
      <x:c r="AJ55" s="2"/>
      <x:c r="AK55" s="2"/>
      <x:c r="AL55" s="2"/>
      <x:c r="AM55" s="2" t="str">
        <x:v>https://tpwd.texas.gov/huntwild/hunt/public/public_hunt_drawing/hunt-category-details.phtml?OCat=EYA</x:v>
      </x:c>
      <x:c r="AN55" s="2" t="str">
        <x:v>https://tpwd.texas.gov/search/?q=Lake+Whitney+SP+public+hunting+brochure</x:v>
      </x:c>
      <x:c r="AO55" s="2" t="str">
        <x:v>https://apps.tpwd.state.tx.us/huntwild/hunt/public/public_hunt_drawing/</x:v>
      </x:c>
      <x:c r="AP55" s="2" t="str">
        <x:v>https://www.google.com/maps/search/?api=1&amp;query=Lake+Whitney+SP%2C+Texas</x:v>
      </x:c>
      <x:c r="AQ55" s="2" t="n">
        <x:v>-1</x:v>
      </x:c>
      <x:c r="AR55" s="2" t="str">
        <x:v>Lower priority: archery whitetail is more than 200 miles from Amarillo</x:v>
      </x:c>
    </x:row>
    <x:row r="56">
      <x:c r="A56" s="4" t="str">
        <x:v>No</x:v>
      </x:c>
      <x:c r="B56" s="4" t="str">
        <x:v>B</x:v>
      </x:c>
      <x:c r="C56" s="4" t="str">
        <x:v>Whitetail Deer</x:v>
      </x:c>
      <x:c r="D56" s="4" t="str">
        <x:v>Mad Island WMA</x:v>
      </x:c>
      <x:c r="E56" s="4" t="str">
        <x:v>Houston / Gulf Coast</x:v>
      </x:c>
      <x:c r="F56" s="4" t="str">
        <x:v>E-Postcard Youth Archery Deer</x:v>
      </x:c>
      <x:c r="G56" s="4" t="str">
        <x:v>No</x:v>
      </x:c>
      <x:c r="H56" s="4" t="str">
        <x:v>Yes</x:v>
      </x:c>
      <x:c r="I56" s="24" t="str">
        <x:v>2026-09-01</x:v>
      </x:c>
      <x:c r="J56" s="4" t="str">
        <x:v>See TPWD category page</x:v>
      </x:c>
      <x:c r="K56" s="4" t="n">
        <x:v>0</x:v>
      </x:c>
      <x:c r="L56" s="4" t="n">
        <x:v>0</x:v>
      </x:c>
      <x:c r="M56" s="4"/>
      <x:c r="N56" s="4"/>
      <x:c r="O56" s="4"/>
      <x:c r="P56" s="4" t="n">
        <x:v>610</x:v>
      </x:c>
      <x:c r="Q56" s="4" t="str">
        <x:v>Long Haul</x:v>
      </x:c>
      <x:c r="R56" s="4" t="str">
        <x:v>Research before draw; property brochure linked from TPWD</x:v>
      </x:c>
      <x:c r="S56" s="4" t="str">
        <x:v>Low</x:v>
      </x:c>
      <x:c r="T56" s="4" t="str">
        <x:v>No</x:v>
      </x:c>
      <x:c r="U56" s="4" t="str">
        <x:v>Verified in TPWD 2026-2027 statewide deer category catalog. APH/eligibility rules apply; confirm account and permit requirements. V5 preference rule: Lower priority: archery whitetail is more than 200 miles from Amarillo.</x:v>
      </x:c>
      <x:c r="V56" s="4" t="str">
        <x:v>https://tpwd.texas.gov/huntwild/hunt/public/public_hunt_drawing/hunt-category-details.phtml?OCat=EYA</x:v>
      </x:c>
      <x:c r="W56" s="4" t="n">
        <x:v>2</x:v>
      </x:c>
      <x:c r="X56" s="4" t="n">
        <x:v>1</x:v>
      </x:c>
      <x:c r="Y56" s="4" t="n">
        <x:v>5</x:v>
      </x:c>
      <x:c r="Z56" s="4" t="n">
        <x:v>3</x:v>
      </x:c>
      <x:c r="AA56" s="4" t="n">
        <x:v>2</x:v>
      </x:c>
      <x:c r="AB56" s="4" t="n">
        <x:v>0</x:v>
      </x:c>
      <x:c r="AC56" s="4" t="n">
        <x:v>1.4</x:v>
      </x:c>
      <x:c r="AD56" s="4" t="n">
        <x:v>0</x:v>
      </x:c>
      <x:c r="AE56" s="4" t="str">
        <x:v>2026-09-01</x:v>
      </x:c>
      <x:c r="AF56" s="2"/>
      <x:c r="AG56" s="2"/>
      <x:c r="AH56" s="2"/>
      <x:c r="AI56" s="2"/>
      <x:c r="AJ56" s="2"/>
      <x:c r="AK56" s="2"/>
      <x:c r="AL56" s="2"/>
      <x:c r="AM56" s="2" t="str">
        <x:v>https://tpwd.texas.gov/huntwild/hunt/public/public_hunt_drawing/hunt-category-details.phtml?OCat=EYA</x:v>
      </x:c>
      <x:c r="AN56" s="2" t="str">
        <x:v>https://tpwd.texas.gov/search/?q=Mad+Island+WMA+public+hunting+brochure</x:v>
      </x:c>
      <x:c r="AO56" s="2" t="str">
        <x:v>https://apps.tpwd.state.tx.us/huntwild/hunt/public/public_hunt_drawing/</x:v>
      </x:c>
      <x:c r="AP56" s="2" t="str">
        <x:v>https://www.google.com/maps/search/?api=1&amp;query=Mad+Island+WMA%2C+Texas</x:v>
      </x:c>
      <x:c r="AQ56" s="2" t="n">
        <x:v>-1</x:v>
      </x:c>
      <x:c r="AR56" s="2" t="str">
        <x:v>Lower priority: archery whitetail is more than 200 miles from Amarillo</x:v>
      </x:c>
    </x:row>
    <x:row r="57">
      <x:c r="A57" s="4" t="str">
        <x:v>No</x:v>
      </x:c>
      <x:c r="B57" s="4" t="str">
        <x:v>A</x:v>
      </x:c>
      <x:c r="C57" s="4" t="str">
        <x:v>Whitetail Deer</x:v>
      </x:c>
      <x:c r="D57" s="4" t="str">
        <x:v>Masterson State Forest</x:v>
      </x:c>
      <x:c r="E57" s="4" t="str">
        <x:v>East Texas / Pineywoods</x:v>
      </x:c>
      <x:c r="F57" s="4" t="str">
        <x:v>Youth Gun Deer - Either Sex</x:v>
      </x:c>
      <x:c r="G57" s="4" t="str">
        <x:v>No</x:v>
      </x:c>
      <x:c r="H57" s="4" t="str">
        <x:v>Yes</x:v>
      </x:c>
      <x:c r="I57" s="24" t="str">
        <x:v>2026-09-01</x:v>
      </x:c>
      <x:c r="J57" s="4" t="str">
        <x:v>See TPWD category page</x:v>
      </x:c>
      <x:c r="K57" s="4" t="n">
        <x:v>0</x:v>
      </x:c>
      <x:c r="L57" s="4" t="n">
        <x:v>0</x:v>
      </x:c>
      <x:c r="M57" s="4"/>
      <x:c r="N57" s="4"/>
      <x:c r="O57" s="4"/>
      <x:c r="P57" s="4" t="n">
        <x:v>570</x:v>
      </x:c>
      <x:c r="Q57" s="4" t="str">
        <x:v>Statewide</x:v>
      </x:c>
      <x:c r="R57" s="4" t="str">
        <x:v>Research before draw; property brochure linked from TPWD</x:v>
      </x:c>
      <x:c r="S57" s="4" t="str">
        <x:v>Low</x:v>
      </x:c>
      <x:c r="T57" s="4" t="str">
        <x:v>No</x:v>
      </x:c>
      <x:c r="U57" s="4" t="str">
        <x:v>Verified in TPWD 2026-2027 statewide deer category catalog.</x:v>
      </x:c>
      <x:c r="V57" s="4" t="str">
        <x:v>https://tpwd.texas.gov/huntwild/hunt/public/public_hunt_drawing/hunt-category-details.phtml?OCat=YDE</x:v>
      </x:c>
      <x:c r="W57" s="4" t="n">
        <x:v>2</x:v>
      </x:c>
      <x:c r="X57" s="4" t="n">
        <x:v>2</x:v>
      </x:c>
      <x:c r="Y57" s="4" t="n">
        <x:v>5</x:v>
      </x:c>
      <x:c r="Z57" s="4" t="n">
        <x:v>3</x:v>
      </x:c>
      <x:c r="AA57" s="4" t="n">
        <x:v>2</x:v>
      </x:c>
      <x:c r="AB57" s="4" t="n">
        <x:v>0</x:v>
      </x:c>
      <x:c r="AC57" s="4" t="n">
        <x:v>2.5</x:v>
      </x:c>
      <x:c r="AD57" s="4" t="n">
        <x:v>0</x:v>
      </x:c>
      <x:c r="AE57" s="4" t="str">
        <x:v>2026-09-01</x:v>
      </x:c>
      <x:c r="AF57" s="2"/>
      <x:c r="AG57" s="2"/>
      <x:c r="AH57" s="2"/>
      <x:c r="AI57" s="2"/>
      <x:c r="AJ57" s="2"/>
      <x:c r="AK57" s="2"/>
      <x:c r="AL57" s="2"/>
      <x:c r="AM57" s="2" t="str">
        <x:v>https://tpwd.texas.gov/huntwild/hunt/public/public_hunt_drawing/hunt-category-details.phtml?OCat=YDE</x:v>
      </x:c>
      <x:c r="AN57" s="2" t="str">
        <x:v>https://tpwd.texas.gov/search/?q=Masterson+State+Forest+public+hunting+brochure</x:v>
      </x:c>
      <x:c r="AO57" s="2" t="str">
        <x:v>https://apps.tpwd.state.tx.us/huntwild/hunt/public/public_hunt_drawing/</x:v>
      </x:c>
      <x:c r="AP57" s="2" t="str">
        <x:v>https://www.google.com/maps/search/?api=1&amp;query=Masterson+State+Forest%2C+Texas</x:v>
      </x:c>
      <x:c r="AQ57" s="2" t="n">
        <x:v>0</x:v>
      </x:c>
      <x:c r="AR57" s="2" t="str">
        <x:v>Standard Hastings ranking</x:v>
      </x:c>
    </x:row>
    <x:row r="58">
      <x:c r="A58" s="4" t="str">
        <x:v>No</x:v>
      </x:c>
      <x:c r="B58" s="4" t="str">
        <x:v>A</x:v>
      </x:c>
      <x:c r="C58" s="4" t="str">
        <x:v>Whitetail Deer</x:v>
      </x:c>
      <x:c r="D58" s="4" t="str">
        <x:v>Matagorda Island WMA</x:v>
      </x:c>
      <x:c r="E58" s="4" t="str">
        <x:v>Houston / Gulf Coast</x:v>
      </x:c>
      <x:c r="F58" s="4" t="str">
        <x:v>Youth Gun Deer - Either Sex</x:v>
      </x:c>
      <x:c r="G58" s="4" t="str">
        <x:v>No</x:v>
      </x:c>
      <x:c r="H58" s="4" t="str">
        <x:v>Yes</x:v>
      </x:c>
      <x:c r="I58" s="24" t="str">
        <x:v>2026-09-01</x:v>
      </x:c>
      <x:c r="J58" s="4" t="str">
        <x:v>See TPWD category page</x:v>
      </x:c>
      <x:c r="K58" s="4" t="n">
        <x:v>0</x:v>
      </x:c>
      <x:c r="L58" s="4" t="n">
        <x:v>0</x:v>
      </x:c>
      <x:c r="M58" s="4"/>
      <x:c r="N58" s="4"/>
      <x:c r="O58" s="4"/>
      <x:c r="P58" s="4" t="n">
        <x:v>610</x:v>
      </x:c>
      <x:c r="Q58" s="4" t="str">
        <x:v>Long Haul</x:v>
      </x:c>
      <x:c r="R58" s="4" t="str">
        <x:v>Research before draw; property brochure linked from TPWD</x:v>
      </x:c>
      <x:c r="S58" s="4" t="str">
        <x:v>Low</x:v>
      </x:c>
      <x:c r="T58" s="4" t="str">
        <x:v>No</x:v>
      </x:c>
      <x:c r="U58" s="4" t="str">
        <x:v>Verified in TPWD 2026-2027 statewide deer category catalog.</x:v>
      </x:c>
      <x:c r="V58" s="4" t="str">
        <x:v>https://tpwd.texas.gov/huntwild/hunt/public/public_hunt_drawing/hunt-category-details.phtml?OCat=YDE</x:v>
      </x:c>
      <x:c r="W58" s="4" t="n">
        <x:v>2</x:v>
      </x:c>
      <x:c r="X58" s="4" t="n">
        <x:v>1</x:v>
      </x:c>
      <x:c r="Y58" s="4" t="n">
        <x:v>5</x:v>
      </x:c>
      <x:c r="Z58" s="4" t="n">
        <x:v>3</x:v>
      </x:c>
      <x:c r="AA58" s="4" t="n">
        <x:v>2</x:v>
      </x:c>
      <x:c r="AB58" s="4" t="n">
        <x:v>0</x:v>
      </x:c>
      <x:c r="AC58" s="4" t="n">
        <x:v>2.4</x:v>
      </x:c>
      <x:c r="AD58" s="4" t="n">
        <x:v>0</x:v>
      </x:c>
      <x:c r="AE58" s="4" t="str">
        <x:v>2026-09-01</x:v>
      </x:c>
      <x:c r="AF58" s="2"/>
      <x:c r="AG58" s="2"/>
      <x:c r="AH58" s="2"/>
      <x:c r="AI58" s="2"/>
      <x:c r="AJ58" s="2"/>
      <x:c r="AK58" s="2"/>
      <x:c r="AL58" s="2"/>
      <x:c r="AM58" s="2" t="str">
        <x:v>https://tpwd.texas.gov/huntwild/hunt/public/public_hunt_drawing/hunt-category-details.phtml?OCat=YDE</x:v>
      </x:c>
      <x:c r="AN58" s="2" t="str">
        <x:v>https://tpwd.texas.gov/search/?q=Matagorda+Island+WMA+public+hunting+brochure</x:v>
      </x:c>
      <x:c r="AO58" s="2" t="str">
        <x:v>https://apps.tpwd.state.tx.us/huntwild/hunt/public/public_hunt_drawing/</x:v>
      </x:c>
      <x:c r="AP58" s="2" t="str">
        <x:v>https://www.google.com/maps/search/?api=1&amp;query=Matagorda+Island+WMA%2C+Texas</x:v>
      </x:c>
      <x:c r="AQ58" s="2" t="n">
        <x:v>0</x:v>
      </x:c>
      <x:c r="AR58" s="2" t="str">
        <x:v>Standard Hastings ranking</x:v>
      </x:c>
    </x:row>
    <x:row r="59">
      <x:c r="A59" s="4" t="str">
        <x:v>No</x:v>
      </x:c>
      <x:c r="B59" s="4" t="str">
        <x:v>A</x:v>
      </x:c>
      <x:c r="C59" s="4" t="str">
        <x:v>Whitetail Deer</x:v>
      </x:c>
      <x:c r="D59" s="4" t="str">
        <x:v>Nannie Stringfellow WMA</x:v>
      </x:c>
      <x:c r="E59" s="4" t="str">
        <x:v>Houston / Gulf Coast</x:v>
      </x:c>
      <x:c r="F59" s="4" t="str">
        <x:v>Youth Gun Deer - Either Sex</x:v>
      </x:c>
      <x:c r="G59" s="4" t="str">
        <x:v>No</x:v>
      </x:c>
      <x:c r="H59" s="4" t="str">
        <x:v>Yes</x:v>
      </x:c>
      <x:c r="I59" s="24" t="str">
        <x:v>2026-09-01</x:v>
      </x:c>
      <x:c r="J59" s="4" t="str">
        <x:v>See TPWD category page</x:v>
      </x:c>
      <x:c r="K59" s="4" t="n">
        <x:v>0</x:v>
      </x:c>
      <x:c r="L59" s="4" t="n">
        <x:v>0</x:v>
      </x:c>
      <x:c r="M59" s="4"/>
      <x:c r="N59" s="4"/>
      <x:c r="O59" s="4"/>
      <x:c r="P59" s="4" t="n">
        <x:v>610</x:v>
      </x:c>
      <x:c r="Q59" s="4" t="str">
        <x:v>Long Haul</x:v>
      </x:c>
      <x:c r="R59" s="4" t="str">
        <x:v>Research before draw; property brochure linked from TPWD</x:v>
      </x:c>
      <x:c r="S59" s="4" t="str">
        <x:v>Low</x:v>
      </x:c>
      <x:c r="T59" s="4" t="str">
        <x:v>No</x:v>
      </x:c>
      <x:c r="U59" s="4" t="str">
        <x:v>Verified in TPWD 2026-2027 statewide deer category catalog.</x:v>
      </x:c>
      <x:c r="V59" s="4" t="str">
        <x:v>https://tpwd.texas.gov/huntwild/hunt/public/public_hunt_drawing/hunt-category-details.phtml?OCat=YDE</x:v>
      </x:c>
      <x:c r="W59" s="4" t="n">
        <x:v>2</x:v>
      </x:c>
      <x:c r="X59" s="4" t="n">
        <x:v>1</x:v>
      </x:c>
      <x:c r="Y59" s="4" t="n">
        <x:v>5</x:v>
      </x:c>
      <x:c r="Z59" s="4" t="n">
        <x:v>3</x:v>
      </x:c>
      <x:c r="AA59" s="4" t="n">
        <x:v>2</x:v>
      </x:c>
      <x:c r="AB59" s="4" t="n">
        <x:v>0</x:v>
      </x:c>
      <x:c r="AC59" s="4" t="n">
        <x:v>2.4</x:v>
      </x:c>
      <x:c r="AD59" s="4" t="n">
        <x:v>0</x:v>
      </x:c>
      <x:c r="AE59" s="4" t="str">
        <x:v>2026-09-01</x:v>
      </x:c>
      <x:c r="AF59" s="2"/>
      <x:c r="AG59" s="2"/>
      <x:c r="AH59" s="2"/>
      <x:c r="AI59" s="2"/>
      <x:c r="AJ59" s="2"/>
      <x:c r="AK59" s="2"/>
      <x:c r="AL59" s="2"/>
      <x:c r="AM59" s="2" t="str">
        <x:v>https://tpwd.texas.gov/huntwild/hunt/public/public_hunt_drawing/hunt-category-details.phtml?OCat=YDE</x:v>
      </x:c>
      <x:c r="AN59" s="2" t="str">
        <x:v>https://tpwd.texas.gov/search/?q=Nannie+Stringfellow+WMA+public+hunting+brochure</x:v>
      </x:c>
      <x:c r="AO59" s="2" t="str">
        <x:v>https://apps.tpwd.state.tx.us/huntwild/hunt/public/public_hunt_drawing/</x:v>
      </x:c>
      <x:c r="AP59" s="2" t="str">
        <x:v>https://www.google.com/maps/search/?api=1&amp;query=Nannie+Stringfellow+WMA%2C+Texas</x:v>
      </x:c>
      <x:c r="AQ59" s="2" t="n">
        <x:v>0</x:v>
      </x:c>
      <x:c r="AR59" s="2" t="str">
        <x:v>Standard Hastings ranking</x:v>
      </x:c>
    </x:row>
    <x:row r="60">
      <x:c r="A60" s="4" t="str">
        <x:v>No</x:v>
      </x:c>
      <x:c r="B60" s="4" t="str">
        <x:v>A</x:v>
      </x:c>
      <x:c r="C60" s="4" t="str">
        <x:v>Whitetail Deer</x:v>
      </x:c>
      <x:c r="D60" s="4" t="str">
        <x:v>Old Sabine Bottom WMA</x:v>
      </x:c>
      <x:c r="E60" s="4" t="str">
        <x:v>East Texas / Pineywoods</x:v>
      </x:c>
      <x:c r="F60" s="4" t="str">
        <x:v>Youth Gun Deer - Either Sex</x:v>
      </x:c>
      <x:c r="G60" s="4" t="str">
        <x:v>No</x:v>
      </x:c>
      <x:c r="H60" s="4" t="str">
        <x:v>Yes</x:v>
      </x:c>
      <x:c r="I60" s="24" t="str">
        <x:v>2026-09-01</x:v>
      </x:c>
      <x:c r="J60" s="4" t="str">
        <x:v>See TPWD category page</x:v>
      </x:c>
      <x:c r="K60" s="4" t="n">
        <x:v>0</x:v>
      </x:c>
      <x:c r="L60" s="4" t="n">
        <x:v>0</x:v>
      </x:c>
      <x:c r="M60" s="4"/>
      <x:c r="N60" s="4"/>
      <x:c r="O60" s="4"/>
      <x:c r="P60" s="4" t="n">
        <x:v>570</x:v>
      </x:c>
      <x:c r="Q60" s="4" t="str">
        <x:v>Statewide</x:v>
      </x:c>
      <x:c r="R60" s="4" t="str">
        <x:v>Research before draw; property brochure linked from TPWD</x:v>
      </x:c>
      <x:c r="S60" s="4" t="str">
        <x:v>Low</x:v>
      </x:c>
      <x:c r="T60" s="4" t="str">
        <x:v>No</x:v>
      </x:c>
      <x:c r="U60" s="4" t="str">
        <x:v>Verified in TPWD 2026-2027 statewide deer category catalog.</x:v>
      </x:c>
      <x:c r="V60" s="4" t="str">
        <x:v>https://tpwd.texas.gov/huntwild/hunt/public/public_hunt_drawing/hunt-category-details.phtml?OCat=YDE</x:v>
      </x:c>
      <x:c r="W60" s="4" t="n">
        <x:v>2</x:v>
      </x:c>
      <x:c r="X60" s="4" t="n">
        <x:v>2</x:v>
      </x:c>
      <x:c r="Y60" s="4" t="n">
        <x:v>5</x:v>
      </x:c>
      <x:c r="Z60" s="4" t="n">
        <x:v>3</x:v>
      </x:c>
      <x:c r="AA60" s="4" t="n">
        <x:v>2</x:v>
      </x:c>
      <x:c r="AB60" s="4" t="n">
        <x:v>0</x:v>
      </x:c>
      <x:c r="AC60" s="4" t="n">
        <x:v>2.5</x:v>
      </x:c>
      <x:c r="AD60" s="4" t="n">
        <x:v>0</x:v>
      </x:c>
      <x:c r="AE60" s="4" t="str">
        <x:v>2026-09-01</x:v>
      </x:c>
      <x:c r="AF60" s="2"/>
      <x:c r="AG60" s="2"/>
      <x:c r="AH60" s="2"/>
      <x:c r="AI60" s="2"/>
      <x:c r="AJ60" s="2"/>
      <x:c r="AK60" s="2"/>
      <x:c r="AL60" s="2"/>
      <x:c r="AM60" s="2" t="str">
        <x:v>https://tpwd.texas.gov/huntwild/hunt/public/public_hunt_drawing/hunt-category-details.phtml?OCat=YDE</x:v>
      </x:c>
      <x:c r="AN60" s="2" t="str">
        <x:v>https://tpwd.texas.gov/search/?q=Old+Sabine+Bottom+WMA+public+hunting+brochure</x:v>
      </x:c>
      <x:c r="AO60" s="2" t="str">
        <x:v>https://apps.tpwd.state.tx.us/huntwild/hunt/public/public_hunt_drawing/</x:v>
      </x:c>
      <x:c r="AP60" s="2" t="str">
        <x:v>https://www.google.com/maps/search/?api=1&amp;query=Old+Sabine+Bottom+WMA%2C+Texas</x:v>
      </x:c>
      <x:c r="AQ60" s="2" t="n">
        <x:v>0</x:v>
      </x:c>
      <x:c r="AR60" s="2" t="str">
        <x:v>Standard Hastings ranking</x:v>
      </x:c>
    </x:row>
    <x:row r="61">
      <x:c r="A61" s="4" t="str">
        <x:v>No</x:v>
      </x:c>
      <x:c r="B61" s="4" t="str">
        <x:v>A</x:v>
      </x:c>
      <x:c r="C61" s="4" t="str">
        <x:v>Whitetail Deer</x:v>
      </x:c>
      <x:c r="D61" s="4" t="str">
        <x:v>Pedernales Falls SP</x:v>
      </x:c>
      <x:c r="E61" s="4" t="str">
        <x:v>Hill Country / San Antonio</x:v>
      </x:c>
      <x:c r="F61" s="4" t="str">
        <x:v>Youth Gun Deer - Either Sex</x:v>
      </x:c>
      <x:c r="G61" s="4" t="str">
        <x:v>No</x:v>
      </x:c>
      <x:c r="H61" s="4" t="str">
        <x:v>Yes</x:v>
      </x:c>
      <x:c r="I61" s="24" t="str">
        <x:v>2026-09-01</x:v>
      </x:c>
      <x:c r="J61" s="4" t="str">
        <x:v>See TPWD category page</x:v>
      </x:c>
      <x:c r="K61" s="4" t="n">
        <x:v>0</x:v>
      </x:c>
      <x:c r="L61" s="4" t="n">
        <x:v>0</x:v>
      </x:c>
      <x:c r="M61" s="4"/>
      <x:c r="N61" s="4"/>
      <x:c r="O61" s="4"/>
      <x:c r="P61" s="4" t="n">
        <x:v>520</x:v>
      </x:c>
      <x:c r="Q61" s="4" t="str">
        <x:v>Statewide</x:v>
      </x:c>
      <x:c r="R61" s="4" t="str">
        <x:v>Research before draw; property brochure linked from TPWD</x:v>
      </x:c>
      <x:c r="S61" s="4" t="str">
        <x:v>Low</x:v>
      </x:c>
      <x:c r="T61" s="4" t="str">
        <x:v>No</x:v>
      </x:c>
      <x:c r="U61" s="4" t="str">
        <x:v>Verified in TPWD 2026-2027 statewide deer category catalog.</x:v>
      </x:c>
      <x:c r="V61" s="4" t="str">
        <x:v>https://tpwd.texas.gov/huntwild/hunt/public/public_hunt_drawing/hunt-category-details.phtml?OCat=YDE</x:v>
      </x:c>
      <x:c r="W61" s="4" t="n">
        <x:v>2</x:v>
      </x:c>
      <x:c r="X61" s="4" t="n">
        <x:v>2</x:v>
      </x:c>
      <x:c r="Y61" s="4" t="n">
        <x:v>5</x:v>
      </x:c>
      <x:c r="Z61" s="4" t="n">
        <x:v>3</x:v>
      </x:c>
      <x:c r="AA61" s="4" t="n">
        <x:v>2</x:v>
      </x:c>
      <x:c r="AB61" s="4" t="n">
        <x:v>0</x:v>
      </x:c>
      <x:c r="AC61" s="4" t="n">
        <x:v>2.5</x:v>
      </x:c>
      <x:c r="AD61" s="4" t="n">
        <x:v>0</x:v>
      </x:c>
      <x:c r="AE61" s="4" t="str">
        <x:v>2026-09-01</x:v>
      </x:c>
      <x:c r="AF61" s="2"/>
      <x:c r="AG61" s="2"/>
      <x:c r="AH61" s="2"/>
      <x:c r="AI61" s="2"/>
      <x:c r="AJ61" s="2"/>
      <x:c r="AK61" s="2"/>
      <x:c r="AL61" s="2"/>
      <x:c r="AM61" s="2" t="str">
        <x:v>https://tpwd.texas.gov/huntwild/hunt/public/public_hunt_drawing/hunt-category-details.phtml?OCat=YDE</x:v>
      </x:c>
      <x:c r="AN61" s="2" t="str">
        <x:v>https://tpwd.texas.gov/search/?q=Pedernales+Falls+SP+public+hunting+brochure</x:v>
      </x:c>
      <x:c r="AO61" s="2" t="str">
        <x:v>https://apps.tpwd.state.tx.us/huntwild/hunt/public/public_hunt_drawing/</x:v>
      </x:c>
      <x:c r="AP61" s="2" t="str">
        <x:v>https://www.google.com/maps/search/?api=1&amp;query=Pedernales+Falls+SP%2C+Texas</x:v>
      </x:c>
      <x:c r="AQ61" s="2" t="n">
        <x:v>0</x:v>
      </x:c>
      <x:c r="AR61" s="2" t="str">
        <x:v>Standard Hastings ranking</x:v>
      </x:c>
    </x:row>
    <x:row r="62">
      <x:c r="A62" s="4" t="str">
        <x:v>No</x:v>
      </x:c>
      <x:c r="B62" s="4" t="str">
        <x:v>A</x:v>
      </x:c>
      <x:c r="C62" s="4" t="str">
        <x:v>Whitetail Deer</x:v>
      </x:c>
      <x:c r="D62" s="4" t="str">
        <x:v>Post Oak Ridge State Park</x:v>
      </x:c>
      <x:c r="E62" s="4" t="str">
        <x:v>Statewide / Other</x:v>
      </x:c>
      <x:c r="F62" s="4" t="str">
        <x:v>Youth Gun Deer - Either Sex</x:v>
      </x:c>
      <x:c r="G62" s="4" t="str">
        <x:v>No</x:v>
      </x:c>
      <x:c r="H62" s="4" t="str">
        <x:v>Yes</x:v>
      </x:c>
      <x:c r="I62" s="24" t="str">
        <x:v>2026-09-01</x:v>
      </x:c>
      <x:c r="J62" s="4" t="str">
        <x:v>See TPWD category page</x:v>
      </x:c>
      <x:c r="K62" s="4" t="n">
        <x:v>0</x:v>
      </x:c>
      <x:c r="L62" s="4" t="n">
        <x:v>0</x:v>
      </x:c>
      <x:c r="M62" s="4"/>
      <x:c r="N62" s="4"/>
      <x:c r="O62" s="4"/>
      <x:c r="P62" s="4" t="n">
        <x:v>500</x:v>
      </x:c>
      <x:c r="Q62" s="4" t="str">
        <x:v>Statewide</x:v>
      </x:c>
      <x:c r="R62" s="4" t="str">
        <x:v>Research before draw; property brochure linked from TPWD</x:v>
      </x:c>
      <x:c r="S62" s="4" t="str">
        <x:v>Low</x:v>
      </x:c>
      <x:c r="T62" s="4" t="str">
        <x:v>No</x:v>
      </x:c>
      <x:c r="U62" s="4" t="str">
        <x:v>Verified in TPWD 2026-2027 statewide deer category catalog.</x:v>
      </x:c>
      <x:c r="V62" s="4" t="str">
        <x:v>https://tpwd.texas.gov/huntwild/hunt/public/public_hunt_drawing/hunt-category-details.phtml?OCat=YDE</x:v>
      </x:c>
      <x:c r="W62" s="4" t="n">
        <x:v>2</x:v>
      </x:c>
      <x:c r="X62" s="4" t="n">
        <x:v>2</x:v>
      </x:c>
      <x:c r="Y62" s="4" t="n">
        <x:v>5</x:v>
      </x:c>
      <x:c r="Z62" s="4" t="n">
        <x:v>3</x:v>
      </x:c>
      <x:c r="AA62" s="4" t="n">
        <x:v>2</x:v>
      </x:c>
      <x:c r="AB62" s="4" t="n">
        <x:v>0</x:v>
      </x:c>
      <x:c r="AC62" s="4" t="n">
        <x:v>2.5</x:v>
      </x:c>
      <x:c r="AD62" s="4" t="n">
        <x:v>0</x:v>
      </x:c>
      <x:c r="AE62" s="4" t="str">
        <x:v>2026-09-01</x:v>
      </x:c>
      <x:c r="AF62" s="2"/>
      <x:c r="AG62" s="2"/>
      <x:c r="AH62" s="2"/>
      <x:c r="AI62" s="2"/>
      <x:c r="AJ62" s="2"/>
      <x:c r="AK62" s="2"/>
      <x:c r="AL62" s="2"/>
      <x:c r="AM62" s="2" t="str">
        <x:v>https://tpwd.texas.gov/huntwild/hunt/public/public_hunt_drawing/hunt-category-details.phtml?OCat=YDE</x:v>
      </x:c>
      <x:c r="AN62" s="2" t="str">
        <x:v>https://tpwd.texas.gov/search/?q=Post+Oak+Ridge+State+Park+public+hunting+brochure</x:v>
      </x:c>
      <x:c r="AO62" s="2" t="str">
        <x:v>https://apps.tpwd.state.tx.us/huntwild/hunt/public/public_hunt_drawing/</x:v>
      </x:c>
      <x:c r="AP62" s="2" t="str">
        <x:v>https://www.google.com/maps/search/?api=1&amp;query=Post+Oak+Ridge+State+Park%2C+Texas</x:v>
      </x:c>
      <x:c r="AQ62" s="2" t="n">
        <x:v>0</x:v>
      </x:c>
      <x:c r="AR62" s="2" t="str">
        <x:v>Standard Hastings ranking</x:v>
      </x:c>
    </x:row>
    <x:row r="63">
      <x:c r="A63" s="4" t="str">
        <x:v>No</x:v>
      </x:c>
      <x:c r="B63" s="4" t="str">
        <x:v>A</x:v>
      </x:c>
      <x:c r="C63" s="4" t="str">
        <x:v>Whitetail Deer</x:v>
      </x:c>
      <x:c r="D63" s="4" t="str">
        <x:v>Powderhorn State Park</x:v>
      </x:c>
      <x:c r="E63" s="4" t="str">
        <x:v>Houston / Gulf Coast</x:v>
      </x:c>
      <x:c r="F63" s="4" t="str">
        <x:v>Youth Gun Deer - Either Sex</x:v>
      </x:c>
      <x:c r="G63" s="4" t="str">
        <x:v>No</x:v>
      </x:c>
      <x:c r="H63" s="4" t="str">
        <x:v>Yes</x:v>
      </x:c>
      <x:c r="I63" s="24" t="str">
        <x:v>2026-09-01</x:v>
      </x:c>
      <x:c r="J63" s="4" t="str">
        <x:v>See TPWD category page</x:v>
      </x:c>
      <x:c r="K63" s="4" t="n">
        <x:v>0</x:v>
      </x:c>
      <x:c r="L63" s="4" t="n">
        <x:v>0</x:v>
      </x:c>
      <x:c r="M63" s="4"/>
      <x:c r="N63" s="4"/>
      <x:c r="O63" s="4"/>
      <x:c r="P63" s="4" t="n">
        <x:v>610</x:v>
      </x:c>
      <x:c r="Q63" s="4" t="str">
        <x:v>Long Haul</x:v>
      </x:c>
      <x:c r="R63" s="4" t="str">
        <x:v>Research before draw; property brochure linked from TPWD</x:v>
      </x:c>
      <x:c r="S63" s="4" t="str">
        <x:v>Low</x:v>
      </x:c>
      <x:c r="T63" s="4" t="str">
        <x:v>No</x:v>
      </x:c>
      <x:c r="U63" s="4" t="str">
        <x:v>Verified in TPWD 2026-2027 statewide deer category catalog.</x:v>
      </x:c>
      <x:c r="V63" s="4" t="str">
        <x:v>https://tpwd.texas.gov/huntwild/hunt/public/public_hunt_drawing/hunt-category-details.phtml?OCat=YDE</x:v>
      </x:c>
      <x:c r="W63" s="4" t="n">
        <x:v>2</x:v>
      </x:c>
      <x:c r="X63" s="4" t="n">
        <x:v>1</x:v>
      </x:c>
      <x:c r="Y63" s="4" t="n">
        <x:v>5</x:v>
      </x:c>
      <x:c r="Z63" s="4" t="n">
        <x:v>3</x:v>
      </x:c>
      <x:c r="AA63" s="4" t="n">
        <x:v>2</x:v>
      </x:c>
      <x:c r="AB63" s="4" t="n">
        <x:v>0</x:v>
      </x:c>
      <x:c r="AC63" s="4" t="n">
        <x:v>2.4</x:v>
      </x:c>
      <x:c r="AD63" s="4" t="n">
        <x:v>0</x:v>
      </x:c>
      <x:c r="AE63" s="4" t="str">
        <x:v>2026-09-01</x:v>
      </x:c>
      <x:c r="AF63" s="2"/>
      <x:c r="AG63" s="2"/>
      <x:c r="AH63" s="2"/>
      <x:c r="AI63" s="2"/>
      <x:c r="AJ63" s="2"/>
      <x:c r="AK63" s="2"/>
      <x:c r="AL63" s="2"/>
      <x:c r="AM63" s="2" t="str">
        <x:v>https://tpwd.texas.gov/huntwild/hunt/public/public_hunt_drawing/hunt-category-details.phtml?OCat=YDE</x:v>
      </x:c>
      <x:c r="AN63" s="2" t="str">
        <x:v>https://tpwd.texas.gov/search/?q=Powderhorn+State+Park+public+hunting+brochure</x:v>
      </x:c>
      <x:c r="AO63" s="2" t="str">
        <x:v>https://apps.tpwd.state.tx.us/huntwild/hunt/public/public_hunt_drawing/</x:v>
      </x:c>
      <x:c r="AP63" s="2" t="str">
        <x:v>https://www.google.com/maps/search/?api=1&amp;query=Powderhorn+State+Park%2C+Texas</x:v>
      </x:c>
      <x:c r="AQ63" s="2" t="n">
        <x:v>0</x:v>
      </x:c>
      <x:c r="AR63" s="2" t="str">
        <x:v>Standard Hastings ranking</x:v>
      </x:c>
    </x:row>
    <x:row r="64">
      <x:c r="A64" s="4" t="str">
        <x:v>No</x:v>
      </x:c>
      <x:c r="B64" s="4" t="str">
        <x:v>A</x:v>
      </x:c>
      <x:c r="C64" s="4" t="str">
        <x:v>Whitetail Deer</x:v>
      </x:c>
      <x:c r="D64" s="4" t="str">
        <x:v>Powderhorn WMA</x:v>
      </x:c>
      <x:c r="E64" s="4" t="str">
        <x:v>Houston / Gulf Coast</x:v>
      </x:c>
      <x:c r="F64" s="4" t="str">
        <x:v>Youth Gun Deer - Either Sex</x:v>
      </x:c>
      <x:c r="G64" s="4" t="str">
        <x:v>No</x:v>
      </x:c>
      <x:c r="H64" s="4" t="str">
        <x:v>Yes</x:v>
      </x:c>
      <x:c r="I64" s="24" t="str">
        <x:v>2026-09-01</x:v>
      </x:c>
      <x:c r="J64" s="4" t="str">
        <x:v>See TPWD category page</x:v>
      </x:c>
      <x:c r="K64" s="4" t="n">
        <x:v>0</x:v>
      </x:c>
      <x:c r="L64" s="4" t="n">
        <x:v>0</x:v>
      </x:c>
      <x:c r="M64" s="4"/>
      <x:c r="N64" s="4"/>
      <x:c r="O64" s="4"/>
      <x:c r="P64" s="4" t="n">
        <x:v>610</x:v>
      </x:c>
      <x:c r="Q64" s="4" t="str">
        <x:v>Long Haul</x:v>
      </x:c>
      <x:c r="R64" s="4" t="str">
        <x:v>Research before draw; property brochure linked from TPWD</x:v>
      </x:c>
      <x:c r="S64" s="4" t="str">
        <x:v>Low</x:v>
      </x:c>
      <x:c r="T64" s="4" t="str">
        <x:v>No</x:v>
      </x:c>
      <x:c r="U64" s="4" t="str">
        <x:v>Verified in TPWD 2026-2027 statewide deer category catalog.</x:v>
      </x:c>
      <x:c r="V64" s="4" t="str">
        <x:v>https://tpwd.texas.gov/huntwild/hunt/public/public_hunt_drawing/hunt-category-details.phtml?OCat=YDE</x:v>
      </x:c>
      <x:c r="W64" s="4" t="n">
        <x:v>2</x:v>
      </x:c>
      <x:c r="X64" s="4" t="n">
        <x:v>1</x:v>
      </x:c>
      <x:c r="Y64" s="4" t="n">
        <x:v>5</x:v>
      </x:c>
      <x:c r="Z64" s="4" t="n">
        <x:v>3</x:v>
      </x:c>
      <x:c r="AA64" s="4" t="n">
        <x:v>2</x:v>
      </x:c>
      <x:c r="AB64" s="4" t="n">
        <x:v>0</x:v>
      </x:c>
      <x:c r="AC64" s="4" t="n">
        <x:v>2.4</x:v>
      </x:c>
      <x:c r="AD64" s="4" t="n">
        <x:v>0</x:v>
      </x:c>
      <x:c r="AE64" s="4" t="str">
        <x:v>2026-09-01</x:v>
      </x:c>
      <x:c r="AF64" s="2"/>
      <x:c r="AG64" s="2"/>
      <x:c r="AH64" s="2"/>
      <x:c r="AI64" s="2"/>
      <x:c r="AJ64" s="2"/>
      <x:c r="AK64" s="2"/>
      <x:c r="AL64" s="2"/>
      <x:c r="AM64" s="2" t="str">
        <x:v>https://tpwd.texas.gov/huntwild/hunt/public/public_hunt_drawing/hunt-category-details.phtml?OCat=YDE</x:v>
      </x:c>
      <x:c r="AN64" s="2" t="str">
        <x:v>https://tpwd.texas.gov/search/?q=Powderhorn+WMA+public+hunting+brochure</x:v>
      </x:c>
      <x:c r="AO64" s="2" t="str">
        <x:v>https://apps.tpwd.state.tx.us/huntwild/hunt/public/public_hunt_drawing/</x:v>
      </x:c>
      <x:c r="AP64" s="2" t="str">
        <x:v>https://www.google.com/maps/search/?api=1&amp;query=Powderhorn+WMA%2C+Texas</x:v>
      </x:c>
      <x:c r="AQ64" s="2" t="n">
        <x:v>0</x:v>
      </x:c>
      <x:c r="AR64" s="2" t="str">
        <x:v>Standard Hastings ranking</x:v>
      </x:c>
    </x:row>
    <x:row r="65">
      <x:c r="A65" s="4" t="str">
        <x:v>No</x:v>
      </x:c>
      <x:c r="B65" s="4" t="str">
        <x:v>A</x:v>
      </x:c>
      <x:c r="C65" s="4" t="str">
        <x:v>Whitetail Deer</x:v>
      </x:c>
      <x:c r="D65" s="4" t="str">
        <x:v>Richland Creek WMA - Carl Frentress Unit</x:v>
      </x:c>
      <x:c r="E65" s="4" t="str">
        <x:v>Statewide / Other</x:v>
      </x:c>
      <x:c r="F65" s="4" t="str">
        <x:v>Youth Gun Deer - Either Sex</x:v>
      </x:c>
      <x:c r="G65" s="4" t="str">
        <x:v>No</x:v>
      </x:c>
      <x:c r="H65" s="4" t="str">
        <x:v>Yes</x:v>
      </x:c>
      <x:c r="I65" s="24" t="str">
        <x:v>2026-09-01</x:v>
      </x:c>
      <x:c r="J65" s="4" t="str">
        <x:v>See TPWD category page</x:v>
      </x:c>
      <x:c r="K65" s="4" t="n">
        <x:v>0</x:v>
      </x:c>
      <x:c r="L65" s="4" t="n">
        <x:v>0</x:v>
      </x:c>
      <x:c r="M65" s="4"/>
      <x:c r="N65" s="4"/>
      <x:c r="O65" s="4"/>
      <x:c r="P65" s="4" t="n">
        <x:v>500</x:v>
      </x:c>
      <x:c r="Q65" s="4" t="str">
        <x:v>Statewide</x:v>
      </x:c>
      <x:c r="R65" s="4" t="str">
        <x:v>Research before draw; property brochure linked from TPWD</x:v>
      </x:c>
      <x:c r="S65" s="4" t="str">
        <x:v>Low</x:v>
      </x:c>
      <x:c r="T65" s="4" t="str">
        <x:v>No</x:v>
      </x:c>
      <x:c r="U65" s="4" t="str">
        <x:v>Verified in TPWD 2026-2027 statewide deer category catalog.</x:v>
      </x:c>
      <x:c r="V65" s="4" t="str">
        <x:v>https://tpwd.texas.gov/huntwild/hunt/public/public_hunt_drawing/hunt-category-details.phtml?OCat=YDE</x:v>
      </x:c>
      <x:c r="W65" s="4" t="n">
        <x:v>2</x:v>
      </x:c>
      <x:c r="X65" s="4" t="n">
        <x:v>2</x:v>
      </x:c>
      <x:c r="Y65" s="4" t="n">
        <x:v>5</x:v>
      </x:c>
      <x:c r="Z65" s="4" t="n">
        <x:v>3</x:v>
      </x:c>
      <x:c r="AA65" s="4" t="n">
        <x:v>2</x:v>
      </x:c>
      <x:c r="AB65" s="4" t="n">
        <x:v>0</x:v>
      </x:c>
      <x:c r="AC65" s="4" t="n">
        <x:v>2.5</x:v>
      </x:c>
      <x:c r="AD65" s="4" t="n">
        <x:v>0</x:v>
      </x:c>
      <x:c r="AE65" s="4" t="str">
        <x:v>2026-09-01</x:v>
      </x:c>
      <x:c r="AF65" s="2"/>
      <x:c r="AG65" s="2"/>
      <x:c r="AH65" s="2"/>
      <x:c r="AI65" s="2"/>
      <x:c r="AJ65" s="2"/>
      <x:c r="AK65" s="2"/>
      <x:c r="AL65" s="2"/>
      <x:c r="AM65" s="2" t="str">
        <x:v>https://tpwd.texas.gov/huntwild/hunt/public/public_hunt_drawing/hunt-category-details.phtml?OCat=YDE</x:v>
      </x:c>
      <x:c r="AN65" s="2" t="str">
        <x:v>https://tpwd.texas.gov/search/?q=Richland+Creek+WMA+-+Carl+Frentress+Unit+public+hunting+brochure</x:v>
      </x:c>
      <x:c r="AO65" s="2" t="str">
        <x:v>https://apps.tpwd.state.tx.us/huntwild/hunt/public/public_hunt_drawing/</x:v>
      </x:c>
      <x:c r="AP65" s="2" t="str">
        <x:v>https://www.google.com/maps/search/?api=1&amp;query=Richland+Creek+WMA+-+Carl+Frentress+Unit%2C+Texas</x:v>
      </x:c>
      <x:c r="AQ65" s="2" t="n">
        <x:v>0</x:v>
      </x:c>
      <x:c r="AR65" s="2" t="str">
        <x:v>Standard Hastings ranking</x:v>
      </x:c>
    </x:row>
    <x:row r="66">
      <x:c r="A66" s="4" t="str">
        <x:v>No</x:v>
      </x:c>
      <x:c r="B66" s="4" t="str">
        <x:v>A</x:v>
      </x:c>
      <x:c r="C66" s="4" t="str">
        <x:v>Whitetail Deer</x:v>
      </x:c>
      <x:c r="D66" s="4" t="str">
        <x:v>Richland Creek WMA - South Unit</x:v>
      </x:c>
      <x:c r="E66" s="4" t="str">
        <x:v>Statewide / Other</x:v>
      </x:c>
      <x:c r="F66" s="4" t="str">
        <x:v>Youth Gun Deer - Either Sex</x:v>
      </x:c>
      <x:c r="G66" s="4" t="str">
        <x:v>No</x:v>
      </x:c>
      <x:c r="H66" s="4" t="str">
        <x:v>Yes</x:v>
      </x:c>
      <x:c r="I66" s="24" t="str">
        <x:v>2026-09-01</x:v>
      </x:c>
      <x:c r="J66" s="4" t="str">
        <x:v>See TPWD category page</x:v>
      </x:c>
      <x:c r="K66" s="4" t="n">
        <x:v>0</x:v>
      </x:c>
      <x:c r="L66" s="4" t="n">
        <x:v>0</x:v>
      </x:c>
      <x:c r="M66" s="4"/>
      <x:c r="N66" s="4"/>
      <x:c r="O66" s="4"/>
      <x:c r="P66" s="4" t="n">
        <x:v>500</x:v>
      </x:c>
      <x:c r="Q66" s="4" t="str">
        <x:v>Statewide</x:v>
      </x:c>
      <x:c r="R66" s="4" t="str">
        <x:v>Research before draw; property brochure linked from TPWD</x:v>
      </x:c>
      <x:c r="S66" s="4" t="str">
        <x:v>Low</x:v>
      </x:c>
      <x:c r="T66" s="4" t="str">
        <x:v>No</x:v>
      </x:c>
      <x:c r="U66" s="4" t="str">
        <x:v>Verified in TPWD 2026-2027 statewide deer category catalog.</x:v>
      </x:c>
      <x:c r="V66" s="4" t="str">
        <x:v>https://tpwd.texas.gov/huntwild/hunt/public/public_hunt_drawing/hunt-category-details.phtml?OCat=YDE</x:v>
      </x:c>
      <x:c r="W66" s="4" t="n">
        <x:v>2</x:v>
      </x:c>
      <x:c r="X66" s="4" t="n">
        <x:v>2</x:v>
      </x:c>
      <x:c r="Y66" s="4" t="n">
        <x:v>5</x:v>
      </x:c>
      <x:c r="Z66" s="4" t="n">
        <x:v>3</x:v>
      </x:c>
      <x:c r="AA66" s="4" t="n">
        <x:v>2</x:v>
      </x:c>
      <x:c r="AB66" s="4" t="n">
        <x:v>0</x:v>
      </x:c>
      <x:c r="AC66" s="4" t="n">
        <x:v>2.5</x:v>
      </x:c>
      <x:c r="AD66" s="4" t="n">
        <x:v>0</x:v>
      </x:c>
      <x:c r="AE66" s="4" t="str">
        <x:v>2026-09-01</x:v>
      </x:c>
      <x:c r="AF66" s="2"/>
      <x:c r="AG66" s="2"/>
      <x:c r="AH66" s="2"/>
      <x:c r="AI66" s="2"/>
      <x:c r="AJ66" s="2"/>
      <x:c r="AK66" s="2"/>
      <x:c r="AL66" s="2"/>
      <x:c r="AM66" s="2" t="str">
        <x:v>https://tpwd.texas.gov/huntwild/hunt/public/public_hunt_drawing/hunt-category-details.phtml?OCat=YDE</x:v>
      </x:c>
      <x:c r="AN66" s="2" t="str">
        <x:v>https://tpwd.texas.gov/search/?q=Richland+Creek+WMA+-+South+Unit+public+hunting+brochure</x:v>
      </x:c>
      <x:c r="AO66" s="2" t="str">
        <x:v>https://apps.tpwd.state.tx.us/huntwild/hunt/public/public_hunt_drawing/</x:v>
      </x:c>
      <x:c r="AP66" s="2" t="str">
        <x:v>https://www.google.com/maps/search/?api=1&amp;query=Richland+Creek+WMA+-+South+Unit%2C+Texas</x:v>
      </x:c>
      <x:c r="AQ66" s="2" t="n">
        <x:v>0</x:v>
      </x:c>
      <x:c r="AR66" s="2" t="str">
        <x:v>Standard Hastings ranking</x:v>
      </x:c>
    </x:row>
    <x:row r="67">
      <x:c r="A67" s="4" t="str">
        <x:v>No</x:v>
      </x:c>
      <x:c r="B67" s="4" t="str">
        <x:v>A</x:v>
      </x:c>
      <x:c r="C67" s="4" t="str">
        <x:v>Whitetail Deer</x:v>
      </x:c>
      <x:c r="D67" s="4" t="str">
        <x:v>San Angelo SP</x:v>
      </x:c>
      <x:c r="E67" s="4" t="str">
        <x:v>West-Central Texas</x:v>
      </x:c>
      <x:c r="F67" s="4" t="str">
        <x:v>Youth Gun Deer - Either Sex</x:v>
      </x:c>
      <x:c r="G67" s="4" t="str">
        <x:v>No</x:v>
      </x:c>
      <x:c r="H67" s="4" t="str">
        <x:v>Yes</x:v>
      </x:c>
      <x:c r="I67" s="24" t="str">
        <x:v>2026-09-01</x:v>
      </x:c>
      <x:c r="J67" s="4" t="str">
        <x:v>See TPWD category page</x:v>
      </x:c>
      <x:c r="K67" s="4" t="n">
        <x:v>0</x:v>
      </x:c>
      <x:c r="L67" s="4" t="n">
        <x:v>0</x:v>
      </x:c>
      <x:c r="M67" s="4"/>
      <x:c r="N67" s="4"/>
      <x:c r="O67" s="4"/>
      <x:c r="P67" s="4" t="n">
        <x:v>300</x:v>
      </x:c>
      <x:c r="Q67" s="4" t="str">
        <x:v>Extended</x:v>
      </x:c>
      <x:c r="R67" s="4" t="str">
        <x:v>Research before draw; property brochure linked from TPWD</x:v>
      </x:c>
      <x:c r="S67" s="4" t="str">
        <x:v>Low</x:v>
      </x:c>
      <x:c r="T67" s="4" t="str">
        <x:v>No</x:v>
      </x:c>
      <x:c r="U67" s="4" t="str">
        <x:v>Verified in TPWD 2026-2027 statewide deer category catalog.</x:v>
      </x:c>
      <x:c r="V67" s="4" t="str">
        <x:v>https://tpwd.texas.gov/huntwild/hunt/public/public_hunt_drawing/hunt-category-details.phtml?OCat=YDE</x:v>
      </x:c>
      <x:c r="W67" s="4" t="n">
        <x:v>2</x:v>
      </x:c>
      <x:c r="X67" s="4" t="n">
        <x:v>4</x:v>
      </x:c>
      <x:c r="Y67" s="4" t="n">
        <x:v>5</x:v>
      </x:c>
      <x:c r="Z67" s="4" t="n">
        <x:v>3</x:v>
      </x:c>
      <x:c r="AA67" s="4" t="n">
        <x:v>2</x:v>
      </x:c>
      <x:c r="AB67" s="4" t="n">
        <x:v>0</x:v>
      </x:c>
      <x:c r="AC67" s="4" t="n">
        <x:v>2.9</x:v>
      </x:c>
      <x:c r="AD67" s="4" t="n">
        <x:v>0</x:v>
      </x:c>
      <x:c r="AE67" s="4" t="str">
        <x:v>2026-09-01</x:v>
      </x:c>
      <x:c r="AF67" s="2"/>
      <x:c r="AG67" s="2"/>
      <x:c r="AH67" s="2"/>
      <x:c r="AI67" s="2"/>
      <x:c r="AJ67" s="2"/>
      <x:c r="AK67" s="2"/>
      <x:c r="AL67" s="2"/>
      <x:c r="AM67" s="2" t="str">
        <x:v>https://tpwd.texas.gov/huntwild/hunt/public/public_hunt_drawing/hunt-category-details.phtml?OCat=YDE</x:v>
      </x:c>
      <x:c r="AN67" s="2" t="str">
        <x:v>https://tpwd.texas.gov/search/?q=San+Angelo+SP+public+hunting+brochure</x:v>
      </x:c>
      <x:c r="AO67" s="2" t="str">
        <x:v>https://apps.tpwd.state.tx.us/huntwild/hunt/public/public_hunt_drawing/</x:v>
      </x:c>
      <x:c r="AP67" s="2" t="str">
        <x:v>https://www.google.com/maps/search/?api=1&amp;query=San+Angelo+SP%2C+Texas</x:v>
      </x:c>
      <x:c r="AQ67" s="2" t="n">
        <x:v>0</x:v>
      </x:c>
      <x:c r="AR67" s="2" t="str">
        <x:v>Standard Hastings ranking</x:v>
      </x:c>
    </x:row>
    <x:row r="68">
      <x:c r="A68" s="4" t="str">
        <x:v>No</x:v>
      </x:c>
      <x:c r="B68" s="4" t="str">
        <x:v>A</x:v>
      </x:c>
      <x:c r="C68" s="4" t="str">
        <x:v>Whitetail Deer</x:v>
      </x:c>
      <x:c r="D68" s="4" t="str">
        <x:v>South Llano River SP</x:v>
      </x:c>
      <x:c r="E68" s="4" t="str">
        <x:v>Hill Country / San Antonio</x:v>
      </x:c>
      <x:c r="F68" s="4" t="str">
        <x:v>Youth Gun Deer - Either Sex</x:v>
      </x:c>
      <x:c r="G68" s="4" t="str">
        <x:v>No</x:v>
      </x:c>
      <x:c r="H68" s="4" t="str">
        <x:v>Yes</x:v>
      </x:c>
      <x:c r="I68" s="24" t="str">
        <x:v>2026-09-01</x:v>
      </x:c>
      <x:c r="J68" s="4" t="str">
        <x:v>See TPWD category page</x:v>
      </x:c>
      <x:c r="K68" s="4" t="n">
        <x:v>0</x:v>
      </x:c>
      <x:c r="L68" s="4" t="n">
        <x:v>0</x:v>
      </x:c>
      <x:c r="M68" s="4"/>
      <x:c r="N68" s="4"/>
      <x:c r="O68" s="4"/>
      <x:c r="P68" s="4" t="n">
        <x:v>520</x:v>
      </x:c>
      <x:c r="Q68" s="4" t="str">
        <x:v>Statewide</x:v>
      </x:c>
      <x:c r="R68" s="4" t="str">
        <x:v>Research before draw; property brochure linked from TPWD</x:v>
      </x:c>
      <x:c r="S68" s="4" t="str">
        <x:v>Low</x:v>
      </x:c>
      <x:c r="T68" s="4" t="str">
        <x:v>No</x:v>
      </x:c>
      <x:c r="U68" s="4" t="str">
        <x:v>Verified in TPWD 2026-2027 statewide deer category catalog.</x:v>
      </x:c>
      <x:c r="V68" s="4" t="str">
        <x:v>https://tpwd.texas.gov/huntwild/hunt/public/public_hunt_drawing/hunt-category-details.phtml?OCat=YDE</x:v>
      </x:c>
      <x:c r="W68" s="4" t="n">
        <x:v>2</x:v>
      </x:c>
      <x:c r="X68" s="4" t="n">
        <x:v>2</x:v>
      </x:c>
      <x:c r="Y68" s="4" t="n">
        <x:v>5</x:v>
      </x:c>
      <x:c r="Z68" s="4" t="n">
        <x:v>3</x:v>
      </x:c>
      <x:c r="AA68" s="4" t="n">
        <x:v>2</x:v>
      </x:c>
      <x:c r="AB68" s="4" t="n">
        <x:v>0</x:v>
      </x:c>
      <x:c r="AC68" s="4" t="n">
        <x:v>2.5</x:v>
      </x:c>
      <x:c r="AD68" s="4" t="n">
        <x:v>0</x:v>
      </x:c>
      <x:c r="AE68" s="4" t="str">
        <x:v>2026-09-01</x:v>
      </x:c>
      <x:c r="AF68" s="2"/>
      <x:c r="AG68" s="2"/>
      <x:c r="AH68" s="2"/>
      <x:c r="AI68" s="2"/>
      <x:c r="AJ68" s="2"/>
      <x:c r="AK68" s="2"/>
      <x:c r="AL68" s="2"/>
      <x:c r="AM68" s="2" t="str">
        <x:v>https://tpwd.texas.gov/huntwild/hunt/public/public_hunt_drawing/hunt-category-details.phtml?OCat=YDE</x:v>
      </x:c>
      <x:c r="AN68" s="2" t="str">
        <x:v>https://tpwd.texas.gov/search/?q=South+Llano+River+SP+public+hunting+brochure</x:v>
      </x:c>
      <x:c r="AO68" s="2" t="str">
        <x:v>https://apps.tpwd.state.tx.us/huntwild/hunt/public/public_hunt_drawing/</x:v>
      </x:c>
      <x:c r="AP68" s="2" t="str">
        <x:v>https://www.google.com/maps/search/?api=1&amp;query=South+Llano+River+SP%2C+Texas</x:v>
      </x:c>
      <x:c r="AQ68" s="2" t="n">
        <x:v>0</x:v>
      </x:c>
      <x:c r="AR68" s="2" t="str">
        <x:v>Standard Hastings ranking</x:v>
      </x:c>
    </x:row>
    <x:row r="69">
      <x:c r="A69" s="4" t="str">
        <x:v>No</x:v>
      </x:c>
      <x:c r="B69" s="4" t="str">
        <x:v>A</x:v>
      </x:c>
      <x:c r="C69" s="4" t="str">
        <x:v>Whitetail Deer</x:v>
      </x:c>
      <x:c r="D69" s="4" t="str">
        <x:v>Taylor Lakes, Playa Lakes WMA</x:v>
      </x:c>
      <x:c r="E69" s="4" t="str">
        <x:v>Panhandle / Rolling Plains</x:v>
      </x:c>
      <x:c r="F69" s="4" t="str">
        <x:v>Youth Gun Deer - Either Sex</x:v>
      </x:c>
      <x:c r="G69" s="4" t="str">
        <x:v>No</x:v>
      </x:c>
      <x:c r="H69" s="4" t="str">
        <x:v>Yes</x:v>
      </x:c>
      <x:c r="I69" s="24" t="str">
        <x:v>2026-09-01</x:v>
      </x:c>
      <x:c r="J69" s="4" t="str">
        <x:v>See TPWD category page</x:v>
      </x:c>
      <x:c r="K69" s="4" t="n">
        <x:v>0</x:v>
      </x:c>
      <x:c r="L69" s="4" t="n">
        <x:v>0</x:v>
      </x:c>
      <x:c r="M69" s="4"/>
      <x:c r="N69" s="4"/>
      <x:c r="O69" s="4"/>
      <x:c r="P69" s="4" t="n">
        <x:v>130</x:v>
      </x:c>
      <x:c r="Q69" s="4" t="str">
        <x:v>Core</x:v>
      </x:c>
      <x:c r="R69" s="4" t="str">
        <x:v>Research before draw; property brochure linked from TPWD</x:v>
      </x:c>
      <x:c r="S69" s="4" t="str">
        <x:v>High</x:v>
      </x:c>
      <x:c r="T69" s="4" t="str">
        <x:v>No</x:v>
      </x:c>
      <x:c r="U69" s="4" t="str">
        <x:v>Verified in TPWD 2026-2027 statewide deer category catalog.</x:v>
      </x:c>
      <x:c r="V69" s="4" t="str">
        <x:v>https://tpwd.texas.gov/huntwild/hunt/public/public_hunt_drawing/hunt-category-details.phtml?OCat=YDE</x:v>
      </x:c>
      <x:c r="W69" s="4" t="n">
        <x:v>2</x:v>
      </x:c>
      <x:c r="X69" s="4" t="n">
        <x:v>5</x:v>
      </x:c>
      <x:c r="Y69" s="4" t="n">
        <x:v>5</x:v>
      </x:c>
      <x:c r="Z69" s="4" t="n">
        <x:v>3</x:v>
      </x:c>
      <x:c r="AA69" s="4" t="n">
        <x:v>4</x:v>
      </x:c>
      <x:c r="AB69" s="4" t="n">
        <x:v>0</x:v>
      </x:c>
      <x:c r="AC69" s="4" t="n">
        <x:v>3.2</x:v>
      </x:c>
      <x:c r="AD69" s="4" t="n">
        <x:v>0</x:v>
      </x:c>
      <x:c r="AE69" s="4" t="str">
        <x:v>2026-09-01</x:v>
      </x:c>
      <x:c r="AF69" s="2"/>
      <x:c r="AG69" s="2"/>
      <x:c r="AH69" s="2"/>
      <x:c r="AI69" s="2"/>
      <x:c r="AJ69" s="2"/>
      <x:c r="AK69" s="2"/>
      <x:c r="AL69" s="2"/>
      <x:c r="AM69" s="2" t="str">
        <x:v>https://tpwd.texas.gov/huntwild/hunt/public/public_hunt_drawing/hunt-category-details.phtml?OCat=YDE</x:v>
      </x:c>
      <x:c r="AN69" s="2" t="str">
        <x:v>https://tpwd.texas.gov/search/?q=Taylor+Lakes%2C+Playa+Lakes+WMA+public+hunting+brochure</x:v>
      </x:c>
      <x:c r="AO69" s="2" t="str">
        <x:v>https://apps.tpwd.state.tx.us/huntwild/hunt/public/public_hunt_drawing/</x:v>
      </x:c>
      <x:c r="AP69" s="2" t="str">
        <x:v>https://www.google.com/maps/search/?api=1&amp;query=Taylor+Lakes%2C+Playa+Lakes+WMA%2C+Texas</x:v>
      </x:c>
      <x:c r="AQ69" s="2" t="n">
        <x:v>0</x:v>
      </x:c>
      <x:c r="AR69" s="2" t="str">
        <x:v>Standard Hastings ranking</x:v>
      </x:c>
    </x:row>
    <x:row r="70">
      <x:c r="A70" s="4" t="str">
        <x:v>No</x:v>
      </x:c>
      <x:c r="B70" s="4" t="str">
        <x:v>A</x:v>
      </x:c>
      <x:c r="C70" s="4" t="str">
        <x:v>Whitetail Deer</x:v>
      </x:c>
      <x:c r="D70" s="4" t="str">
        <x:v>Trinity River WMA</x:v>
      </x:c>
      <x:c r="E70" s="4" t="str">
        <x:v>East Texas / Pineywoods</x:v>
      </x:c>
      <x:c r="F70" s="4" t="str">
        <x:v>Youth Gun Deer - Either Sex</x:v>
      </x:c>
      <x:c r="G70" s="4" t="str">
        <x:v>No</x:v>
      </x:c>
      <x:c r="H70" s="4" t="str">
        <x:v>Yes</x:v>
      </x:c>
      <x:c r="I70" s="24" t="str">
        <x:v>2026-09-01</x:v>
      </x:c>
      <x:c r="J70" s="4" t="str">
        <x:v>See TPWD category page</x:v>
      </x:c>
      <x:c r="K70" s="4" t="n">
        <x:v>0</x:v>
      </x:c>
      <x:c r="L70" s="4" t="n">
        <x:v>0</x:v>
      </x:c>
      <x:c r="M70" s="4"/>
      <x:c r="N70" s="4"/>
      <x:c r="O70" s="4"/>
      <x:c r="P70" s="4" t="n">
        <x:v>570</x:v>
      </x:c>
      <x:c r="Q70" s="4" t="str">
        <x:v>Statewide</x:v>
      </x:c>
      <x:c r="R70" s="4" t="str">
        <x:v>Research before draw; property brochure linked from TPWD</x:v>
      </x:c>
      <x:c r="S70" s="4" t="str">
        <x:v>Low</x:v>
      </x:c>
      <x:c r="T70" s="4" t="str">
        <x:v>No</x:v>
      </x:c>
      <x:c r="U70" s="4" t="str">
        <x:v>Verified in TPWD 2026-2027 statewide deer category catalog.</x:v>
      </x:c>
      <x:c r="V70" s="4" t="str">
        <x:v>https://tpwd.texas.gov/huntwild/hunt/public/public_hunt_drawing/hunt-category-details.phtml?OCat=YDE</x:v>
      </x:c>
      <x:c r="W70" s="4" t="n">
        <x:v>2</x:v>
      </x:c>
      <x:c r="X70" s="4" t="n">
        <x:v>2</x:v>
      </x:c>
      <x:c r="Y70" s="4" t="n">
        <x:v>5</x:v>
      </x:c>
      <x:c r="Z70" s="4" t="n">
        <x:v>3</x:v>
      </x:c>
      <x:c r="AA70" s="4" t="n">
        <x:v>2</x:v>
      </x:c>
      <x:c r="AB70" s="4" t="n">
        <x:v>0</x:v>
      </x:c>
      <x:c r="AC70" s="4" t="n">
        <x:v>2.5</x:v>
      </x:c>
      <x:c r="AD70" s="4" t="n">
        <x:v>0</x:v>
      </x:c>
      <x:c r="AE70" s="4" t="str">
        <x:v>2026-09-01</x:v>
      </x:c>
      <x:c r="AF70" s="2"/>
      <x:c r="AG70" s="2"/>
      <x:c r="AH70" s="2"/>
      <x:c r="AI70" s="2"/>
      <x:c r="AJ70" s="2"/>
      <x:c r="AK70" s="2"/>
      <x:c r="AL70" s="2"/>
      <x:c r="AM70" s="2" t="str">
        <x:v>https://tpwd.texas.gov/huntwild/hunt/public/public_hunt_drawing/hunt-category-details.phtml?OCat=YDE</x:v>
      </x:c>
      <x:c r="AN70" s="2" t="str">
        <x:v>https://tpwd.texas.gov/search/?q=Trinity+River+WMA+public+hunting+brochure</x:v>
      </x:c>
      <x:c r="AO70" s="2" t="str">
        <x:v>https://apps.tpwd.state.tx.us/huntwild/hunt/public/public_hunt_drawing/</x:v>
      </x:c>
      <x:c r="AP70" s="2" t="str">
        <x:v>https://www.google.com/maps/search/?api=1&amp;query=Trinity+River+WMA%2C+Texas</x:v>
      </x:c>
      <x:c r="AQ70" s="2" t="n">
        <x:v>0</x:v>
      </x:c>
      <x:c r="AR70" s="2" t="str">
        <x:v>Standard Hastings ranking</x:v>
      </x:c>
    </x:row>
    <x:row r="71">
      <x:c r="A71" s="4" t="str">
        <x:v>No</x:v>
      </x:c>
      <x:c r="B71" s="4" t="str">
        <x:v>A</x:v>
      </x:c>
      <x:c r="C71" s="4" t="str">
        <x:v>Whitetail Deer</x:v>
      </x:c>
      <x:c r="D71" s="4" t="str">
        <x:v>Village Creek SP</x:v>
      </x:c>
      <x:c r="E71" s="4" t="str">
        <x:v>East Texas / Pineywoods</x:v>
      </x:c>
      <x:c r="F71" s="4" t="str">
        <x:v>Youth Gun Deer - Either Sex</x:v>
      </x:c>
      <x:c r="G71" s="4" t="str">
        <x:v>No</x:v>
      </x:c>
      <x:c r="H71" s="4" t="str">
        <x:v>Yes</x:v>
      </x:c>
      <x:c r="I71" s="24" t="str">
        <x:v>2026-09-01</x:v>
      </x:c>
      <x:c r="J71" s="4" t="str">
        <x:v>See TPWD category page</x:v>
      </x:c>
      <x:c r="K71" s="4" t="n">
        <x:v>0</x:v>
      </x:c>
      <x:c r="L71" s="4" t="n">
        <x:v>0</x:v>
      </x:c>
      <x:c r="M71" s="4"/>
      <x:c r="N71" s="4"/>
      <x:c r="O71" s="4"/>
      <x:c r="P71" s="4" t="n">
        <x:v>570</x:v>
      </x:c>
      <x:c r="Q71" s="4" t="str">
        <x:v>Statewide</x:v>
      </x:c>
      <x:c r="R71" s="4" t="str">
        <x:v>Research before draw; property brochure linked from TPWD</x:v>
      </x:c>
      <x:c r="S71" s="4" t="str">
        <x:v>Low</x:v>
      </x:c>
      <x:c r="T71" s="4" t="str">
        <x:v>No</x:v>
      </x:c>
      <x:c r="U71" s="4" t="str">
        <x:v>Verified in TPWD 2026-2027 statewide deer category catalog.</x:v>
      </x:c>
      <x:c r="V71" s="4" t="str">
        <x:v>https://tpwd.texas.gov/huntwild/hunt/public/public_hunt_drawing/hunt-category-details.phtml?OCat=YDE</x:v>
      </x:c>
      <x:c r="W71" s="4" t="n">
        <x:v>2</x:v>
      </x:c>
      <x:c r="X71" s="4" t="n">
        <x:v>2</x:v>
      </x:c>
      <x:c r="Y71" s="4" t="n">
        <x:v>5</x:v>
      </x:c>
      <x:c r="Z71" s="4" t="n">
        <x:v>3</x:v>
      </x:c>
      <x:c r="AA71" s="4" t="n">
        <x:v>2</x:v>
      </x:c>
      <x:c r="AB71" s="4" t="n">
        <x:v>0</x:v>
      </x:c>
      <x:c r="AC71" s="4" t="n">
        <x:v>2.5</x:v>
      </x:c>
      <x:c r="AD71" s="4" t="n">
        <x:v>0</x:v>
      </x:c>
      <x:c r="AE71" s="4" t="str">
        <x:v>2026-09-01</x:v>
      </x:c>
      <x:c r="AF71" s="2"/>
      <x:c r="AG71" s="2"/>
      <x:c r="AH71" s="2"/>
      <x:c r="AI71" s="2"/>
      <x:c r="AJ71" s="2"/>
      <x:c r="AK71" s="2"/>
      <x:c r="AL71" s="2"/>
      <x:c r="AM71" s="2" t="str">
        <x:v>https://tpwd.texas.gov/huntwild/hunt/public/public_hunt_drawing/hunt-category-details.phtml?OCat=YDE</x:v>
      </x:c>
      <x:c r="AN71" s="2" t="str">
        <x:v>https://tpwd.texas.gov/search/?q=Village+Creek+SP+public+hunting+brochure</x:v>
      </x:c>
      <x:c r="AO71" s="2" t="str">
        <x:v>https://apps.tpwd.state.tx.us/huntwild/hunt/public/public_hunt_drawing/</x:v>
      </x:c>
      <x:c r="AP71" s="2" t="str">
        <x:v>https://www.google.com/maps/search/?api=1&amp;query=Village+Creek+SP%2C+Texas</x:v>
      </x:c>
      <x:c r="AQ71" s="2" t="n">
        <x:v>0</x:v>
      </x:c>
      <x:c r="AR71" s="2" t="str">
        <x:v>Standard Hastings ranking</x:v>
      </x:c>
    </x:row>
    <x:row r="72">
      <x:c r="A72" s="4" t="str">
        <x:v>No</x:v>
      </x:c>
      <x:c r="B72" s="4" t="str">
        <x:v>A</x:v>
      </x:c>
      <x:c r="C72" s="4" t="str">
        <x:v>Whitetail Deer</x:v>
      </x:c>
      <x:c r="D72" s="4" t="str">
        <x:v>White Oak Creek WMA</x:v>
      </x:c>
      <x:c r="E72" s="4" t="str">
        <x:v>East Texas / Pineywoods</x:v>
      </x:c>
      <x:c r="F72" s="4" t="str">
        <x:v>Youth Gun Deer - Either Sex</x:v>
      </x:c>
      <x:c r="G72" s="4" t="str">
        <x:v>No</x:v>
      </x:c>
      <x:c r="H72" s="4" t="str">
        <x:v>Yes</x:v>
      </x:c>
      <x:c r="I72" s="24" t="str">
        <x:v>2026-09-01</x:v>
      </x:c>
      <x:c r="J72" s="4" t="str">
        <x:v>See TPWD category page</x:v>
      </x:c>
      <x:c r="K72" s="4" t="n">
        <x:v>0</x:v>
      </x:c>
      <x:c r="L72" s="4" t="n">
        <x:v>0</x:v>
      </x:c>
      <x:c r="M72" s="4"/>
      <x:c r="N72" s="4"/>
      <x:c r="O72" s="4"/>
      <x:c r="P72" s="4" t="n">
        <x:v>570</x:v>
      </x:c>
      <x:c r="Q72" s="4" t="str">
        <x:v>Statewide</x:v>
      </x:c>
      <x:c r="R72" s="4" t="str">
        <x:v>Research before draw; property brochure linked from TPWD</x:v>
      </x:c>
      <x:c r="S72" s="4" t="str">
        <x:v>Low</x:v>
      </x:c>
      <x:c r="T72" s="4" t="str">
        <x:v>No</x:v>
      </x:c>
      <x:c r="U72" s="4" t="str">
        <x:v>Verified in TPWD 2026-2027 statewide deer category catalog.</x:v>
      </x:c>
      <x:c r="V72" s="4" t="str">
        <x:v>https://tpwd.texas.gov/huntwild/hunt/public/public_hunt_drawing/hunt-category-details.phtml?OCat=YDE</x:v>
      </x:c>
      <x:c r="W72" s="4" t="n">
        <x:v>2</x:v>
      </x:c>
      <x:c r="X72" s="4" t="n">
        <x:v>2</x:v>
      </x:c>
      <x:c r="Y72" s="4" t="n">
        <x:v>5</x:v>
      </x:c>
      <x:c r="Z72" s="4" t="n">
        <x:v>3</x:v>
      </x:c>
      <x:c r="AA72" s="4" t="n">
        <x:v>2</x:v>
      </x:c>
      <x:c r="AB72" s="4" t="n">
        <x:v>0</x:v>
      </x:c>
      <x:c r="AC72" s="4" t="n">
        <x:v>2.5</x:v>
      </x:c>
      <x:c r="AD72" s="4" t="n">
        <x:v>0</x:v>
      </x:c>
      <x:c r="AE72" s="4" t="str">
        <x:v>2026-09-01</x:v>
      </x:c>
      <x:c r="AF72" s="2"/>
      <x:c r="AG72" s="2"/>
      <x:c r="AH72" s="2"/>
      <x:c r="AI72" s="2"/>
      <x:c r="AJ72" s="2"/>
      <x:c r="AK72" s="2"/>
      <x:c r="AL72" s="2"/>
      <x:c r="AM72" s="2" t="str">
        <x:v>https://tpwd.texas.gov/huntwild/hunt/public/public_hunt_drawing/hunt-category-details.phtml?OCat=YDE</x:v>
      </x:c>
      <x:c r="AN72" s="2" t="str">
        <x:v>https://tpwd.texas.gov/search/?q=White+Oak+Creek+WMA+public+hunting+brochure</x:v>
      </x:c>
      <x:c r="AO72" s="2" t="str">
        <x:v>https://apps.tpwd.state.tx.us/huntwild/hunt/public/public_hunt_drawing/</x:v>
      </x:c>
      <x:c r="AP72" s="2" t="str">
        <x:v>https://www.google.com/maps/search/?api=1&amp;query=White+Oak+Creek+WMA%2C+Texas</x:v>
      </x:c>
      <x:c r="AQ72" s="2" t="n">
        <x:v>0</x:v>
      </x:c>
      <x:c r="AR72" s="2" t="str">
        <x:v>Standard Hastings ranking</x:v>
      </x:c>
    </x:row>
    <x:row r="73">
      <x:c r="A73" s="4" t="str">
        <x:v>No</x:v>
      </x:c>
      <x:c r="B73" s="4" t="str">
        <x:v>B</x:v>
      </x:c>
      <x:c r="C73" s="4" t="str">
        <x:v>Whitetail Deer</x:v>
      </x:c>
      <x:c r="D73" s="4" t="str">
        <x:v>Aransas NWR</x:v>
      </x:c>
      <x:c r="E73" s="4" t="str">
        <x:v>Houston / Gulf Coast</x:v>
      </x:c>
      <x:c r="F73" s="4" t="str">
        <x:v>National Refuge Archery Deer</x:v>
      </x:c>
      <x:c r="G73" s="4" t="str">
        <x:v>Yes</x:v>
      </x:c>
      <x:c r="H73" s="4" t="str">
        <x:v>Yes</x:v>
      </x:c>
      <x:c r="I73" s="24" t="str">
        <x:v>2026-09-01</x:v>
      </x:c>
      <x:c r="J73" s="4" t="str">
        <x:v>See TPWD category page</x:v>
      </x:c>
      <x:c r="K73" s="4" t="n">
        <x:v>3</x:v>
      </x:c>
      <x:c r="L73" s="4"/>
      <x:c r="M73" s="4"/>
      <x:c r="N73" s="4"/>
      <x:c r="O73" s="4"/>
      <x:c r="P73" s="4" t="n">
        <x:v>610</x:v>
      </x:c>
      <x:c r="Q73" s="4" t="str">
        <x:v>Long Haul</x:v>
      </x:c>
      <x:c r="R73" s="4" t="str">
        <x:v>Research before draw; property brochure linked from TPWD</x:v>
      </x:c>
      <x:c r="S73" s="4" t="str">
        <x:v>Low</x:v>
      </x:c>
      <x:c r="T73" s="4" t="str">
        <x:v>No</x:v>
      </x:c>
      <x:c r="U73" s="4" t="str">
        <x:v>Verified in TPWD 2026-2027 statewide deer category catalog. Refuge-specific rules and permit fees may apply. V5 preference rule: Lower priority: archery whitetail is more than 200 miles from Amarillo.</x:v>
      </x:c>
      <x:c r="V73" s="4" t="str">
        <x:v>https://tpwd.texas.gov/huntwild/hunt/public/public_hunt_drawing/hunt-category-details.phtml?OCat=NAD</x:v>
      </x:c>
      <x:c r="W73" s="4" t="n">
        <x:v>2</x:v>
      </x:c>
      <x:c r="X73" s="4" t="n">
        <x:v>1</x:v>
      </x:c>
      <x:c r="Y73" s="4" t="n">
        <x:v>4</x:v>
      </x:c>
      <x:c r="Z73" s="4" t="n">
        <x:v>3</x:v>
      </x:c>
      <x:c r="AA73" s="4" t="n">
        <x:v>2</x:v>
      </x:c>
      <x:c r="AB73" s="4" t="n">
        <x:v>0</x:v>
      </x:c>
      <x:c r="AC73" s="4" t="n">
        <x:v>1.1</x:v>
      </x:c>
      <x:c r="AD73" s="4"/>
      <x:c r="AE73" s="4" t="str">
        <x:v>2026-09-01</x:v>
      </x:c>
      <x:c r="AF73" s="2"/>
      <x:c r="AG73" s="2"/>
      <x:c r="AH73" s="2"/>
      <x:c r="AI73" s="2"/>
      <x:c r="AJ73" s="2"/>
      <x:c r="AK73" s="2"/>
      <x:c r="AL73" s="2"/>
      <x:c r="AM73" s="2" t="str">
        <x:v>https://tpwd.texas.gov/huntwild/hunt/public/public_hunt_drawing/hunt-category-details.phtml?OCat=NAD</x:v>
      </x:c>
      <x:c r="AN73" s="2" t="str">
        <x:v>https://tpwd.texas.gov/search/?q=Aransas+NWR+public+hunting+brochure</x:v>
      </x:c>
      <x:c r="AO73" s="2" t="str">
        <x:v>https://apps.tpwd.state.tx.us/huntwild/hunt/public/public_hunt_drawing/</x:v>
      </x:c>
      <x:c r="AP73" s="2" t="str">
        <x:v>https://www.google.com/maps/search/?api=1&amp;query=Aransas+NWR%2C+Texas</x:v>
      </x:c>
      <x:c r="AQ73" s="2" t="n">
        <x:v>-1</x:v>
      </x:c>
      <x:c r="AR73" s="2" t="str">
        <x:v>Lower priority: archery whitetail is more than 200 miles from Amarillo</x:v>
      </x:c>
    </x:row>
    <x:row r="74">
      <x:c r="A74" s="4" t="str">
        <x:v>No</x:v>
      </x:c>
      <x:c r="B74" s="4" t="str">
        <x:v>B</x:v>
      </x:c>
      <x:c r="C74" s="4" t="str">
        <x:v>Whitetail Deer</x:v>
      </x:c>
      <x:c r="D74" s="4" t="str">
        <x:v>Balcones Canyonlands NWR</x:v>
      </x:c>
      <x:c r="E74" s="4" t="str">
        <x:v>Statewide / Other</x:v>
      </x:c>
      <x:c r="F74" s="4" t="str">
        <x:v>E-Postcard Archery Deer</x:v>
      </x:c>
      <x:c r="G74" s="4" t="str">
        <x:v>Yes</x:v>
      </x:c>
      <x:c r="H74" s="4" t="str">
        <x:v>Yes</x:v>
      </x:c>
      <x:c r="I74" s="24" t="str">
        <x:v>2026-09-01</x:v>
      </x:c>
      <x:c r="J74" s="4" t="str">
        <x:v>See TPWD category page</x:v>
      </x:c>
      <x:c r="K74" s="4" t="n">
        <x:v>0</x:v>
      </x:c>
      <x:c r="L74" s="4" t="n">
        <x:v>0</x:v>
      </x:c>
      <x:c r="M74" s="4"/>
      <x:c r="N74" s="4"/>
      <x:c r="O74" s="4"/>
      <x:c r="P74" s="4" t="n">
        <x:v>500</x:v>
      </x:c>
      <x:c r="Q74" s="4" t="str">
        <x:v>Statewide</x:v>
      </x:c>
      <x:c r="R74" s="4" t="str">
        <x:v>Research before draw; property brochure linked from TPWD</x:v>
      </x:c>
      <x:c r="S74" s="4" t="str">
        <x:v>Low</x:v>
      </x:c>
      <x:c r="T74" s="4" t="str">
        <x:v>No</x:v>
      </x:c>
      <x:c r="U74" s="4" t="str">
        <x:v>Verified in TPWD 2026-2027 statewide deer category catalog. APH/eligibility rules apply; confirm account and permit requirements. V5 preference rule: Lower priority: archery whitetail is more than 200 miles from Amarillo.</x:v>
      </x:c>
      <x:c r="V74" s="4" t="str">
        <x:v>https://tpwd.texas.gov/huntwild/hunt/public/public_hunt_drawing/hunt-category-details.phtml?OCat=EAD</x:v>
      </x:c>
      <x:c r="W74" s="4" t="n">
        <x:v>2</x:v>
      </x:c>
      <x:c r="X74" s="4" t="n">
        <x:v>2</x:v>
      </x:c>
      <x:c r="Y74" s="4" t="n">
        <x:v>4</x:v>
      </x:c>
      <x:c r="Z74" s="4" t="n">
        <x:v>3</x:v>
      </x:c>
      <x:c r="AA74" s="4" t="n">
        <x:v>2</x:v>
      </x:c>
      <x:c r="AB74" s="4" t="n">
        <x:v>0</x:v>
      </x:c>
      <x:c r="AC74" s="4" t="n">
        <x:v>1.3</x:v>
      </x:c>
      <x:c r="AD74" s="4" t="n">
        <x:v>0</x:v>
      </x:c>
      <x:c r="AE74" s="4" t="str">
        <x:v>2026-09-01</x:v>
      </x:c>
      <x:c r="AF74" s="2"/>
      <x:c r="AG74" s="2"/>
      <x:c r="AH74" s="2"/>
      <x:c r="AI74" s="2"/>
      <x:c r="AJ74" s="2"/>
      <x:c r="AK74" s="2"/>
      <x:c r="AL74" s="2"/>
      <x:c r="AM74" s="2" t="str">
        <x:v>https://tpwd.texas.gov/huntwild/hunt/public/public_hunt_drawing/hunt-category-details.phtml?OCat=EAD</x:v>
      </x:c>
      <x:c r="AN74" s="2" t="str">
        <x:v>https://tpwd.texas.gov/search/?q=Balcones+Canyonlands+NWR+public+hunting+brochure</x:v>
      </x:c>
      <x:c r="AO74" s="2" t="str">
        <x:v>https://apps.tpwd.state.tx.us/huntwild/hunt/public/public_hunt_drawing/</x:v>
      </x:c>
      <x:c r="AP74" s="2" t="str">
        <x:v>https://www.google.com/maps/search/?api=1&amp;query=Balcones+Canyonlands+NWR%2C+Texas</x:v>
      </x:c>
      <x:c r="AQ74" s="2" t="n">
        <x:v>-1</x:v>
      </x:c>
      <x:c r="AR74" s="2" t="str">
        <x:v>Lower priority: archery whitetail is more than 200 miles from Amarillo</x:v>
      </x:c>
    </x:row>
    <x:row r="75">
      <x:c r="A75" s="4" t="str">
        <x:v>No</x:v>
      </x:c>
      <x:c r="B75" s="4" t="str">
        <x:v>A</x:v>
      </x:c>
      <x:c r="C75" s="4" t="str">
        <x:v>Whitetail Deer</x:v>
      </x:c>
      <x:c r="D75" s="4" t="str">
        <x:v>Bandera County - The Nature Conservancy</x:v>
      </x:c>
      <x:c r="E75" s="4" t="str">
        <x:v>Hill Country / San Antonio</x:v>
      </x:c>
      <x:c r="F75" s="4" t="str">
        <x:v>Private Lands - Antlerless/Spike</x:v>
      </x:c>
      <x:c r="G75" s="4" t="str">
        <x:v>Yes</x:v>
      </x:c>
      <x:c r="H75" s="4" t="str">
        <x:v>Yes</x:v>
      </x:c>
      <x:c r="I75" s="24" t="str">
        <x:v>2026-09-01</x:v>
      </x:c>
      <x:c r="J75" s="4" t="str">
        <x:v>See TPWD category page</x:v>
      </x:c>
      <x:c r="K75" s="4" t="n">
        <x:v>10</x:v>
      </x:c>
      <x:c r="L75" s="4"/>
      <x:c r="M75" s="4"/>
      <x:c r="N75" s="4"/>
      <x:c r="O75" s="4"/>
      <x:c r="P75" s="4" t="n">
        <x:v>520</x:v>
      </x:c>
      <x:c r="Q75" s="4" t="str">
        <x:v>Statewide</x:v>
      </x:c>
      <x:c r="R75" s="4" t="str">
        <x:v>Research before draw; property brochure linked from TPWD</x:v>
      </x:c>
      <x:c r="S75" s="4" t="str">
        <x:v>Low</x:v>
      </x:c>
      <x:c r="T75" s="4" t="str">
        <x:v>No</x:v>
      </x:c>
      <x:c r="U75" s="4" t="str">
        <x:v>Verified in TPWD 2026-2027 statewide deer category catalog.</x:v>
      </x:c>
      <x:c r="V75" s="4" t="str">
        <x:v>https://tpwd.texas.gov/huntwild/hunt/public/public_hunt_drawing/hunt-category-details.phtml?OCat=PLA</x:v>
      </x:c>
      <x:c r="W75" s="4" t="n">
        <x:v>2</x:v>
      </x:c>
      <x:c r="X75" s="4" t="n">
        <x:v>2</x:v>
      </x:c>
      <x:c r="Y75" s="4" t="n">
        <x:v>4</x:v>
      </x:c>
      <x:c r="Z75" s="4" t="n">
        <x:v>3</x:v>
      </x:c>
      <x:c r="AA75" s="4" t="n">
        <x:v>2</x:v>
      </x:c>
      <x:c r="AB75" s="4" t="n">
        <x:v>0</x:v>
      </x:c>
      <x:c r="AC75" s="4" t="n">
        <x:v>2.3</x:v>
      </x:c>
      <x:c r="AD75" s="4"/>
      <x:c r="AE75" s="4" t="str">
        <x:v>2026-09-01</x:v>
      </x:c>
      <x:c r="AF75" s="2"/>
      <x:c r="AG75" s="2"/>
      <x:c r="AH75" s="2"/>
      <x:c r="AI75" s="2"/>
      <x:c r="AJ75" s="2"/>
      <x:c r="AK75" s="2"/>
      <x:c r="AL75" s="2"/>
      <x:c r="AM75" s="2" t="str">
        <x:v>https://tpwd.texas.gov/huntwild/hunt/public/public_hunt_drawing/hunt-category-details.phtml?OCat=PLA</x:v>
      </x:c>
      <x:c r="AN75" s="2" t="str">
        <x:v>https://tpwd.texas.gov/search/?q=Bandera+County+-+The+Nature+Conservancy+public+hunting+brochure</x:v>
      </x:c>
      <x:c r="AO75" s="2" t="str">
        <x:v>https://apps.tpwd.state.tx.us/huntwild/hunt/public/public_hunt_drawing/</x:v>
      </x:c>
      <x:c r="AP75" s="2" t="str">
        <x:v>https://www.google.com/maps/search/?api=1&amp;query=Bandera+County+-+The+Nature+Conservancy%2C+Texas</x:v>
      </x:c>
      <x:c r="AQ75" s="2" t="n">
        <x:v>0</x:v>
      </x:c>
      <x:c r="AR75" s="2" t="str">
        <x:v>Standard Hastings ranking</x:v>
      </x:c>
    </x:row>
    <x:row r="76">
      <x:c r="A76" s="4" t="str">
        <x:v>No</x:v>
      </x:c>
      <x:c r="B76" s="4" t="str">
        <x:v>A</x:v>
      </x:c>
      <x:c r="C76" s="4" t="str">
        <x:v>Whitetail Deer</x:v>
      </x:c>
      <x:c r="D76" s="4" t="str">
        <x:v>Bandera County - The Nature Conservancy</x:v>
      </x:c>
      <x:c r="E76" s="4" t="str">
        <x:v>Hill Country / San Antonio</x:v>
      </x:c>
      <x:c r="F76" s="4" t="str">
        <x:v>Private Lands - Either Sex</x:v>
      </x:c>
      <x:c r="G76" s="4" t="str">
        <x:v>Yes</x:v>
      </x:c>
      <x:c r="H76" s="4" t="str">
        <x:v>Yes</x:v>
      </x:c>
      <x:c r="I76" s="24" t="str">
        <x:v>2026-09-01</x:v>
      </x:c>
      <x:c r="J76" s="4" t="str">
        <x:v>See TPWD category page</x:v>
      </x:c>
      <x:c r="K76" s="4" t="n">
        <x:v>10</x:v>
      </x:c>
      <x:c r="L76" s="4"/>
      <x:c r="M76" s="4"/>
      <x:c r="N76" s="4"/>
      <x:c r="O76" s="4"/>
      <x:c r="P76" s="4" t="n">
        <x:v>520</x:v>
      </x:c>
      <x:c r="Q76" s="4" t="str">
        <x:v>Statewide</x:v>
      </x:c>
      <x:c r="R76" s="4" t="str">
        <x:v>Research before draw; property brochure linked from TPWD</x:v>
      </x:c>
      <x:c r="S76" s="4" t="str">
        <x:v>Low</x:v>
      </x:c>
      <x:c r="T76" s="4" t="str">
        <x:v>No</x:v>
      </x:c>
      <x:c r="U76" s="4" t="str">
        <x:v>Verified in TPWD 2026-2027 statewide deer category catalog.</x:v>
      </x:c>
      <x:c r="V76" s="4" t="str">
        <x:v>https://tpwd.texas.gov/huntwild/hunt/public/public_hunt_drawing/hunt-category-details.phtml?OCat=PLE</x:v>
      </x:c>
      <x:c r="W76" s="4" t="n">
        <x:v>2</x:v>
      </x:c>
      <x:c r="X76" s="4" t="n">
        <x:v>2</x:v>
      </x:c>
      <x:c r="Y76" s="4" t="n">
        <x:v>4</x:v>
      </x:c>
      <x:c r="Z76" s="4" t="n">
        <x:v>3</x:v>
      </x:c>
      <x:c r="AA76" s="4" t="n">
        <x:v>2</x:v>
      </x:c>
      <x:c r="AB76" s="4" t="n">
        <x:v>0</x:v>
      </x:c>
      <x:c r="AC76" s="4" t="n">
        <x:v>2.3</x:v>
      </x:c>
      <x:c r="AD76" s="4"/>
      <x:c r="AE76" s="4" t="str">
        <x:v>2026-09-01</x:v>
      </x:c>
      <x:c r="AF76" s="2"/>
      <x:c r="AG76" s="2"/>
      <x:c r="AH76" s="2"/>
      <x:c r="AI76" s="2"/>
      <x:c r="AJ76" s="2"/>
      <x:c r="AK76" s="2"/>
      <x:c r="AL76" s="2"/>
      <x:c r="AM76" s="2" t="str">
        <x:v>https://tpwd.texas.gov/huntwild/hunt/public/public_hunt_drawing/hunt-category-details.phtml?OCat=PLE</x:v>
      </x:c>
      <x:c r="AN76" s="2" t="str">
        <x:v>https://tpwd.texas.gov/search/?q=Bandera+County+-+The+Nature+Conservancy+public+hunting+brochure</x:v>
      </x:c>
      <x:c r="AO76" s="2" t="str">
        <x:v>https://apps.tpwd.state.tx.us/huntwild/hunt/public/public_hunt_drawing/</x:v>
      </x:c>
      <x:c r="AP76" s="2" t="str">
        <x:v>https://www.google.com/maps/search/?api=1&amp;query=Bandera+County+-+The+Nature+Conservancy%2C+Texas</x:v>
      </x:c>
      <x:c r="AQ76" s="2" t="n">
        <x:v>0</x:v>
      </x:c>
      <x:c r="AR76" s="2" t="str">
        <x:v>Standard Hastings ranking</x:v>
      </x:c>
    </x:row>
    <x:row r="77">
      <x:c r="A77" s="4" t="str">
        <x:v>No</x:v>
      </x:c>
      <x:c r="B77" s="4" t="str">
        <x:v>B</x:v>
      </x:c>
      <x:c r="C77" s="4" t="str">
        <x:v>Whitetail Deer</x:v>
      </x:c>
      <x:c r="D77" s="4" t="str">
        <x:v>Big Lake Bottom WMA</x:v>
      </x:c>
      <x:c r="E77" s="4" t="str">
        <x:v>Statewide / Other</x:v>
      </x:c>
      <x:c r="F77" s="4" t="str">
        <x:v>E-Postcard Archery Deer</x:v>
      </x:c>
      <x:c r="G77" s="4" t="str">
        <x:v>Yes</x:v>
      </x:c>
      <x:c r="H77" s="4" t="str">
        <x:v>Yes</x:v>
      </x:c>
      <x:c r="I77" s="24" t="str">
        <x:v>2026-09-01</x:v>
      </x:c>
      <x:c r="J77" s="4" t="str">
        <x:v>See TPWD category page</x:v>
      </x:c>
      <x:c r="K77" s="4" t="n">
        <x:v>0</x:v>
      </x:c>
      <x:c r="L77" s="4" t="n">
        <x:v>0</x:v>
      </x:c>
      <x:c r="M77" s="4"/>
      <x:c r="N77" s="4"/>
      <x:c r="O77" s="4"/>
      <x:c r="P77" s="4" t="n">
        <x:v>500</x:v>
      </x:c>
      <x:c r="Q77" s="4" t="str">
        <x:v>Statewide</x:v>
      </x:c>
      <x:c r="R77" s="4" t="str">
        <x:v>Research before draw; property brochure linked from TPWD</x:v>
      </x:c>
      <x:c r="S77" s="4" t="str">
        <x:v>Low</x:v>
      </x:c>
      <x:c r="T77" s="4" t="str">
        <x:v>No</x:v>
      </x:c>
      <x:c r="U77" s="4" t="str">
        <x:v>Verified in TPWD 2026-2027 statewide deer category catalog. APH/eligibility rules apply; confirm account and permit requirements. V5 preference rule: Lower priority: archery whitetail is more than 200 miles from Amarillo.</x:v>
      </x:c>
      <x:c r="V77" s="4" t="str">
        <x:v>https://tpwd.texas.gov/huntwild/hunt/public/public_hunt_drawing/hunt-category-details.phtml?OCat=EAD</x:v>
      </x:c>
      <x:c r="W77" s="4" t="n">
        <x:v>2</x:v>
      </x:c>
      <x:c r="X77" s="4" t="n">
        <x:v>2</x:v>
      </x:c>
      <x:c r="Y77" s="4" t="n">
        <x:v>4</x:v>
      </x:c>
      <x:c r="Z77" s="4" t="n">
        <x:v>3</x:v>
      </x:c>
      <x:c r="AA77" s="4" t="n">
        <x:v>2</x:v>
      </x:c>
      <x:c r="AB77" s="4" t="n">
        <x:v>0</x:v>
      </x:c>
      <x:c r="AC77" s="4" t="n">
        <x:v>1.3</x:v>
      </x:c>
      <x:c r="AD77" s="4" t="n">
        <x:v>0</x:v>
      </x:c>
      <x:c r="AE77" s="4" t="str">
        <x:v>2026-09-01</x:v>
      </x:c>
      <x:c r="AF77" s="2"/>
      <x:c r="AG77" s="2"/>
      <x:c r="AH77" s="2"/>
      <x:c r="AI77" s="2"/>
      <x:c r="AJ77" s="2"/>
      <x:c r="AK77" s="2"/>
      <x:c r="AL77" s="2"/>
      <x:c r="AM77" s="2" t="str">
        <x:v>https://tpwd.texas.gov/huntwild/hunt/public/public_hunt_drawing/hunt-category-details.phtml?OCat=EAD</x:v>
      </x:c>
      <x:c r="AN77" s="2" t="str">
        <x:v>https://tpwd.texas.gov/search/?q=Big+Lake+Bottom+WMA+public+hunting+brochure</x:v>
      </x:c>
      <x:c r="AO77" s="2" t="str">
        <x:v>https://apps.tpwd.state.tx.us/huntwild/hunt/public/public_hunt_drawing/</x:v>
      </x:c>
      <x:c r="AP77" s="2" t="str">
        <x:v>https://www.google.com/maps/search/?api=1&amp;query=Big+Lake+Bottom+WMA%2C+Texas</x:v>
      </x:c>
      <x:c r="AQ77" s="2" t="n">
        <x:v>-1</x:v>
      </x:c>
      <x:c r="AR77" s="2" t="str">
        <x:v>Lower priority: archery whitetail is more than 200 miles from Amarillo</x:v>
      </x:c>
    </x:row>
    <x:row r="78">
      <x:c r="A78" s="4" t="str">
        <x:v>No</x:v>
      </x:c>
      <x:c r="B78" s="4" t="str">
        <x:v>A</x:v>
      </x:c>
      <x:c r="C78" s="4" t="str">
        <x:v>Whitetail Deer</x:v>
      </x:c>
      <x:c r="D78" s="4" t="str">
        <x:v>Buffalo Lake NWR</x:v>
      </x:c>
      <x:c r="E78" s="4" t="str">
        <x:v>Panhandle / Rolling Plains</x:v>
      </x:c>
      <x:c r="F78" s="4" t="str">
        <x:v>National Refuge Archery Deer</x:v>
      </x:c>
      <x:c r="G78" s="4" t="str">
        <x:v>Yes</x:v>
      </x:c>
      <x:c r="H78" s="4" t="str">
        <x:v>Yes</x:v>
      </x:c>
      <x:c r="I78" s="24" t="str">
        <x:v>2026-09-01</x:v>
      </x:c>
      <x:c r="J78" s="4" t="str">
        <x:v>See TPWD category page</x:v>
      </x:c>
      <x:c r="K78" s="4" t="n">
        <x:v>3</x:v>
      </x:c>
      <x:c r="L78" s="4"/>
      <x:c r="M78" s="4"/>
      <x:c r="N78" s="4"/>
      <x:c r="O78" s="4"/>
      <x:c r="P78" s="4" t="n">
        <x:v>130</x:v>
      </x:c>
      <x:c r="Q78" s="4" t="str">
        <x:v>Core</x:v>
      </x:c>
      <x:c r="R78" s="4" t="str">
        <x:v>Research before draw; property brochure linked from TPWD</x:v>
      </x:c>
      <x:c r="S78" s="4" t="str">
        <x:v>High</x:v>
      </x:c>
      <x:c r="T78" s="4" t="str">
        <x:v>No</x:v>
      </x:c>
      <x:c r="U78" s="4" t="str">
        <x:v>Verified in TPWD 2026-2027 statewide deer category catalog. Refuge-specific rules and permit fees may apply.</x:v>
      </x:c>
      <x:c r="V78" s="4" t="str">
        <x:v>https://tpwd.texas.gov/huntwild/hunt/public/public_hunt_drawing/hunt-category-details.phtml?OCat=NAD</x:v>
      </x:c>
      <x:c r="W78" s="4" t="n">
        <x:v>2</x:v>
      </x:c>
      <x:c r="X78" s="4" t="n">
        <x:v>5</x:v>
      </x:c>
      <x:c r="Y78" s="4" t="n">
        <x:v>4</x:v>
      </x:c>
      <x:c r="Z78" s="4" t="n">
        <x:v>3</x:v>
      </x:c>
      <x:c r="AA78" s="4" t="n">
        <x:v>4</x:v>
      </x:c>
      <x:c r="AB78" s="4" t="n">
        <x:v>0</x:v>
      </x:c>
      <x:c r="AC78" s="4" t="n">
        <x:v>2.9</x:v>
      </x:c>
      <x:c r="AD78" s="4"/>
      <x:c r="AE78" s="4" t="str">
        <x:v>2026-09-01</x:v>
      </x:c>
      <x:c r="AF78" s="2"/>
      <x:c r="AG78" s="2"/>
      <x:c r="AH78" s="2"/>
      <x:c r="AI78" s="2"/>
      <x:c r="AJ78" s="2"/>
      <x:c r="AK78" s="2"/>
      <x:c r="AL78" s="2"/>
      <x:c r="AM78" s="2" t="str">
        <x:v>https://tpwd.texas.gov/huntwild/hunt/public/public_hunt_drawing/hunt-category-details.phtml?OCat=NAD</x:v>
      </x:c>
      <x:c r="AN78" s="2" t="str">
        <x:v>https://tpwd.texas.gov/search/?q=Buffalo+Lake+NWR+public+hunting+brochure</x:v>
      </x:c>
      <x:c r="AO78" s="2" t="str">
        <x:v>https://apps.tpwd.state.tx.us/huntwild/hunt/public/public_hunt_drawing/</x:v>
      </x:c>
      <x:c r="AP78" s="2" t="str">
        <x:v>https://www.google.com/maps/search/?api=1&amp;query=Buffalo+Lake+NWR%2C+Texas</x:v>
      </x:c>
      <x:c r="AQ78" s="2" t="n">
        <x:v>0</x:v>
      </x:c>
      <x:c r="AR78" s="2" t="str">
        <x:v>Standard Hastings ranking</x:v>
      </x:c>
    </x:row>
    <x:row r="79">
      <x:c r="A79" s="4" t="str">
        <x:v>No</x:v>
      </x:c>
      <x:c r="B79" s="4" t="str">
        <x:v>A</x:v>
      </x:c>
      <x:c r="C79" s="4" t="str">
        <x:v>Whitetail Deer</x:v>
      </x:c>
      <x:c r="D79" s="4" t="str">
        <x:v>Comal County Ranch - The Nature Conservancy</x:v>
      </x:c>
      <x:c r="E79" s="4" t="str">
        <x:v>Hill Country / San Antonio</x:v>
      </x:c>
      <x:c r="F79" s="4" t="str">
        <x:v>Private Lands - Antlerless/Spike</x:v>
      </x:c>
      <x:c r="G79" s="4" t="str">
        <x:v>Yes</x:v>
      </x:c>
      <x:c r="H79" s="4" t="str">
        <x:v>Yes</x:v>
      </x:c>
      <x:c r="I79" s="24" t="str">
        <x:v>2026-09-01</x:v>
      </x:c>
      <x:c r="J79" s="4" t="str">
        <x:v>See TPWD category page</x:v>
      </x:c>
      <x:c r="K79" s="4" t="n">
        <x:v>10</x:v>
      </x:c>
      <x:c r="L79" s="4"/>
      <x:c r="M79" s="4"/>
      <x:c r="N79" s="4"/>
      <x:c r="O79" s="4"/>
      <x:c r="P79" s="4" t="n">
        <x:v>520</x:v>
      </x:c>
      <x:c r="Q79" s="4" t="str">
        <x:v>Statewide</x:v>
      </x:c>
      <x:c r="R79" s="4" t="str">
        <x:v>Research before draw; property brochure linked from TPWD</x:v>
      </x:c>
      <x:c r="S79" s="4" t="str">
        <x:v>Low</x:v>
      </x:c>
      <x:c r="T79" s="4" t="str">
        <x:v>No</x:v>
      </x:c>
      <x:c r="U79" s="4" t="str">
        <x:v>Verified in TPWD 2026-2027 statewide deer category catalog.</x:v>
      </x:c>
      <x:c r="V79" s="4" t="str">
        <x:v>https://tpwd.texas.gov/huntwild/hunt/public/public_hunt_drawing/hunt-category-details.phtml?OCat=PLA</x:v>
      </x:c>
      <x:c r="W79" s="4" t="n">
        <x:v>2</x:v>
      </x:c>
      <x:c r="X79" s="4" t="n">
        <x:v>2</x:v>
      </x:c>
      <x:c r="Y79" s="4" t="n">
        <x:v>4</x:v>
      </x:c>
      <x:c r="Z79" s="4" t="n">
        <x:v>3</x:v>
      </x:c>
      <x:c r="AA79" s="4" t="n">
        <x:v>2</x:v>
      </x:c>
      <x:c r="AB79" s="4" t="n">
        <x:v>0</x:v>
      </x:c>
      <x:c r="AC79" s="4" t="n">
        <x:v>2.3</x:v>
      </x:c>
      <x:c r="AD79" s="4"/>
      <x:c r="AE79" s="4" t="str">
        <x:v>2026-09-01</x:v>
      </x:c>
      <x:c r="AF79" s="2"/>
      <x:c r="AG79" s="2"/>
      <x:c r="AH79" s="2"/>
      <x:c r="AI79" s="2"/>
      <x:c r="AJ79" s="2"/>
      <x:c r="AK79" s="2"/>
      <x:c r="AL79" s="2"/>
      <x:c r="AM79" s="2" t="str">
        <x:v>https://tpwd.texas.gov/huntwild/hunt/public/public_hunt_drawing/hunt-category-details.phtml?OCat=PLA</x:v>
      </x:c>
      <x:c r="AN79" s="2" t="str">
        <x:v>https://tpwd.texas.gov/search/?q=Comal+County+Ranch+-+The+Nature+Conservancy+public+hunting+brochure</x:v>
      </x:c>
      <x:c r="AO79" s="2" t="str">
        <x:v>https://apps.tpwd.state.tx.us/huntwild/hunt/public/public_hunt_drawing/</x:v>
      </x:c>
      <x:c r="AP79" s="2" t="str">
        <x:v>https://www.google.com/maps/search/?api=1&amp;query=Comal+County+Ranch+-+The+Nature+Conservancy%2C+Texas</x:v>
      </x:c>
      <x:c r="AQ79" s="2" t="n">
        <x:v>0</x:v>
      </x:c>
      <x:c r="AR79" s="2" t="str">
        <x:v>Standard Hastings ranking</x:v>
      </x:c>
    </x:row>
    <x:row r="80">
      <x:c r="A80" s="4" t="str">
        <x:v>No</x:v>
      </x:c>
      <x:c r="B80" s="4" t="str">
        <x:v>A</x:v>
      </x:c>
      <x:c r="C80" s="4" t="str">
        <x:v>Whitetail Deer</x:v>
      </x:c>
      <x:c r="D80" s="4" t="str">
        <x:v>Comal County Ranch - The Nature Conservancy</x:v>
      </x:c>
      <x:c r="E80" s="4" t="str">
        <x:v>Hill Country / San Antonio</x:v>
      </x:c>
      <x:c r="F80" s="4" t="str">
        <x:v>Private Lands - Either Sex</x:v>
      </x:c>
      <x:c r="G80" s="4" t="str">
        <x:v>Yes</x:v>
      </x:c>
      <x:c r="H80" s="4" t="str">
        <x:v>Yes</x:v>
      </x:c>
      <x:c r="I80" s="24" t="str">
        <x:v>2026-09-01</x:v>
      </x:c>
      <x:c r="J80" s="4" t="str">
        <x:v>See TPWD category page</x:v>
      </x:c>
      <x:c r="K80" s="4" t="n">
        <x:v>10</x:v>
      </x:c>
      <x:c r="L80" s="4"/>
      <x:c r="M80" s="4"/>
      <x:c r="N80" s="4"/>
      <x:c r="O80" s="4"/>
      <x:c r="P80" s="4" t="n">
        <x:v>520</x:v>
      </x:c>
      <x:c r="Q80" s="4" t="str">
        <x:v>Statewide</x:v>
      </x:c>
      <x:c r="R80" s="4" t="str">
        <x:v>Research before draw; property brochure linked from TPWD</x:v>
      </x:c>
      <x:c r="S80" s="4" t="str">
        <x:v>Low</x:v>
      </x:c>
      <x:c r="T80" s="4" t="str">
        <x:v>No</x:v>
      </x:c>
      <x:c r="U80" s="4" t="str">
        <x:v>Verified in TPWD 2026-2027 statewide deer category catalog.</x:v>
      </x:c>
      <x:c r="V80" s="4" t="str">
        <x:v>https://tpwd.texas.gov/huntwild/hunt/public/public_hunt_drawing/hunt-category-details.phtml?OCat=PLE</x:v>
      </x:c>
      <x:c r="W80" s="4" t="n">
        <x:v>2</x:v>
      </x:c>
      <x:c r="X80" s="4" t="n">
        <x:v>2</x:v>
      </x:c>
      <x:c r="Y80" s="4" t="n">
        <x:v>4</x:v>
      </x:c>
      <x:c r="Z80" s="4" t="n">
        <x:v>3</x:v>
      </x:c>
      <x:c r="AA80" s="4" t="n">
        <x:v>2</x:v>
      </x:c>
      <x:c r="AB80" s="4" t="n">
        <x:v>0</x:v>
      </x:c>
      <x:c r="AC80" s="4" t="n">
        <x:v>2.3</x:v>
      </x:c>
      <x:c r="AD80" s="4"/>
      <x:c r="AE80" s="4" t="str">
        <x:v>2026-09-01</x:v>
      </x:c>
      <x:c r="AF80" s="2"/>
      <x:c r="AG80" s="2"/>
      <x:c r="AH80" s="2"/>
      <x:c r="AI80" s="2"/>
      <x:c r="AJ80" s="2"/>
      <x:c r="AK80" s="2"/>
      <x:c r="AL80" s="2"/>
      <x:c r="AM80" s="2" t="str">
        <x:v>https://tpwd.texas.gov/huntwild/hunt/public/public_hunt_drawing/hunt-category-details.phtml?OCat=PLE</x:v>
      </x:c>
      <x:c r="AN80" s="2" t="str">
        <x:v>https://tpwd.texas.gov/search/?q=Comal+County+Ranch+-+The+Nature+Conservancy+public+hunting+brochure</x:v>
      </x:c>
      <x:c r="AO80" s="2" t="str">
        <x:v>https://apps.tpwd.state.tx.us/huntwild/hunt/public/public_hunt_drawing/</x:v>
      </x:c>
      <x:c r="AP80" s="2" t="str">
        <x:v>https://www.google.com/maps/search/?api=1&amp;query=Comal+County+Ranch+-+The+Nature+Conservancy%2C+Texas</x:v>
      </x:c>
      <x:c r="AQ80" s="2" t="n">
        <x:v>0</x:v>
      </x:c>
      <x:c r="AR80" s="2" t="str">
        <x:v>Standard Hastings ranking</x:v>
      </x:c>
    </x:row>
    <x:row r="81">
      <x:c r="A81" s="4" t="str">
        <x:v>No</x:v>
      </x:c>
      <x:c r="B81" s="4" t="str">
        <x:v>A</x:v>
      </x:c>
      <x:c r="C81" s="4" t="str">
        <x:v>Whitetail Deer</x:v>
      </x:c>
      <x:c r="D81" s="4" t="str">
        <x:v>DeWitt County Ranch</x:v>
      </x:c>
      <x:c r="E81" s="4" t="str">
        <x:v>Houston / Gulf Coast</x:v>
      </x:c>
      <x:c r="F81" s="4" t="str">
        <x:v>Private Lands - Antlerless/Spike</x:v>
      </x:c>
      <x:c r="G81" s="4" t="str">
        <x:v>Yes</x:v>
      </x:c>
      <x:c r="H81" s="4" t="str">
        <x:v>Yes</x:v>
      </x:c>
      <x:c r="I81" s="24" t="str">
        <x:v>2026-09-01</x:v>
      </x:c>
      <x:c r="J81" s="4" t="str">
        <x:v>See TPWD category page</x:v>
      </x:c>
      <x:c r="K81" s="4" t="n">
        <x:v>10</x:v>
      </x:c>
      <x:c r="L81" s="4"/>
      <x:c r="M81" s="4"/>
      <x:c r="N81" s="4"/>
      <x:c r="O81" s="4"/>
      <x:c r="P81" s="4" t="n">
        <x:v>610</x:v>
      </x:c>
      <x:c r="Q81" s="4" t="str">
        <x:v>Long Haul</x:v>
      </x:c>
      <x:c r="R81" s="4" t="str">
        <x:v>Research before draw; property brochure linked from TPWD</x:v>
      </x:c>
      <x:c r="S81" s="4" t="str">
        <x:v>Low</x:v>
      </x:c>
      <x:c r="T81" s="4" t="str">
        <x:v>No</x:v>
      </x:c>
      <x:c r="U81" s="4" t="str">
        <x:v>Verified in TPWD 2026-2027 statewide deer category catalog.</x:v>
      </x:c>
      <x:c r="V81" s="4" t="str">
        <x:v>https://tpwd.texas.gov/huntwild/hunt/public/public_hunt_drawing/hunt-category-details.phtml?OCat=PLA</x:v>
      </x:c>
      <x:c r="W81" s="4" t="n">
        <x:v>2</x:v>
      </x:c>
      <x:c r="X81" s="4" t="n">
        <x:v>1</x:v>
      </x:c>
      <x:c r="Y81" s="4" t="n">
        <x:v>4</x:v>
      </x:c>
      <x:c r="Z81" s="4" t="n">
        <x:v>3</x:v>
      </x:c>
      <x:c r="AA81" s="4" t="n">
        <x:v>2</x:v>
      </x:c>
      <x:c r="AB81" s="4" t="n">
        <x:v>0</x:v>
      </x:c>
      <x:c r="AC81" s="4" t="n">
        <x:v>2.1</x:v>
      </x:c>
      <x:c r="AD81" s="4"/>
      <x:c r="AE81" s="4" t="str">
        <x:v>2026-09-01</x:v>
      </x:c>
      <x:c r="AF81" s="2"/>
      <x:c r="AG81" s="2"/>
      <x:c r="AH81" s="2"/>
      <x:c r="AI81" s="2"/>
      <x:c r="AJ81" s="2"/>
      <x:c r="AK81" s="2"/>
      <x:c r="AL81" s="2"/>
      <x:c r="AM81" s="2" t="str">
        <x:v>https://tpwd.texas.gov/huntwild/hunt/public/public_hunt_drawing/hunt-category-details.phtml?OCat=PLA</x:v>
      </x:c>
      <x:c r="AN81" s="2" t="str">
        <x:v>https://tpwd.texas.gov/search/?q=DeWitt+County+Ranch+public+hunting+brochure</x:v>
      </x:c>
      <x:c r="AO81" s="2" t="str">
        <x:v>https://apps.tpwd.state.tx.us/huntwild/hunt/public/public_hunt_drawing/</x:v>
      </x:c>
      <x:c r="AP81" s="2" t="str">
        <x:v>https://www.google.com/maps/search/?api=1&amp;query=DeWitt+County+Ranch%2C+Texas</x:v>
      </x:c>
      <x:c r="AQ81" s="2" t="n">
        <x:v>0</x:v>
      </x:c>
      <x:c r="AR81" s="2" t="str">
        <x:v>Standard Hastings ranking</x:v>
      </x:c>
    </x:row>
    <x:row r="82">
      <x:c r="A82" s="4" t="str">
        <x:v>No</x:v>
      </x:c>
      <x:c r="B82" s="4" t="str">
        <x:v>A</x:v>
      </x:c>
      <x:c r="C82" s="4" t="str">
        <x:v>Whitetail Deer</x:v>
      </x:c>
      <x:c r="D82" s="4" t="str">
        <x:v>DeWitt County Ranch</x:v>
      </x:c>
      <x:c r="E82" s="4" t="str">
        <x:v>Houston / Gulf Coast</x:v>
      </x:c>
      <x:c r="F82" s="4" t="str">
        <x:v>Private Lands - Either Sex</x:v>
      </x:c>
      <x:c r="G82" s="4" t="str">
        <x:v>Yes</x:v>
      </x:c>
      <x:c r="H82" s="4" t="str">
        <x:v>Yes</x:v>
      </x:c>
      <x:c r="I82" s="24" t="str">
        <x:v>2026-09-01</x:v>
      </x:c>
      <x:c r="J82" s="4" t="str">
        <x:v>See TPWD category page</x:v>
      </x:c>
      <x:c r="K82" s="4" t="n">
        <x:v>10</x:v>
      </x:c>
      <x:c r="L82" s="4"/>
      <x:c r="M82" s="4"/>
      <x:c r="N82" s="4"/>
      <x:c r="O82" s="4"/>
      <x:c r="P82" s="4" t="n">
        <x:v>610</x:v>
      </x:c>
      <x:c r="Q82" s="4" t="str">
        <x:v>Long Haul</x:v>
      </x:c>
      <x:c r="R82" s="4" t="str">
        <x:v>Research before draw; property brochure linked from TPWD</x:v>
      </x:c>
      <x:c r="S82" s="4" t="str">
        <x:v>Low</x:v>
      </x:c>
      <x:c r="T82" s="4" t="str">
        <x:v>No</x:v>
      </x:c>
      <x:c r="U82" s="4" t="str">
        <x:v>Verified in TPWD 2026-2027 statewide deer category catalog.</x:v>
      </x:c>
      <x:c r="V82" s="4" t="str">
        <x:v>https://tpwd.texas.gov/huntwild/hunt/public/public_hunt_drawing/hunt-category-details.phtml?OCat=PLE</x:v>
      </x:c>
      <x:c r="W82" s="4" t="n">
        <x:v>2</x:v>
      </x:c>
      <x:c r="X82" s="4" t="n">
        <x:v>1</x:v>
      </x:c>
      <x:c r="Y82" s="4" t="n">
        <x:v>4</x:v>
      </x:c>
      <x:c r="Z82" s="4" t="n">
        <x:v>3</x:v>
      </x:c>
      <x:c r="AA82" s="4" t="n">
        <x:v>2</x:v>
      </x:c>
      <x:c r="AB82" s="4" t="n">
        <x:v>0</x:v>
      </x:c>
      <x:c r="AC82" s="4" t="n">
        <x:v>2.1</x:v>
      </x:c>
      <x:c r="AD82" s="4"/>
      <x:c r="AE82" s="4" t="str">
        <x:v>2026-09-01</x:v>
      </x:c>
      <x:c r="AF82" s="2"/>
      <x:c r="AG82" s="2"/>
      <x:c r="AH82" s="2"/>
      <x:c r="AI82" s="2"/>
      <x:c r="AJ82" s="2"/>
      <x:c r="AK82" s="2"/>
      <x:c r="AL82" s="2"/>
      <x:c r="AM82" s="2" t="str">
        <x:v>https://tpwd.texas.gov/huntwild/hunt/public/public_hunt_drawing/hunt-category-details.phtml?OCat=PLE</x:v>
      </x:c>
      <x:c r="AN82" s="2" t="str">
        <x:v>https://tpwd.texas.gov/search/?q=DeWitt+County+Ranch+public+hunting+brochure</x:v>
      </x:c>
      <x:c r="AO82" s="2" t="str">
        <x:v>https://apps.tpwd.state.tx.us/huntwild/hunt/public/public_hunt_drawing/</x:v>
      </x:c>
      <x:c r="AP82" s="2" t="str">
        <x:v>https://www.google.com/maps/search/?api=1&amp;query=DeWitt+County+Ranch%2C+Texas</x:v>
      </x:c>
      <x:c r="AQ82" s="2" t="n">
        <x:v>0</x:v>
      </x:c>
      <x:c r="AR82" s="2" t="str">
        <x:v>Standard Hastings ranking</x:v>
      </x:c>
    </x:row>
    <x:row r="83">
      <x:c r="A83" s="4" t="str">
        <x:v>No</x:v>
      </x:c>
      <x:c r="B83" s="4" t="str">
        <x:v>B</x:v>
      </x:c>
      <x:c r="C83" s="4" t="str">
        <x:v>Whitetail Deer</x:v>
      </x:c>
      <x:c r="D83" s="4" t="str">
        <x:v>Granger PHL</x:v>
      </x:c>
      <x:c r="E83" s="4" t="str">
        <x:v>Central Texas / Austin</x:v>
      </x:c>
      <x:c r="F83" s="4" t="str">
        <x:v>E-Postcard Archery Deer</x:v>
      </x:c>
      <x:c r="G83" s="4" t="str">
        <x:v>Yes</x:v>
      </x:c>
      <x:c r="H83" s="4" t="str">
        <x:v>Yes</x:v>
      </x:c>
      <x:c r="I83" s="24" t="str">
        <x:v>2026-09-01</x:v>
      </x:c>
      <x:c r="J83" s="4" t="str">
        <x:v>See TPWD category page</x:v>
      </x:c>
      <x:c r="K83" s="4" t="n">
        <x:v>0</x:v>
      </x:c>
      <x:c r="L83" s="4" t="n">
        <x:v>0</x:v>
      </x:c>
      <x:c r="M83" s="4"/>
      <x:c r="N83" s="4"/>
      <x:c r="O83" s="4"/>
      <x:c r="P83" s="4" t="n">
        <x:v>490</x:v>
      </x:c>
      <x:c r="Q83" s="4" t="str">
        <x:v>Statewide</x:v>
      </x:c>
      <x:c r="R83" s="4" t="str">
        <x:v>Research before draw; property brochure linked from TPWD</x:v>
      </x:c>
      <x:c r="S83" s="4" t="str">
        <x:v>Low</x:v>
      </x:c>
      <x:c r="T83" s="4" t="str">
        <x:v>No</x:v>
      </x:c>
      <x:c r="U83" s="4" t="str">
        <x:v>Verified in TPWD 2026-2027 statewide deer category catalog. APH/eligibility rules apply; confirm account and permit requirements. V5 preference rule: Lower priority: archery whitetail is more than 200 miles from Amarillo.</x:v>
      </x:c>
      <x:c r="V83" s="4" t="str">
        <x:v>https://tpwd.texas.gov/huntwild/hunt/public/public_hunt_drawing/hunt-category-details.phtml?OCat=EAD</x:v>
      </x:c>
      <x:c r="W83" s="4" t="n">
        <x:v>2</x:v>
      </x:c>
      <x:c r="X83" s="4" t="n">
        <x:v>2</x:v>
      </x:c>
      <x:c r="Y83" s="4" t="n">
        <x:v>4</x:v>
      </x:c>
      <x:c r="Z83" s="4" t="n">
        <x:v>3</x:v>
      </x:c>
      <x:c r="AA83" s="4" t="n">
        <x:v>2</x:v>
      </x:c>
      <x:c r="AB83" s="4" t="n">
        <x:v>0</x:v>
      </x:c>
      <x:c r="AC83" s="4" t="n">
        <x:v>1.3</x:v>
      </x:c>
      <x:c r="AD83" s="4" t="n">
        <x:v>0</x:v>
      </x:c>
      <x:c r="AE83" s="4" t="str">
        <x:v>2026-09-01</x:v>
      </x:c>
      <x:c r="AF83" s="2"/>
      <x:c r="AG83" s="2"/>
      <x:c r="AH83" s="2"/>
      <x:c r="AI83" s="2"/>
      <x:c r="AJ83" s="2"/>
      <x:c r="AK83" s="2"/>
      <x:c r="AL83" s="2"/>
      <x:c r="AM83" s="2" t="str">
        <x:v>https://tpwd.texas.gov/huntwild/hunt/public/public_hunt_drawing/hunt-category-details.phtml?OCat=EAD</x:v>
      </x:c>
      <x:c r="AN83" s="2" t="str">
        <x:v>https://tpwd.texas.gov/search/?q=Granger+PHL+public+hunting+brochure</x:v>
      </x:c>
      <x:c r="AO83" s="2" t="str">
        <x:v>https://apps.tpwd.state.tx.us/huntwild/hunt/public/public_hunt_drawing/</x:v>
      </x:c>
      <x:c r="AP83" s="2" t="str">
        <x:v>https://www.google.com/maps/search/?api=1&amp;query=Granger+PHL%2C+Texas</x:v>
      </x:c>
      <x:c r="AQ83" s="2" t="n">
        <x:v>-1</x:v>
      </x:c>
      <x:c r="AR83" s="2" t="str">
        <x:v>Lower priority: archery whitetail is more than 200 miles from Amarillo</x:v>
      </x:c>
    </x:row>
    <x:row r="84">
      <x:c r="A84" s="4" t="str">
        <x:v>No</x:v>
      </x:c>
      <x:c r="B84" s="4" t="str">
        <x:v>B</x:v>
      </x:c>
      <x:c r="C84" s="4" t="str">
        <x:v>Whitetail Deer</x:v>
      </x:c>
      <x:c r="D84" s="4" t="str">
        <x:v>Hagerman NWR</x:v>
      </x:c>
      <x:c r="E84" s="4" t="str">
        <x:v>North Texas / DFW</x:v>
      </x:c>
      <x:c r="F84" s="4" t="str">
        <x:v>National Refuge Archery Deer</x:v>
      </x:c>
      <x:c r="G84" s="4" t="str">
        <x:v>Yes</x:v>
      </x:c>
      <x:c r="H84" s="4" t="str">
        <x:v>Yes</x:v>
      </x:c>
      <x:c r="I84" s="24" t="str">
        <x:v>2026-09-01</x:v>
      </x:c>
      <x:c r="J84" s="4" t="str">
        <x:v>See TPWD category page</x:v>
      </x:c>
      <x:c r="K84" s="4" t="n">
        <x:v>3</x:v>
      </x:c>
      <x:c r="L84" s="4"/>
      <x:c r="M84" s="4"/>
      <x:c r="N84" s="4"/>
      <x:c r="O84" s="4"/>
      <x:c r="P84" s="4" t="n">
        <x:v>360</x:v>
      </x:c>
      <x:c r="Q84" s="4" t="str">
        <x:v>Extended</x:v>
      </x:c>
      <x:c r="R84" s="4" t="str">
        <x:v>Research before draw; property brochure linked from TPWD</x:v>
      </x:c>
      <x:c r="S84" s="4" t="str">
        <x:v>Low</x:v>
      </x:c>
      <x:c r="T84" s="4" t="str">
        <x:v>No</x:v>
      </x:c>
      <x:c r="U84" s="4" t="str">
        <x:v>Verified in TPWD 2026-2027 statewide deer category catalog. Refuge-specific rules and permit fees may apply. V5 preference rule: Lower priority: archery whitetail is more than 200 miles from Amarillo.</x:v>
      </x:c>
      <x:c r="V84" s="4" t="str">
        <x:v>https://tpwd.texas.gov/huntwild/hunt/public/public_hunt_drawing/hunt-category-details.phtml?OCat=NAD</x:v>
      </x:c>
      <x:c r="W84" s="4" t="n">
        <x:v>2</x:v>
      </x:c>
      <x:c r="X84" s="4" t="n">
        <x:v>3</x:v>
      </x:c>
      <x:c r="Y84" s="4" t="n">
        <x:v>4</x:v>
      </x:c>
      <x:c r="Z84" s="4" t="n">
        <x:v>3</x:v>
      </x:c>
      <x:c r="AA84" s="4" t="n">
        <x:v>2</x:v>
      </x:c>
      <x:c r="AB84" s="4" t="n">
        <x:v>0</x:v>
      </x:c>
      <x:c r="AC84" s="4" t="n">
        <x:v>1.5</x:v>
      </x:c>
      <x:c r="AD84" s="4"/>
      <x:c r="AE84" s="4" t="str">
        <x:v>2026-09-01</x:v>
      </x:c>
      <x:c r="AF84" s="2"/>
      <x:c r="AG84" s="2"/>
      <x:c r="AH84" s="2"/>
      <x:c r="AI84" s="2"/>
      <x:c r="AJ84" s="2"/>
      <x:c r="AK84" s="2"/>
      <x:c r="AL84" s="2"/>
      <x:c r="AM84" s="2" t="str">
        <x:v>https://tpwd.texas.gov/huntwild/hunt/public/public_hunt_drawing/hunt-category-details.phtml?OCat=NAD</x:v>
      </x:c>
      <x:c r="AN84" s="2" t="str">
        <x:v>https://tpwd.texas.gov/search/?q=Hagerman+NWR+public+hunting+brochure</x:v>
      </x:c>
      <x:c r="AO84" s="2" t="str">
        <x:v>https://apps.tpwd.state.tx.us/huntwild/hunt/public/public_hunt_drawing/</x:v>
      </x:c>
      <x:c r="AP84" s="2" t="str">
        <x:v>https://www.google.com/maps/search/?api=1&amp;query=Hagerman+NWR%2C+Texas</x:v>
      </x:c>
      <x:c r="AQ84" s="2" t="n">
        <x:v>-1</x:v>
      </x:c>
      <x:c r="AR84" s="2" t="str">
        <x:v>Lower priority: archery whitetail is more than 200 miles from Amarillo</x:v>
      </x:c>
    </x:row>
    <x:row r="85">
      <x:c r="A85" s="4" t="str">
        <x:v>No</x:v>
      </x:c>
      <x:c r="B85" s="4" t="str">
        <x:v>B</x:v>
      </x:c>
      <x:c r="C85" s="4" t="str">
        <x:v>Whitetail Deer</x:v>
      </x:c>
      <x:c r="D85" s="4" t="str">
        <x:v>Keechi Creek WMA</x:v>
      </x:c>
      <x:c r="E85" s="4" t="str">
        <x:v>Statewide / Other</x:v>
      </x:c>
      <x:c r="F85" s="4" t="str">
        <x:v>E-Postcard Archery Deer</x:v>
      </x:c>
      <x:c r="G85" s="4" t="str">
        <x:v>Yes</x:v>
      </x:c>
      <x:c r="H85" s="4" t="str">
        <x:v>Yes</x:v>
      </x:c>
      <x:c r="I85" s="24" t="str">
        <x:v>2026-09-01</x:v>
      </x:c>
      <x:c r="J85" s="4" t="str">
        <x:v>See TPWD category page</x:v>
      </x:c>
      <x:c r="K85" s="4" t="n">
        <x:v>0</x:v>
      </x:c>
      <x:c r="L85" s="4" t="n">
        <x:v>0</x:v>
      </x:c>
      <x:c r="M85" s="4"/>
      <x:c r="N85" s="4"/>
      <x:c r="O85" s="4"/>
      <x:c r="P85" s="4" t="n">
        <x:v>500</x:v>
      </x:c>
      <x:c r="Q85" s="4" t="str">
        <x:v>Statewide</x:v>
      </x:c>
      <x:c r="R85" s="4" t="str">
        <x:v>Research before draw; property brochure linked from TPWD</x:v>
      </x:c>
      <x:c r="S85" s="4" t="str">
        <x:v>Low</x:v>
      </x:c>
      <x:c r="T85" s="4" t="str">
        <x:v>No</x:v>
      </x:c>
      <x:c r="U85" s="4" t="str">
        <x:v>Verified in TPWD 2026-2027 statewide deer category catalog. APH/eligibility rules apply; confirm account and permit requirements. V5 preference rule: Lower priority: archery whitetail is more than 200 miles from Amarillo.</x:v>
      </x:c>
      <x:c r="V85" s="4" t="str">
        <x:v>https://tpwd.texas.gov/huntwild/hunt/public/public_hunt_drawing/hunt-category-details.phtml?OCat=EAD</x:v>
      </x:c>
      <x:c r="W85" s="4" t="n">
        <x:v>2</x:v>
      </x:c>
      <x:c r="X85" s="4" t="n">
        <x:v>2</x:v>
      </x:c>
      <x:c r="Y85" s="4" t="n">
        <x:v>4</x:v>
      </x:c>
      <x:c r="Z85" s="4" t="n">
        <x:v>3</x:v>
      </x:c>
      <x:c r="AA85" s="4" t="n">
        <x:v>2</x:v>
      </x:c>
      <x:c r="AB85" s="4" t="n">
        <x:v>0</x:v>
      </x:c>
      <x:c r="AC85" s="4" t="n">
        <x:v>1.3</x:v>
      </x:c>
      <x:c r="AD85" s="4" t="n">
        <x:v>0</x:v>
      </x:c>
      <x:c r="AE85" s="4" t="str">
        <x:v>2026-09-01</x:v>
      </x:c>
      <x:c r="AF85" s="2"/>
      <x:c r="AG85" s="2"/>
      <x:c r="AH85" s="2"/>
      <x:c r="AI85" s="2"/>
      <x:c r="AJ85" s="2"/>
      <x:c r="AK85" s="2"/>
      <x:c r="AL85" s="2"/>
      <x:c r="AM85" s="2" t="str">
        <x:v>https://tpwd.texas.gov/huntwild/hunt/public/public_hunt_drawing/hunt-category-details.phtml?OCat=EAD</x:v>
      </x:c>
      <x:c r="AN85" s="2" t="str">
        <x:v>https://tpwd.texas.gov/search/?q=Keechi+Creek+WMA+public+hunting+brochure</x:v>
      </x:c>
      <x:c r="AO85" s="2" t="str">
        <x:v>https://apps.tpwd.state.tx.us/huntwild/hunt/public/public_hunt_drawing/</x:v>
      </x:c>
      <x:c r="AP85" s="2" t="str">
        <x:v>https://www.google.com/maps/search/?api=1&amp;query=Keechi+Creek+WMA%2C+Texas</x:v>
      </x:c>
      <x:c r="AQ85" s="2" t="n">
        <x:v>-1</x:v>
      </x:c>
      <x:c r="AR85" s="2" t="str">
        <x:v>Lower priority: archery whitetail is more than 200 miles from Amarillo</x:v>
      </x:c>
    </x:row>
    <x:row r="86">
      <x:c r="A86" s="4" t="str">
        <x:v>No</x:v>
      </x:c>
      <x:c r="B86" s="4" t="str">
        <x:v>A</x:v>
      </x:c>
      <x:c r="C86" s="4" t="str">
        <x:v>Whitetail Deer</x:v>
      </x:c>
      <x:c r="D86" s="4" t="str">
        <x:v>La Salle County Ranch</x:v>
      </x:c>
      <x:c r="E86" s="4" t="str">
        <x:v>South Texas / Rio Grande Valley</x:v>
      </x:c>
      <x:c r="F86" s="4" t="str">
        <x:v>Private Lands - Either Sex</x:v>
      </x:c>
      <x:c r="G86" s="4" t="str">
        <x:v>Yes</x:v>
      </x:c>
      <x:c r="H86" s="4" t="str">
        <x:v>Yes</x:v>
      </x:c>
      <x:c r="I86" s="24" t="str">
        <x:v>2026-09-01</x:v>
      </x:c>
      <x:c r="J86" s="4" t="str">
        <x:v>See TPWD category page</x:v>
      </x:c>
      <x:c r="K86" s="4" t="n">
        <x:v>10</x:v>
      </x:c>
      <x:c r="L86" s="4"/>
      <x:c r="M86" s="4"/>
      <x:c r="N86" s="4"/>
      <x:c r="O86" s="4"/>
      <x:c r="P86" s="4" t="n">
        <x:v>700</x:v>
      </x:c>
      <x:c r="Q86" s="4" t="str">
        <x:v>Long Haul</x:v>
      </x:c>
      <x:c r="R86" s="4" t="str">
        <x:v>Research before draw; property brochure linked from TPWD</x:v>
      </x:c>
      <x:c r="S86" s="4" t="str">
        <x:v>Low</x:v>
      </x:c>
      <x:c r="T86" s="4" t="str">
        <x:v>No</x:v>
      </x:c>
      <x:c r="U86" s="4" t="str">
        <x:v>Verified in TPWD 2026-2027 statewide deer category catalog.</x:v>
      </x:c>
      <x:c r="V86" s="4" t="str">
        <x:v>https://tpwd.texas.gov/huntwild/hunt/public/public_hunt_drawing/hunt-category-details.phtml?OCat=PLE</x:v>
      </x:c>
      <x:c r="W86" s="4" t="n">
        <x:v>2</x:v>
      </x:c>
      <x:c r="X86" s="4" t="n">
        <x:v>1</x:v>
      </x:c>
      <x:c r="Y86" s="4" t="n">
        <x:v>4</x:v>
      </x:c>
      <x:c r="Z86" s="4" t="n">
        <x:v>3</x:v>
      </x:c>
      <x:c r="AA86" s="4" t="n">
        <x:v>2</x:v>
      </x:c>
      <x:c r="AB86" s="4" t="n">
        <x:v>0</x:v>
      </x:c>
      <x:c r="AC86" s="4" t="n">
        <x:v>2.1</x:v>
      </x:c>
      <x:c r="AD86" s="4"/>
      <x:c r="AE86" s="4" t="str">
        <x:v>2026-09-01</x:v>
      </x:c>
      <x:c r="AF86" s="2"/>
      <x:c r="AG86" s="2"/>
      <x:c r="AH86" s="2"/>
      <x:c r="AI86" s="2"/>
      <x:c r="AJ86" s="2"/>
      <x:c r="AK86" s="2"/>
      <x:c r="AL86" s="2"/>
      <x:c r="AM86" s="2" t="str">
        <x:v>https://tpwd.texas.gov/huntwild/hunt/public/public_hunt_drawing/hunt-category-details.phtml?OCat=PLE</x:v>
      </x:c>
      <x:c r="AN86" s="2" t="str">
        <x:v>https://tpwd.texas.gov/search/?q=La+Salle+County+Ranch+public+hunting+brochure</x:v>
      </x:c>
      <x:c r="AO86" s="2" t="str">
        <x:v>https://apps.tpwd.state.tx.us/huntwild/hunt/public/public_hunt_drawing/</x:v>
      </x:c>
      <x:c r="AP86" s="2" t="str">
        <x:v>https://www.google.com/maps/search/?api=1&amp;query=La+Salle+County+Ranch%2C+Texas</x:v>
      </x:c>
      <x:c r="AQ86" s="2" t="n">
        <x:v>0</x:v>
      </x:c>
      <x:c r="AR86" s="2" t="str">
        <x:v>Standard Hastings ranking</x:v>
      </x:c>
    </x:row>
    <x:row r="87">
      <x:c r="A87" s="4" t="str">
        <x:v>No</x:v>
      </x:c>
      <x:c r="B87" s="4" t="str">
        <x:v>B</x:v>
      </x:c>
      <x:c r="C87" s="4" t="str">
        <x:v>Whitetail Deer</x:v>
      </x:c>
      <x:c r="D87" s="4" t="str">
        <x:v>Laguna Atascosa NWR</x:v>
      </x:c>
      <x:c r="E87" s="4" t="str">
        <x:v>South Texas / Rio Grande Valley</x:v>
      </x:c>
      <x:c r="F87" s="4" t="str">
        <x:v>National Refuge Archery Deer</x:v>
      </x:c>
      <x:c r="G87" s="4" t="str">
        <x:v>Yes</x:v>
      </x:c>
      <x:c r="H87" s="4" t="str">
        <x:v>Yes</x:v>
      </x:c>
      <x:c r="I87" s="24" t="str">
        <x:v>2026-09-01</x:v>
      </x:c>
      <x:c r="J87" s="4" t="str">
        <x:v>See TPWD category page</x:v>
      </x:c>
      <x:c r="K87" s="4" t="n">
        <x:v>3</x:v>
      </x:c>
      <x:c r="L87" s="4"/>
      <x:c r="M87" s="4"/>
      <x:c r="N87" s="4"/>
      <x:c r="O87" s="4"/>
      <x:c r="P87" s="4" t="n">
        <x:v>700</x:v>
      </x:c>
      <x:c r="Q87" s="4" t="str">
        <x:v>Long Haul</x:v>
      </x:c>
      <x:c r="R87" s="4" t="str">
        <x:v>Research before draw; property brochure linked from TPWD</x:v>
      </x:c>
      <x:c r="S87" s="4" t="str">
        <x:v>Low</x:v>
      </x:c>
      <x:c r="T87" s="4" t="str">
        <x:v>No</x:v>
      </x:c>
      <x:c r="U87" s="4" t="str">
        <x:v>Verified in TPWD 2026-2027 statewide deer category catalog. Refuge-specific rules and permit fees may apply. V5 preference rule: Lower priority: archery whitetail is more than 200 miles from Amarillo.</x:v>
      </x:c>
      <x:c r="V87" s="4" t="str">
        <x:v>https://tpwd.texas.gov/huntwild/hunt/public/public_hunt_drawing/hunt-category-details.phtml?OCat=NAD</x:v>
      </x:c>
      <x:c r="W87" s="4" t="n">
        <x:v>2</x:v>
      </x:c>
      <x:c r="X87" s="4" t="n">
        <x:v>1</x:v>
      </x:c>
      <x:c r="Y87" s="4" t="n">
        <x:v>4</x:v>
      </x:c>
      <x:c r="Z87" s="4" t="n">
        <x:v>3</x:v>
      </x:c>
      <x:c r="AA87" s="4" t="n">
        <x:v>2</x:v>
      </x:c>
      <x:c r="AB87" s="4" t="n">
        <x:v>0</x:v>
      </x:c>
      <x:c r="AC87" s="4" t="n">
        <x:v>1.1</x:v>
      </x:c>
      <x:c r="AD87" s="4"/>
      <x:c r="AE87" s="4" t="str">
        <x:v>2026-09-01</x:v>
      </x:c>
      <x:c r="AF87" s="2"/>
      <x:c r="AG87" s="2"/>
      <x:c r="AH87" s="2"/>
      <x:c r="AI87" s="2"/>
      <x:c r="AJ87" s="2"/>
      <x:c r="AK87" s="2"/>
      <x:c r="AL87" s="2"/>
      <x:c r="AM87" s="2" t="str">
        <x:v>https://tpwd.texas.gov/huntwild/hunt/public/public_hunt_drawing/hunt-category-details.phtml?OCat=NAD</x:v>
      </x:c>
      <x:c r="AN87" s="2" t="str">
        <x:v>https://tpwd.texas.gov/search/?q=Laguna+Atascosa+NWR+public+hunting+brochure</x:v>
      </x:c>
      <x:c r="AO87" s="2" t="str">
        <x:v>https://apps.tpwd.state.tx.us/huntwild/hunt/public/public_hunt_drawing/</x:v>
      </x:c>
      <x:c r="AP87" s="2" t="str">
        <x:v>https://www.google.com/maps/search/?api=1&amp;query=Laguna+Atascosa+NWR%2C+Texas</x:v>
      </x:c>
      <x:c r="AQ87" s="2" t="n">
        <x:v>-1</x:v>
      </x:c>
      <x:c r="AR87" s="2" t="str">
        <x:v>Lower priority: archery whitetail is more than 200 miles from Amarillo</x:v>
      </x:c>
    </x:row>
    <x:row r="88">
      <x:c r="A88" s="4" t="str">
        <x:v>No</x:v>
      </x:c>
      <x:c r="B88" s="4" t="str">
        <x:v>B</x:v>
      </x:c>
      <x:c r="C88" s="4" t="str">
        <x:v>Whitetail Deer</x:v>
      </x:c>
      <x:c r="D88" s="4" t="str">
        <x:v>Lake Somerville SP - Nails Creek Unit</x:v>
      </x:c>
      <x:c r="E88" s="4" t="str">
        <x:v>Central Texas / Austin</x:v>
      </x:c>
      <x:c r="F88" s="4" t="str">
        <x:v>E-Postcard Archery Deer</x:v>
      </x:c>
      <x:c r="G88" s="4" t="str">
        <x:v>Yes</x:v>
      </x:c>
      <x:c r="H88" s="4" t="str">
        <x:v>Yes</x:v>
      </x:c>
      <x:c r="I88" s="24" t="str">
        <x:v>2026-09-01</x:v>
      </x:c>
      <x:c r="J88" s="4" t="str">
        <x:v>See TPWD category page</x:v>
      </x:c>
      <x:c r="K88" s="4" t="n">
        <x:v>0</x:v>
      </x:c>
      <x:c r="L88" s="4" t="n">
        <x:v>0</x:v>
      </x:c>
      <x:c r="M88" s="4"/>
      <x:c r="N88" s="4"/>
      <x:c r="O88" s="4"/>
      <x:c r="P88" s="4" t="n">
        <x:v>490</x:v>
      </x:c>
      <x:c r="Q88" s="4" t="str">
        <x:v>Statewide</x:v>
      </x:c>
      <x:c r="R88" s="4" t="str">
        <x:v>Research before draw; property brochure linked from TPWD</x:v>
      </x:c>
      <x:c r="S88" s="4" t="str">
        <x:v>Low</x:v>
      </x:c>
      <x:c r="T88" s="4" t="str">
        <x:v>No</x:v>
      </x:c>
      <x:c r="U88" s="4" t="str">
        <x:v>Verified in TPWD 2026-2027 statewide deer category catalog. APH/eligibility rules apply; confirm account and permit requirements. V5 preference rule: Lower priority: archery whitetail is more than 200 miles from Amarillo.</x:v>
      </x:c>
      <x:c r="V88" s="4" t="str">
        <x:v>https://tpwd.texas.gov/huntwild/hunt/public/public_hunt_drawing/hunt-category-details.phtml?OCat=EAD</x:v>
      </x:c>
      <x:c r="W88" s="4" t="n">
        <x:v>2</x:v>
      </x:c>
      <x:c r="X88" s="4" t="n">
        <x:v>2</x:v>
      </x:c>
      <x:c r="Y88" s="4" t="n">
        <x:v>4</x:v>
      </x:c>
      <x:c r="Z88" s="4" t="n">
        <x:v>3</x:v>
      </x:c>
      <x:c r="AA88" s="4" t="n">
        <x:v>2</x:v>
      </x:c>
      <x:c r="AB88" s="4" t="n">
        <x:v>0</x:v>
      </x:c>
      <x:c r="AC88" s="4" t="n">
        <x:v>1.3</x:v>
      </x:c>
      <x:c r="AD88" s="4" t="n">
        <x:v>0</x:v>
      </x:c>
      <x:c r="AE88" s="4" t="str">
        <x:v>2026-09-01</x:v>
      </x:c>
      <x:c r="AF88" s="2"/>
      <x:c r="AG88" s="2"/>
      <x:c r="AH88" s="2"/>
      <x:c r="AI88" s="2"/>
      <x:c r="AJ88" s="2"/>
      <x:c r="AK88" s="2"/>
      <x:c r="AL88" s="2"/>
      <x:c r="AM88" s="2" t="str">
        <x:v>https://tpwd.texas.gov/huntwild/hunt/public/public_hunt_drawing/hunt-category-details.phtml?OCat=EAD</x:v>
      </x:c>
      <x:c r="AN88" s="2" t="str">
        <x:v>https://tpwd.texas.gov/search/?q=Lake+Somerville+SP+-+Nails+Creek+Unit+public+hunting+brochure</x:v>
      </x:c>
      <x:c r="AO88" s="2" t="str">
        <x:v>https://apps.tpwd.state.tx.us/huntwild/hunt/public/public_hunt_drawing/</x:v>
      </x:c>
      <x:c r="AP88" s="2" t="str">
        <x:v>https://www.google.com/maps/search/?api=1&amp;query=Lake+Somerville+SP+-+Nails+Creek+Unit%2C+Texas</x:v>
      </x:c>
      <x:c r="AQ88" s="2" t="n">
        <x:v>-1</x:v>
      </x:c>
      <x:c r="AR88" s="2" t="str">
        <x:v>Lower priority: archery whitetail is more than 200 miles from Amarillo</x:v>
      </x:c>
    </x:row>
    <x:row r="89">
      <x:c r="A89" s="4" t="str">
        <x:v>No</x:v>
      </x:c>
      <x:c r="B89" s="4" t="str">
        <x:v>A</x:v>
      </x:c>
      <x:c r="C89" s="4" t="str">
        <x:v>Whitetail Deer</x:v>
      </x:c>
      <x:c r="D89" s="4" t="str">
        <x:v>Lipscomb County Ranch</x:v>
      </x:c>
      <x:c r="E89" s="4" t="str">
        <x:v>Panhandle / Rolling Plains</x:v>
      </x:c>
      <x:c r="F89" s="4" t="str">
        <x:v>Private Lands - Either Sex</x:v>
      </x:c>
      <x:c r="G89" s="4" t="str">
        <x:v>Yes</x:v>
      </x:c>
      <x:c r="H89" s="4" t="str">
        <x:v>Yes</x:v>
      </x:c>
      <x:c r="I89" s="24" t="str">
        <x:v>2026-09-01</x:v>
      </x:c>
      <x:c r="J89" s="4" t="str">
        <x:v>See TPWD category page</x:v>
      </x:c>
      <x:c r="K89" s="4" t="n">
        <x:v>10</x:v>
      </x:c>
      <x:c r="L89" s="4"/>
      <x:c r="M89" s="4"/>
      <x:c r="N89" s="4"/>
      <x:c r="O89" s="4"/>
      <x:c r="P89" s="4" t="n">
        <x:v>130</x:v>
      </x:c>
      <x:c r="Q89" s="4" t="str">
        <x:v>Core</x:v>
      </x:c>
      <x:c r="R89" s="4" t="str">
        <x:v>Research before draw; property brochure linked from TPWD</x:v>
      </x:c>
      <x:c r="S89" s="4" t="str">
        <x:v>High</x:v>
      </x:c>
      <x:c r="T89" s="4" t="str">
        <x:v>No</x:v>
      </x:c>
      <x:c r="U89" s="4" t="str">
        <x:v>Verified in TPWD 2026-2027 statewide deer category catalog.</x:v>
      </x:c>
      <x:c r="V89" s="4" t="str">
        <x:v>https://tpwd.texas.gov/huntwild/hunt/public/public_hunt_drawing/hunt-category-details.phtml?OCat=PLE</x:v>
      </x:c>
      <x:c r="W89" s="4" t="n">
        <x:v>2</x:v>
      </x:c>
      <x:c r="X89" s="4" t="n">
        <x:v>5</x:v>
      </x:c>
      <x:c r="Y89" s="4" t="n">
        <x:v>4</x:v>
      </x:c>
      <x:c r="Z89" s="4" t="n">
        <x:v>3</x:v>
      </x:c>
      <x:c r="AA89" s="4" t="n">
        <x:v>4</x:v>
      </x:c>
      <x:c r="AB89" s="4" t="n">
        <x:v>0</x:v>
      </x:c>
      <x:c r="AC89" s="4" t="n">
        <x:v>2.9</x:v>
      </x:c>
      <x:c r="AD89" s="4"/>
      <x:c r="AE89" s="4" t="str">
        <x:v>2026-09-01</x:v>
      </x:c>
      <x:c r="AF89" s="2"/>
      <x:c r="AG89" s="2"/>
      <x:c r="AH89" s="2"/>
      <x:c r="AI89" s="2"/>
      <x:c r="AJ89" s="2"/>
      <x:c r="AK89" s="2"/>
      <x:c r="AL89" s="2"/>
      <x:c r="AM89" s="2" t="str">
        <x:v>https://tpwd.texas.gov/huntwild/hunt/public/public_hunt_drawing/hunt-category-details.phtml?OCat=PLE</x:v>
      </x:c>
      <x:c r="AN89" s="2" t="str">
        <x:v>https://tpwd.texas.gov/search/?q=Lipscomb+County+Ranch+public+hunting+brochure</x:v>
      </x:c>
      <x:c r="AO89" s="2" t="str">
        <x:v>https://apps.tpwd.state.tx.us/huntwild/hunt/public/public_hunt_drawing/</x:v>
      </x:c>
      <x:c r="AP89" s="2" t="str">
        <x:v>https://www.google.com/maps/search/?api=1&amp;query=Lipscomb+County+Ranch%2C+Texas</x:v>
      </x:c>
      <x:c r="AQ89" s="2" t="n">
        <x:v>0</x:v>
      </x:c>
      <x:c r="AR89" s="2" t="str">
        <x:v>Standard Hastings ranking</x:v>
      </x:c>
    </x:row>
    <x:row r="90">
      <x:c r="A90" s="4" t="str">
        <x:v>No</x:v>
      </x:c>
      <x:c r="B90" s="4" t="str">
        <x:v>B</x:v>
      </x:c>
      <x:c r="C90" s="4" t="str">
        <x:v>Whitetail Deer</x:v>
      </x:c>
      <x:c r="D90" s="4" t="str">
        <x:v>Lower Rio Grande NWR - Schaleben</x:v>
      </x:c>
      <x:c r="E90" s="4" t="str">
        <x:v>South Texas / Rio Grande Valley</x:v>
      </x:c>
      <x:c r="F90" s="4" t="str">
        <x:v>National Refuge Archery Deer</x:v>
      </x:c>
      <x:c r="G90" s="4" t="str">
        <x:v>Yes</x:v>
      </x:c>
      <x:c r="H90" s="4" t="str">
        <x:v>Yes</x:v>
      </x:c>
      <x:c r="I90" s="24" t="str">
        <x:v>2026-09-01</x:v>
      </x:c>
      <x:c r="J90" s="4" t="str">
        <x:v>See TPWD category page</x:v>
      </x:c>
      <x:c r="K90" s="4" t="n">
        <x:v>3</x:v>
      </x:c>
      <x:c r="L90" s="4"/>
      <x:c r="M90" s="4"/>
      <x:c r="N90" s="4"/>
      <x:c r="O90" s="4"/>
      <x:c r="P90" s="4" t="n">
        <x:v>700</x:v>
      </x:c>
      <x:c r="Q90" s="4" t="str">
        <x:v>Long Haul</x:v>
      </x:c>
      <x:c r="R90" s="4" t="str">
        <x:v>Research before draw; property brochure linked from TPWD</x:v>
      </x:c>
      <x:c r="S90" s="4" t="str">
        <x:v>Low</x:v>
      </x:c>
      <x:c r="T90" s="4" t="str">
        <x:v>No</x:v>
      </x:c>
      <x:c r="U90" s="4" t="str">
        <x:v>Verified in TPWD 2026-2027 statewide deer category catalog. Refuge-specific rules and permit fees may apply. V5 preference rule: Lower priority: archery whitetail is more than 200 miles from Amarillo.</x:v>
      </x:c>
      <x:c r="V90" s="4" t="str">
        <x:v>https://tpwd.texas.gov/huntwild/hunt/public/public_hunt_drawing/hunt-category-details.phtml?OCat=NAD</x:v>
      </x:c>
      <x:c r="W90" s="4" t="n">
        <x:v>2</x:v>
      </x:c>
      <x:c r="X90" s="4" t="n">
        <x:v>1</x:v>
      </x:c>
      <x:c r="Y90" s="4" t="n">
        <x:v>4</x:v>
      </x:c>
      <x:c r="Z90" s="4" t="n">
        <x:v>3</x:v>
      </x:c>
      <x:c r="AA90" s="4" t="n">
        <x:v>2</x:v>
      </x:c>
      <x:c r="AB90" s="4" t="n">
        <x:v>0</x:v>
      </x:c>
      <x:c r="AC90" s="4" t="n">
        <x:v>1.1</x:v>
      </x:c>
      <x:c r="AD90" s="4"/>
      <x:c r="AE90" s="4" t="str">
        <x:v>2026-09-01</x:v>
      </x:c>
      <x:c r="AF90" s="2"/>
      <x:c r="AG90" s="2"/>
      <x:c r="AH90" s="2"/>
      <x:c r="AI90" s="2"/>
      <x:c r="AJ90" s="2"/>
      <x:c r="AK90" s="2"/>
      <x:c r="AL90" s="2"/>
      <x:c r="AM90" s="2" t="str">
        <x:v>https://tpwd.texas.gov/huntwild/hunt/public/public_hunt_drawing/hunt-category-details.phtml?OCat=NAD</x:v>
      </x:c>
      <x:c r="AN90" s="2" t="str">
        <x:v>https://tpwd.texas.gov/search/?q=Lower+Rio+Grande+NWR+-+Schaleben+public+hunting+brochure</x:v>
      </x:c>
      <x:c r="AO90" s="2" t="str">
        <x:v>https://apps.tpwd.state.tx.us/huntwild/hunt/public/public_hunt_drawing/</x:v>
      </x:c>
      <x:c r="AP90" s="2" t="str">
        <x:v>https://www.google.com/maps/search/?api=1&amp;query=Lower+Rio+Grande+NWR+-+Schaleben%2C+Texas</x:v>
      </x:c>
      <x:c r="AQ90" s="2" t="n">
        <x:v>-1</x:v>
      </x:c>
      <x:c r="AR90" s="2" t="str">
        <x:v>Lower priority: archery whitetail is more than 200 miles from Amarillo</x:v>
      </x:c>
    </x:row>
    <x:row r="91">
      <x:c r="A91" s="4" t="str">
        <x:v>No</x:v>
      </x:c>
      <x:c r="B91" s="4" t="str">
        <x:v>B</x:v>
      </x:c>
      <x:c r="C91" s="4" t="str">
        <x:v>Whitetail Deer</x:v>
      </x:c>
      <x:c r="D91" s="4" t="str">
        <x:v>Lower Rio Grande Valley NWR - Teniente</x:v>
      </x:c>
      <x:c r="E91" s="4" t="str">
        <x:v>South Texas / Rio Grande Valley</x:v>
      </x:c>
      <x:c r="F91" s="4" t="str">
        <x:v>National Refuge Archery Deer</x:v>
      </x:c>
      <x:c r="G91" s="4" t="str">
        <x:v>Yes</x:v>
      </x:c>
      <x:c r="H91" s="4" t="str">
        <x:v>Yes</x:v>
      </x:c>
      <x:c r="I91" s="24" t="str">
        <x:v>2026-09-01</x:v>
      </x:c>
      <x:c r="J91" s="4" t="str">
        <x:v>See TPWD category page</x:v>
      </x:c>
      <x:c r="K91" s="4" t="n">
        <x:v>3</x:v>
      </x:c>
      <x:c r="L91" s="4"/>
      <x:c r="M91" s="4"/>
      <x:c r="N91" s="4"/>
      <x:c r="O91" s="4"/>
      <x:c r="P91" s="4" t="n">
        <x:v>700</x:v>
      </x:c>
      <x:c r="Q91" s="4" t="str">
        <x:v>Long Haul</x:v>
      </x:c>
      <x:c r="R91" s="4" t="str">
        <x:v>Research before draw; property brochure linked from TPWD</x:v>
      </x:c>
      <x:c r="S91" s="4" t="str">
        <x:v>Low</x:v>
      </x:c>
      <x:c r="T91" s="4" t="str">
        <x:v>No</x:v>
      </x:c>
      <x:c r="U91" s="4" t="str">
        <x:v>Verified in TPWD 2026-2027 statewide deer category catalog. Refuge-specific rules and permit fees may apply. V5 preference rule: Lower priority: archery whitetail is more than 200 miles from Amarillo.</x:v>
      </x:c>
      <x:c r="V91" s="4" t="str">
        <x:v>https://tpwd.texas.gov/huntwild/hunt/public/public_hunt_drawing/hunt-category-details.phtml?OCat=NAD</x:v>
      </x:c>
      <x:c r="W91" s="4" t="n">
        <x:v>2</x:v>
      </x:c>
      <x:c r="X91" s="4" t="n">
        <x:v>1</x:v>
      </x:c>
      <x:c r="Y91" s="4" t="n">
        <x:v>4</x:v>
      </x:c>
      <x:c r="Z91" s="4" t="n">
        <x:v>3</x:v>
      </x:c>
      <x:c r="AA91" s="4" t="n">
        <x:v>2</x:v>
      </x:c>
      <x:c r="AB91" s="4" t="n">
        <x:v>0</x:v>
      </x:c>
      <x:c r="AC91" s="4" t="n">
        <x:v>1.1</x:v>
      </x:c>
      <x:c r="AD91" s="4"/>
      <x:c r="AE91" s="4" t="str">
        <x:v>2026-09-01</x:v>
      </x:c>
      <x:c r="AF91" s="2"/>
      <x:c r="AG91" s="2"/>
      <x:c r="AH91" s="2"/>
      <x:c r="AI91" s="2"/>
      <x:c r="AJ91" s="2"/>
      <x:c r="AK91" s="2"/>
      <x:c r="AL91" s="2"/>
      <x:c r="AM91" s="2" t="str">
        <x:v>https://tpwd.texas.gov/huntwild/hunt/public/public_hunt_drawing/hunt-category-details.phtml?OCat=NAD</x:v>
      </x:c>
      <x:c r="AN91" s="2" t="str">
        <x:v>https://tpwd.texas.gov/search/?q=Lower+Rio+Grande+Valley+NWR+-+Teniente+public+hunting+brochure</x:v>
      </x:c>
      <x:c r="AO91" s="2" t="str">
        <x:v>https://apps.tpwd.state.tx.us/huntwild/hunt/public/public_hunt_drawing/</x:v>
      </x:c>
      <x:c r="AP91" s="2" t="str">
        <x:v>https://www.google.com/maps/search/?api=1&amp;query=Lower+Rio+Grande+Valley+NWR+-+Teniente%2C+Texas</x:v>
      </x:c>
      <x:c r="AQ91" s="2" t="n">
        <x:v>-1</x:v>
      </x:c>
      <x:c r="AR91" s="2" t="str">
        <x:v>Lower priority: archery whitetail is more than 200 miles from Amarillo</x:v>
      </x:c>
    </x:row>
    <x:row r="92">
      <x:c r="A92" s="4" t="str">
        <x:v>No</x:v>
      </x:c>
      <x:c r="B92" s="4" t="str">
        <x:v>A</x:v>
      </x:c>
      <x:c r="C92" s="4" t="str">
        <x:v>Whitetail Deer</x:v>
      </x:c>
      <x:c r="D92" s="4" t="str">
        <x:v>Muleshoe NWR</x:v>
      </x:c>
      <x:c r="E92" s="4" t="str">
        <x:v>Panhandle / Rolling Plains</x:v>
      </x:c>
      <x:c r="F92" s="4" t="str">
        <x:v>National Refuge Archery Deer</x:v>
      </x:c>
      <x:c r="G92" s="4" t="str">
        <x:v>Yes</x:v>
      </x:c>
      <x:c r="H92" s="4" t="str">
        <x:v>Yes</x:v>
      </x:c>
      <x:c r="I92" s="24" t="str">
        <x:v>2026-09-01</x:v>
      </x:c>
      <x:c r="J92" s="4" t="str">
        <x:v>See TPWD category page</x:v>
      </x:c>
      <x:c r="K92" s="4" t="n">
        <x:v>3</x:v>
      </x:c>
      <x:c r="L92" s="4"/>
      <x:c r="M92" s="4"/>
      <x:c r="N92" s="4"/>
      <x:c r="O92" s="4"/>
      <x:c r="P92" s="4" t="n">
        <x:v>130</x:v>
      </x:c>
      <x:c r="Q92" s="4" t="str">
        <x:v>Core</x:v>
      </x:c>
      <x:c r="R92" s="4" t="str">
        <x:v>Research before draw; property brochure linked from TPWD</x:v>
      </x:c>
      <x:c r="S92" s="4" t="str">
        <x:v>High</x:v>
      </x:c>
      <x:c r="T92" s="4" t="str">
        <x:v>No</x:v>
      </x:c>
      <x:c r="U92" s="4" t="str">
        <x:v>Verified in TPWD 2026-2027 statewide deer category catalog. Refuge-specific rules and permit fees may apply.</x:v>
      </x:c>
      <x:c r="V92" s="4" t="str">
        <x:v>https://tpwd.texas.gov/huntwild/hunt/public/public_hunt_drawing/hunt-category-details.phtml?OCat=NAD</x:v>
      </x:c>
      <x:c r="W92" s="4" t="n">
        <x:v>2</x:v>
      </x:c>
      <x:c r="X92" s="4" t="n">
        <x:v>5</x:v>
      </x:c>
      <x:c r="Y92" s="4" t="n">
        <x:v>4</x:v>
      </x:c>
      <x:c r="Z92" s="4" t="n">
        <x:v>3</x:v>
      </x:c>
      <x:c r="AA92" s="4" t="n">
        <x:v>4</x:v>
      </x:c>
      <x:c r="AB92" s="4" t="n">
        <x:v>0</x:v>
      </x:c>
      <x:c r="AC92" s="4" t="n">
        <x:v>2.9</x:v>
      </x:c>
      <x:c r="AD92" s="4"/>
      <x:c r="AE92" s="4" t="str">
        <x:v>2026-09-01</x:v>
      </x:c>
      <x:c r="AF92" s="2"/>
      <x:c r="AG92" s="2"/>
      <x:c r="AH92" s="2"/>
      <x:c r="AI92" s="2"/>
      <x:c r="AJ92" s="2"/>
      <x:c r="AK92" s="2"/>
      <x:c r="AL92" s="2"/>
      <x:c r="AM92" s="2" t="str">
        <x:v>https://tpwd.texas.gov/huntwild/hunt/public/public_hunt_drawing/hunt-category-details.phtml?OCat=NAD</x:v>
      </x:c>
      <x:c r="AN92" s="2" t="str">
        <x:v>https://tpwd.texas.gov/search/?q=Muleshoe+NWR+public+hunting+brochure</x:v>
      </x:c>
      <x:c r="AO92" s="2" t="str">
        <x:v>https://apps.tpwd.state.tx.us/huntwild/hunt/public/public_hunt_drawing/</x:v>
      </x:c>
      <x:c r="AP92" s="2" t="str">
        <x:v>https://www.google.com/maps/search/?api=1&amp;query=Muleshoe+NWR%2C+Texas</x:v>
      </x:c>
      <x:c r="AQ92" s="2" t="n">
        <x:v>0</x:v>
      </x:c>
      <x:c r="AR92" s="2" t="str">
        <x:v>Standard Hastings ranking</x:v>
      </x:c>
    </x:row>
    <x:row r="93">
      <x:c r="A93" s="4" t="str">
        <x:v>No</x:v>
      </x:c>
      <x:c r="B93" s="4" t="str">
        <x:v>B</x:v>
      </x:c>
      <x:c r="C93" s="4" t="str">
        <x:v>Whitetail Deer</x:v>
      </x:c>
      <x:c r="D93" s="4" t="str">
        <x:v>Neches River NWR - Dead Water Unit</x:v>
      </x:c>
      <x:c r="E93" s="4" t="str">
        <x:v>East Texas / Pineywoods</x:v>
      </x:c>
      <x:c r="F93" s="4" t="str">
        <x:v>National Refuge Archery Deer</x:v>
      </x:c>
      <x:c r="G93" s="4" t="str">
        <x:v>Yes</x:v>
      </x:c>
      <x:c r="H93" s="4" t="str">
        <x:v>Yes</x:v>
      </x:c>
      <x:c r="I93" s="24" t="str">
        <x:v>2026-09-01</x:v>
      </x:c>
      <x:c r="J93" s="4" t="str">
        <x:v>See TPWD category page</x:v>
      </x:c>
      <x:c r="K93" s="4" t="n">
        <x:v>3</x:v>
      </x:c>
      <x:c r="L93" s="4"/>
      <x:c r="M93" s="4"/>
      <x:c r="N93" s="4"/>
      <x:c r="O93" s="4"/>
      <x:c r="P93" s="4" t="n">
        <x:v>570</x:v>
      </x:c>
      <x:c r="Q93" s="4" t="str">
        <x:v>Statewide</x:v>
      </x:c>
      <x:c r="R93" s="4" t="str">
        <x:v>Research before draw; property brochure linked from TPWD</x:v>
      </x:c>
      <x:c r="S93" s="4" t="str">
        <x:v>Low</x:v>
      </x:c>
      <x:c r="T93" s="4" t="str">
        <x:v>No</x:v>
      </x:c>
      <x:c r="U93" s="4" t="str">
        <x:v>Verified in TPWD 2026-2027 statewide deer category catalog. Refuge-specific rules and permit fees may apply. V5 preference rule: Lower priority: archery whitetail is more than 200 miles from Amarillo.</x:v>
      </x:c>
      <x:c r="V93" s="4" t="str">
        <x:v>https://tpwd.texas.gov/huntwild/hunt/public/public_hunt_drawing/hunt-category-details.phtml?OCat=NAD</x:v>
      </x:c>
      <x:c r="W93" s="4" t="n">
        <x:v>2</x:v>
      </x:c>
      <x:c r="X93" s="4" t="n">
        <x:v>2</x:v>
      </x:c>
      <x:c r="Y93" s="4" t="n">
        <x:v>4</x:v>
      </x:c>
      <x:c r="Z93" s="4" t="n">
        <x:v>3</x:v>
      </x:c>
      <x:c r="AA93" s="4" t="n">
        <x:v>2</x:v>
      </x:c>
      <x:c r="AB93" s="4" t="n">
        <x:v>0</x:v>
      </x:c>
      <x:c r="AC93" s="4" t="n">
        <x:v>1.3</x:v>
      </x:c>
      <x:c r="AD93" s="4"/>
      <x:c r="AE93" s="4" t="str">
        <x:v>2026-09-01</x:v>
      </x:c>
      <x:c r="AF93" s="2"/>
      <x:c r="AG93" s="2"/>
      <x:c r="AH93" s="2"/>
      <x:c r="AI93" s="2"/>
      <x:c r="AJ93" s="2"/>
      <x:c r="AK93" s="2"/>
      <x:c r="AL93" s="2"/>
      <x:c r="AM93" s="2" t="str">
        <x:v>https://tpwd.texas.gov/huntwild/hunt/public/public_hunt_drawing/hunt-category-details.phtml?OCat=NAD</x:v>
      </x:c>
      <x:c r="AN93" s="2" t="str">
        <x:v>https://tpwd.texas.gov/search/?q=Neches+River+NWR+-+Dead+Water+Unit+public+hunting+brochure</x:v>
      </x:c>
      <x:c r="AO93" s="2" t="str">
        <x:v>https://apps.tpwd.state.tx.us/huntwild/hunt/public/public_hunt_drawing/</x:v>
      </x:c>
      <x:c r="AP93" s="2" t="str">
        <x:v>https://www.google.com/maps/search/?api=1&amp;query=Neches+River+NWR+-+Dead+Water+Unit%2C+Texas</x:v>
      </x:c>
      <x:c r="AQ93" s="2" t="n">
        <x:v>-1</x:v>
      </x:c>
      <x:c r="AR93" s="2" t="str">
        <x:v>Lower priority: archery whitetail is more than 200 miles from Amarillo</x:v>
      </x:c>
    </x:row>
    <x:row r="94">
      <x:c r="A94" s="4" t="str">
        <x:v>No</x:v>
      </x:c>
      <x:c r="B94" s="4" t="str">
        <x:v>B</x:v>
      </x:c>
      <x:c r="C94" s="4" t="str">
        <x:v>Whitetail Deer</x:v>
      </x:c>
      <x:c r="D94" s="4" t="str">
        <x:v>Neches River NWR - Rocky Point Unit</x:v>
      </x:c>
      <x:c r="E94" s="4" t="str">
        <x:v>East Texas / Pineywoods</x:v>
      </x:c>
      <x:c r="F94" s="4" t="str">
        <x:v>National Refuge Archery Deer</x:v>
      </x:c>
      <x:c r="G94" s="4" t="str">
        <x:v>Yes</x:v>
      </x:c>
      <x:c r="H94" s="4" t="str">
        <x:v>Yes</x:v>
      </x:c>
      <x:c r="I94" s="24" t="str">
        <x:v>2026-09-01</x:v>
      </x:c>
      <x:c r="J94" s="4" t="str">
        <x:v>See TPWD category page</x:v>
      </x:c>
      <x:c r="K94" s="4" t="n">
        <x:v>3</x:v>
      </x:c>
      <x:c r="L94" s="4"/>
      <x:c r="M94" s="4"/>
      <x:c r="N94" s="4"/>
      <x:c r="O94" s="4"/>
      <x:c r="P94" s="4" t="n">
        <x:v>570</x:v>
      </x:c>
      <x:c r="Q94" s="4" t="str">
        <x:v>Statewide</x:v>
      </x:c>
      <x:c r="R94" s="4" t="str">
        <x:v>Research before draw; property brochure linked from TPWD</x:v>
      </x:c>
      <x:c r="S94" s="4" t="str">
        <x:v>Low</x:v>
      </x:c>
      <x:c r="T94" s="4" t="str">
        <x:v>No</x:v>
      </x:c>
      <x:c r="U94" s="4" t="str">
        <x:v>Verified in TPWD 2026-2027 statewide deer category catalog. Refuge-specific rules and permit fees may apply. V5 preference rule: Lower priority: archery whitetail is more than 200 miles from Amarillo.</x:v>
      </x:c>
      <x:c r="V94" s="4" t="str">
        <x:v>https://tpwd.texas.gov/huntwild/hunt/public/public_hunt_drawing/hunt-category-details.phtml?OCat=NAD</x:v>
      </x:c>
      <x:c r="W94" s="4" t="n">
        <x:v>2</x:v>
      </x:c>
      <x:c r="X94" s="4" t="n">
        <x:v>2</x:v>
      </x:c>
      <x:c r="Y94" s="4" t="n">
        <x:v>4</x:v>
      </x:c>
      <x:c r="Z94" s="4" t="n">
        <x:v>3</x:v>
      </x:c>
      <x:c r="AA94" s="4" t="n">
        <x:v>2</x:v>
      </x:c>
      <x:c r="AB94" s="4" t="n">
        <x:v>0</x:v>
      </x:c>
      <x:c r="AC94" s="4" t="n">
        <x:v>1.3</x:v>
      </x:c>
      <x:c r="AD94" s="4"/>
      <x:c r="AE94" s="4" t="str">
        <x:v>2026-09-01</x:v>
      </x:c>
      <x:c r="AF94" s="2"/>
      <x:c r="AG94" s="2"/>
      <x:c r="AH94" s="2"/>
      <x:c r="AI94" s="2"/>
      <x:c r="AJ94" s="2"/>
      <x:c r="AK94" s="2"/>
      <x:c r="AL94" s="2"/>
      <x:c r="AM94" s="2" t="str">
        <x:v>https://tpwd.texas.gov/huntwild/hunt/public/public_hunt_drawing/hunt-category-details.phtml?OCat=NAD</x:v>
      </x:c>
      <x:c r="AN94" s="2" t="str">
        <x:v>https://tpwd.texas.gov/search/?q=Neches+River+NWR+-+Rocky+Point+Unit+public+hunting+brochure</x:v>
      </x:c>
      <x:c r="AO94" s="2" t="str">
        <x:v>https://apps.tpwd.state.tx.us/huntwild/hunt/public/public_hunt_drawing/</x:v>
      </x:c>
      <x:c r="AP94" s="2" t="str">
        <x:v>https://www.google.com/maps/search/?api=1&amp;query=Neches+River+NWR+-+Rocky+Point+Unit%2C+Texas</x:v>
      </x:c>
      <x:c r="AQ94" s="2" t="n">
        <x:v>-1</x:v>
      </x:c>
      <x:c r="AR94" s="2" t="str">
        <x:v>Lower priority: archery whitetail is more than 200 miles from Amarillo</x:v>
      </x:c>
    </x:row>
    <x:row r="95">
      <x:c r="A95" s="4" t="str">
        <x:v>No</x:v>
      </x:c>
      <x:c r="B95" s="4" t="str">
        <x:v>B</x:v>
      </x:c>
      <x:c r="C95" s="4" t="str">
        <x:v>Whitetail Deer</x:v>
      </x:c>
      <x:c r="D95" s="4" t="str">
        <x:v>Neches River NWR - Sandy Bluff Unit</x:v>
      </x:c>
      <x:c r="E95" s="4" t="str">
        <x:v>East Texas / Pineywoods</x:v>
      </x:c>
      <x:c r="F95" s="4" t="str">
        <x:v>National Refuge Archery Deer</x:v>
      </x:c>
      <x:c r="G95" s="4" t="str">
        <x:v>Yes</x:v>
      </x:c>
      <x:c r="H95" s="4" t="str">
        <x:v>Yes</x:v>
      </x:c>
      <x:c r="I95" s="24" t="str">
        <x:v>2026-09-01</x:v>
      </x:c>
      <x:c r="J95" s="4" t="str">
        <x:v>See TPWD category page</x:v>
      </x:c>
      <x:c r="K95" s="4" t="n">
        <x:v>3</x:v>
      </x:c>
      <x:c r="L95" s="4"/>
      <x:c r="M95" s="4"/>
      <x:c r="N95" s="4"/>
      <x:c r="O95" s="4"/>
      <x:c r="P95" s="4" t="n">
        <x:v>570</x:v>
      </x:c>
      <x:c r="Q95" s="4" t="str">
        <x:v>Statewide</x:v>
      </x:c>
      <x:c r="R95" s="4" t="str">
        <x:v>Research before draw; property brochure linked from TPWD</x:v>
      </x:c>
      <x:c r="S95" s="4" t="str">
        <x:v>Low</x:v>
      </x:c>
      <x:c r="T95" s="4" t="str">
        <x:v>No</x:v>
      </x:c>
      <x:c r="U95" s="4" t="str">
        <x:v>Verified in TPWD 2026-2027 statewide deer category catalog. Refuge-specific rules and permit fees may apply. V5 preference rule: Lower priority: archery whitetail is more than 200 miles from Amarillo.</x:v>
      </x:c>
      <x:c r="V95" s="4" t="str">
        <x:v>https://tpwd.texas.gov/huntwild/hunt/public/public_hunt_drawing/hunt-category-details.phtml?OCat=NAD</x:v>
      </x:c>
      <x:c r="W95" s="4" t="n">
        <x:v>2</x:v>
      </x:c>
      <x:c r="X95" s="4" t="n">
        <x:v>2</x:v>
      </x:c>
      <x:c r="Y95" s="4" t="n">
        <x:v>4</x:v>
      </x:c>
      <x:c r="Z95" s="4" t="n">
        <x:v>3</x:v>
      </x:c>
      <x:c r="AA95" s="4" t="n">
        <x:v>2</x:v>
      </x:c>
      <x:c r="AB95" s="4" t="n">
        <x:v>0</x:v>
      </x:c>
      <x:c r="AC95" s="4" t="n">
        <x:v>1.3</x:v>
      </x:c>
      <x:c r="AD95" s="4"/>
      <x:c r="AE95" s="4" t="str">
        <x:v>2026-09-01</x:v>
      </x:c>
      <x:c r="AF95" s="2"/>
      <x:c r="AG95" s="2"/>
      <x:c r="AH95" s="2"/>
      <x:c r="AI95" s="2"/>
      <x:c r="AJ95" s="2"/>
      <x:c r="AK95" s="2"/>
      <x:c r="AL95" s="2"/>
      <x:c r="AM95" s="2" t="str">
        <x:v>https://tpwd.texas.gov/huntwild/hunt/public/public_hunt_drawing/hunt-category-details.phtml?OCat=NAD</x:v>
      </x:c>
      <x:c r="AN95" s="2" t="str">
        <x:v>https://tpwd.texas.gov/search/?q=Neches+River+NWR+-+Sandy+Bluff+Unit+public+hunting+brochure</x:v>
      </x:c>
      <x:c r="AO95" s="2" t="str">
        <x:v>https://apps.tpwd.state.tx.us/huntwild/hunt/public/public_hunt_drawing/</x:v>
      </x:c>
      <x:c r="AP95" s="2" t="str">
        <x:v>https://www.google.com/maps/search/?api=1&amp;query=Neches+River+NWR+-+Sandy+Bluff+Unit%2C+Texas</x:v>
      </x:c>
      <x:c r="AQ95" s="2" t="n">
        <x:v>-1</x:v>
      </x:c>
      <x:c r="AR95" s="2" t="str">
        <x:v>Lower priority: archery whitetail is more than 200 miles from Amarillo</x:v>
      </x:c>
    </x:row>
    <x:row r="96">
      <x:c r="A96" s="4" t="str">
        <x:v>No</x:v>
      </x:c>
      <x:c r="B96" s="4" t="str">
        <x:v>B</x:v>
      </x:c>
      <x:c r="C96" s="4" t="str">
        <x:v>Whitetail Deer</x:v>
      </x:c>
      <x:c r="D96" s="4" t="str">
        <x:v>Neches River NWR - Walnut Branch Unit</x:v>
      </x:c>
      <x:c r="E96" s="4" t="str">
        <x:v>East Texas / Pineywoods</x:v>
      </x:c>
      <x:c r="F96" s="4" t="str">
        <x:v>National Refuge Archery Deer</x:v>
      </x:c>
      <x:c r="G96" s="4" t="str">
        <x:v>Yes</x:v>
      </x:c>
      <x:c r="H96" s="4" t="str">
        <x:v>Yes</x:v>
      </x:c>
      <x:c r="I96" s="24" t="str">
        <x:v>2026-09-01</x:v>
      </x:c>
      <x:c r="J96" s="4" t="str">
        <x:v>See TPWD category page</x:v>
      </x:c>
      <x:c r="K96" s="4" t="n">
        <x:v>3</x:v>
      </x:c>
      <x:c r="L96" s="4"/>
      <x:c r="M96" s="4"/>
      <x:c r="N96" s="4"/>
      <x:c r="O96" s="4"/>
      <x:c r="P96" s="4" t="n">
        <x:v>570</x:v>
      </x:c>
      <x:c r="Q96" s="4" t="str">
        <x:v>Statewide</x:v>
      </x:c>
      <x:c r="R96" s="4" t="str">
        <x:v>Research before draw; property brochure linked from TPWD</x:v>
      </x:c>
      <x:c r="S96" s="4" t="str">
        <x:v>Low</x:v>
      </x:c>
      <x:c r="T96" s="4" t="str">
        <x:v>No</x:v>
      </x:c>
      <x:c r="U96" s="4" t="str">
        <x:v>Verified in TPWD 2026-2027 statewide deer category catalog. Refuge-specific rules and permit fees may apply. V5 preference rule: Lower priority: archery whitetail is more than 200 miles from Amarillo.</x:v>
      </x:c>
      <x:c r="V96" s="4" t="str">
        <x:v>https://tpwd.texas.gov/huntwild/hunt/public/public_hunt_drawing/hunt-category-details.phtml?OCat=NAD</x:v>
      </x:c>
      <x:c r="W96" s="4" t="n">
        <x:v>2</x:v>
      </x:c>
      <x:c r="X96" s="4" t="n">
        <x:v>2</x:v>
      </x:c>
      <x:c r="Y96" s="4" t="n">
        <x:v>4</x:v>
      </x:c>
      <x:c r="Z96" s="4" t="n">
        <x:v>3</x:v>
      </x:c>
      <x:c r="AA96" s="4" t="n">
        <x:v>2</x:v>
      </x:c>
      <x:c r="AB96" s="4" t="n">
        <x:v>0</x:v>
      </x:c>
      <x:c r="AC96" s="4" t="n">
        <x:v>1.3</x:v>
      </x:c>
      <x:c r="AD96" s="4"/>
      <x:c r="AE96" s="4" t="str">
        <x:v>2026-09-01</x:v>
      </x:c>
      <x:c r="AF96" s="2"/>
      <x:c r="AG96" s="2"/>
      <x:c r="AH96" s="2"/>
      <x:c r="AI96" s="2"/>
      <x:c r="AJ96" s="2"/>
      <x:c r="AK96" s="2"/>
      <x:c r="AL96" s="2"/>
      <x:c r="AM96" s="2" t="str">
        <x:v>https://tpwd.texas.gov/huntwild/hunt/public/public_hunt_drawing/hunt-category-details.phtml?OCat=NAD</x:v>
      </x:c>
      <x:c r="AN96" s="2" t="str">
        <x:v>https://tpwd.texas.gov/search/?q=Neches+River+NWR+-+Walnut+Branch+Unit+public+hunting+brochure</x:v>
      </x:c>
      <x:c r="AO96" s="2" t="str">
        <x:v>https://apps.tpwd.state.tx.us/huntwild/hunt/public/public_hunt_drawing/</x:v>
      </x:c>
      <x:c r="AP96" s="2" t="str">
        <x:v>https://www.google.com/maps/search/?api=1&amp;query=Neches+River+NWR+-+Walnut+Branch+Unit%2C+Texas</x:v>
      </x:c>
      <x:c r="AQ96" s="2" t="n">
        <x:v>-1</x:v>
      </x:c>
      <x:c r="AR96" s="2" t="str">
        <x:v>Lower priority: archery whitetail is more than 200 miles from Amarillo</x:v>
      </x:c>
    </x:row>
    <x:row r="97">
      <x:c r="A97" s="4" t="str">
        <x:v>No</x:v>
      </x:c>
      <x:c r="B97" s="4" t="str">
        <x:v>A</x:v>
      </x:c>
      <x:c r="C97" s="4" t="str">
        <x:v>Whitetail Deer</x:v>
      </x:c>
      <x:c r="D97" s="4" t="str">
        <x:v>Pecos County Ranch</x:v>
      </x:c>
      <x:c r="E97" s="4" t="str">
        <x:v>Trans-Pecos / West Texas</x:v>
      </x:c>
      <x:c r="F97" s="4" t="str">
        <x:v>Private Lands - Either Sex</x:v>
      </x:c>
      <x:c r="G97" s="4" t="str">
        <x:v>Yes</x:v>
      </x:c>
      <x:c r="H97" s="4" t="str">
        <x:v>Yes</x:v>
      </x:c>
      <x:c r="I97" s="24" t="str">
        <x:v>2026-09-01</x:v>
      </x:c>
      <x:c r="J97" s="4" t="str">
        <x:v>See TPWD category page</x:v>
      </x:c>
      <x:c r="K97" s="4" t="n">
        <x:v>10</x:v>
      </x:c>
      <x:c r="L97" s="4"/>
      <x:c r="M97" s="4"/>
      <x:c r="N97" s="4"/>
      <x:c r="O97" s="4"/>
      <x:c r="P97" s="4" t="n">
        <x:v>520</x:v>
      </x:c>
      <x:c r="Q97" s="4" t="str">
        <x:v>Statewide</x:v>
      </x:c>
      <x:c r="R97" s="4" t="str">
        <x:v>Research before draw; property brochure linked from TPWD</x:v>
      </x:c>
      <x:c r="S97" s="4" t="str">
        <x:v>High</x:v>
      </x:c>
      <x:c r="T97" s="4" t="str">
        <x:v>No</x:v>
      </x:c>
      <x:c r="U97" s="4" t="str">
        <x:v>Verified in TPWD 2026-2027 statewide deer category catalog. West Texas/El Paso-region opportunity; prioritize for mule deer adventure value.</x:v>
      </x:c>
      <x:c r="V97" s="4" t="str">
        <x:v>https://tpwd.texas.gov/huntwild/hunt/public/public_hunt_drawing/hunt-category-details.phtml?OCat=PLE</x:v>
      </x:c>
      <x:c r="W97" s="4" t="n">
        <x:v>2</x:v>
      </x:c>
      <x:c r="X97" s="4" t="n">
        <x:v>2</x:v>
      </x:c>
      <x:c r="Y97" s="4" t="n">
        <x:v>4</x:v>
      </x:c>
      <x:c r="Z97" s="4" t="n">
        <x:v>3</x:v>
      </x:c>
      <x:c r="AA97" s="4" t="n">
        <x:v>4</x:v>
      </x:c>
      <x:c r="AB97" s="4" t="n">
        <x:v>0</x:v>
      </x:c>
      <x:c r="AC97" s="4" t="n">
        <x:v>2.5</x:v>
      </x:c>
      <x:c r="AD97" s="4"/>
      <x:c r="AE97" s="4" t="str">
        <x:v>2026-09-01</x:v>
      </x:c>
      <x:c r="AF97" s="2"/>
      <x:c r="AG97" s="2"/>
      <x:c r="AH97" s="2"/>
      <x:c r="AI97" s="2"/>
      <x:c r="AJ97" s="2"/>
      <x:c r="AK97" s="2"/>
      <x:c r="AL97" s="2"/>
      <x:c r="AM97" s="2" t="str">
        <x:v>https://tpwd.texas.gov/huntwild/hunt/public/public_hunt_drawing/hunt-category-details.phtml?OCat=PLE</x:v>
      </x:c>
      <x:c r="AN97" s="2" t="str">
        <x:v>https://tpwd.texas.gov/search/?q=Pecos+County+Ranch+public+hunting+brochure</x:v>
      </x:c>
      <x:c r="AO97" s="2" t="str">
        <x:v>https://apps.tpwd.state.tx.us/huntwild/hunt/public/public_hunt_drawing/</x:v>
      </x:c>
      <x:c r="AP97" s="2" t="str">
        <x:v>https://www.google.com/maps/search/?api=1&amp;query=Pecos+County+Ranch%2C+Texas</x:v>
      </x:c>
      <x:c r="AQ97" s="2" t="n">
        <x:v>0</x:v>
      </x:c>
      <x:c r="AR97" s="2" t="str">
        <x:v>Standard Hastings ranking</x:v>
      </x:c>
    </x:row>
    <x:row r="98">
      <x:c r="A98" s="4" t="str">
        <x:v>No</x:v>
      </x:c>
      <x:c r="B98" s="4" t="str">
        <x:v>A</x:v>
      </x:c>
      <x:c r="C98" s="4" t="str">
        <x:v>Whitetail Deer</x:v>
      </x:c>
      <x:c r="D98" s="4" t="str">
        <x:v>Travis County Ranch</x:v>
      </x:c>
      <x:c r="E98" s="4" t="str">
        <x:v>Central Texas / Austin</x:v>
      </x:c>
      <x:c r="F98" s="4" t="str">
        <x:v>Private Lands - Antlerless/Spike</x:v>
      </x:c>
      <x:c r="G98" s="4" t="str">
        <x:v>Yes</x:v>
      </x:c>
      <x:c r="H98" s="4" t="str">
        <x:v>Yes</x:v>
      </x:c>
      <x:c r="I98" s="24" t="str">
        <x:v>2026-09-01</x:v>
      </x:c>
      <x:c r="J98" s="4" t="str">
        <x:v>See TPWD category page</x:v>
      </x:c>
      <x:c r="K98" s="4" t="n">
        <x:v>10</x:v>
      </x:c>
      <x:c r="L98" s="4"/>
      <x:c r="M98" s="4"/>
      <x:c r="N98" s="4"/>
      <x:c r="O98" s="4"/>
      <x:c r="P98" s="4" t="n">
        <x:v>490</x:v>
      </x:c>
      <x:c r="Q98" s="4" t="str">
        <x:v>Statewide</x:v>
      </x:c>
      <x:c r="R98" s="4" t="str">
        <x:v>Research before draw; property brochure linked from TPWD</x:v>
      </x:c>
      <x:c r="S98" s="4" t="str">
        <x:v>Low</x:v>
      </x:c>
      <x:c r="T98" s="4" t="str">
        <x:v>No</x:v>
      </x:c>
      <x:c r="U98" s="4" t="str">
        <x:v>Verified in TPWD 2026-2027 statewide deer category catalog.</x:v>
      </x:c>
      <x:c r="V98" s="4" t="str">
        <x:v>https://tpwd.texas.gov/huntwild/hunt/public/public_hunt_drawing/hunt-category-details.phtml?OCat=PLA</x:v>
      </x:c>
      <x:c r="W98" s="4" t="n">
        <x:v>2</x:v>
      </x:c>
      <x:c r="X98" s="4" t="n">
        <x:v>2</x:v>
      </x:c>
      <x:c r="Y98" s="4" t="n">
        <x:v>4</x:v>
      </x:c>
      <x:c r="Z98" s="4" t="n">
        <x:v>3</x:v>
      </x:c>
      <x:c r="AA98" s="4" t="n">
        <x:v>2</x:v>
      </x:c>
      <x:c r="AB98" s="4" t="n">
        <x:v>0</x:v>
      </x:c>
      <x:c r="AC98" s="4" t="n">
        <x:v>2.3</x:v>
      </x:c>
      <x:c r="AD98" s="4"/>
      <x:c r="AE98" s="4" t="str">
        <x:v>2026-09-01</x:v>
      </x:c>
      <x:c r="AF98" s="2"/>
      <x:c r="AG98" s="2"/>
      <x:c r="AH98" s="2"/>
      <x:c r="AI98" s="2"/>
      <x:c r="AJ98" s="2"/>
      <x:c r="AK98" s="2"/>
      <x:c r="AL98" s="2"/>
      <x:c r="AM98" s="2" t="str">
        <x:v>https://tpwd.texas.gov/huntwild/hunt/public/public_hunt_drawing/hunt-category-details.phtml?OCat=PLA</x:v>
      </x:c>
      <x:c r="AN98" s="2" t="str">
        <x:v>https://tpwd.texas.gov/search/?q=Travis+County+Ranch+public+hunting+brochure</x:v>
      </x:c>
      <x:c r="AO98" s="2" t="str">
        <x:v>https://apps.tpwd.state.tx.us/huntwild/hunt/public/public_hunt_drawing/</x:v>
      </x:c>
      <x:c r="AP98" s="2" t="str">
        <x:v>https://www.google.com/maps/search/?api=1&amp;query=Travis+County+Ranch%2C+Texas</x:v>
      </x:c>
      <x:c r="AQ98" s="2" t="n">
        <x:v>0</x:v>
      </x:c>
      <x:c r="AR98" s="2" t="str">
        <x:v>Standard Hastings ranking</x:v>
      </x:c>
    </x:row>
    <x:row r="99">
      <x:c r="A99" s="4" t="str">
        <x:v>No</x:v>
      </x:c>
      <x:c r="B99" s="4" t="str">
        <x:v>A</x:v>
      </x:c>
      <x:c r="C99" s="4" t="str">
        <x:v>Whitetail Deer</x:v>
      </x:c>
      <x:c r="D99" s="4" t="str">
        <x:v>Travis County Ranch</x:v>
      </x:c>
      <x:c r="E99" s="4" t="str">
        <x:v>Central Texas / Austin</x:v>
      </x:c>
      <x:c r="F99" s="4" t="str">
        <x:v>Private Lands - Either Sex</x:v>
      </x:c>
      <x:c r="G99" s="4" t="str">
        <x:v>Yes</x:v>
      </x:c>
      <x:c r="H99" s="4" t="str">
        <x:v>Yes</x:v>
      </x:c>
      <x:c r="I99" s="24" t="str">
        <x:v>2026-09-01</x:v>
      </x:c>
      <x:c r="J99" s="4" t="str">
        <x:v>See TPWD category page</x:v>
      </x:c>
      <x:c r="K99" s="4" t="n">
        <x:v>10</x:v>
      </x:c>
      <x:c r="L99" s="4"/>
      <x:c r="M99" s="4"/>
      <x:c r="N99" s="4"/>
      <x:c r="O99" s="4"/>
      <x:c r="P99" s="4" t="n">
        <x:v>490</x:v>
      </x:c>
      <x:c r="Q99" s="4" t="str">
        <x:v>Statewide</x:v>
      </x:c>
      <x:c r="R99" s="4" t="str">
        <x:v>Research before draw; property brochure linked from TPWD</x:v>
      </x:c>
      <x:c r="S99" s="4" t="str">
        <x:v>Low</x:v>
      </x:c>
      <x:c r="T99" s="4" t="str">
        <x:v>No</x:v>
      </x:c>
      <x:c r="U99" s="4" t="str">
        <x:v>Verified in TPWD 2026-2027 statewide deer category catalog.</x:v>
      </x:c>
      <x:c r="V99" s="4" t="str">
        <x:v>https://tpwd.texas.gov/huntwild/hunt/public/public_hunt_drawing/hunt-category-details.phtml?OCat=PLE</x:v>
      </x:c>
      <x:c r="W99" s="4" t="n">
        <x:v>2</x:v>
      </x:c>
      <x:c r="X99" s="4" t="n">
        <x:v>2</x:v>
      </x:c>
      <x:c r="Y99" s="4" t="n">
        <x:v>4</x:v>
      </x:c>
      <x:c r="Z99" s="4" t="n">
        <x:v>3</x:v>
      </x:c>
      <x:c r="AA99" s="4" t="n">
        <x:v>2</x:v>
      </x:c>
      <x:c r="AB99" s="4" t="n">
        <x:v>0</x:v>
      </x:c>
      <x:c r="AC99" s="4" t="n">
        <x:v>2.3</x:v>
      </x:c>
      <x:c r="AD99" s="4"/>
      <x:c r="AE99" s="4" t="str">
        <x:v>2026-09-01</x:v>
      </x:c>
      <x:c r="AF99" s="2"/>
      <x:c r="AG99" s="2"/>
      <x:c r="AH99" s="2"/>
      <x:c r="AI99" s="2"/>
      <x:c r="AJ99" s="2"/>
      <x:c r="AK99" s="2"/>
      <x:c r="AL99" s="2"/>
      <x:c r="AM99" s="2" t="str">
        <x:v>https://tpwd.texas.gov/huntwild/hunt/public/public_hunt_drawing/hunt-category-details.phtml?OCat=PLE</x:v>
      </x:c>
      <x:c r="AN99" s="2" t="str">
        <x:v>https://tpwd.texas.gov/search/?q=Travis+County+Ranch+public+hunting+brochure</x:v>
      </x:c>
      <x:c r="AO99" s="2" t="str">
        <x:v>https://apps.tpwd.state.tx.us/huntwild/hunt/public/public_hunt_drawing/</x:v>
      </x:c>
      <x:c r="AP99" s="2" t="str">
        <x:v>https://www.google.com/maps/search/?api=1&amp;query=Travis+County+Ranch%2C+Texas</x:v>
      </x:c>
      <x:c r="AQ99" s="2" t="n">
        <x:v>0</x:v>
      </x:c>
      <x:c r="AR99" s="2" t="str">
        <x:v>Standard Hastings ranking</x:v>
      </x:c>
    </x:row>
    <x:row r="100">
      <x:c r="A100" s="4" t="str">
        <x:v>No</x:v>
      </x:c>
      <x:c r="B100" s="4" t="str">
        <x:v>B</x:v>
      </x:c>
      <x:c r="C100" s="4" t="str">
        <x:v>Whitetail Deer</x:v>
      </x:c>
      <x:c r="D100" s="4" t="str">
        <x:v>Trinity River NWR - Brierwood</x:v>
      </x:c>
      <x:c r="E100" s="4" t="str">
        <x:v>East Texas / Pineywoods</x:v>
      </x:c>
      <x:c r="F100" s="4" t="str">
        <x:v>National Refuge Archery Deer</x:v>
      </x:c>
      <x:c r="G100" s="4" t="str">
        <x:v>Yes</x:v>
      </x:c>
      <x:c r="H100" s="4" t="str">
        <x:v>Yes</x:v>
      </x:c>
      <x:c r="I100" s="24" t="str">
        <x:v>2026-09-01</x:v>
      </x:c>
      <x:c r="J100" s="4" t="str">
        <x:v>See TPWD category page</x:v>
      </x:c>
      <x:c r="K100" s="4" t="n">
        <x:v>3</x:v>
      </x:c>
      <x:c r="L100" s="4"/>
      <x:c r="M100" s="4"/>
      <x:c r="N100" s="4"/>
      <x:c r="O100" s="4"/>
      <x:c r="P100" s="4" t="n">
        <x:v>570</x:v>
      </x:c>
      <x:c r="Q100" s="4" t="str">
        <x:v>Statewide</x:v>
      </x:c>
      <x:c r="R100" s="4" t="str">
        <x:v>Research before draw; property brochure linked from TPWD</x:v>
      </x:c>
      <x:c r="S100" s="4" t="str">
        <x:v>Low</x:v>
      </x:c>
      <x:c r="T100" s="4" t="str">
        <x:v>No</x:v>
      </x:c>
      <x:c r="U100" s="4" t="str">
        <x:v>Verified in TPWD 2026-2027 statewide deer category catalog. Refuge-specific rules and permit fees may apply. V5 preference rule: Lower priority: archery whitetail is more than 200 miles from Amarillo.</x:v>
      </x:c>
      <x:c r="V100" s="4" t="str">
        <x:v>https://tpwd.texas.gov/huntwild/hunt/public/public_hunt_drawing/hunt-category-details.phtml?OCat=NAD</x:v>
      </x:c>
      <x:c r="W100" s="4" t="n">
        <x:v>2</x:v>
      </x:c>
      <x:c r="X100" s="4" t="n">
        <x:v>2</x:v>
      </x:c>
      <x:c r="Y100" s="4" t="n">
        <x:v>4</x:v>
      </x:c>
      <x:c r="Z100" s="4" t="n">
        <x:v>3</x:v>
      </x:c>
      <x:c r="AA100" s="4" t="n">
        <x:v>2</x:v>
      </x:c>
      <x:c r="AB100" s="4" t="n">
        <x:v>0</x:v>
      </x:c>
      <x:c r="AC100" s="4" t="n">
        <x:v>1.3</x:v>
      </x:c>
      <x:c r="AD100" s="4"/>
      <x:c r="AE100" s="4" t="str">
        <x:v>2026-09-01</x:v>
      </x:c>
      <x:c r="AF100" s="2"/>
      <x:c r="AG100" s="2"/>
      <x:c r="AH100" s="2"/>
      <x:c r="AI100" s="2"/>
      <x:c r="AJ100" s="2"/>
      <x:c r="AK100" s="2"/>
      <x:c r="AL100" s="2"/>
      <x:c r="AM100" s="2" t="str">
        <x:v>https://tpwd.texas.gov/huntwild/hunt/public/public_hunt_drawing/hunt-category-details.phtml?OCat=NAD</x:v>
      </x:c>
      <x:c r="AN100" s="2" t="str">
        <x:v>https://tpwd.texas.gov/search/?q=Trinity+River+NWR+-+Brierwood+public+hunting+brochure</x:v>
      </x:c>
      <x:c r="AO100" s="2" t="str">
        <x:v>https://apps.tpwd.state.tx.us/huntwild/hunt/public/public_hunt_drawing/</x:v>
      </x:c>
      <x:c r="AP100" s="2" t="str">
        <x:v>https://www.google.com/maps/search/?api=1&amp;query=Trinity+River+NWR+-+Brierwood%2C+Texas</x:v>
      </x:c>
      <x:c r="AQ100" s="2" t="n">
        <x:v>-1</x:v>
      </x:c>
      <x:c r="AR100" s="2" t="str">
        <x:v>Lower priority: archery whitetail is more than 200 miles from Amarillo</x:v>
      </x:c>
    </x:row>
    <x:row r="101">
      <x:c r="A101" s="4" t="str">
        <x:v>No</x:v>
      </x:c>
      <x:c r="B101" s="4" t="str">
        <x:v>B</x:v>
      </x:c>
      <x:c r="C101" s="4" t="str">
        <x:v>Whitetail Deer</x:v>
      </x:c>
      <x:c r="D101" s="4" t="str">
        <x:v>Trinity River NWR - Hirsch</x:v>
      </x:c>
      <x:c r="E101" s="4" t="str">
        <x:v>East Texas / Pineywoods</x:v>
      </x:c>
      <x:c r="F101" s="4" t="str">
        <x:v>National Refuge Archery Deer</x:v>
      </x:c>
      <x:c r="G101" s="4" t="str">
        <x:v>Yes</x:v>
      </x:c>
      <x:c r="H101" s="4" t="str">
        <x:v>Yes</x:v>
      </x:c>
      <x:c r="I101" s="24" t="str">
        <x:v>2026-09-01</x:v>
      </x:c>
      <x:c r="J101" s="4" t="str">
        <x:v>See TPWD category page</x:v>
      </x:c>
      <x:c r="K101" s="4" t="n">
        <x:v>3</x:v>
      </x:c>
      <x:c r="L101" s="4"/>
      <x:c r="M101" s="4"/>
      <x:c r="N101" s="4"/>
      <x:c r="O101" s="4"/>
      <x:c r="P101" s="4" t="n">
        <x:v>570</x:v>
      </x:c>
      <x:c r="Q101" s="4" t="str">
        <x:v>Statewide</x:v>
      </x:c>
      <x:c r="R101" s="4" t="str">
        <x:v>Research before draw; property brochure linked from TPWD</x:v>
      </x:c>
      <x:c r="S101" s="4" t="str">
        <x:v>Low</x:v>
      </x:c>
      <x:c r="T101" s="4" t="str">
        <x:v>No</x:v>
      </x:c>
      <x:c r="U101" s="4" t="str">
        <x:v>Verified in TPWD 2026-2027 statewide deer category catalog. Refuge-specific rules and permit fees may apply. V5 preference rule: Lower priority: archery whitetail is more than 200 miles from Amarillo.</x:v>
      </x:c>
      <x:c r="V101" s="4" t="str">
        <x:v>https://tpwd.texas.gov/huntwild/hunt/public/public_hunt_drawing/hunt-category-details.phtml?OCat=NAD</x:v>
      </x:c>
      <x:c r="W101" s="4" t="n">
        <x:v>2</x:v>
      </x:c>
      <x:c r="X101" s="4" t="n">
        <x:v>2</x:v>
      </x:c>
      <x:c r="Y101" s="4" t="n">
        <x:v>4</x:v>
      </x:c>
      <x:c r="Z101" s="4" t="n">
        <x:v>3</x:v>
      </x:c>
      <x:c r="AA101" s="4" t="n">
        <x:v>2</x:v>
      </x:c>
      <x:c r="AB101" s="4" t="n">
        <x:v>0</x:v>
      </x:c>
      <x:c r="AC101" s="4" t="n">
        <x:v>1.3</x:v>
      </x:c>
      <x:c r="AD101" s="4"/>
      <x:c r="AE101" s="4" t="str">
        <x:v>2026-09-01</x:v>
      </x:c>
      <x:c r="AF101" s="2"/>
      <x:c r="AG101" s="2"/>
      <x:c r="AH101" s="2"/>
      <x:c r="AI101" s="2"/>
      <x:c r="AJ101" s="2"/>
      <x:c r="AK101" s="2"/>
      <x:c r="AL101" s="2"/>
      <x:c r="AM101" s="2" t="str">
        <x:v>https://tpwd.texas.gov/huntwild/hunt/public/public_hunt_drawing/hunt-category-details.phtml?OCat=NAD</x:v>
      </x:c>
      <x:c r="AN101" s="2" t="str">
        <x:v>https://tpwd.texas.gov/search/?q=Trinity+River+NWR+-+Hirsch+public+hunting+brochure</x:v>
      </x:c>
      <x:c r="AO101" s="2" t="str">
        <x:v>https://apps.tpwd.state.tx.us/huntwild/hunt/public/public_hunt_drawing/</x:v>
      </x:c>
      <x:c r="AP101" s="2" t="str">
        <x:v>https://www.google.com/maps/search/?api=1&amp;query=Trinity+River+NWR+-+Hirsch%2C+Texas</x:v>
      </x:c>
      <x:c r="AQ101" s="2" t="n">
        <x:v>-1</x:v>
      </x:c>
      <x:c r="AR101" s="2" t="str">
        <x:v>Lower priority: archery whitetail is more than 200 miles from Amarillo</x:v>
      </x:c>
    </x:row>
    <x:row r="102">
      <x:c r="A102" s="4" t="str">
        <x:v>No</x:v>
      </x:c>
      <x:c r="B102" s="4" t="str">
        <x:v>A</x:v>
      </x:c>
      <x:c r="C102" s="4" t="str">
        <x:v>Whitetail Deer</x:v>
      </x:c>
      <x:c r="D102" s="4" t="str">
        <x:v>Alabama Creek WMA</x:v>
      </x:c>
      <x:c r="E102" s="4" t="str">
        <x:v>East Texas / Pineywoods</x:v>
      </x:c>
      <x:c r="F102" s="4" t="str">
        <x:v>USFS Antlerless Deer Permit - Youth</x:v>
      </x:c>
      <x:c r="G102" s="4" t="str">
        <x:v>No</x:v>
      </x:c>
      <x:c r="H102" s="4" t="str">
        <x:v>Yes</x:v>
      </x:c>
      <x:c r="I102" s="24" t="str">
        <x:v>2026-09-15</x:v>
      </x:c>
      <x:c r="J102" s="4" t="str">
        <x:v>See TPWD category page</x:v>
      </x:c>
      <x:c r="K102" s="4" t="n">
        <x:v>0</x:v>
      </x:c>
      <x:c r="L102" s="4" t="n">
        <x:v>0</x:v>
      </x:c>
      <x:c r="M102" s="4"/>
      <x:c r="N102" s="4"/>
      <x:c r="O102" s="4"/>
      <x:c r="P102" s="4" t="n">
        <x:v>570</x:v>
      </x:c>
      <x:c r="Q102" s="4" t="str">
        <x:v>Statewide</x:v>
      </x:c>
      <x:c r="R102" s="4" t="str">
        <x:v>Research before draw; property brochure linked from TPWD</x:v>
      </x:c>
      <x:c r="S102" s="4" t="str">
        <x:v>Low</x:v>
      </x:c>
      <x:c r="T102" s="4" t="str">
        <x:v>No</x:v>
      </x:c>
      <x:c r="U102" s="4" t="str">
        <x:v>Verified in TPWD 2026-2027 statewide deer category catalog. APH/eligibility rules apply; confirm account and permit requirements.</x:v>
      </x:c>
      <x:c r="V102" s="4" t="str">
        <x:v>https://tpwd.texas.gov/huntwild/hunt/public/public_hunt_drawing/hunt-category-details.phtml?OCat=FSY</x:v>
      </x:c>
      <x:c r="W102" s="4" t="n">
        <x:v>2</x:v>
      </x:c>
      <x:c r="X102" s="4" t="n">
        <x:v>2</x:v>
      </x:c>
      <x:c r="Y102" s="4" t="n">
        <x:v>5</x:v>
      </x:c>
      <x:c r="Z102" s="4" t="n">
        <x:v>3</x:v>
      </x:c>
      <x:c r="AA102" s="4" t="n">
        <x:v>2</x:v>
      </x:c>
      <x:c r="AB102" s="4" t="n">
        <x:v>0</x:v>
      </x:c>
      <x:c r="AC102" s="4" t="n">
        <x:v>2.5</x:v>
      </x:c>
      <x:c r="AD102" s="4" t="n">
        <x:v>0</x:v>
      </x:c>
      <x:c r="AE102" s="4" t="str">
        <x:v>2026-09-15</x:v>
      </x:c>
      <x:c r="AF102" s="2"/>
      <x:c r="AG102" s="2"/>
      <x:c r="AH102" s="2"/>
      <x:c r="AI102" s="2"/>
      <x:c r="AJ102" s="2"/>
      <x:c r="AK102" s="2"/>
      <x:c r="AL102" s="2"/>
      <x:c r="AM102" s="2" t="str">
        <x:v>https://tpwd.texas.gov/huntwild/hunt/public/public_hunt_drawing/hunt-category-details.phtml?OCat=FSY</x:v>
      </x:c>
      <x:c r="AN102" s="2" t="str">
        <x:v>https://tpwd.texas.gov/search/?q=Alabama+Creek+WMA+public+hunting+brochure</x:v>
      </x:c>
      <x:c r="AO102" s="2" t="str">
        <x:v>https://apps.tpwd.state.tx.us/huntwild/hunt/public/public_hunt_drawing/</x:v>
      </x:c>
      <x:c r="AP102" s="2" t="str">
        <x:v>https://www.google.com/maps/search/?api=1&amp;query=Alabama+Creek+WMA%2C+Texas</x:v>
      </x:c>
      <x:c r="AQ102" s="2" t="n">
        <x:v>0</x:v>
      </x:c>
      <x:c r="AR102" s="2" t="str">
        <x:v>Standard Hastings ranking</x:v>
      </x:c>
    </x:row>
    <x:row r="103">
      <x:c r="A103" s="4" t="str">
        <x:v>No</x:v>
      </x:c>
      <x:c r="B103" s="4" t="str">
        <x:v>A</x:v>
      </x:c>
      <x:c r="C103" s="4" t="str">
        <x:v>Whitetail Deer</x:v>
      </x:c>
      <x:c r="D103" s="4" t="str">
        <x:v>Alabama Creek WMA</x:v>
      </x:c>
      <x:c r="E103" s="4" t="str">
        <x:v>East Texas / Pineywoods</x:v>
      </x:c>
      <x:c r="F103" s="4" t="str">
        <x:v>USFS Buck Deer Permit - Youth</x:v>
      </x:c>
      <x:c r="G103" s="4" t="str">
        <x:v>No</x:v>
      </x:c>
      <x:c r="H103" s="4" t="str">
        <x:v>Yes</x:v>
      </x:c>
      <x:c r="I103" s="24" t="str">
        <x:v>2026-09-15</x:v>
      </x:c>
      <x:c r="J103" s="4" t="str">
        <x:v>See TPWD category page</x:v>
      </x:c>
      <x:c r="K103" s="4" t="n">
        <x:v>0</x:v>
      </x:c>
      <x:c r="L103" s="4" t="n">
        <x:v>0</x:v>
      </x:c>
      <x:c r="M103" s="4"/>
      <x:c r="N103" s="4"/>
      <x:c r="O103" s="4"/>
      <x:c r="P103" s="4" t="n">
        <x:v>570</x:v>
      </x:c>
      <x:c r="Q103" s="4" t="str">
        <x:v>Statewide</x:v>
      </x:c>
      <x:c r="R103" s="4" t="str">
        <x:v>Research before draw; property brochure linked from TPWD</x:v>
      </x:c>
      <x:c r="S103" s="4" t="str">
        <x:v>Low</x:v>
      </x:c>
      <x:c r="T103" s="4" t="str">
        <x:v>No</x:v>
      </x:c>
      <x:c r="U103" s="4" t="str">
        <x:v>Verified in TPWD 2026-2027 statewide deer category catalog. APH/eligibility rules apply; confirm account and permit requirements.</x:v>
      </x:c>
      <x:c r="V103" s="4" t="str">
        <x:v>https://tpwd.texas.gov/huntwild/hunt/public/public_hunt_drawing/hunt-category-details.phtml?OCat=FBY</x:v>
      </x:c>
      <x:c r="W103" s="4" t="n">
        <x:v>2</x:v>
      </x:c>
      <x:c r="X103" s="4" t="n">
        <x:v>2</x:v>
      </x:c>
      <x:c r="Y103" s="4" t="n">
        <x:v>5</x:v>
      </x:c>
      <x:c r="Z103" s="4" t="n">
        <x:v>3</x:v>
      </x:c>
      <x:c r="AA103" s="4" t="n">
        <x:v>2</x:v>
      </x:c>
      <x:c r="AB103" s="4" t="n">
        <x:v>0</x:v>
      </x:c>
      <x:c r="AC103" s="4" t="n">
        <x:v>2.5</x:v>
      </x:c>
      <x:c r="AD103" s="4" t="n">
        <x:v>0</x:v>
      </x:c>
      <x:c r="AE103" s="4" t="str">
        <x:v>2026-09-15</x:v>
      </x:c>
      <x:c r="AF103" s="2"/>
      <x:c r="AG103" s="2"/>
      <x:c r="AH103" s="2"/>
      <x:c r="AI103" s="2"/>
      <x:c r="AJ103" s="2"/>
      <x:c r="AK103" s="2"/>
      <x:c r="AL103" s="2"/>
      <x:c r="AM103" s="2" t="str">
        <x:v>https://tpwd.texas.gov/huntwild/hunt/public/public_hunt_drawing/hunt-category-details.phtml?OCat=FBY</x:v>
      </x:c>
      <x:c r="AN103" s="2" t="str">
        <x:v>https://tpwd.texas.gov/search/?q=Alabama+Creek+WMA+public+hunting+brochure</x:v>
      </x:c>
      <x:c r="AO103" s="2" t="str">
        <x:v>https://apps.tpwd.state.tx.us/huntwild/hunt/public/public_hunt_drawing/</x:v>
      </x:c>
      <x:c r="AP103" s="2" t="str">
        <x:v>https://www.google.com/maps/search/?api=1&amp;query=Alabama+Creek+WMA%2C+Texas</x:v>
      </x:c>
      <x:c r="AQ103" s="2" t="n">
        <x:v>0</x:v>
      </x:c>
      <x:c r="AR103" s="2" t="str">
        <x:v>Standard Hastings ranking</x:v>
      </x:c>
    </x:row>
    <x:row r="104">
      <x:c r="A104" s="4" t="str">
        <x:v>No</x:v>
      </x:c>
      <x:c r="B104" s="4" t="str">
        <x:v>A</x:v>
      </x:c>
      <x:c r="C104" s="4" t="str">
        <x:v>Whitetail Deer</x:v>
      </x:c>
      <x:c r="D104" s="4" t="str">
        <x:v>Bannister WMA</x:v>
      </x:c>
      <x:c r="E104" s="4" t="str">
        <x:v>East Texas / Pineywoods</x:v>
      </x:c>
      <x:c r="F104" s="4" t="str">
        <x:v>USFS Antlerless Deer Permit - Youth</x:v>
      </x:c>
      <x:c r="G104" s="4" t="str">
        <x:v>No</x:v>
      </x:c>
      <x:c r="H104" s="4" t="str">
        <x:v>Yes</x:v>
      </x:c>
      <x:c r="I104" s="24" t="str">
        <x:v>2026-09-15</x:v>
      </x:c>
      <x:c r="J104" s="4" t="str">
        <x:v>See TPWD category page</x:v>
      </x:c>
      <x:c r="K104" s="4" t="n">
        <x:v>0</x:v>
      </x:c>
      <x:c r="L104" s="4" t="n">
        <x:v>0</x:v>
      </x:c>
      <x:c r="M104" s="4"/>
      <x:c r="N104" s="4"/>
      <x:c r="O104" s="4"/>
      <x:c r="P104" s="4" t="n">
        <x:v>570</x:v>
      </x:c>
      <x:c r="Q104" s="4" t="str">
        <x:v>Statewide</x:v>
      </x:c>
      <x:c r="R104" s="4" t="str">
        <x:v>Research before draw; property brochure linked from TPWD</x:v>
      </x:c>
      <x:c r="S104" s="4" t="str">
        <x:v>Low</x:v>
      </x:c>
      <x:c r="T104" s="4" t="str">
        <x:v>No</x:v>
      </x:c>
      <x:c r="U104" s="4" t="str">
        <x:v>Verified in TPWD 2026-2027 statewide deer category catalog. APH/eligibility rules apply; confirm account and permit requirements.</x:v>
      </x:c>
      <x:c r="V104" s="4" t="str">
        <x:v>https://tpwd.texas.gov/huntwild/hunt/public/public_hunt_drawing/hunt-category-details.phtml?OCat=FSY</x:v>
      </x:c>
      <x:c r="W104" s="4" t="n">
        <x:v>2</x:v>
      </x:c>
      <x:c r="X104" s="4" t="n">
        <x:v>2</x:v>
      </x:c>
      <x:c r="Y104" s="4" t="n">
        <x:v>5</x:v>
      </x:c>
      <x:c r="Z104" s="4" t="n">
        <x:v>3</x:v>
      </x:c>
      <x:c r="AA104" s="4" t="n">
        <x:v>2</x:v>
      </x:c>
      <x:c r="AB104" s="4" t="n">
        <x:v>0</x:v>
      </x:c>
      <x:c r="AC104" s="4" t="n">
        <x:v>2.5</x:v>
      </x:c>
      <x:c r="AD104" s="4" t="n">
        <x:v>0</x:v>
      </x:c>
      <x:c r="AE104" s="4" t="str">
        <x:v>2026-09-15</x:v>
      </x:c>
      <x:c r="AF104" s="2"/>
      <x:c r="AG104" s="2"/>
      <x:c r="AH104" s="2"/>
      <x:c r="AI104" s="2"/>
      <x:c r="AJ104" s="2"/>
      <x:c r="AK104" s="2"/>
      <x:c r="AL104" s="2"/>
      <x:c r="AM104" s="2" t="str">
        <x:v>https://tpwd.texas.gov/huntwild/hunt/public/public_hunt_drawing/hunt-category-details.phtml?OCat=FSY</x:v>
      </x:c>
      <x:c r="AN104" s="2" t="str">
        <x:v>https://tpwd.texas.gov/search/?q=Bannister+WMA+public+hunting+brochure</x:v>
      </x:c>
      <x:c r="AO104" s="2" t="str">
        <x:v>https://apps.tpwd.state.tx.us/huntwild/hunt/public/public_hunt_drawing/</x:v>
      </x:c>
      <x:c r="AP104" s="2" t="str">
        <x:v>https://www.google.com/maps/search/?api=1&amp;query=Bannister+WMA%2C+Texas</x:v>
      </x:c>
      <x:c r="AQ104" s="2" t="n">
        <x:v>0</x:v>
      </x:c>
      <x:c r="AR104" s="2" t="str">
        <x:v>Standard Hastings ranking</x:v>
      </x:c>
    </x:row>
    <x:row r="105">
      <x:c r="A105" s="4" t="str">
        <x:v>No</x:v>
      </x:c>
      <x:c r="B105" s="4" t="str">
        <x:v>A</x:v>
      </x:c>
      <x:c r="C105" s="4" t="str">
        <x:v>Whitetail Deer</x:v>
      </x:c>
      <x:c r="D105" s="4" t="str">
        <x:v>Big Lake Bottom WMA</x:v>
      </x:c>
      <x:c r="E105" s="4" t="str">
        <x:v>Statewide / Other</x:v>
      </x:c>
      <x:c r="F105" s="4" t="str">
        <x:v>E-Postcard Youth Deer</x:v>
      </x:c>
      <x:c r="G105" s="4" t="str">
        <x:v>No</x:v>
      </x:c>
      <x:c r="H105" s="4" t="str">
        <x:v>Yes</x:v>
      </x:c>
      <x:c r="I105" s="24" t="str">
        <x:v>2026-09-15</x:v>
      </x:c>
      <x:c r="J105" s="4" t="str">
        <x:v>See TPWD category page</x:v>
      </x:c>
      <x:c r="K105" s="4" t="n">
        <x:v>0</x:v>
      </x:c>
      <x:c r="L105" s="4" t="n">
        <x:v>0</x:v>
      </x:c>
      <x:c r="M105" s="4"/>
      <x:c r="N105" s="4"/>
      <x:c r="O105" s="4"/>
      <x:c r="P105" s="4" t="n">
        <x:v>500</x:v>
      </x:c>
      <x:c r="Q105" s="4" t="str">
        <x:v>Statewide</x:v>
      </x:c>
      <x:c r="R105" s="4" t="str">
        <x:v>Research before draw; property brochure linked from TPWD</x:v>
      </x:c>
      <x:c r="S105" s="4" t="str">
        <x:v>Low</x:v>
      </x:c>
      <x:c r="T105" s="4" t="str">
        <x:v>No</x:v>
      </x:c>
      <x:c r="U105" s="4" t="str">
        <x:v>Verified in TPWD 2026-2027 statewide deer category catalog. APH/eligibility rules apply; confirm account and permit requirements.</x:v>
      </x:c>
      <x:c r="V105" s="4" t="str">
        <x:v>https://tpwd.texas.gov/huntwild/hunt/public/public_hunt_drawing/hunt-category-details.phtml?OCat=EYD</x:v>
      </x:c>
      <x:c r="W105" s="4" t="n">
        <x:v>2</x:v>
      </x:c>
      <x:c r="X105" s="4" t="n">
        <x:v>2</x:v>
      </x:c>
      <x:c r="Y105" s="4" t="n">
        <x:v>5</x:v>
      </x:c>
      <x:c r="Z105" s="4" t="n">
        <x:v>3</x:v>
      </x:c>
      <x:c r="AA105" s="4" t="n">
        <x:v>2</x:v>
      </x:c>
      <x:c r="AB105" s="4" t="n">
        <x:v>0</x:v>
      </x:c>
      <x:c r="AC105" s="4" t="n">
        <x:v>2.5</x:v>
      </x:c>
      <x:c r="AD105" s="4" t="n">
        <x:v>0</x:v>
      </x:c>
      <x:c r="AE105" s="4" t="str">
        <x:v>2026-09-15</x:v>
      </x:c>
      <x:c r="AF105" s="2"/>
      <x:c r="AG105" s="2"/>
      <x:c r="AH105" s="2"/>
      <x:c r="AI105" s="2"/>
      <x:c r="AJ105" s="2"/>
      <x:c r="AK105" s="2"/>
      <x:c r="AL105" s="2"/>
      <x:c r="AM105" s="2" t="str">
        <x:v>https://tpwd.texas.gov/huntwild/hunt/public/public_hunt_drawing/hunt-category-details.phtml?OCat=EYD</x:v>
      </x:c>
      <x:c r="AN105" s="2" t="str">
        <x:v>https://tpwd.texas.gov/search/?q=Big+Lake+Bottom+WMA+public+hunting+brochure</x:v>
      </x:c>
      <x:c r="AO105" s="2" t="str">
        <x:v>https://apps.tpwd.state.tx.us/huntwild/hunt/public/public_hunt_drawing/</x:v>
      </x:c>
      <x:c r="AP105" s="2" t="str">
        <x:v>https://www.google.com/maps/search/?api=1&amp;query=Big+Lake+Bottom+WMA%2C+Texas</x:v>
      </x:c>
      <x:c r="AQ105" s="2" t="n">
        <x:v>0</x:v>
      </x:c>
      <x:c r="AR105" s="2" t="str">
        <x:v>Standard Hastings ranking</x:v>
      </x:c>
    </x:row>
    <x:row r="106">
      <x:c r="A106" s="4" t="str">
        <x:v>No</x:v>
      </x:c>
      <x:c r="B106" s="4" t="str">
        <x:v>A</x:v>
      </x:c>
      <x:c r="C106" s="4" t="str">
        <x:v>Whitetail Deer</x:v>
      </x:c>
      <x:c r="D106" s="4" t="str">
        <x:v>Brazos Bend SP</x:v>
      </x:c>
      <x:c r="E106" s="4" t="str">
        <x:v>Houston / Gulf Coast</x:v>
      </x:c>
      <x:c r="F106" s="4" t="str">
        <x:v>Youth Gun Deer - Antlerless/Spike</x:v>
      </x:c>
      <x:c r="G106" s="4" t="str">
        <x:v>No</x:v>
      </x:c>
      <x:c r="H106" s="4" t="str">
        <x:v>Yes</x:v>
      </x:c>
      <x:c r="I106" s="24" t="str">
        <x:v>2026-09-15</x:v>
      </x:c>
      <x:c r="J106" s="4" t="str">
        <x:v>See TPWD category page</x:v>
      </x:c>
      <x:c r="K106" s="4" t="n">
        <x:v>0</x:v>
      </x:c>
      <x:c r="L106" s="4" t="n">
        <x:v>0</x:v>
      </x:c>
      <x:c r="M106" s="4"/>
      <x:c r="N106" s="4"/>
      <x:c r="O106" s="4"/>
      <x:c r="P106" s="4" t="n">
        <x:v>610</x:v>
      </x:c>
      <x:c r="Q106" s="4" t="str">
        <x:v>Long Haul</x:v>
      </x:c>
      <x:c r="R106" s="4" t="str">
        <x:v>Research before draw; property brochure linked from TPWD</x:v>
      </x:c>
      <x:c r="S106" s="4" t="str">
        <x:v>Low</x:v>
      </x:c>
      <x:c r="T106" s="4" t="str">
        <x:v>No</x:v>
      </x:c>
      <x:c r="U106" s="4" t="str">
        <x:v>Verified in TPWD 2026-2027 statewide deer category catalog.</x:v>
      </x:c>
      <x:c r="V106" s="4" t="str">
        <x:v>https://tpwd.texas.gov/huntwild/hunt/public/public_hunt_drawing/hunt-category-details.phtml?OCat=YDA</x:v>
      </x:c>
      <x:c r="W106" s="4" t="n">
        <x:v>2</x:v>
      </x:c>
      <x:c r="X106" s="4" t="n">
        <x:v>1</x:v>
      </x:c>
      <x:c r="Y106" s="4" t="n">
        <x:v>5</x:v>
      </x:c>
      <x:c r="Z106" s="4" t="n">
        <x:v>3</x:v>
      </x:c>
      <x:c r="AA106" s="4" t="n">
        <x:v>2</x:v>
      </x:c>
      <x:c r="AB106" s="4" t="n">
        <x:v>0</x:v>
      </x:c>
      <x:c r="AC106" s="4" t="n">
        <x:v>2.4</x:v>
      </x:c>
      <x:c r="AD106" s="4" t="n">
        <x:v>0</x:v>
      </x:c>
      <x:c r="AE106" s="4" t="str">
        <x:v>2026-09-15</x:v>
      </x:c>
      <x:c r="AF106" s="2"/>
      <x:c r="AG106" s="2"/>
      <x:c r="AH106" s="2"/>
      <x:c r="AI106" s="2"/>
      <x:c r="AJ106" s="2"/>
      <x:c r="AK106" s="2"/>
      <x:c r="AL106" s="2"/>
      <x:c r="AM106" s="2" t="str">
        <x:v>https://tpwd.texas.gov/huntwild/hunt/public/public_hunt_drawing/hunt-category-details.phtml?OCat=YDA</x:v>
      </x:c>
      <x:c r="AN106" s="2" t="str">
        <x:v>https://tpwd.texas.gov/search/?q=Brazos+Bend+SP+public+hunting+brochure</x:v>
      </x:c>
      <x:c r="AO106" s="2" t="str">
        <x:v>https://apps.tpwd.state.tx.us/huntwild/hunt/public/public_hunt_drawing/</x:v>
      </x:c>
      <x:c r="AP106" s="2" t="str">
        <x:v>https://www.google.com/maps/search/?api=1&amp;query=Brazos+Bend+SP%2C+Texas</x:v>
      </x:c>
      <x:c r="AQ106" s="2" t="n">
        <x:v>0</x:v>
      </x:c>
      <x:c r="AR106" s="2" t="str">
        <x:v>Standard Hastings ranking</x:v>
      </x:c>
    </x:row>
    <x:row r="107">
      <x:c r="A107" s="4" t="str">
        <x:v>No</x:v>
      </x:c>
      <x:c r="B107" s="4" t="str">
        <x:v>A</x:v>
      </x:c>
      <x:c r="C107" s="4" t="str">
        <x:v>Whitetail Deer</x:v>
      </x:c>
      <x:c r="D107" s="4" t="str">
        <x:v>Caddo Lake WMA</x:v>
      </x:c>
      <x:c r="E107" s="4" t="str">
        <x:v>East Texas / Pineywoods</x:v>
      </x:c>
      <x:c r="F107" s="4" t="str">
        <x:v>E-Postcard Youth Deer</x:v>
      </x:c>
      <x:c r="G107" s="4" t="str">
        <x:v>No</x:v>
      </x:c>
      <x:c r="H107" s="4" t="str">
        <x:v>Yes</x:v>
      </x:c>
      <x:c r="I107" s="24" t="str">
        <x:v>2026-09-15</x:v>
      </x:c>
      <x:c r="J107" s="4" t="str">
        <x:v>See TPWD category page</x:v>
      </x:c>
      <x:c r="K107" s="4" t="n">
        <x:v>0</x:v>
      </x:c>
      <x:c r="L107" s="4" t="n">
        <x:v>0</x:v>
      </x:c>
      <x:c r="M107" s="4"/>
      <x:c r="N107" s="4"/>
      <x:c r="O107" s="4"/>
      <x:c r="P107" s="4" t="n">
        <x:v>570</x:v>
      </x:c>
      <x:c r="Q107" s="4" t="str">
        <x:v>Statewide</x:v>
      </x:c>
      <x:c r="R107" s="4" t="str">
        <x:v>Research before draw; property brochure linked from TPWD</x:v>
      </x:c>
      <x:c r="S107" s="4" t="str">
        <x:v>Low</x:v>
      </x:c>
      <x:c r="T107" s="4" t="str">
        <x:v>No</x:v>
      </x:c>
      <x:c r="U107" s="4" t="str">
        <x:v>Verified in TPWD 2026-2027 statewide deer category catalog. APH/eligibility rules apply; confirm account and permit requirements.</x:v>
      </x:c>
      <x:c r="V107" s="4" t="str">
        <x:v>https://tpwd.texas.gov/huntwild/hunt/public/public_hunt_drawing/hunt-category-details.phtml?OCat=EYD</x:v>
      </x:c>
      <x:c r="W107" s="4" t="n">
        <x:v>2</x:v>
      </x:c>
      <x:c r="X107" s="4" t="n">
        <x:v>2</x:v>
      </x:c>
      <x:c r="Y107" s="4" t="n">
        <x:v>5</x:v>
      </x:c>
      <x:c r="Z107" s="4" t="n">
        <x:v>3</x:v>
      </x:c>
      <x:c r="AA107" s="4" t="n">
        <x:v>2</x:v>
      </x:c>
      <x:c r="AB107" s="4" t="n">
        <x:v>0</x:v>
      </x:c>
      <x:c r="AC107" s="4" t="n">
        <x:v>2.5</x:v>
      </x:c>
      <x:c r="AD107" s="4" t="n">
        <x:v>0</x:v>
      </x:c>
      <x:c r="AE107" s="4" t="str">
        <x:v>2026-09-15</x:v>
      </x:c>
      <x:c r="AF107" s="2"/>
      <x:c r="AG107" s="2"/>
      <x:c r="AH107" s="2"/>
      <x:c r="AI107" s="2"/>
      <x:c r="AJ107" s="2"/>
      <x:c r="AK107" s="2"/>
      <x:c r="AL107" s="2"/>
      <x:c r="AM107" s="2" t="str">
        <x:v>https://tpwd.texas.gov/huntwild/hunt/public/public_hunt_drawing/hunt-category-details.phtml?OCat=EYD</x:v>
      </x:c>
      <x:c r="AN107" s="2" t="str">
        <x:v>https://tpwd.texas.gov/search/?q=Caddo+Lake+WMA+public+hunting+brochure</x:v>
      </x:c>
      <x:c r="AO107" s="2" t="str">
        <x:v>https://apps.tpwd.state.tx.us/huntwild/hunt/public/public_hunt_drawing/</x:v>
      </x:c>
      <x:c r="AP107" s="2" t="str">
        <x:v>https://www.google.com/maps/search/?api=1&amp;query=Caddo+Lake+WMA%2C+Texas</x:v>
      </x:c>
      <x:c r="AQ107" s="2" t="n">
        <x:v>0</x:v>
      </x:c>
      <x:c r="AR107" s="2" t="str">
        <x:v>Standard Hastings ranking</x:v>
      </x:c>
    </x:row>
    <x:row r="108">
      <x:c r="A108" s="4" t="str">
        <x:v>No</x:v>
      </x:c>
      <x:c r="B108" s="4" t="str">
        <x:v>A</x:v>
      </x:c>
      <x:c r="C108" s="4" t="str">
        <x:v>Whitetail Deer</x:v>
      </x:c>
      <x:c r="D108" s="4" t="str">
        <x:v>Caddo National Grasslands WMA - Bois d'Arc Unit</x:v>
      </x:c>
      <x:c r="E108" s="4" t="str">
        <x:v>North Texas / DFW</x:v>
      </x:c>
      <x:c r="F108" s="4" t="str">
        <x:v>USFS Antlerless Deer Permit - Youth</x:v>
      </x:c>
      <x:c r="G108" s="4" t="str">
        <x:v>No</x:v>
      </x:c>
      <x:c r="H108" s="4" t="str">
        <x:v>Yes</x:v>
      </x:c>
      <x:c r="I108" s="24" t="str">
        <x:v>2026-09-15</x:v>
      </x:c>
      <x:c r="J108" s="4" t="str">
        <x:v>See TPWD category page</x:v>
      </x:c>
      <x:c r="K108" s="4" t="n">
        <x:v>0</x:v>
      </x:c>
      <x:c r="L108" s="4" t="n">
        <x:v>0</x:v>
      </x:c>
      <x:c r="M108" s="4"/>
      <x:c r="N108" s="4"/>
      <x:c r="O108" s="4"/>
      <x:c r="P108" s="4" t="n">
        <x:v>360</x:v>
      </x:c>
      <x:c r="Q108" s="4" t="str">
        <x:v>Extended</x:v>
      </x:c>
      <x:c r="R108" s="4" t="str">
        <x:v>Research before draw; property brochure linked from TPWD</x:v>
      </x:c>
      <x:c r="S108" s="4" t="str">
        <x:v>Low</x:v>
      </x:c>
      <x:c r="T108" s="4" t="str">
        <x:v>No</x:v>
      </x:c>
      <x:c r="U108" s="4" t="str">
        <x:v>Verified in TPWD 2026-2027 statewide deer category catalog. APH/eligibility rules apply; confirm account and permit requirements.</x:v>
      </x:c>
      <x:c r="V108" s="4" t="str">
        <x:v>https://tpwd.texas.gov/huntwild/hunt/public/public_hunt_drawing/hunt-category-details.phtml?OCat=FSY</x:v>
      </x:c>
      <x:c r="W108" s="4" t="n">
        <x:v>2</x:v>
      </x:c>
      <x:c r="X108" s="4" t="n">
        <x:v>3</x:v>
      </x:c>
      <x:c r="Y108" s="4" t="n">
        <x:v>5</x:v>
      </x:c>
      <x:c r="Z108" s="4" t="n">
        <x:v>3</x:v>
      </x:c>
      <x:c r="AA108" s="4" t="n">
        <x:v>2</x:v>
      </x:c>
      <x:c r="AB108" s="4" t="n">
        <x:v>0</x:v>
      </x:c>
      <x:c r="AC108" s="4" t="n">
        <x:v>2.7</x:v>
      </x:c>
      <x:c r="AD108" s="4" t="n">
        <x:v>0</x:v>
      </x:c>
      <x:c r="AE108" s="4" t="str">
        <x:v>2026-09-15</x:v>
      </x:c>
      <x:c r="AF108" s="2"/>
      <x:c r="AG108" s="2"/>
      <x:c r="AH108" s="2"/>
      <x:c r="AI108" s="2"/>
      <x:c r="AJ108" s="2"/>
      <x:c r="AK108" s="2"/>
      <x:c r="AL108" s="2"/>
      <x:c r="AM108" s="2" t="str">
        <x:v>https://tpwd.texas.gov/huntwild/hunt/public/public_hunt_drawing/hunt-category-details.phtml?OCat=FSY</x:v>
      </x:c>
      <x:c r="AN108" s="2" t="str">
        <x:v>https://tpwd.texas.gov/search/?q=Caddo+National+Grasslands+WMA+-+Bois+d%27Arc+Unit+public+hunting+brochure</x:v>
      </x:c>
      <x:c r="AO108" s="2" t="str">
        <x:v>https://apps.tpwd.state.tx.us/huntwild/hunt/public/public_hunt_drawing/</x:v>
      </x:c>
      <x:c r="AP108" s="2" t="str">
        <x:v>https://www.google.com/maps/search/?api=1&amp;query=Caddo+National+Grasslands+WMA+-+Bois+d%27Arc+Unit%2C+Texas</x:v>
      </x:c>
      <x:c r="AQ108" s="2" t="n">
        <x:v>0</x:v>
      </x:c>
      <x:c r="AR108" s="2" t="str">
        <x:v>Standard Hastings ranking</x:v>
      </x:c>
    </x:row>
    <x:row r="109">
      <x:c r="A109" s="4" t="str">
        <x:v>No</x:v>
      </x:c>
      <x:c r="B109" s="4" t="str">
        <x:v>A</x:v>
      </x:c>
      <x:c r="C109" s="4" t="str">
        <x:v>Whitetail Deer</x:v>
      </x:c>
      <x:c r="D109" s="4" t="str">
        <x:v>Caddo National Grasslands WMA - Ladonia Unit</x:v>
      </x:c>
      <x:c r="E109" s="4" t="str">
        <x:v>North Texas / DFW</x:v>
      </x:c>
      <x:c r="F109" s="4" t="str">
        <x:v>USFS Antlerless Deer Permit - Youth</x:v>
      </x:c>
      <x:c r="G109" s="4" t="str">
        <x:v>No</x:v>
      </x:c>
      <x:c r="H109" s="4" t="str">
        <x:v>Yes</x:v>
      </x:c>
      <x:c r="I109" s="24" t="str">
        <x:v>2026-09-15</x:v>
      </x:c>
      <x:c r="J109" s="4" t="str">
        <x:v>See TPWD category page</x:v>
      </x:c>
      <x:c r="K109" s="4" t="n">
        <x:v>0</x:v>
      </x:c>
      <x:c r="L109" s="4" t="n">
        <x:v>0</x:v>
      </x:c>
      <x:c r="M109" s="4"/>
      <x:c r="N109" s="4"/>
      <x:c r="O109" s="4"/>
      <x:c r="P109" s="4" t="n">
        <x:v>360</x:v>
      </x:c>
      <x:c r="Q109" s="4" t="str">
        <x:v>Extended</x:v>
      </x:c>
      <x:c r="R109" s="4" t="str">
        <x:v>Research before draw; property brochure linked from TPWD</x:v>
      </x:c>
      <x:c r="S109" s="4" t="str">
        <x:v>Low</x:v>
      </x:c>
      <x:c r="T109" s="4" t="str">
        <x:v>No</x:v>
      </x:c>
      <x:c r="U109" s="4" t="str">
        <x:v>Verified in TPWD 2026-2027 statewide deer category catalog. APH/eligibility rules apply; confirm account and permit requirements.</x:v>
      </x:c>
      <x:c r="V109" s="4" t="str">
        <x:v>https://tpwd.texas.gov/huntwild/hunt/public/public_hunt_drawing/hunt-category-details.phtml?OCat=FSY</x:v>
      </x:c>
      <x:c r="W109" s="4" t="n">
        <x:v>2</x:v>
      </x:c>
      <x:c r="X109" s="4" t="n">
        <x:v>3</x:v>
      </x:c>
      <x:c r="Y109" s="4" t="n">
        <x:v>5</x:v>
      </x:c>
      <x:c r="Z109" s="4" t="n">
        <x:v>3</x:v>
      </x:c>
      <x:c r="AA109" s="4" t="n">
        <x:v>2</x:v>
      </x:c>
      <x:c r="AB109" s="4" t="n">
        <x:v>0</x:v>
      </x:c>
      <x:c r="AC109" s="4" t="n">
        <x:v>2.7</x:v>
      </x:c>
      <x:c r="AD109" s="4" t="n">
        <x:v>0</x:v>
      </x:c>
      <x:c r="AE109" s="4" t="str">
        <x:v>2026-09-15</x:v>
      </x:c>
      <x:c r="AF109" s="2"/>
      <x:c r="AG109" s="2"/>
      <x:c r="AH109" s="2"/>
      <x:c r="AI109" s="2"/>
      <x:c r="AJ109" s="2"/>
      <x:c r="AK109" s="2"/>
      <x:c r="AL109" s="2"/>
      <x:c r="AM109" s="2" t="str">
        <x:v>https://tpwd.texas.gov/huntwild/hunt/public/public_hunt_drawing/hunt-category-details.phtml?OCat=FSY</x:v>
      </x:c>
      <x:c r="AN109" s="2" t="str">
        <x:v>https://tpwd.texas.gov/search/?q=Caddo+National+Grasslands+WMA+-+Ladonia+Unit+public+hunting+brochure</x:v>
      </x:c>
      <x:c r="AO109" s="2" t="str">
        <x:v>https://apps.tpwd.state.tx.us/huntwild/hunt/public/public_hunt_drawing/</x:v>
      </x:c>
      <x:c r="AP109" s="2" t="str">
        <x:v>https://www.google.com/maps/search/?api=1&amp;query=Caddo+National+Grasslands+WMA+-+Ladonia+Unit%2C+Texas</x:v>
      </x:c>
      <x:c r="AQ109" s="2" t="n">
        <x:v>0</x:v>
      </x:c>
      <x:c r="AR109" s="2" t="str">
        <x:v>Standard Hastings ranking</x:v>
      </x:c>
    </x:row>
    <x:row r="110">
      <x:c r="A110" s="4" t="str">
        <x:v>No</x:v>
      </x:c>
      <x:c r="B110" s="4" t="str">
        <x:v>A</x:v>
      </x:c>
      <x:c r="C110" s="4" t="str">
        <x:v>Whitetail Deer</x:v>
      </x:c>
      <x:c r="D110" s="4" t="str">
        <x:v>Chaparral WMA</x:v>
      </x:c>
      <x:c r="E110" s="4" t="str">
        <x:v>South Texas / Rio Grande Valley</x:v>
      </x:c>
      <x:c r="F110" s="4" t="str">
        <x:v>Youth Gun Deer - Antlerless/Spike</x:v>
      </x:c>
      <x:c r="G110" s="4" t="str">
        <x:v>No</x:v>
      </x:c>
      <x:c r="H110" s="4" t="str">
        <x:v>Yes</x:v>
      </x:c>
      <x:c r="I110" s="24" t="str">
        <x:v>2026-09-15</x:v>
      </x:c>
      <x:c r="J110" s="4" t="str">
        <x:v>See TPWD category page</x:v>
      </x:c>
      <x:c r="K110" s="4" t="n">
        <x:v>0</x:v>
      </x:c>
      <x:c r="L110" s="4" t="n">
        <x:v>0</x:v>
      </x:c>
      <x:c r="M110" s="4"/>
      <x:c r="N110" s="4"/>
      <x:c r="O110" s="4"/>
      <x:c r="P110" s="4" t="n">
        <x:v>700</x:v>
      </x:c>
      <x:c r="Q110" s="4" t="str">
        <x:v>Long Haul</x:v>
      </x:c>
      <x:c r="R110" s="4" t="str">
        <x:v>Research before draw; property brochure linked from TPWD</x:v>
      </x:c>
      <x:c r="S110" s="4" t="str">
        <x:v>Low</x:v>
      </x:c>
      <x:c r="T110" s="4" t="str">
        <x:v>No</x:v>
      </x:c>
      <x:c r="U110" s="4" t="str">
        <x:v>Verified in TPWD 2026-2027 statewide deer category catalog.</x:v>
      </x:c>
      <x:c r="V110" s="4" t="str">
        <x:v>https://tpwd.texas.gov/huntwild/hunt/public/public_hunt_drawing/hunt-category-details.phtml?OCat=YDA</x:v>
      </x:c>
      <x:c r="W110" s="4" t="n">
        <x:v>2</x:v>
      </x:c>
      <x:c r="X110" s="4" t="n">
        <x:v>1</x:v>
      </x:c>
      <x:c r="Y110" s="4" t="n">
        <x:v>5</x:v>
      </x:c>
      <x:c r="Z110" s="4" t="n">
        <x:v>3</x:v>
      </x:c>
      <x:c r="AA110" s="4" t="n">
        <x:v>2</x:v>
      </x:c>
      <x:c r="AB110" s="4" t="n">
        <x:v>0</x:v>
      </x:c>
      <x:c r="AC110" s="4" t="n">
        <x:v>2.4</x:v>
      </x:c>
      <x:c r="AD110" s="4" t="n">
        <x:v>0</x:v>
      </x:c>
      <x:c r="AE110" s="4" t="str">
        <x:v>2026-09-15</x:v>
      </x:c>
      <x:c r="AF110" s="2"/>
      <x:c r="AG110" s="2"/>
      <x:c r="AH110" s="2"/>
      <x:c r="AI110" s="2"/>
      <x:c r="AJ110" s="2"/>
      <x:c r="AK110" s="2"/>
      <x:c r="AL110" s="2"/>
      <x:c r="AM110" s="2" t="str">
        <x:v>https://tpwd.texas.gov/huntwild/hunt/public/public_hunt_drawing/hunt-category-details.phtml?OCat=YDA</x:v>
      </x:c>
      <x:c r="AN110" s="2" t="str">
        <x:v>https://tpwd.texas.gov/search/?q=Chaparral+WMA+public+hunting+brochure</x:v>
      </x:c>
      <x:c r="AO110" s="2" t="str">
        <x:v>https://apps.tpwd.state.tx.us/huntwild/hunt/public/public_hunt_drawing/</x:v>
      </x:c>
      <x:c r="AP110" s="2" t="str">
        <x:v>https://www.google.com/maps/search/?api=1&amp;query=Chaparral+WMA%2C+Texas</x:v>
      </x:c>
      <x:c r="AQ110" s="2" t="n">
        <x:v>0</x:v>
      </x:c>
      <x:c r="AR110" s="2" t="str">
        <x:v>Standard Hastings ranking</x:v>
      </x:c>
    </x:row>
    <x:row r="111">
      <x:c r="A111" s="4" t="str">
        <x:v>No</x:v>
      </x:c>
      <x:c r="B111" s="4" t="str">
        <x:v>A</x:v>
      </x:c>
      <x:c r="C111" s="4" t="str">
        <x:v>Whitetail Deer</x:v>
      </x:c>
      <x:c r="D111" s="4" t="str">
        <x:v>Choke Canyon SP - North Shore Unit</x:v>
      </x:c>
      <x:c r="E111" s="4" t="str">
        <x:v>South Texas / Rio Grande Valley</x:v>
      </x:c>
      <x:c r="F111" s="4" t="str">
        <x:v>Youth Gun Deer - Antlerless/Spike</x:v>
      </x:c>
      <x:c r="G111" s="4" t="str">
        <x:v>No</x:v>
      </x:c>
      <x:c r="H111" s="4" t="str">
        <x:v>Yes</x:v>
      </x:c>
      <x:c r="I111" s="24" t="str">
        <x:v>2026-09-15</x:v>
      </x:c>
      <x:c r="J111" s="4" t="str">
        <x:v>See TPWD category page</x:v>
      </x:c>
      <x:c r="K111" s="4" t="n">
        <x:v>0</x:v>
      </x:c>
      <x:c r="L111" s="4" t="n">
        <x:v>0</x:v>
      </x:c>
      <x:c r="M111" s="4"/>
      <x:c r="N111" s="4"/>
      <x:c r="O111" s="4"/>
      <x:c r="P111" s="4" t="n">
        <x:v>700</x:v>
      </x:c>
      <x:c r="Q111" s="4" t="str">
        <x:v>Long Haul</x:v>
      </x:c>
      <x:c r="R111" s="4" t="str">
        <x:v>Research before draw; property brochure linked from TPWD</x:v>
      </x:c>
      <x:c r="S111" s="4" t="str">
        <x:v>Low</x:v>
      </x:c>
      <x:c r="T111" s="4" t="str">
        <x:v>No</x:v>
      </x:c>
      <x:c r="U111" s="4" t="str">
        <x:v>Verified in TPWD 2026-2027 statewide deer category catalog.</x:v>
      </x:c>
      <x:c r="V111" s="4" t="str">
        <x:v>https://tpwd.texas.gov/huntwild/hunt/public/public_hunt_drawing/hunt-category-details.phtml?OCat=YDA</x:v>
      </x:c>
      <x:c r="W111" s="4" t="n">
        <x:v>2</x:v>
      </x:c>
      <x:c r="X111" s="4" t="n">
        <x:v>1</x:v>
      </x:c>
      <x:c r="Y111" s="4" t="n">
        <x:v>5</x:v>
      </x:c>
      <x:c r="Z111" s="4" t="n">
        <x:v>3</x:v>
      </x:c>
      <x:c r="AA111" s="4" t="n">
        <x:v>2</x:v>
      </x:c>
      <x:c r="AB111" s="4" t="n">
        <x:v>0</x:v>
      </x:c>
      <x:c r="AC111" s="4" t="n">
        <x:v>2.4</x:v>
      </x:c>
      <x:c r="AD111" s="4" t="n">
        <x:v>0</x:v>
      </x:c>
      <x:c r="AE111" s="4" t="str">
        <x:v>2026-09-15</x:v>
      </x:c>
      <x:c r="AF111" s="2"/>
      <x:c r="AG111" s="2"/>
      <x:c r="AH111" s="2"/>
      <x:c r="AI111" s="2"/>
      <x:c r="AJ111" s="2"/>
      <x:c r="AK111" s="2"/>
      <x:c r="AL111" s="2"/>
      <x:c r="AM111" s="2" t="str">
        <x:v>https://tpwd.texas.gov/huntwild/hunt/public/public_hunt_drawing/hunt-category-details.phtml?OCat=YDA</x:v>
      </x:c>
      <x:c r="AN111" s="2" t="str">
        <x:v>https://tpwd.texas.gov/search/?q=Choke+Canyon+SP+-+North+Shore+Unit+public+hunting+brochure</x:v>
      </x:c>
      <x:c r="AO111" s="2" t="str">
        <x:v>https://apps.tpwd.state.tx.us/huntwild/hunt/public/public_hunt_drawing/</x:v>
      </x:c>
      <x:c r="AP111" s="2" t="str">
        <x:v>https://www.google.com/maps/search/?api=1&amp;query=Choke+Canyon+SP+-+North+Shore+Unit%2C+Texas</x:v>
      </x:c>
      <x:c r="AQ111" s="2" t="n">
        <x:v>0</x:v>
      </x:c>
      <x:c r="AR111" s="2" t="str">
        <x:v>Standard Hastings ranking</x:v>
      </x:c>
    </x:row>
    <x:row r="112">
      <x:c r="A112" s="4" t="str">
        <x:v>No</x:v>
      </x:c>
      <x:c r="B112" s="4" t="str">
        <x:v>A</x:v>
      </x:c>
      <x:c r="C112" s="4" t="str">
        <x:v>Whitetail Deer</x:v>
      </x:c>
      <x:c r="D112" s="4" t="str">
        <x:v>Choke Canyon SP - North Shore Unit</x:v>
      </x:c>
      <x:c r="E112" s="4" t="str">
        <x:v>South Texas / Rio Grande Valley</x:v>
      </x:c>
      <x:c r="F112" s="4" t="str">
        <x:v>Youth Gun Deer - Management</x:v>
      </x:c>
      <x:c r="G112" s="4" t="str">
        <x:v>No</x:v>
      </x:c>
      <x:c r="H112" s="4" t="str">
        <x:v>Yes</x:v>
      </x:c>
      <x:c r="I112" s="24" t="str">
        <x:v>2026-09-15</x:v>
      </x:c>
      <x:c r="J112" s="4" t="str">
        <x:v>See TPWD category page</x:v>
      </x:c>
      <x:c r="K112" s="4" t="n">
        <x:v>0</x:v>
      </x:c>
      <x:c r="L112" s="4" t="n">
        <x:v>0</x:v>
      </x:c>
      <x:c r="M112" s="4"/>
      <x:c r="N112" s="4"/>
      <x:c r="O112" s="4"/>
      <x:c r="P112" s="4" t="n">
        <x:v>700</x:v>
      </x:c>
      <x:c r="Q112" s="4" t="str">
        <x:v>Long Haul</x:v>
      </x:c>
      <x:c r="R112" s="4" t="str">
        <x:v>Research before draw; property brochure linked from TPWD</x:v>
      </x:c>
      <x:c r="S112" s="4" t="str">
        <x:v>Low</x:v>
      </x:c>
      <x:c r="T112" s="4" t="str">
        <x:v>No</x:v>
      </x:c>
      <x:c r="U112" s="4" t="str">
        <x:v>Verified in TPWD 2026-2027 statewide deer category catalog.</x:v>
      </x:c>
      <x:c r="V112" s="4" t="str">
        <x:v>https://tpwd.texas.gov/huntwild/hunt/public/public_hunt_drawing/hunt-category-details.phtml?OCat=YDM</x:v>
      </x:c>
      <x:c r="W112" s="4" t="n">
        <x:v>2</x:v>
      </x:c>
      <x:c r="X112" s="4" t="n">
        <x:v>1</x:v>
      </x:c>
      <x:c r="Y112" s="4" t="n">
        <x:v>5</x:v>
      </x:c>
      <x:c r="Z112" s="4" t="n">
        <x:v>3</x:v>
      </x:c>
      <x:c r="AA112" s="4" t="n">
        <x:v>2</x:v>
      </x:c>
      <x:c r="AB112" s="4" t="n">
        <x:v>0</x:v>
      </x:c>
      <x:c r="AC112" s="4" t="n">
        <x:v>2.4</x:v>
      </x:c>
      <x:c r="AD112" s="4" t="n">
        <x:v>0</x:v>
      </x:c>
      <x:c r="AE112" s="4" t="str">
        <x:v>2026-09-15</x:v>
      </x:c>
      <x:c r="AF112" s="2"/>
      <x:c r="AG112" s="2"/>
      <x:c r="AH112" s="2"/>
      <x:c r="AI112" s="2"/>
      <x:c r="AJ112" s="2"/>
      <x:c r="AK112" s="2"/>
      <x:c r="AL112" s="2"/>
      <x:c r="AM112" s="2" t="str">
        <x:v>https://tpwd.texas.gov/huntwild/hunt/public/public_hunt_drawing/hunt-category-details.phtml?OCat=YDM</x:v>
      </x:c>
      <x:c r="AN112" s="2" t="str">
        <x:v>https://tpwd.texas.gov/search/?q=Choke+Canyon+SP+-+North+Shore+Unit+public+hunting+brochure</x:v>
      </x:c>
      <x:c r="AO112" s="2" t="str">
        <x:v>https://apps.tpwd.state.tx.us/huntwild/hunt/public/public_hunt_drawing/</x:v>
      </x:c>
      <x:c r="AP112" s="2" t="str">
        <x:v>https://www.google.com/maps/search/?api=1&amp;query=Choke+Canyon+SP+-+North+Shore+Unit%2C+Texas</x:v>
      </x:c>
      <x:c r="AQ112" s="2" t="n">
        <x:v>0</x:v>
      </x:c>
      <x:c r="AR112" s="2" t="str">
        <x:v>Standard Hastings ranking</x:v>
      </x:c>
    </x:row>
    <x:row r="113">
      <x:c r="A113" s="4" t="str">
        <x:v>No</x:v>
      </x:c>
      <x:c r="B113" s="4" t="str">
        <x:v>A</x:v>
      </x:c>
      <x:c r="C113" s="4" t="str">
        <x:v>Whitetail Deer</x:v>
      </x:c>
      <x:c r="D113" s="4" t="str">
        <x:v>Cooper Lake State Park</x:v>
      </x:c>
      <x:c r="E113" s="4" t="str">
        <x:v>North Texas / DFW</x:v>
      </x:c>
      <x:c r="F113" s="4" t="str">
        <x:v>Youth Gun Deer - Antlerless/Spike</x:v>
      </x:c>
      <x:c r="G113" s="4" t="str">
        <x:v>No</x:v>
      </x:c>
      <x:c r="H113" s="4" t="str">
        <x:v>Yes</x:v>
      </x:c>
      <x:c r="I113" s="24" t="str">
        <x:v>2026-09-15</x:v>
      </x:c>
      <x:c r="J113" s="4" t="str">
        <x:v>See TPWD category page</x:v>
      </x:c>
      <x:c r="K113" s="4" t="n">
        <x:v>0</x:v>
      </x:c>
      <x:c r="L113" s="4" t="n">
        <x:v>0</x:v>
      </x:c>
      <x:c r="M113" s="4"/>
      <x:c r="N113" s="4"/>
      <x:c r="O113" s="4"/>
      <x:c r="P113" s="4" t="n">
        <x:v>360</x:v>
      </x:c>
      <x:c r="Q113" s="4" t="str">
        <x:v>Extended</x:v>
      </x:c>
      <x:c r="R113" s="4" t="str">
        <x:v>Research before draw; property brochure linked from TPWD</x:v>
      </x:c>
      <x:c r="S113" s="4" t="str">
        <x:v>Low</x:v>
      </x:c>
      <x:c r="T113" s="4" t="str">
        <x:v>No</x:v>
      </x:c>
      <x:c r="U113" s="4" t="str">
        <x:v>Verified in TPWD 2026-2027 statewide deer category catalog.</x:v>
      </x:c>
      <x:c r="V113" s="4" t="str">
        <x:v>https://tpwd.texas.gov/huntwild/hunt/public/public_hunt_drawing/hunt-category-details.phtml?OCat=YDA</x:v>
      </x:c>
      <x:c r="W113" s="4" t="n">
        <x:v>2</x:v>
      </x:c>
      <x:c r="X113" s="4" t="n">
        <x:v>3</x:v>
      </x:c>
      <x:c r="Y113" s="4" t="n">
        <x:v>5</x:v>
      </x:c>
      <x:c r="Z113" s="4" t="n">
        <x:v>3</x:v>
      </x:c>
      <x:c r="AA113" s="4" t="n">
        <x:v>2</x:v>
      </x:c>
      <x:c r="AB113" s="4" t="n">
        <x:v>0</x:v>
      </x:c>
      <x:c r="AC113" s="4" t="n">
        <x:v>2.7</x:v>
      </x:c>
      <x:c r="AD113" s="4" t="n">
        <x:v>0</x:v>
      </x:c>
      <x:c r="AE113" s="4" t="str">
        <x:v>2026-09-15</x:v>
      </x:c>
      <x:c r="AF113" s="2"/>
      <x:c r="AG113" s="2"/>
      <x:c r="AH113" s="2"/>
      <x:c r="AI113" s="2"/>
      <x:c r="AJ113" s="2"/>
      <x:c r="AK113" s="2"/>
      <x:c r="AL113" s="2"/>
      <x:c r="AM113" s="2" t="str">
        <x:v>https://tpwd.texas.gov/huntwild/hunt/public/public_hunt_drawing/hunt-category-details.phtml?OCat=YDA</x:v>
      </x:c>
      <x:c r="AN113" s="2" t="str">
        <x:v>https://tpwd.texas.gov/search/?q=Cooper+Lake+State+Park+public+hunting+brochure</x:v>
      </x:c>
      <x:c r="AO113" s="2" t="str">
        <x:v>https://apps.tpwd.state.tx.us/huntwild/hunt/public/public_hunt_drawing/</x:v>
      </x:c>
      <x:c r="AP113" s="2" t="str">
        <x:v>https://www.google.com/maps/search/?api=1&amp;query=Cooper+Lake+State+Park%2C+Texas</x:v>
      </x:c>
      <x:c r="AQ113" s="2" t="n">
        <x:v>0</x:v>
      </x:c>
      <x:c r="AR113" s="2" t="str">
        <x:v>Standard Hastings ranking</x:v>
      </x:c>
    </x:row>
    <x:row r="114">
      <x:c r="A114" s="4" t="str">
        <x:v>No</x:v>
      </x:c>
      <x:c r="B114" s="4" t="str">
        <x:v>A</x:v>
      </x:c>
      <x:c r="C114" s="4" t="str">
        <x:v>Whitetail Deer</x:v>
      </x:c>
      <x:c r="D114" s="4" t="str">
        <x:v>Gene Howe WMA</x:v>
      </x:c>
      <x:c r="E114" s="4" t="str">
        <x:v>Panhandle / Rolling Plains</x:v>
      </x:c>
      <x:c r="F114" s="4" t="str">
        <x:v>Youth Gun Deer - Antlerless/Spike</x:v>
      </x:c>
      <x:c r="G114" s="4" t="str">
        <x:v>No</x:v>
      </x:c>
      <x:c r="H114" s="4" t="str">
        <x:v>Yes</x:v>
      </x:c>
      <x:c r="I114" s="24" t="str">
        <x:v>2026-09-15</x:v>
      </x:c>
      <x:c r="J114" s="4" t="str">
        <x:v>See TPWD category page</x:v>
      </x:c>
      <x:c r="K114" s="4" t="n">
        <x:v>0</x:v>
      </x:c>
      <x:c r="L114" s="4" t="n">
        <x:v>0</x:v>
      </x:c>
      <x:c r="M114" s="4"/>
      <x:c r="N114" s="4"/>
      <x:c r="O114" s="4"/>
      <x:c r="P114" s="4" t="n">
        <x:v>130</x:v>
      </x:c>
      <x:c r="Q114" s="4" t="str">
        <x:v>Core</x:v>
      </x:c>
      <x:c r="R114" s="4" t="str">
        <x:v>Research before draw; property brochure linked from TPWD</x:v>
      </x:c>
      <x:c r="S114" s="4" t="str">
        <x:v>High</x:v>
      </x:c>
      <x:c r="T114" s="4" t="str">
        <x:v>No</x:v>
      </x:c>
      <x:c r="U114" s="4" t="str">
        <x:v>Verified in TPWD 2026-2027 statewide deer category catalog.</x:v>
      </x:c>
      <x:c r="V114" s="4" t="str">
        <x:v>https://tpwd.texas.gov/huntwild/hunt/public/public_hunt_drawing/hunt-category-details.phtml?OCat=YDA</x:v>
      </x:c>
      <x:c r="W114" s="4" t="n">
        <x:v>2</x:v>
      </x:c>
      <x:c r="X114" s="4" t="n">
        <x:v>5</x:v>
      </x:c>
      <x:c r="Y114" s="4" t="n">
        <x:v>5</x:v>
      </x:c>
      <x:c r="Z114" s="4" t="n">
        <x:v>3</x:v>
      </x:c>
      <x:c r="AA114" s="4" t="n">
        <x:v>4</x:v>
      </x:c>
      <x:c r="AB114" s="4" t="n">
        <x:v>0</x:v>
      </x:c>
      <x:c r="AC114" s="4" t="n">
        <x:v>3.2</x:v>
      </x:c>
      <x:c r="AD114" s="4" t="n">
        <x:v>0</x:v>
      </x:c>
      <x:c r="AE114" s="4" t="str">
        <x:v>2026-09-15</x:v>
      </x:c>
      <x:c r="AF114" s="2"/>
      <x:c r="AG114" s="2"/>
      <x:c r="AH114" s="2"/>
      <x:c r="AI114" s="2"/>
      <x:c r="AJ114" s="2"/>
      <x:c r="AK114" s="2"/>
      <x:c r="AL114" s="2"/>
      <x:c r="AM114" s="2" t="str">
        <x:v>https://tpwd.texas.gov/huntwild/hunt/public/public_hunt_drawing/hunt-category-details.phtml?OCat=YDA</x:v>
      </x:c>
      <x:c r="AN114" s="2" t="str">
        <x:v>https://tpwd.texas.gov/search/?q=Gene+Howe+WMA+public+hunting+brochure</x:v>
      </x:c>
      <x:c r="AO114" s="2" t="str">
        <x:v>https://apps.tpwd.state.tx.us/huntwild/hunt/public/public_hunt_drawing/</x:v>
      </x:c>
      <x:c r="AP114" s="2" t="str">
        <x:v>https://www.google.com/maps/search/?api=1&amp;query=Gene+Howe+WMA%2C+Texas</x:v>
      </x:c>
      <x:c r="AQ114" s="2" t="n">
        <x:v>0</x:v>
      </x:c>
      <x:c r="AR114" s="2" t="str">
        <x:v>Standard Hastings ranking</x:v>
      </x:c>
    </x:row>
    <x:row r="115">
      <x:c r="A115" s="4" t="str">
        <x:v>No</x:v>
      </x:c>
      <x:c r="B115" s="4" t="str">
        <x:v>A</x:v>
      </x:c>
      <x:c r="C115" s="4" t="str">
        <x:v>Whitetail Deer</x:v>
      </x:c>
      <x:c r="D115" s="4" t="str">
        <x:v>Granger PHL</x:v>
      </x:c>
      <x:c r="E115" s="4" t="str">
        <x:v>Central Texas / Austin</x:v>
      </x:c>
      <x:c r="F115" s="4" t="str">
        <x:v>Youth Gun Deer - Antlerless/Spike</x:v>
      </x:c>
      <x:c r="G115" s="4" t="str">
        <x:v>No</x:v>
      </x:c>
      <x:c r="H115" s="4" t="str">
        <x:v>Yes</x:v>
      </x:c>
      <x:c r="I115" s="24" t="str">
        <x:v>2026-09-15</x:v>
      </x:c>
      <x:c r="J115" s="4" t="str">
        <x:v>See TPWD category page</x:v>
      </x:c>
      <x:c r="K115" s="4" t="n">
        <x:v>0</x:v>
      </x:c>
      <x:c r="L115" s="4" t="n">
        <x:v>0</x:v>
      </x:c>
      <x:c r="M115" s="4"/>
      <x:c r="N115" s="4"/>
      <x:c r="O115" s="4"/>
      <x:c r="P115" s="4" t="n">
        <x:v>490</x:v>
      </x:c>
      <x:c r="Q115" s="4" t="str">
        <x:v>Statewide</x:v>
      </x:c>
      <x:c r="R115" s="4" t="str">
        <x:v>Research before draw; property brochure linked from TPWD</x:v>
      </x:c>
      <x:c r="S115" s="4" t="str">
        <x:v>Low</x:v>
      </x:c>
      <x:c r="T115" s="4" t="str">
        <x:v>No</x:v>
      </x:c>
      <x:c r="U115" s="4" t="str">
        <x:v>Verified in TPWD 2026-2027 statewide deer category catalog.</x:v>
      </x:c>
      <x:c r="V115" s="4" t="str">
        <x:v>https://tpwd.texas.gov/huntwild/hunt/public/public_hunt_drawing/hunt-category-details.phtml?OCat=YDA</x:v>
      </x:c>
      <x:c r="W115" s="4" t="n">
        <x:v>2</x:v>
      </x:c>
      <x:c r="X115" s="4" t="n">
        <x:v>2</x:v>
      </x:c>
      <x:c r="Y115" s="4" t="n">
        <x:v>5</x:v>
      </x:c>
      <x:c r="Z115" s="4" t="n">
        <x:v>3</x:v>
      </x:c>
      <x:c r="AA115" s="4" t="n">
        <x:v>2</x:v>
      </x:c>
      <x:c r="AB115" s="4" t="n">
        <x:v>0</x:v>
      </x:c>
      <x:c r="AC115" s="4" t="n">
        <x:v>2.5</x:v>
      </x:c>
      <x:c r="AD115" s="4" t="n">
        <x:v>0</x:v>
      </x:c>
      <x:c r="AE115" s="4" t="str">
        <x:v>2026-09-15</x:v>
      </x:c>
      <x:c r="AF115" s="2"/>
      <x:c r="AG115" s="2"/>
      <x:c r="AH115" s="2"/>
      <x:c r="AI115" s="2"/>
      <x:c r="AJ115" s="2"/>
      <x:c r="AK115" s="2"/>
      <x:c r="AL115" s="2"/>
      <x:c r="AM115" s="2" t="str">
        <x:v>https://tpwd.texas.gov/huntwild/hunt/public/public_hunt_drawing/hunt-category-details.phtml?OCat=YDA</x:v>
      </x:c>
      <x:c r="AN115" s="2" t="str">
        <x:v>https://tpwd.texas.gov/search/?q=Granger+PHL+public+hunting+brochure</x:v>
      </x:c>
      <x:c r="AO115" s="2" t="str">
        <x:v>https://apps.tpwd.state.tx.us/huntwild/hunt/public/public_hunt_drawing/</x:v>
      </x:c>
      <x:c r="AP115" s="2" t="str">
        <x:v>https://www.google.com/maps/search/?api=1&amp;query=Granger+PHL%2C+Texas</x:v>
      </x:c>
      <x:c r="AQ115" s="2" t="n">
        <x:v>0</x:v>
      </x:c>
      <x:c r="AR115" s="2" t="str">
        <x:v>Standard Hastings ranking</x:v>
      </x:c>
    </x:row>
    <x:row r="116">
      <x:c r="A116" s="4" t="str">
        <x:v>No</x:v>
      </x:c>
      <x:c r="B116" s="4" t="str">
        <x:v>A</x:v>
      </x:c>
      <x:c r="C116" s="4" t="str">
        <x:v>Whitetail Deer</x:v>
      </x:c>
      <x:c r="D116" s="4" t="str">
        <x:v>Granger PHL</x:v>
      </x:c>
      <x:c r="E116" s="4" t="str">
        <x:v>Central Texas / Austin</x:v>
      </x:c>
      <x:c r="F116" s="4" t="str">
        <x:v>Youth Gun Deer - Management</x:v>
      </x:c>
      <x:c r="G116" s="4" t="str">
        <x:v>No</x:v>
      </x:c>
      <x:c r="H116" s="4" t="str">
        <x:v>Yes</x:v>
      </x:c>
      <x:c r="I116" s="24" t="str">
        <x:v>2026-09-15</x:v>
      </x:c>
      <x:c r="J116" s="4" t="str">
        <x:v>See TPWD category page</x:v>
      </x:c>
      <x:c r="K116" s="4" t="n">
        <x:v>0</x:v>
      </x:c>
      <x:c r="L116" s="4" t="n">
        <x:v>0</x:v>
      </x:c>
      <x:c r="M116" s="4"/>
      <x:c r="N116" s="4"/>
      <x:c r="O116" s="4"/>
      <x:c r="P116" s="4" t="n">
        <x:v>490</x:v>
      </x:c>
      <x:c r="Q116" s="4" t="str">
        <x:v>Statewide</x:v>
      </x:c>
      <x:c r="R116" s="4" t="str">
        <x:v>Research before draw; property brochure linked from TPWD</x:v>
      </x:c>
      <x:c r="S116" s="4" t="str">
        <x:v>Low</x:v>
      </x:c>
      <x:c r="T116" s="4" t="str">
        <x:v>No</x:v>
      </x:c>
      <x:c r="U116" s="4" t="str">
        <x:v>Verified in TPWD 2026-2027 statewide deer category catalog.</x:v>
      </x:c>
      <x:c r="V116" s="4" t="str">
        <x:v>https://tpwd.texas.gov/huntwild/hunt/public/public_hunt_drawing/hunt-category-details.phtml?OCat=YDM</x:v>
      </x:c>
      <x:c r="W116" s="4" t="n">
        <x:v>2</x:v>
      </x:c>
      <x:c r="X116" s="4" t="n">
        <x:v>2</x:v>
      </x:c>
      <x:c r="Y116" s="4" t="n">
        <x:v>5</x:v>
      </x:c>
      <x:c r="Z116" s="4" t="n">
        <x:v>3</x:v>
      </x:c>
      <x:c r="AA116" s="4" t="n">
        <x:v>2</x:v>
      </x:c>
      <x:c r="AB116" s="4" t="n">
        <x:v>0</x:v>
      </x:c>
      <x:c r="AC116" s="4" t="n">
        <x:v>2.5</x:v>
      </x:c>
      <x:c r="AD116" s="4" t="n">
        <x:v>0</x:v>
      </x:c>
      <x:c r="AE116" s="4" t="str">
        <x:v>2026-09-15</x:v>
      </x:c>
      <x:c r="AF116" s="2"/>
      <x:c r="AG116" s="2"/>
      <x:c r="AH116" s="2"/>
      <x:c r="AI116" s="2"/>
      <x:c r="AJ116" s="2"/>
      <x:c r="AK116" s="2"/>
      <x:c r="AL116" s="2"/>
      <x:c r="AM116" s="2" t="str">
        <x:v>https://tpwd.texas.gov/huntwild/hunt/public/public_hunt_drawing/hunt-category-details.phtml?OCat=YDM</x:v>
      </x:c>
      <x:c r="AN116" s="2" t="str">
        <x:v>https://tpwd.texas.gov/search/?q=Granger+PHL+public+hunting+brochure</x:v>
      </x:c>
      <x:c r="AO116" s="2" t="str">
        <x:v>https://apps.tpwd.state.tx.us/huntwild/hunt/public/public_hunt_drawing/</x:v>
      </x:c>
      <x:c r="AP116" s="2" t="str">
        <x:v>https://www.google.com/maps/search/?api=1&amp;query=Granger+PHL%2C+Texas</x:v>
      </x:c>
      <x:c r="AQ116" s="2" t="n">
        <x:v>0</x:v>
      </x:c>
      <x:c r="AR116" s="2" t="str">
        <x:v>Standard Hastings ranking</x:v>
      </x:c>
    </x:row>
    <x:row r="117">
      <x:c r="A117" s="4" t="str">
        <x:v>No</x:v>
      </x:c>
      <x:c r="B117" s="4" t="str">
        <x:v>A</x:v>
      </x:c>
      <x:c r="C117" s="4" t="str">
        <x:v>Whitetail Deer</x:v>
      </x:c>
      <x:c r="D117" s="4" t="str">
        <x:v>Gus Engeling WMA</x:v>
      </x:c>
      <x:c r="E117" s="4" t="str">
        <x:v>Statewide / Other</x:v>
      </x:c>
      <x:c r="F117" s="4" t="str">
        <x:v>Youth Gun Deer - Antlerless/Spike</x:v>
      </x:c>
      <x:c r="G117" s="4" t="str">
        <x:v>No</x:v>
      </x:c>
      <x:c r="H117" s="4" t="str">
        <x:v>Yes</x:v>
      </x:c>
      <x:c r="I117" s="24" t="str">
        <x:v>2026-09-15</x:v>
      </x:c>
      <x:c r="J117" s="4" t="str">
        <x:v>See TPWD category page</x:v>
      </x:c>
      <x:c r="K117" s="4" t="n">
        <x:v>0</x:v>
      </x:c>
      <x:c r="L117" s="4" t="n">
        <x:v>0</x:v>
      </x:c>
      <x:c r="M117" s="4"/>
      <x:c r="N117" s="4"/>
      <x:c r="O117" s="4"/>
      <x:c r="P117" s="4" t="n">
        <x:v>500</x:v>
      </x:c>
      <x:c r="Q117" s="4" t="str">
        <x:v>Statewide</x:v>
      </x:c>
      <x:c r="R117" s="4" t="str">
        <x:v>Research before draw; property brochure linked from TPWD</x:v>
      </x:c>
      <x:c r="S117" s="4" t="str">
        <x:v>Low</x:v>
      </x:c>
      <x:c r="T117" s="4" t="str">
        <x:v>No</x:v>
      </x:c>
      <x:c r="U117" s="4" t="str">
        <x:v>Verified in TPWD 2026-2027 statewide deer category catalog.</x:v>
      </x:c>
      <x:c r="V117" s="4" t="str">
        <x:v>https://tpwd.texas.gov/huntwild/hunt/public/public_hunt_drawing/hunt-category-details.phtml?OCat=YDA</x:v>
      </x:c>
      <x:c r="W117" s="4" t="n">
        <x:v>2</x:v>
      </x:c>
      <x:c r="X117" s="4" t="n">
        <x:v>2</x:v>
      </x:c>
      <x:c r="Y117" s="4" t="n">
        <x:v>5</x:v>
      </x:c>
      <x:c r="Z117" s="4" t="n">
        <x:v>3</x:v>
      </x:c>
      <x:c r="AA117" s="4" t="n">
        <x:v>2</x:v>
      </x:c>
      <x:c r="AB117" s="4" t="n">
        <x:v>0</x:v>
      </x:c>
      <x:c r="AC117" s="4" t="n">
        <x:v>2.5</x:v>
      </x:c>
      <x:c r="AD117" s="4" t="n">
        <x:v>0</x:v>
      </x:c>
      <x:c r="AE117" s="4" t="str">
        <x:v>2026-09-15</x:v>
      </x:c>
      <x:c r="AF117" s="2"/>
      <x:c r="AG117" s="2"/>
      <x:c r="AH117" s="2"/>
      <x:c r="AI117" s="2"/>
      <x:c r="AJ117" s="2"/>
      <x:c r="AK117" s="2"/>
      <x:c r="AL117" s="2"/>
      <x:c r="AM117" s="2" t="str">
        <x:v>https://tpwd.texas.gov/huntwild/hunt/public/public_hunt_drawing/hunt-category-details.phtml?OCat=YDA</x:v>
      </x:c>
      <x:c r="AN117" s="2" t="str">
        <x:v>https://tpwd.texas.gov/search/?q=Gus+Engeling+WMA+public+hunting+brochure</x:v>
      </x:c>
      <x:c r="AO117" s="2" t="str">
        <x:v>https://apps.tpwd.state.tx.us/huntwild/hunt/public/public_hunt_drawing/</x:v>
      </x:c>
      <x:c r="AP117" s="2" t="str">
        <x:v>https://www.google.com/maps/search/?api=1&amp;query=Gus+Engeling+WMA%2C+Texas</x:v>
      </x:c>
      <x:c r="AQ117" s="2" t="n">
        <x:v>0</x:v>
      </x:c>
      <x:c r="AR117" s="2" t="str">
        <x:v>Standard Hastings ranking</x:v>
      </x:c>
    </x:row>
    <x:row r="118">
      <x:c r="A118" s="4" t="str">
        <x:v>No</x:v>
      </x:c>
      <x:c r="B118" s="4" t="str">
        <x:v>A</x:v>
      </x:c>
      <x:c r="C118" s="4" t="str">
        <x:v>Whitetail Deer</x:v>
      </x:c>
      <x:c r="D118" s="4" t="str">
        <x:v>James Daughtrey WMA</x:v>
      </x:c>
      <x:c r="E118" s="4" t="str">
        <x:v>South Texas / Rio Grande Valley</x:v>
      </x:c>
      <x:c r="F118" s="4" t="str">
        <x:v>Youth Gun Deer - Antlerless/Spike</x:v>
      </x:c>
      <x:c r="G118" s="4" t="str">
        <x:v>No</x:v>
      </x:c>
      <x:c r="H118" s="4" t="str">
        <x:v>Yes</x:v>
      </x:c>
      <x:c r="I118" s="24" t="str">
        <x:v>2026-09-15</x:v>
      </x:c>
      <x:c r="J118" s="4" t="str">
        <x:v>See TPWD category page</x:v>
      </x:c>
      <x:c r="K118" s="4" t="n">
        <x:v>0</x:v>
      </x:c>
      <x:c r="L118" s="4" t="n">
        <x:v>0</x:v>
      </x:c>
      <x:c r="M118" s="4"/>
      <x:c r="N118" s="4"/>
      <x:c r="O118" s="4"/>
      <x:c r="P118" s="4" t="n">
        <x:v>700</x:v>
      </x:c>
      <x:c r="Q118" s="4" t="str">
        <x:v>Long Haul</x:v>
      </x:c>
      <x:c r="R118" s="4" t="str">
        <x:v>Research before draw; property brochure linked from TPWD</x:v>
      </x:c>
      <x:c r="S118" s="4" t="str">
        <x:v>Low</x:v>
      </x:c>
      <x:c r="T118" s="4" t="str">
        <x:v>No</x:v>
      </x:c>
      <x:c r="U118" s="4" t="str">
        <x:v>Verified in TPWD 2026-2027 statewide deer category catalog.</x:v>
      </x:c>
      <x:c r="V118" s="4" t="str">
        <x:v>https://tpwd.texas.gov/huntwild/hunt/public/public_hunt_drawing/hunt-category-details.phtml?OCat=YDA</x:v>
      </x:c>
      <x:c r="W118" s="4" t="n">
        <x:v>2</x:v>
      </x:c>
      <x:c r="X118" s="4" t="n">
        <x:v>1</x:v>
      </x:c>
      <x:c r="Y118" s="4" t="n">
        <x:v>5</x:v>
      </x:c>
      <x:c r="Z118" s="4" t="n">
        <x:v>3</x:v>
      </x:c>
      <x:c r="AA118" s="4" t="n">
        <x:v>2</x:v>
      </x:c>
      <x:c r="AB118" s="4" t="n">
        <x:v>0</x:v>
      </x:c>
      <x:c r="AC118" s="4" t="n">
        <x:v>2.4</x:v>
      </x:c>
      <x:c r="AD118" s="4" t="n">
        <x:v>0</x:v>
      </x:c>
      <x:c r="AE118" s="4" t="str">
        <x:v>2026-09-15</x:v>
      </x:c>
      <x:c r="AF118" s="2"/>
      <x:c r="AG118" s="2"/>
      <x:c r="AH118" s="2"/>
      <x:c r="AI118" s="2"/>
      <x:c r="AJ118" s="2"/>
      <x:c r="AK118" s="2"/>
      <x:c r="AL118" s="2"/>
      <x:c r="AM118" s="2" t="str">
        <x:v>https://tpwd.texas.gov/huntwild/hunt/public/public_hunt_drawing/hunt-category-details.phtml?OCat=YDA</x:v>
      </x:c>
      <x:c r="AN118" s="2" t="str">
        <x:v>https://tpwd.texas.gov/search/?q=James+Daughtrey+WMA+public+hunting+brochure</x:v>
      </x:c>
      <x:c r="AO118" s="2" t="str">
        <x:v>https://apps.tpwd.state.tx.us/huntwild/hunt/public/public_hunt_drawing/</x:v>
      </x:c>
      <x:c r="AP118" s="2" t="str">
        <x:v>https://www.google.com/maps/search/?api=1&amp;query=James+Daughtrey+WMA%2C+Texas</x:v>
      </x:c>
      <x:c r="AQ118" s="2" t="n">
        <x:v>0</x:v>
      </x:c>
      <x:c r="AR118" s="2" t="str">
        <x:v>Standard Hastings ranking</x:v>
      </x:c>
    </x:row>
    <x:row r="119">
      <x:c r="A119" s="4" t="str">
        <x:v>No</x:v>
      </x:c>
      <x:c r="B119" s="4" t="str">
        <x:v>A</x:v>
      </x:c>
      <x:c r="C119" s="4" t="str">
        <x:v>Whitetail Deer</x:v>
      </x:c>
      <x:c r="D119" s="4" t="str">
        <x:v>James Daughtrey WMA</x:v>
      </x:c>
      <x:c r="E119" s="4" t="str">
        <x:v>South Texas / Rio Grande Valley</x:v>
      </x:c>
      <x:c r="F119" s="4" t="str">
        <x:v>Youth Gun Deer - Management</x:v>
      </x:c>
      <x:c r="G119" s="4" t="str">
        <x:v>No</x:v>
      </x:c>
      <x:c r="H119" s="4" t="str">
        <x:v>Yes</x:v>
      </x:c>
      <x:c r="I119" s="24" t="str">
        <x:v>2026-09-15</x:v>
      </x:c>
      <x:c r="J119" s="4" t="str">
        <x:v>See TPWD category page</x:v>
      </x:c>
      <x:c r="K119" s="4" t="n">
        <x:v>0</x:v>
      </x:c>
      <x:c r="L119" s="4" t="n">
        <x:v>0</x:v>
      </x:c>
      <x:c r="M119" s="4"/>
      <x:c r="N119" s="4"/>
      <x:c r="O119" s="4"/>
      <x:c r="P119" s="4" t="n">
        <x:v>700</x:v>
      </x:c>
      <x:c r="Q119" s="4" t="str">
        <x:v>Long Haul</x:v>
      </x:c>
      <x:c r="R119" s="4" t="str">
        <x:v>Research before draw; property brochure linked from TPWD</x:v>
      </x:c>
      <x:c r="S119" s="4" t="str">
        <x:v>Low</x:v>
      </x:c>
      <x:c r="T119" s="4" t="str">
        <x:v>No</x:v>
      </x:c>
      <x:c r="U119" s="4" t="str">
        <x:v>Verified in TPWD 2026-2027 statewide deer category catalog.</x:v>
      </x:c>
      <x:c r="V119" s="4" t="str">
        <x:v>https://tpwd.texas.gov/huntwild/hunt/public/public_hunt_drawing/hunt-category-details.phtml?OCat=YDM</x:v>
      </x:c>
      <x:c r="W119" s="4" t="n">
        <x:v>2</x:v>
      </x:c>
      <x:c r="X119" s="4" t="n">
        <x:v>1</x:v>
      </x:c>
      <x:c r="Y119" s="4" t="n">
        <x:v>5</x:v>
      </x:c>
      <x:c r="Z119" s="4" t="n">
        <x:v>3</x:v>
      </x:c>
      <x:c r="AA119" s="4" t="n">
        <x:v>2</x:v>
      </x:c>
      <x:c r="AB119" s="4" t="n">
        <x:v>0</x:v>
      </x:c>
      <x:c r="AC119" s="4" t="n">
        <x:v>2.4</x:v>
      </x:c>
      <x:c r="AD119" s="4" t="n">
        <x:v>0</x:v>
      </x:c>
      <x:c r="AE119" s="4" t="str">
        <x:v>2026-09-15</x:v>
      </x:c>
      <x:c r="AF119" s="2"/>
      <x:c r="AG119" s="2"/>
      <x:c r="AH119" s="2"/>
      <x:c r="AI119" s="2"/>
      <x:c r="AJ119" s="2"/>
      <x:c r="AK119" s="2"/>
      <x:c r="AL119" s="2"/>
      <x:c r="AM119" s="2" t="str">
        <x:v>https://tpwd.texas.gov/huntwild/hunt/public/public_hunt_drawing/hunt-category-details.phtml?OCat=YDM</x:v>
      </x:c>
      <x:c r="AN119" s="2" t="str">
        <x:v>https://tpwd.texas.gov/search/?q=James+Daughtrey+WMA+public+hunting+brochure</x:v>
      </x:c>
      <x:c r="AO119" s="2" t="str">
        <x:v>https://apps.tpwd.state.tx.us/huntwild/hunt/public/public_hunt_drawing/</x:v>
      </x:c>
      <x:c r="AP119" s="2" t="str">
        <x:v>https://www.google.com/maps/search/?api=1&amp;query=James+Daughtrey+WMA%2C+Texas</x:v>
      </x:c>
      <x:c r="AQ119" s="2" t="n">
        <x:v>0</x:v>
      </x:c>
      <x:c r="AR119" s="2" t="str">
        <x:v>Standard Hastings ranking</x:v>
      </x:c>
    </x:row>
    <x:row r="120">
      <x:c r="A120" s="4" t="str">
        <x:v>No</x:v>
      </x:c>
      <x:c r="B120" s="4" t="str">
        <x:v>A</x:v>
      </x:c>
      <x:c r="C120" s="4" t="str">
        <x:v>Whitetail Deer</x:v>
      </x:c>
      <x:c r="D120" s="4" t="str">
        <x:v>Justin Hurst WMA</x:v>
      </x:c>
      <x:c r="E120" s="4" t="str">
        <x:v>Houston / Gulf Coast</x:v>
      </x:c>
      <x:c r="F120" s="4" t="str">
        <x:v>Youth Gun Deer - Antlerless/Spike</x:v>
      </x:c>
      <x:c r="G120" s="4" t="str">
        <x:v>No</x:v>
      </x:c>
      <x:c r="H120" s="4" t="str">
        <x:v>Yes</x:v>
      </x:c>
      <x:c r="I120" s="24" t="str">
        <x:v>2026-09-15</x:v>
      </x:c>
      <x:c r="J120" s="4" t="str">
        <x:v>See TPWD category page</x:v>
      </x:c>
      <x:c r="K120" s="4" t="n">
        <x:v>0</x:v>
      </x:c>
      <x:c r="L120" s="4" t="n">
        <x:v>0</x:v>
      </x:c>
      <x:c r="M120" s="4"/>
      <x:c r="N120" s="4"/>
      <x:c r="O120" s="4"/>
      <x:c r="P120" s="4" t="n">
        <x:v>610</x:v>
      </x:c>
      <x:c r="Q120" s="4" t="str">
        <x:v>Long Haul</x:v>
      </x:c>
      <x:c r="R120" s="4" t="str">
        <x:v>Research before draw; property brochure linked from TPWD</x:v>
      </x:c>
      <x:c r="S120" s="4" t="str">
        <x:v>Low</x:v>
      </x:c>
      <x:c r="T120" s="4" t="str">
        <x:v>No</x:v>
      </x:c>
      <x:c r="U120" s="4" t="str">
        <x:v>Verified in TPWD 2026-2027 statewide deer category catalog.</x:v>
      </x:c>
      <x:c r="V120" s="4" t="str">
        <x:v>https://tpwd.texas.gov/huntwild/hunt/public/public_hunt_drawing/hunt-category-details.phtml?OCat=YDA</x:v>
      </x:c>
      <x:c r="W120" s="4" t="n">
        <x:v>2</x:v>
      </x:c>
      <x:c r="X120" s="4" t="n">
        <x:v>1</x:v>
      </x:c>
      <x:c r="Y120" s="4" t="n">
        <x:v>5</x:v>
      </x:c>
      <x:c r="Z120" s="4" t="n">
        <x:v>3</x:v>
      </x:c>
      <x:c r="AA120" s="4" t="n">
        <x:v>2</x:v>
      </x:c>
      <x:c r="AB120" s="4" t="n">
        <x:v>0</x:v>
      </x:c>
      <x:c r="AC120" s="4" t="n">
        <x:v>2.4</x:v>
      </x:c>
      <x:c r="AD120" s="4" t="n">
        <x:v>0</x:v>
      </x:c>
      <x:c r="AE120" s="4" t="str">
        <x:v>2026-09-15</x:v>
      </x:c>
      <x:c r="AF120" s="2"/>
      <x:c r="AG120" s="2"/>
      <x:c r="AH120" s="2"/>
      <x:c r="AI120" s="2"/>
      <x:c r="AJ120" s="2"/>
      <x:c r="AK120" s="2"/>
      <x:c r="AL120" s="2"/>
      <x:c r="AM120" s="2" t="str">
        <x:v>https://tpwd.texas.gov/huntwild/hunt/public/public_hunt_drawing/hunt-category-details.phtml?OCat=YDA</x:v>
      </x:c>
      <x:c r="AN120" s="2" t="str">
        <x:v>https://tpwd.texas.gov/search/?q=Justin+Hurst+WMA+public+hunting+brochure</x:v>
      </x:c>
      <x:c r="AO120" s="2" t="str">
        <x:v>https://apps.tpwd.state.tx.us/huntwild/hunt/public/public_hunt_drawing/</x:v>
      </x:c>
      <x:c r="AP120" s="2" t="str">
        <x:v>https://www.google.com/maps/search/?api=1&amp;query=Justin+Hurst+WMA%2C+Texas</x:v>
      </x:c>
      <x:c r="AQ120" s="2" t="n">
        <x:v>0</x:v>
      </x:c>
      <x:c r="AR120" s="2" t="str">
        <x:v>Standard Hastings ranking</x:v>
      </x:c>
    </x:row>
    <x:row r="121">
      <x:c r="A121" s="4" t="str">
        <x:v>No</x:v>
      </x:c>
      <x:c r="B121" s="4" t="str">
        <x:v>A</x:v>
      </x:c>
      <x:c r="C121" s="4" t="str">
        <x:v>Whitetail Deer</x:v>
      </x:c>
      <x:c r="D121" s="4" t="str">
        <x:v>Lake McClellan Recreation Area</x:v>
      </x:c>
      <x:c r="E121" s="4" t="str">
        <x:v>Panhandle / Rolling Plains</x:v>
      </x:c>
      <x:c r="F121" s="4" t="str">
        <x:v>Youth Gun Deer - Antlerless/Spike</x:v>
      </x:c>
      <x:c r="G121" s="4" t="str">
        <x:v>No</x:v>
      </x:c>
      <x:c r="H121" s="4" t="str">
        <x:v>Yes</x:v>
      </x:c>
      <x:c r="I121" s="24" t="str">
        <x:v>2026-09-15</x:v>
      </x:c>
      <x:c r="J121" s="4" t="str">
        <x:v>See TPWD category page</x:v>
      </x:c>
      <x:c r="K121" s="4" t="n">
        <x:v>0</x:v>
      </x:c>
      <x:c r="L121" s="4" t="n">
        <x:v>0</x:v>
      </x:c>
      <x:c r="M121" s="4"/>
      <x:c r="N121" s="4"/>
      <x:c r="O121" s="4"/>
      <x:c r="P121" s="4" t="n">
        <x:v>130</x:v>
      </x:c>
      <x:c r="Q121" s="4" t="str">
        <x:v>Core</x:v>
      </x:c>
      <x:c r="R121" s="4" t="str">
        <x:v>Research before draw; property brochure linked from TPWD</x:v>
      </x:c>
      <x:c r="S121" s="4" t="str">
        <x:v>High</x:v>
      </x:c>
      <x:c r="T121" s="4" t="str">
        <x:v>Yes</x:v>
      </x:c>
      <x:c r="U121" s="4" t="str">
        <x:v>Verified in TPWD 2026-2027 statewide deer category catalog.</x:v>
      </x:c>
      <x:c r="V121" s="4" t="str">
        <x:v>https://tpwd.texas.gov/huntwild/hunt/public/public_hunt_drawing/hunt-category-details.phtml?OCat=YDA</x:v>
      </x:c>
      <x:c r="W121" s="4" t="n">
        <x:v>2</x:v>
      </x:c>
      <x:c r="X121" s="4" t="n">
        <x:v>5</x:v>
      </x:c>
      <x:c r="Y121" s="4" t="n">
        <x:v>5</x:v>
      </x:c>
      <x:c r="Z121" s="4" t="n">
        <x:v>3</x:v>
      </x:c>
      <x:c r="AA121" s="4" t="n">
        <x:v>4</x:v>
      </x:c>
      <x:c r="AB121" s="4" t="n">
        <x:v>5</x:v>
      </x:c>
      <x:c r="AC121" s="4" t="n">
        <x:v>3.9</x:v>
      </x:c>
      <x:c r="AD121" s="4" t="n">
        <x:v>0</x:v>
      </x:c>
      <x:c r="AE121" s="4" t="str">
        <x:v>2026-09-15</x:v>
      </x:c>
      <x:c r="AF121" s="2"/>
      <x:c r="AG121" s="2"/>
      <x:c r="AH121" s="2"/>
      <x:c r="AI121" s="2"/>
      <x:c r="AJ121" s="2"/>
      <x:c r="AK121" s="2"/>
      <x:c r="AL121" s="2"/>
      <x:c r="AM121" s="2" t="str">
        <x:v>https://tpwd.texas.gov/huntwild/hunt/public/public_hunt_drawing/hunt-category-details.phtml?OCat=YDA</x:v>
      </x:c>
      <x:c r="AN121" s="2" t="str">
        <x:v>https://tpwd.texas.gov/search/?q=Lake+McClellan+Recreation+Area+public+hunting+brochure</x:v>
      </x:c>
      <x:c r="AO121" s="2" t="str">
        <x:v>https://apps.tpwd.state.tx.us/huntwild/hunt/public/public_hunt_drawing/</x:v>
      </x:c>
      <x:c r="AP121" s="2" t="str">
        <x:v>https://www.google.com/maps/search/?api=1&amp;query=Lake+McClellan+Recreation+Area%2C+Texas</x:v>
      </x:c>
      <x:c r="AQ121" s="2" t="n">
        <x:v>0</x:v>
      </x:c>
      <x:c r="AR121" s="2" t="str">
        <x:v>Standard Hastings ranking</x:v>
      </x:c>
    </x:row>
    <x:row r="122">
      <x:c r="A122" s="4" t="str">
        <x:v>No</x:v>
      </x:c>
      <x:c r="B122" s="4" t="str">
        <x:v>A</x:v>
      </x:c>
      <x:c r="C122" s="4" t="str">
        <x:v>Whitetail Deer</x:v>
      </x:c>
      <x:c r="D122" s="4" t="str">
        <x:v>Lake Tawakoni State Park</x:v>
      </x:c>
      <x:c r="E122" s="4" t="str">
        <x:v>North Texas / DFW</x:v>
      </x:c>
      <x:c r="F122" s="4" t="str">
        <x:v>Youth Gun Deer - Antlerless/Spike</x:v>
      </x:c>
      <x:c r="G122" s="4" t="str">
        <x:v>No</x:v>
      </x:c>
      <x:c r="H122" s="4" t="str">
        <x:v>Yes</x:v>
      </x:c>
      <x:c r="I122" s="24" t="str">
        <x:v>2026-09-15</x:v>
      </x:c>
      <x:c r="J122" s="4" t="str">
        <x:v>See TPWD category page</x:v>
      </x:c>
      <x:c r="K122" s="4" t="n">
        <x:v>0</x:v>
      </x:c>
      <x:c r="L122" s="4" t="n">
        <x:v>0</x:v>
      </x:c>
      <x:c r="M122" s="4"/>
      <x:c r="N122" s="4"/>
      <x:c r="O122" s="4"/>
      <x:c r="P122" s="4" t="n">
        <x:v>360</x:v>
      </x:c>
      <x:c r="Q122" s="4" t="str">
        <x:v>Extended</x:v>
      </x:c>
      <x:c r="R122" s="4" t="str">
        <x:v>Research before draw; property brochure linked from TPWD</x:v>
      </x:c>
      <x:c r="S122" s="4" t="str">
        <x:v>Low</x:v>
      </x:c>
      <x:c r="T122" s="4" t="str">
        <x:v>No</x:v>
      </x:c>
      <x:c r="U122" s="4" t="str">
        <x:v>Verified in TPWD 2026-2027 statewide deer category catalog.</x:v>
      </x:c>
      <x:c r="V122" s="4" t="str">
        <x:v>https://tpwd.texas.gov/huntwild/hunt/public/public_hunt_drawing/hunt-category-details.phtml?OCat=YDA</x:v>
      </x:c>
      <x:c r="W122" s="4" t="n">
        <x:v>2</x:v>
      </x:c>
      <x:c r="X122" s="4" t="n">
        <x:v>3</x:v>
      </x:c>
      <x:c r="Y122" s="4" t="n">
        <x:v>5</x:v>
      </x:c>
      <x:c r="Z122" s="4" t="n">
        <x:v>3</x:v>
      </x:c>
      <x:c r="AA122" s="4" t="n">
        <x:v>2</x:v>
      </x:c>
      <x:c r="AB122" s="4" t="n">
        <x:v>0</x:v>
      </x:c>
      <x:c r="AC122" s="4" t="n">
        <x:v>2.7</x:v>
      </x:c>
      <x:c r="AD122" s="4" t="n">
        <x:v>0</x:v>
      </x:c>
      <x:c r="AE122" s="4" t="str">
        <x:v>2026-09-15</x:v>
      </x:c>
      <x:c r="AF122" s="2"/>
      <x:c r="AG122" s="2"/>
      <x:c r="AH122" s="2"/>
      <x:c r="AI122" s="2"/>
      <x:c r="AJ122" s="2"/>
      <x:c r="AK122" s="2"/>
      <x:c r="AL122" s="2"/>
      <x:c r="AM122" s="2" t="str">
        <x:v>https://tpwd.texas.gov/huntwild/hunt/public/public_hunt_drawing/hunt-category-details.phtml?OCat=YDA</x:v>
      </x:c>
      <x:c r="AN122" s="2" t="str">
        <x:v>https://tpwd.texas.gov/search/?q=Lake+Tawakoni+State+Park+public+hunting+brochure</x:v>
      </x:c>
      <x:c r="AO122" s="2" t="str">
        <x:v>https://apps.tpwd.state.tx.us/huntwild/hunt/public/public_hunt_drawing/</x:v>
      </x:c>
      <x:c r="AP122" s="2" t="str">
        <x:v>https://www.google.com/maps/search/?api=1&amp;query=Lake+Tawakoni+State+Park%2C+Texas</x:v>
      </x:c>
      <x:c r="AQ122" s="2" t="n">
        <x:v>0</x:v>
      </x:c>
      <x:c r="AR122" s="2" t="str">
        <x:v>Standard Hastings ranking</x:v>
      </x:c>
    </x:row>
    <x:row r="123">
      <x:c r="A123" s="4" t="str">
        <x:v>No</x:v>
      </x:c>
      <x:c r="B123" s="4" t="str">
        <x:v>A</x:v>
      </x:c>
      <x:c r="C123" s="4" t="str">
        <x:v>Whitetail Deer</x:v>
      </x:c>
      <x:c r="D123" s="4" t="str">
        <x:v>Las Palomas WMA - Arroyo Colorado Unit</x:v>
      </x:c>
      <x:c r="E123" s="4" t="str">
        <x:v>South Texas / Rio Grande Valley</x:v>
      </x:c>
      <x:c r="F123" s="4" t="str">
        <x:v>Youth Gun Deer - Management</x:v>
      </x:c>
      <x:c r="G123" s="4" t="str">
        <x:v>No</x:v>
      </x:c>
      <x:c r="H123" s="4" t="str">
        <x:v>Yes</x:v>
      </x:c>
      <x:c r="I123" s="24" t="str">
        <x:v>2026-09-15</x:v>
      </x:c>
      <x:c r="J123" s="4" t="str">
        <x:v>See TPWD category page</x:v>
      </x:c>
      <x:c r="K123" s="4" t="n">
        <x:v>0</x:v>
      </x:c>
      <x:c r="L123" s="4" t="n">
        <x:v>0</x:v>
      </x:c>
      <x:c r="M123" s="4"/>
      <x:c r="N123" s="4"/>
      <x:c r="O123" s="4"/>
      <x:c r="P123" s="4" t="n">
        <x:v>700</x:v>
      </x:c>
      <x:c r="Q123" s="4" t="str">
        <x:v>Long Haul</x:v>
      </x:c>
      <x:c r="R123" s="4" t="str">
        <x:v>Research before draw; property brochure linked from TPWD</x:v>
      </x:c>
      <x:c r="S123" s="4" t="str">
        <x:v>Low</x:v>
      </x:c>
      <x:c r="T123" s="4" t="str">
        <x:v>No</x:v>
      </x:c>
      <x:c r="U123" s="4" t="str">
        <x:v>Verified in TPWD 2026-2027 statewide deer category catalog.</x:v>
      </x:c>
      <x:c r="V123" s="4" t="str">
        <x:v>https://tpwd.texas.gov/huntwild/hunt/public/public_hunt_drawing/hunt-category-details.phtml?OCat=YDM</x:v>
      </x:c>
      <x:c r="W123" s="4" t="n">
        <x:v>2</x:v>
      </x:c>
      <x:c r="X123" s="4" t="n">
        <x:v>1</x:v>
      </x:c>
      <x:c r="Y123" s="4" t="n">
        <x:v>5</x:v>
      </x:c>
      <x:c r="Z123" s="4" t="n">
        <x:v>3</x:v>
      </x:c>
      <x:c r="AA123" s="4" t="n">
        <x:v>2</x:v>
      </x:c>
      <x:c r="AB123" s="4" t="n">
        <x:v>0</x:v>
      </x:c>
      <x:c r="AC123" s="4" t="n">
        <x:v>2.4</x:v>
      </x:c>
      <x:c r="AD123" s="4" t="n">
        <x:v>0</x:v>
      </x:c>
      <x:c r="AE123" s="4" t="str">
        <x:v>2026-09-15</x:v>
      </x:c>
      <x:c r="AF123" s="2"/>
      <x:c r="AG123" s="2"/>
      <x:c r="AH123" s="2"/>
      <x:c r="AI123" s="2"/>
      <x:c r="AJ123" s="2"/>
      <x:c r="AK123" s="2"/>
      <x:c r="AL123" s="2"/>
      <x:c r="AM123" s="2" t="str">
        <x:v>https://tpwd.texas.gov/huntwild/hunt/public/public_hunt_drawing/hunt-category-details.phtml?OCat=YDM</x:v>
      </x:c>
      <x:c r="AN123" s="2" t="str">
        <x:v>https://tpwd.texas.gov/search/?q=Las+Palomas+WMA+-+Arroyo+Colorado+Unit+public+hunting+brochure</x:v>
      </x:c>
      <x:c r="AO123" s="2" t="str">
        <x:v>https://apps.tpwd.state.tx.us/huntwild/hunt/public/public_hunt_drawing/</x:v>
      </x:c>
      <x:c r="AP123" s="2" t="str">
        <x:v>https://www.google.com/maps/search/?api=1&amp;query=Las+Palomas+WMA+-+Arroyo+Colorado+Unit%2C+Texas</x:v>
      </x:c>
      <x:c r="AQ123" s="2" t="n">
        <x:v>0</x:v>
      </x:c>
      <x:c r="AR123" s="2" t="str">
        <x:v>Standard Hastings ranking</x:v>
      </x:c>
    </x:row>
    <x:row r="124">
      <x:c r="A124" s="4" t="str">
        <x:v>No</x:v>
      </x:c>
      <x:c r="B124" s="4" t="str">
        <x:v>A</x:v>
      </x:c>
      <x:c r="C124" s="4" t="str">
        <x:v>Whitetail Deer</x:v>
      </x:c>
      <x:c r="D124" s="4" t="str">
        <x:v>Mad Island WMA</x:v>
      </x:c>
      <x:c r="E124" s="4" t="str">
        <x:v>Houston / Gulf Coast</x:v>
      </x:c>
      <x:c r="F124" s="4" t="str">
        <x:v>E-Postcard Youth Deer</x:v>
      </x:c>
      <x:c r="G124" s="4" t="str">
        <x:v>No</x:v>
      </x:c>
      <x:c r="H124" s="4" t="str">
        <x:v>Yes</x:v>
      </x:c>
      <x:c r="I124" s="24" t="str">
        <x:v>2026-09-15</x:v>
      </x:c>
      <x:c r="J124" s="4" t="str">
        <x:v>See TPWD category page</x:v>
      </x:c>
      <x:c r="K124" s="4" t="n">
        <x:v>0</x:v>
      </x:c>
      <x:c r="L124" s="4" t="n">
        <x:v>0</x:v>
      </x:c>
      <x:c r="M124" s="4"/>
      <x:c r="N124" s="4"/>
      <x:c r="O124" s="4"/>
      <x:c r="P124" s="4" t="n">
        <x:v>610</x:v>
      </x:c>
      <x:c r="Q124" s="4" t="str">
        <x:v>Long Haul</x:v>
      </x:c>
      <x:c r="R124" s="4" t="str">
        <x:v>Research before draw; property brochure linked from TPWD</x:v>
      </x:c>
      <x:c r="S124" s="4" t="str">
        <x:v>Low</x:v>
      </x:c>
      <x:c r="T124" s="4" t="str">
        <x:v>No</x:v>
      </x:c>
      <x:c r="U124" s="4" t="str">
        <x:v>Verified in TPWD 2026-2027 statewide deer category catalog. APH/eligibility rules apply; confirm account and permit requirements.</x:v>
      </x:c>
      <x:c r="V124" s="4" t="str">
        <x:v>https://tpwd.texas.gov/huntwild/hunt/public/public_hunt_drawing/hunt-category-details.phtml?OCat=EYD</x:v>
      </x:c>
      <x:c r="W124" s="4" t="n">
        <x:v>2</x:v>
      </x:c>
      <x:c r="X124" s="4" t="n">
        <x:v>1</x:v>
      </x:c>
      <x:c r="Y124" s="4" t="n">
        <x:v>5</x:v>
      </x:c>
      <x:c r="Z124" s="4" t="n">
        <x:v>3</x:v>
      </x:c>
      <x:c r="AA124" s="4" t="n">
        <x:v>2</x:v>
      </x:c>
      <x:c r="AB124" s="4" t="n">
        <x:v>0</x:v>
      </x:c>
      <x:c r="AC124" s="4" t="n">
        <x:v>2.4</x:v>
      </x:c>
      <x:c r="AD124" s="4" t="n">
        <x:v>0</x:v>
      </x:c>
      <x:c r="AE124" s="4" t="str">
        <x:v>2026-09-15</x:v>
      </x:c>
      <x:c r="AF124" s="2"/>
      <x:c r="AG124" s="2"/>
      <x:c r="AH124" s="2"/>
      <x:c r="AI124" s="2"/>
      <x:c r="AJ124" s="2"/>
      <x:c r="AK124" s="2"/>
      <x:c r="AL124" s="2"/>
      <x:c r="AM124" s="2" t="str">
        <x:v>https://tpwd.texas.gov/huntwild/hunt/public/public_hunt_drawing/hunt-category-details.phtml?OCat=EYD</x:v>
      </x:c>
      <x:c r="AN124" s="2" t="str">
        <x:v>https://tpwd.texas.gov/search/?q=Mad+Island+WMA+public+hunting+brochure</x:v>
      </x:c>
      <x:c r="AO124" s="2" t="str">
        <x:v>https://apps.tpwd.state.tx.us/huntwild/hunt/public/public_hunt_drawing/</x:v>
      </x:c>
      <x:c r="AP124" s="2" t="str">
        <x:v>https://www.google.com/maps/search/?api=1&amp;query=Mad+Island+WMA%2C+Texas</x:v>
      </x:c>
      <x:c r="AQ124" s="2" t="n">
        <x:v>0</x:v>
      </x:c>
      <x:c r="AR124" s="2" t="str">
        <x:v>Standard Hastings ranking</x:v>
      </x:c>
    </x:row>
    <x:row r="125">
      <x:c r="A125" s="4" t="str">
        <x:v>No</x:v>
      </x:c>
      <x:c r="B125" s="4" t="str">
        <x:v>A</x:v>
      </x:c>
      <x:c r="C125" s="4" t="str">
        <x:v>Whitetail Deer</x:v>
      </x:c>
      <x:c r="D125" s="4" t="str">
        <x:v>Mason Mountain WMA</x:v>
      </x:c>
      <x:c r="E125" s="4" t="str">
        <x:v>Hill Country / San Antonio</x:v>
      </x:c>
      <x:c r="F125" s="4" t="str">
        <x:v>Youth Gun Deer - Management</x:v>
      </x:c>
      <x:c r="G125" s="4" t="str">
        <x:v>No</x:v>
      </x:c>
      <x:c r="H125" s="4" t="str">
        <x:v>Yes</x:v>
      </x:c>
      <x:c r="I125" s="24" t="str">
        <x:v>2026-09-15</x:v>
      </x:c>
      <x:c r="J125" s="4" t="str">
        <x:v>See TPWD category page</x:v>
      </x:c>
      <x:c r="K125" s="4" t="n">
        <x:v>0</x:v>
      </x:c>
      <x:c r="L125" s="4" t="n">
        <x:v>0</x:v>
      </x:c>
      <x:c r="M125" s="4"/>
      <x:c r="N125" s="4"/>
      <x:c r="O125" s="4"/>
      <x:c r="P125" s="4" t="n">
        <x:v>520</x:v>
      </x:c>
      <x:c r="Q125" s="4" t="str">
        <x:v>Statewide</x:v>
      </x:c>
      <x:c r="R125" s="4" t="str">
        <x:v>Research before draw; property brochure linked from TPWD</x:v>
      </x:c>
      <x:c r="S125" s="4" t="str">
        <x:v>Low</x:v>
      </x:c>
      <x:c r="T125" s="4" t="str">
        <x:v>No</x:v>
      </x:c>
      <x:c r="U125" s="4" t="str">
        <x:v>Verified in TPWD 2026-2027 statewide deer category catalog.</x:v>
      </x:c>
      <x:c r="V125" s="4" t="str">
        <x:v>https://tpwd.texas.gov/huntwild/hunt/public/public_hunt_drawing/hunt-category-details.phtml?OCat=YDM</x:v>
      </x:c>
      <x:c r="W125" s="4" t="n">
        <x:v>2</x:v>
      </x:c>
      <x:c r="X125" s="4" t="n">
        <x:v>2</x:v>
      </x:c>
      <x:c r="Y125" s="4" t="n">
        <x:v>5</x:v>
      </x:c>
      <x:c r="Z125" s="4" t="n">
        <x:v>3</x:v>
      </x:c>
      <x:c r="AA125" s="4" t="n">
        <x:v>2</x:v>
      </x:c>
      <x:c r="AB125" s="4" t="n">
        <x:v>0</x:v>
      </x:c>
      <x:c r="AC125" s="4" t="n">
        <x:v>2.5</x:v>
      </x:c>
      <x:c r="AD125" s="4" t="n">
        <x:v>0</x:v>
      </x:c>
      <x:c r="AE125" s="4" t="str">
        <x:v>2026-09-15</x:v>
      </x:c>
      <x:c r="AF125" s="2"/>
      <x:c r="AG125" s="2"/>
      <x:c r="AH125" s="2"/>
      <x:c r="AI125" s="2"/>
      <x:c r="AJ125" s="2"/>
      <x:c r="AK125" s="2"/>
      <x:c r="AL125" s="2"/>
      <x:c r="AM125" s="2" t="str">
        <x:v>https://tpwd.texas.gov/huntwild/hunt/public/public_hunt_drawing/hunt-category-details.phtml?OCat=YDM</x:v>
      </x:c>
      <x:c r="AN125" s="2" t="str">
        <x:v>https://tpwd.texas.gov/search/?q=Mason+Mountain+WMA+public+hunting+brochure</x:v>
      </x:c>
      <x:c r="AO125" s="2" t="str">
        <x:v>https://apps.tpwd.state.tx.us/huntwild/hunt/public/public_hunt_drawing/</x:v>
      </x:c>
      <x:c r="AP125" s="2" t="str">
        <x:v>https://www.google.com/maps/search/?api=1&amp;query=Mason+Mountain+WMA%2C+Texas</x:v>
      </x:c>
      <x:c r="AQ125" s="2" t="n">
        <x:v>0</x:v>
      </x:c>
      <x:c r="AR125" s="2" t="str">
        <x:v>Standard Hastings ranking</x:v>
      </x:c>
    </x:row>
    <x:row r="126">
      <x:c r="A126" s="4" t="str">
        <x:v>No</x:v>
      </x:c>
      <x:c r="B126" s="4" t="str">
        <x:v>A</x:v>
      </x:c>
      <x:c r="C126" s="4" t="str">
        <x:v>Whitetail Deer</x:v>
      </x:c>
      <x:c r="D126" s="4" t="str">
        <x:v>Moore Plantation WMA</x:v>
      </x:c>
      <x:c r="E126" s="4" t="str">
        <x:v>East Texas / Pineywoods</x:v>
      </x:c>
      <x:c r="F126" s="4" t="str">
        <x:v>USFS Antlerless Deer Permit - Youth</x:v>
      </x:c>
      <x:c r="G126" s="4" t="str">
        <x:v>No</x:v>
      </x:c>
      <x:c r="H126" s="4" t="str">
        <x:v>Yes</x:v>
      </x:c>
      <x:c r="I126" s="24" t="str">
        <x:v>2026-09-15</x:v>
      </x:c>
      <x:c r="J126" s="4" t="str">
        <x:v>See TPWD category page</x:v>
      </x:c>
      <x:c r="K126" s="4" t="n">
        <x:v>0</x:v>
      </x:c>
      <x:c r="L126" s="4" t="n">
        <x:v>0</x:v>
      </x:c>
      <x:c r="M126" s="4"/>
      <x:c r="N126" s="4"/>
      <x:c r="O126" s="4"/>
      <x:c r="P126" s="4" t="n">
        <x:v>570</x:v>
      </x:c>
      <x:c r="Q126" s="4" t="str">
        <x:v>Statewide</x:v>
      </x:c>
      <x:c r="R126" s="4" t="str">
        <x:v>Research before draw; property brochure linked from TPWD</x:v>
      </x:c>
      <x:c r="S126" s="4" t="str">
        <x:v>Low</x:v>
      </x:c>
      <x:c r="T126" s="4" t="str">
        <x:v>No</x:v>
      </x:c>
      <x:c r="U126" s="4" t="str">
        <x:v>Verified in TPWD 2026-2027 statewide deer category catalog. APH/eligibility rules apply; confirm account and permit requirements.</x:v>
      </x:c>
      <x:c r="V126" s="4" t="str">
        <x:v>https://tpwd.texas.gov/huntwild/hunt/public/public_hunt_drawing/hunt-category-details.phtml?OCat=FSY</x:v>
      </x:c>
      <x:c r="W126" s="4" t="n">
        <x:v>2</x:v>
      </x:c>
      <x:c r="X126" s="4" t="n">
        <x:v>2</x:v>
      </x:c>
      <x:c r="Y126" s="4" t="n">
        <x:v>5</x:v>
      </x:c>
      <x:c r="Z126" s="4" t="n">
        <x:v>3</x:v>
      </x:c>
      <x:c r="AA126" s="4" t="n">
        <x:v>2</x:v>
      </x:c>
      <x:c r="AB126" s="4" t="n">
        <x:v>0</x:v>
      </x:c>
      <x:c r="AC126" s="4" t="n">
        <x:v>2.5</x:v>
      </x:c>
      <x:c r="AD126" s="4" t="n">
        <x:v>0</x:v>
      </x:c>
      <x:c r="AE126" s="4" t="str">
        <x:v>2026-09-15</x:v>
      </x:c>
      <x:c r="AF126" s="2"/>
      <x:c r="AG126" s="2"/>
      <x:c r="AH126" s="2"/>
      <x:c r="AI126" s="2"/>
      <x:c r="AJ126" s="2"/>
      <x:c r="AK126" s="2"/>
      <x:c r="AL126" s="2"/>
      <x:c r="AM126" s="2" t="str">
        <x:v>https://tpwd.texas.gov/huntwild/hunt/public/public_hunt_drawing/hunt-category-details.phtml?OCat=FSY</x:v>
      </x:c>
      <x:c r="AN126" s="2" t="str">
        <x:v>https://tpwd.texas.gov/search/?q=Moore+Plantation+WMA+public+hunting+brochure</x:v>
      </x:c>
      <x:c r="AO126" s="2" t="str">
        <x:v>https://apps.tpwd.state.tx.us/huntwild/hunt/public/public_hunt_drawing/</x:v>
      </x:c>
      <x:c r="AP126" s="2" t="str">
        <x:v>https://www.google.com/maps/search/?api=1&amp;query=Moore+Plantation+WMA%2C+Texas</x:v>
      </x:c>
      <x:c r="AQ126" s="2" t="n">
        <x:v>0</x:v>
      </x:c>
      <x:c r="AR126" s="2" t="str">
        <x:v>Standard Hastings ranking</x:v>
      </x:c>
    </x:row>
    <x:row r="127">
      <x:c r="A127" s="4" t="str">
        <x:v>No</x:v>
      </x:c>
      <x:c r="B127" s="4" t="str">
        <x:v>A</x:v>
      </x:c>
      <x:c r="C127" s="4" t="str">
        <x:v>Whitetail Deer</x:v>
      </x:c>
      <x:c r="D127" s="4" t="str">
        <x:v>Muse WMA</x:v>
      </x:c>
      <x:c r="E127" s="4" t="str">
        <x:v>Statewide / Other</x:v>
      </x:c>
      <x:c r="F127" s="4" t="str">
        <x:v>Youth Gun Deer - Antlerless/Spike</x:v>
      </x:c>
      <x:c r="G127" s="4" t="str">
        <x:v>No</x:v>
      </x:c>
      <x:c r="H127" s="4" t="str">
        <x:v>Yes</x:v>
      </x:c>
      <x:c r="I127" s="24" t="str">
        <x:v>2026-09-15</x:v>
      </x:c>
      <x:c r="J127" s="4" t="str">
        <x:v>See TPWD category page</x:v>
      </x:c>
      <x:c r="K127" s="4" t="n">
        <x:v>0</x:v>
      </x:c>
      <x:c r="L127" s="4" t="n">
        <x:v>0</x:v>
      </x:c>
      <x:c r="M127" s="4"/>
      <x:c r="N127" s="4"/>
      <x:c r="O127" s="4"/>
      <x:c r="P127" s="4" t="n">
        <x:v>500</x:v>
      </x:c>
      <x:c r="Q127" s="4" t="str">
        <x:v>Statewide</x:v>
      </x:c>
      <x:c r="R127" s="4" t="str">
        <x:v>Research before draw; property brochure linked from TPWD</x:v>
      </x:c>
      <x:c r="S127" s="4" t="str">
        <x:v>Low</x:v>
      </x:c>
      <x:c r="T127" s="4" t="str">
        <x:v>No</x:v>
      </x:c>
      <x:c r="U127" s="4" t="str">
        <x:v>Verified in TPWD 2026-2027 statewide deer category catalog.</x:v>
      </x:c>
      <x:c r="V127" s="4" t="str">
        <x:v>https://tpwd.texas.gov/huntwild/hunt/public/public_hunt_drawing/hunt-category-details.phtml?OCat=YDA</x:v>
      </x:c>
      <x:c r="W127" s="4" t="n">
        <x:v>2</x:v>
      </x:c>
      <x:c r="X127" s="4" t="n">
        <x:v>2</x:v>
      </x:c>
      <x:c r="Y127" s="4" t="n">
        <x:v>5</x:v>
      </x:c>
      <x:c r="Z127" s="4" t="n">
        <x:v>3</x:v>
      </x:c>
      <x:c r="AA127" s="4" t="n">
        <x:v>2</x:v>
      </x:c>
      <x:c r="AB127" s="4" t="n">
        <x:v>0</x:v>
      </x:c>
      <x:c r="AC127" s="4" t="n">
        <x:v>2.5</x:v>
      </x:c>
      <x:c r="AD127" s="4" t="n">
        <x:v>0</x:v>
      </x:c>
      <x:c r="AE127" s="4" t="str">
        <x:v>2026-09-15</x:v>
      </x:c>
      <x:c r="AF127" s="2"/>
      <x:c r="AG127" s="2"/>
      <x:c r="AH127" s="2"/>
      <x:c r="AI127" s="2"/>
      <x:c r="AJ127" s="2"/>
      <x:c r="AK127" s="2"/>
      <x:c r="AL127" s="2"/>
      <x:c r="AM127" s="2" t="str">
        <x:v>https://tpwd.texas.gov/huntwild/hunt/public/public_hunt_drawing/hunt-category-details.phtml?OCat=YDA</x:v>
      </x:c>
      <x:c r="AN127" s="2" t="str">
        <x:v>https://tpwd.texas.gov/search/?q=Muse+WMA+public+hunting+brochure</x:v>
      </x:c>
      <x:c r="AO127" s="2" t="str">
        <x:v>https://apps.tpwd.state.tx.us/huntwild/hunt/public/public_hunt_drawing/</x:v>
      </x:c>
      <x:c r="AP127" s="2" t="str">
        <x:v>https://www.google.com/maps/search/?api=1&amp;query=Muse+WMA%2C+Texas</x:v>
      </x:c>
      <x:c r="AQ127" s="2" t="n">
        <x:v>0</x:v>
      </x:c>
      <x:c r="AR127" s="2" t="str">
        <x:v>Standard Hastings ranking</x:v>
      </x:c>
    </x:row>
    <x:row r="128">
      <x:c r="A128" s="4" t="str">
        <x:v>No</x:v>
      </x:c>
      <x:c r="B128" s="4" t="str">
        <x:v>A</x:v>
      </x:c>
      <x:c r="C128" s="4" t="str">
        <x:v>Whitetail Deer</x:v>
      </x:c>
      <x:c r="D128" s="4" t="str">
        <x:v>Nannie Stringfellow WMA</x:v>
      </x:c>
      <x:c r="E128" s="4" t="str">
        <x:v>Houston / Gulf Coast</x:v>
      </x:c>
      <x:c r="F128" s="4" t="str">
        <x:v>Youth Gun Deer - Antlerless/Spike</x:v>
      </x:c>
      <x:c r="G128" s="4" t="str">
        <x:v>No</x:v>
      </x:c>
      <x:c r="H128" s="4" t="str">
        <x:v>Yes</x:v>
      </x:c>
      <x:c r="I128" s="24" t="str">
        <x:v>2026-09-15</x:v>
      </x:c>
      <x:c r="J128" s="4" t="str">
        <x:v>See TPWD category page</x:v>
      </x:c>
      <x:c r="K128" s="4" t="n">
        <x:v>0</x:v>
      </x:c>
      <x:c r="L128" s="4" t="n">
        <x:v>0</x:v>
      </x:c>
      <x:c r="M128" s="4"/>
      <x:c r="N128" s="4"/>
      <x:c r="O128" s="4"/>
      <x:c r="P128" s="4" t="n">
        <x:v>610</x:v>
      </x:c>
      <x:c r="Q128" s="4" t="str">
        <x:v>Long Haul</x:v>
      </x:c>
      <x:c r="R128" s="4" t="str">
        <x:v>Research before draw; property brochure linked from TPWD</x:v>
      </x:c>
      <x:c r="S128" s="4" t="str">
        <x:v>Low</x:v>
      </x:c>
      <x:c r="T128" s="4" t="str">
        <x:v>No</x:v>
      </x:c>
      <x:c r="U128" s="4" t="str">
        <x:v>Verified in TPWD 2026-2027 statewide deer category catalog.</x:v>
      </x:c>
      <x:c r="V128" s="4" t="str">
        <x:v>https://tpwd.texas.gov/huntwild/hunt/public/public_hunt_drawing/hunt-category-details.phtml?OCat=YDA</x:v>
      </x:c>
      <x:c r="W128" s="4" t="n">
        <x:v>2</x:v>
      </x:c>
      <x:c r="X128" s="4" t="n">
        <x:v>1</x:v>
      </x:c>
      <x:c r="Y128" s="4" t="n">
        <x:v>5</x:v>
      </x:c>
      <x:c r="Z128" s="4" t="n">
        <x:v>3</x:v>
      </x:c>
      <x:c r="AA128" s="4" t="n">
        <x:v>2</x:v>
      </x:c>
      <x:c r="AB128" s="4" t="n">
        <x:v>0</x:v>
      </x:c>
      <x:c r="AC128" s="4" t="n">
        <x:v>2.4</x:v>
      </x:c>
      <x:c r="AD128" s="4" t="n">
        <x:v>0</x:v>
      </x:c>
      <x:c r="AE128" s="4" t="str">
        <x:v>2026-09-15</x:v>
      </x:c>
      <x:c r="AF128" s="2"/>
      <x:c r="AG128" s="2"/>
      <x:c r="AH128" s="2"/>
      <x:c r="AI128" s="2"/>
      <x:c r="AJ128" s="2"/>
      <x:c r="AK128" s="2"/>
      <x:c r="AL128" s="2"/>
      <x:c r="AM128" s="2" t="str">
        <x:v>https://tpwd.texas.gov/huntwild/hunt/public/public_hunt_drawing/hunt-category-details.phtml?OCat=YDA</x:v>
      </x:c>
      <x:c r="AN128" s="2" t="str">
        <x:v>https://tpwd.texas.gov/search/?q=Nannie+Stringfellow+WMA+public+hunting+brochure</x:v>
      </x:c>
      <x:c r="AO128" s="2" t="str">
        <x:v>https://apps.tpwd.state.tx.us/huntwild/hunt/public/public_hunt_drawing/</x:v>
      </x:c>
      <x:c r="AP128" s="2" t="str">
        <x:v>https://www.google.com/maps/search/?api=1&amp;query=Nannie+Stringfellow+WMA%2C+Texas</x:v>
      </x:c>
      <x:c r="AQ128" s="2" t="n">
        <x:v>0</x:v>
      </x:c>
      <x:c r="AR128" s="2" t="str">
        <x:v>Standard Hastings ranking</x:v>
      </x:c>
    </x:row>
    <x:row r="129">
      <x:c r="A129" s="4" t="str">
        <x:v>No</x:v>
      </x:c>
      <x:c r="B129" s="4" t="str">
        <x:v>A</x:v>
      </x:c>
      <x:c r="C129" s="4" t="str">
        <x:v>Whitetail Deer</x:v>
      </x:c>
      <x:c r="D129" s="4" t="str">
        <x:v>Palmetto SP</x:v>
      </x:c>
      <x:c r="E129" s="4" t="str">
        <x:v>Central Texas / Austin</x:v>
      </x:c>
      <x:c r="F129" s="4" t="str">
        <x:v>Youth Gun Deer - Antlerless/Spike</x:v>
      </x:c>
      <x:c r="G129" s="4" t="str">
        <x:v>No</x:v>
      </x:c>
      <x:c r="H129" s="4" t="str">
        <x:v>Yes</x:v>
      </x:c>
      <x:c r="I129" s="24" t="str">
        <x:v>2026-09-15</x:v>
      </x:c>
      <x:c r="J129" s="4" t="str">
        <x:v>See TPWD category page</x:v>
      </x:c>
      <x:c r="K129" s="4" t="n">
        <x:v>0</x:v>
      </x:c>
      <x:c r="L129" s="4" t="n">
        <x:v>0</x:v>
      </x:c>
      <x:c r="M129" s="4"/>
      <x:c r="N129" s="4"/>
      <x:c r="O129" s="4"/>
      <x:c r="P129" s="4" t="n">
        <x:v>490</x:v>
      </x:c>
      <x:c r="Q129" s="4" t="str">
        <x:v>Statewide</x:v>
      </x:c>
      <x:c r="R129" s="4" t="str">
        <x:v>Research before draw; property brochure linked from TPWD</x:v>
      </x:c>
      <x:c r="S129" s="4" t="str">
        <x:v>Low</x:v>
      </x:c>
      <x:c r="T129" s="4" t="str">
        <x:v>No</x:v>
      </x:c>
      <x:c r="U129" s="4" t="str">
        <x:v>Verified in TPWD 2026-2027 statewide deer category catalog.</x:v>
      </x:c>
      <x:c r="V129" s="4" t="str">
        <x:v>https://tpwd.texas.gov/huntwild/hunt/public/public_hunt_drawing/hunt-category-details.phtml?OCat=YDA</x:v>
      </x:c>
      <x:c r="W129" s="4" t="n">
        <x:v>2</x:v>
      </x:c>
      <x:c r="X129" s="4" t="n">
        <x:v>2</x:v>
      </x:c>
      <x:c r="Y129" s="4" t="n">
        <x:v>5</x:v>
      </x:c>
      <x:c r="Z129" s="4" t="n">
        <x:v>3</x:v>
      </x:c>
      <x:c r="AA129" s="4" t="n">
        <x:v>2</x:v>
      </x:c>
      <x:c r="AB129" s="4" t="n">
        <x:v>0</x:v>
      </x:c>
      <x:c r="AC129" s="4" t="n">
        <x:v>2.5</x:v>
      </x:c>
      <x:c r="AD129" s="4" t="n">
        <x:v>0</x:v>
      </x:c>
      <x:c r="AE129" s="4" t="str">
        <x:v>2026-09-15</x:v>
      </x:c>
      <x:c r="AF129" s="2"/>
      <x:c r="AG129" s="2"/>
      <x:c r="AH129" s="2"/>
      <x:c r="AI129" s="2"/>
      <x:c r="AJ129" s="2"/>
      <x:c r="AK129" s="2"/>
      <x:c r="AL129" s="2"/>
      <x:c r="AM129" s="2" t="str">
        <x:v>https://tpwd.texas.gov/huntwild/hunt/public/public_hunt_drawing/hunt-category-details.phtml?OCat=YDA</x:v>
      </x:c>
      <x:c r="AN129" s="2" t="str">
        <x:v>https://tpwd.texas.gov/search/?q=Palmetto+SP+public+hunting+brochure</x:v>
      </x:c>
      <x:c r="AO129" s="2" t="str">
        <x:v>https://apps.tpwd.state.tx.us/huntwild/hunt/public/public_hunt_drawing/</x:v>
      </x:c>
      <x:c r="AP129" s="2" t="str">
        <x:v>https://www.google.com/maps/search/?api=1&amp;query=Palmetto+SP%2C+Texas</x:v>
      </x:c>
      <x:c r="AQ129" s="2" t="n">
        <x:v>0</x:v>
      </x:c>
      <x:c r="AR129" s="2" t="str">
        <x:v>Standard Hastings ranking</x:v>
      </x:c>
    </x:row>
    <x:row r="130">
      <x:c r="A130" s="4" t="str">
        <x:v>No</x:v>
      </x:c>
      <x:c r="B130" s="4" t="str">
        <x:v>A</x:v>
      </x:c>
      <x:c r="C130" s="4" t="str">
        <x:v>Whitetail Deer</x:v>
      </x:c>
      <x:c r="D130" s="4" t="str">
        <x:v>Palo Duro Canyon SP</x:v>
      </x:c>
      <x:c r="E130" s="4" t="str">
        <x:v>Panhandle / Rolling Plains</x:v>
      </x:c>
      <x:c r="F130" s="4" t="str">
        <x:v>Youth Gun Deer - Antlerless/Spike</x:v>
      </x:c>
      <x:c r="G130" s="4" t="str">
        <x:v>No</x:v>
      </x:c>
      <x:c r="H130" s="4" t="str">
        <x:v>Yes</x:v>
      </x:c>
      <x:c r="I130" s="24" t="str">
        <x:v>2026-09-15</x:v>
      </x:c>
      <x:c r="J130" s="4" t="str">
        <x:v>See TPWD category page</x:v>
      </x:c>
      <x:c r="K130" s="4" t="n">
        <x:v>0</x:v>
      </x:c>
      <x:c r="L130" s="4" t="n">
        <x:v>0</x:v>
      </x:c>
      <x:c r="M130" s="4"/>
      <x:c r="N130" s="4"/>
      <x:c r="O130" s="4"/>
      <x:c r="P130" s="4" t="n">
        <x:v>130</x:v>
      </x:c>
      <x:c r="Q130" s="4" t="str">
        <x:v>Core</x:v>
      </x:c>
      <x:c r="R130" s="4" t="str">
        <x:v>Research before draw; property brochure linked from TPWD</x:v>
      </x:c>
      <x:c r="S130" s="4" t="str">
        <x:v>High</x:v>
      </x:c>
      <x:c r="T130" s="4" t="str">
        <x:v>No</x:v>
      </x:c>
      <x:c r="U130" s="4" t="str">
        <x:v>Verified in TPWD 2026-2027 statewide deer category catalog.</x:v>
      </x:c>
      <x:c r="V130" s="4" t="str">
        <x:v>https://tpwd.texas.gov/huntwild/hunt/public/public_hunt_drawing/hunt-category-details.phtml?OCat=YDA</x:v>
      </x:c>
      <x:c r="W130" s="4" t="n">
        <x:v>2</x:v>
      </x:c>
      <x:c r="X130" s="4" t="n">
        <x:v>5</x:v>
      </x:c>
      <x:c r="Y130" s="4" t="n">
        <x:v>5</x:v>
      </x:c>
      <x:c r="Z130" s="4" t="n">
        <x:v>3</x:v>
      </x:c>
      <x:c r="AA130" s="4" t="n">
        <x:v>4</x:v>
      </x:c>
      <x:c r="AB130" s="4" t="n">
        <x:v>0</x:v>
      </x:c>
      <x:c r="AC130" s="4" t="n">
        <x:v>3.2</x:v>
      </x:c>
      <x:c r="AD130" s="4" t="n">
        <x:v>0</x:v>
      </x:c>
      <x:c r="AE130" s="4" t="str">
        <x:v>2026-09-15</x:v>
      </x:c>
      <x:c r="AF130" s="2"/>
      <x:c r="AG130" s="2"/>
      <x:c r="AH130" s="2"/>
      <x:c r="AI130" s="2"/>
      <x:c r="AJ130" s="2"/>
      <x:c r="AK130" s="2"/>
      <x:c r="AL130" s="2"/>
      <x:c r="AM130" s="2" t="str">
        <x:v>https://tpwd.texas.gov/huntwild/hunt/public/public_hunt_drawing/hunt-category-details.phtml?OCat=YDA</x:v>
      </x:c>
      <x:c r="AN130" s="2" t="str">
        <x:v>https://tpwd.texas.gov/search/?q=Palo+Duro+Canyon+SP+public+hunting+brochure</x:v>
      </x:c>
      <x:c r="AO130" s="2" t="str">
        <x:v>https://apps.tpwd.state.tx.us/huntwild/hunt/public/public_hunt_drawing/</x:v>
      </x:c>
      <x:c r="AP130" s="2" t="str">
        <x:v>https://www.google.com/maps/search/?api=1&amp;query=Palo+Duro+Canyon+SP%2C+Texas</x:v>
      </x:c>
      <x:c r="AQ130" s="2" t="n">
        <x:v>0</x:v>
      </x:c>
      <x:c r="AR130" s="2" t="str">
        <x:v>Standard Hastings ranking</x:v>
      </x:c>
    </x:row>
    <x:row r="131">
      <x:c r="A131" s="4" t="str">
        <x:v>No</x:v>
      </x:c>
      <x:c r="B131" s="4" t="str">
        <x:v>A</x:v>
      </x:c>
      <x:c r="C131" s="4" t="str">
        <x:v>Whitetail Deer</x:v>
      </x:c>
      <x:c r="D131" s="4" t="str">
        <x:v>Palo Duro Canyon SP</x:v>
      </x:c>
      <x:c r="E131" s="4" t="str">
        <x:v>Panhandle / Rolling Plains</x:v>
      </x:c>
      <x:c r="F131" s="4" t="str">
        <x:v>Youth Gun Deer - Management</x:v>
      </x:c>
      <x:c r="G131" s="4" t="str">
        <x:v>No</x:v>
      </x:c>
      <x:c r="H131" s="4" t="str">
        <x:v>Yes</x:v>
      </x:c>
      <x:c r="I131" s="24" t="str">
        <x:v>2026-09-15</x:v>
      </x:c>
      <x:c r="J131" s="4" t="str">
        <x:v>See TPWD category page</x:v>
      </x:c>
      <x:c r="K131" s="4" t="n">
        <x:v>0</x:v>
      </x:c>
      <x:c r="L131" s="4" t="n">
        <x:v>0</x:v>
      </x:c>
      <x:c r="M131" s="4"/>
      <x:c r="N131" s="4"/>
      <x:c r="O131" s="4"/>
      <x:c r="P131" s="4" t="n">
        <x:v>130</x:v>
      </x:c>
      <x:c r="Q131" s="4" t="str">
        <x:v>Core</x:v>
      </x:c>
      <x:c r="R131" s="4" t="str">
        <x:v>Research before draw; property brochure linked from TPWD</x:v>
      </x:c>
      <x:c r="S131" s="4" t="str">
        <x:v>High</x:v>
      </x:c>
      <x:c r="T131" s="4" t="str">
        <x:v>No</x:v>
      </x:c>
      <x:c r="U131" s="4" t="str">
        <x:v>Verified in TPWD 2026-2027 statewide deer category catalog.</x:v>
      </x:c>
      <x:c r="V131" s="4" t="str">
        <x:v>https://tpwd.texas.gov/huntwild/hunt/public/public_hunt_drawing/hunt-category-details.phtml?OCat=YDM</x:v>
      </x:c>
      <x:c r="W131" s="4" t="n">
        <x:v>2</x:v>
      </x:c>
      <x:c r="X131" s="4" t="n">
        <x:v>5</x:v>
      </x:c>
      <x:c r="Y131" s="4" t="n">
        <x:v>5</x:v>
      </x:c>
      <x:c r="Z131" s="4" t="n">
        <x:v>3</x:v>
      </x:c>
      <x:c r="AA131" s="4" t="n">
        <x:v>4</x:v>
      </x:c>
      <x:c r="AB131" s="4" t="n">
        <x:v>0</x:v>
      </x:c>
      <x:c r="AC131" s="4" t="n">
        <x:v>3.2</x:v>
      </x:c>
      <x:c r="AD131" s="4" t="n">
        <x:v>0</x:v>
      </x:c>
      <x:c r="AE131" s="4" t="str">
        <x:v>2026-09-15</x:v>
      </x:c>
      <x:c r="AF131" s="2"/>
      <x:c r="AG131" s="2"/>
      <x:c r="AH131" s="2"/>
      <x:c r="AI131" s="2"/>
      <x:c r="AJ131" s="2"/>
      <x:c r="AK131" s="2"/>
      <x:c r="AL131" s="2"/>
      <x:c r="AM131" s="2" t="str">
        <x:v>https://tpwd.texas.gov/huntwild/hunt/public/public_hunt_drawing/hunt-category-details.phtml?OCat=YDM</x:v>
      </x:c>
      <x:c r="AN131" s="2" t="str">
        <x:v>https://tpwd.texas.gov/search/?q=Palo+Duro+Canyon+SP+public+hunting+brochure</x:v>
      </x:c>
      <x:c r="AO131" s="2" t="str">
        <x:v>https://apps.tpwd.state.tx.us/huntwild/hunt/public/public_hunt_drawing/</x:v>
      </x:c>
      <x:c r="AP131" s="2" t="str">
        <x:v>https://www.google.com/maps/search/?api=1&amp;query=Palo+Duro+Canyon+SP%2C+Texas</x:v>
      </x:c>
      <x:c r="AQ131" s="2" t="n">
        <x:v>0</x:v>
      </x:c>
      <x:c r="AR131" s="2" t="str">
        <x:v>Standard Hastings ranking</x:v>
      </x:c>
    </x:row>
    <x:row r="132">
      <x:c r="A132" s="4" t="str">
        <x:v>No</x:v>
      </x:c>
      <x:c r="B132" s="4" t="str">
        <x:v>A</x:v>
      </x:c>
      <x:c r="C132" s="4" t="str">
        <x:v>Whitetail Deer</x:v>
      </x:c>
      <x:c r="D132" s="4" t="str">
        <x:v>Paul &amp; Toni Fox Burns WMA</x:v>
      </x:c>
      <x:c r="E132" s="4" t="str">
        <x:v>Statewide / Other</x:v>
      </x:c>
      <x:c r="F132" s="4" t="str">
        <x:v>Youth Gun Deer - Antlerless/Spike</x:v>
      </x:c>
      <x:c r="G132" s="4" t="str">
        <x:v>No</x:v>
      </x:c>
      <x:c r="H132" s="4" t="str">
        <x:v>Yes</x:v>
      </x:c>
      <x:c r="I132" s="24" t="str">
        <x:v>2026-09-15</x:v>
      </x:c>
      <x:c r="J132" s="4" t="str">
        <x:v>See TPWD category page</x:v>
      </x:c>
      <x:c r="K132" s="4" t="n">
        <x:v>0</x:v>
      </x:c>
      <x:c r="L132" s="4" t="n">
        <x:v>0</x:v>
      </x:c>
      <x:c r="M132" s="4"/>
      <x:c r="N132" s="4"/>
      <x:c r="O132" s="4"/>
      <x:c r="P132" s="4" t="n">
        <x:v>500</x:v>
      </x:c>
      <x:c r="Q132" s="4" t="str">
        <x:v>Statewide</x:v>
      </x:c>
      <x:c r="R132" s="4" t="str">
        <x:v>Research before draw; property brochure linked from TPWD</x:v>
      </x:c>
      <x:c r="S132" s="4" t="str">
        <x:v>Low</x:v>
      </x:c>
      <x:c r="T132" s="4" t="str">
        <x:v>No</x:v>
      </x:c>
      <x:c r="U132" s="4" t="str">
        <x:v>Verified in TPWD 2026-2027 statewide deer category catalog.</x:v>
      </x:c>
      <x:c r="V132" s="4" t="str">
        <x:v>https://tpwd.texas.gov/huntwild/hunt/public/public_hunt_drawing/hunt-category-details.phtml?OCat=YDA</x:v>
      </x:c>
      <x:c r="W132" s="4" t="n">
        <x:v>2</x:v>
      </x:c>
      <x:c r="X132" s="4" t="n">
        <x:v>2</x:v>
      </x:c>
      <x:c r="Y132" s="4" t="n">
        <x:v>5</x:v>
      </x:c>
      <x:c r="Z132" s="4" t="n">
        <x:v>3</x:v>
      </x:c>
      <x:c r="AA132" s="4" t="n">
        <x:v>2</x:v>
      </x:c>
      <x:c r="AB132" s="4" t="n">
        <x:v>0</x:v>
      </x:c>
      <x:c r="AC132" s="4" t="n">
        <x:v>2.5</x:v>
      </x:c>
      <x:c r="AD132" s="4" t="n">
        <x:v>0</x:v>
      </x:c>
      <x:c r="AE132" s="4" t="str">
        <x:v>2026-09-15</x:v>
      </x:c>
      <x:c r="AF132" s="2"/>
      <x:c r="AG132" s="2"/>
      <x:c r="AH132" s="2"/>
      <x:c r="AI132" s="2"/>
      <x:c r="AJ132" s="2"/>
      <x:c r="AK132" s="2"/>
      <x:c r="AL132" s="2"/>
      <x:c r="AM132" s="2" t="str">
        <x:v>https://tpwd.texas.gov/huntwild/hunt/public/public_hunt_drawing/hunt-category-details.phtml?OCat=YDA</x:v>
      </x:c>
      <x:c r="AN132" s="2" t="str">
        <x:v>https://tpwd.texas.gov/search/?q=Paul+%26+Toni+Fox+Burns+WMA+public+hunting+brochure</x:v>
      </x:c>
      <x:c r="AO132" s="2" t="str">
        <x:v>https://apps.tpwd.state.tx.us/huntwild/hunt/public/public_hunt_drawing/</x:v>
      </x:c>
      <x:c r="AP132" s="2" t="str">
        <x:v>https://www.google.com/maps/search/?api=1&amp;query=Paul+%26+Toni+Fox+Burns+WMA%2C+Texas</x:v>
      </x:c>
      <x:c r="AQ132" s="2" t="n">
        <x:v>0</x:v>
      </x:c>
      <x:c r="AR132" s="2" t="str">
        <x:v>Standard Hastings ranking</x:v>
      </x:c>
    </x:row>
    <x:row r="133">
      <x:c r="A133" s="4" t="str">
        <x:v>No</x:v>
      </x:c>
      <x:c r="B133" s="4" t="str">
        <x:v>A</x:v>
      </x:c>
      <x:c r="C133" s="4" t="str">
        <x:v>Whitetail Deer</x:v>
      </x:c>
      <x:c r="D133" s="4" t="str">
        <x:v>Possum Kingdom SP</x:v>
      </x:c>
      <x:c r="E133" s="4" t="str">
        <x:v>Statewide / Other</x:v>
      </x:c>
      <x:c r="F133" s="4" t="str">
        <x:v>Youth Gun Deer - Antlerless/Spike</x:v>
      </x:c>
      <x:c r="G133" s="4" t="str">
        <x:v>No</x:v>
      </x:c>
      <x:c r="H133" s="4" t="str">
        <x:v>Yes</x:v>
      </x:c>
      <x:c r="I133" s="24" t="str">
        <x:v>2026-09-15</x:v>
      </x:c>
      <x:c r="J133" s="4" t="str">
        <x:v>See TPWD category page</x:v>
      </x:c>
      <x:c r="K133" s="4" t="n">
        <x:v>0</x:v>
      </x:c>
      <x:c r="L133" s="4" t="n">
        <x:v>0</x:v>
      </x:c>
      <x:c r="M133" s="4"/>
      <x:c r="N133" s="4"/>
      <x:c r="O133" s="4"/>
      <x:c r="P133" s="4" t="n">
        <x:v>500</x:v>
      </x:c>
      <x:c r="Q133" s="4" t="str">
        <x:v>Statewide</x:v>
      </x:c>
      <x:c r="R133" s="4" t="str">
        <x:v>Research before draw; property brochure linked from TPWD</x:v>
      </x:c>
      <x:c r="S133" s="4" t="str">
        <x:v>Low</x:v>
      </x:c>
      <x:c r="T133" s="4" t="str">
        <x:v>No</x:v>
      </x:c>
      <x:c r="U133" s="4" t="str">
        <x:v>Verified in TPWD 2026-2027 statewide deer category catalog.</x:v>
      </x:c>
      <x:c r="V133" s="4" t="str">
        <x:v>https://tpwd.texas.gov/huntwild/hunt/public/public_hunt_drawing/hunt-category-details.phtml?OCat=YDA</x:v>
      </x:c>
      <x:c r="W133" s="4" t="n">
        <x:v>2</x:v>
      </x:c>
      <x:c r="X133" s="4" t="n">
        <x:v>2</x:v>
      </x:c>
      <x:c r="Y133" s="4" t="n">
        <x:v>5</x:v>
      </x:c>
      <x:c r="Z133" s="4" t="n">
        <x:v>3</x:v>
      </x:c>
      <x:c r="AA133" s="4" t="n">
        <x:v>2</x:v>
      </x:c>
      <x:c r="AB133" s="4" t="n">
        <x:v>0</x:v>
      </x:c>
      <x:c r="AC133" s="4" t="n">
        <x:v>2.5</x:v>
      </x:c>
      <x:c r="AD133" s="4" t="n">
        <x:v>0</x:v>
      </x:c>
      <x:c r="AE133" s="4" t="str">
        <x:v>2026-09-15</x:v>
      </x:c>
      <x:c r="AF133" s="2"/>
      <x:c r="AG133" s="2"/>
      <x:c r="AH133" s="2"/>
      <x:c r="AI133" s="2"/>
      <x:c r="AJ133" s="2"/>
      <x:c r="AK133" s="2"/>
      <x:c r="AL133" s="2"/>
      <x:c r="AM133" s="2" t="str">
        <x:v>https://tpwd.texas.gov/huntwild/hunt/public/public_hunt_drawing/hunt-category-details.phtml?OCat=YDA</x:v>
      </x:c>
      <x:c r="AN133" s="2" t="str">
        <x:v>https://tpwd.texas.gov/search/?q=Possum+Kingdom+SP+public+hunting+brochure</x:v>
      </x:c>
      <x:c r="AO133" s="2" t="str">
        <x:v>https://apps.tpwd.state.tx.us/huntwild/hunt/public/public_hunt_drawing/</x:v>
      </x:c>
      <x:c r="AP133" s="2" t="str">
        <x:v>https://www.google.com/maps/search/?api=1&amp;query=Possum+Kingdom+SP%2C+Texas</x:v>
      </x:c>
      <x:c r="AQ133" s="2" t="n">
        <x:v>0</x:v>
      </x:c>
      <x:c r="AR133" s="2" t="str">
        <x:v>Standard Hastings ranking</x:v>
      </x:c>
    </x:row>
    <x:row r="134">
      <x:c r="A134" s="4" t="str">
        <x:v>No</x:v>
      </x:c>
      <x:c r="B134" s="4" t="str">
        <x:v>A</x:v>
      </x:c>
      <x:c r="C134" s="4" t="str">
        <x:v>Whitetail Deer</x:v>
      </x:c>
      <x:c r="D134" s="4" t="str">
        <x:v>Ray Roberts Lake State Park - Isle du Bois</x:v>
      </x:c>
      <x:c r="E134" s="4" t="str">
        <x:v>North Texas / DFW</x:v>
      </x:c>
      <x:c r="F134" s="4" t="str">
        <x:v>Youth Gun Deer - Antlerless/Spike</x:v>
      </x:c>
      <x:c r="G134" s="4" t="str">
        <x:v>No</x:v>
      </x:c>
      <x:c r="H134" s="4" t="str">
        <x:v>Yes</x:v>
      </x:c>
      <x:c r="I134" s="24" t="str">
        <x:v>2026-09-15</x:v>
      </x:c>
      <x:c r="J134" s="4" t="str">
        <x:v>See TPWD category page</x:v>
      </x:c>
      <x:c r="K134" s="4" t="n">
        <x:v>0</x:v>
      </x:c>
      <x:c r="L134" s="4" t="n">
        <x:v>0</x:v>
      </x:c>
      <x:c r="M134" s="4"/>
      <x:c r="N134" s="4"/>
      <x:c r="O134" s="4"/>
      <x:c r="P134" s="4" t="n">
        <x:v>360</x:v>
      </x:c>
      <x:c r="Q134" s="4" t="str">
        <x:v>Extended</x:v>
      </x:c>
      <x:c r="R134" s="4" t="str">
        <x:v>Research before draw; property brochure linked from TPWD</x:v>
      </x:c>
      <x:c r="S134" s="4" t="str">
        <x:v>Low</x:v>
      </x:c>
      <x:c r="T134" s="4" t="str">
        <x:v>No</x:v>
      </x:c>
      <x:c r="U134" s="4" t="str">
        <x:v>Verified in TPWD 2026-2027 statewide deer category catalog.</x:v>
      </x:c>
      <x:c r="V134" s="4" t="str">
        <x:v>https://tpwd.texas.gov/huntwild/hunt/public/public_hunt_drawing/hunt-category-details.phtml?OCat=YDA</x:v>
      </x:c>
      <x:c r="W134" s="4" t="n">
        <x:v>2</x:v>
      </x:c>
      <x:c r="X134" s="4" t="n">
        <x:v>3</x:v>
      </x:c>
      <x:c r="Y134" s="4" t="n">
        <x:v>5</x:v>
      </x:c>
      <x:c r="Z134" s="4" t="n">
        <x:v>3</x:v>
      </x:c>
      <x:c r="AA134" s="4" t="n">
        <x:v>2</x:v>
      </x:c>
      <x:c r="AB134" s="4" t="n">
        <x:v>0</x:v>
      </x:c>
      <x:c r="AC134" s="4" t="n">
        <x:v>2.7</x:v>
      </x:c>
      <x:c r="AD134" s="4" t="n">
        <x:v>0</x:v>
      </x:c>
      <x:c r="AE134" s="4" t="str">
        <x:v>2026-09-15</x:v>
      </x:c>
      <x:c r="AF134" s="2"/>
      <x:c r="AG134" s="2"/>
      <x:c r="AH134" s="2"/>
      <x:c r="AI134" s="2"/>
      <x:c r="AJ134" s="2"/>
      <x:c r="AK134" s="2"/>
      <x:c r="AL134" s="2"/>
      <x:c r="AM134" s="2" t="str">
        <x:v>https://tpwd.texas.gov/huntwild/hunt/public/public_hunt_drawing/hunt-category-details.phtml?OCat=YDA</x:v>
      </x:c>
      <x:c r="AN134" s="2" t="str">
        <x:v>https://tpwd.texas.gov/search/?q=Ray+Roberts+Lake+State+Park+-+Isle+du+Bois+public+hunting+brochure</x:v>
      </x:c>
      <x:c r="AO134" s="2" t="str">
        <x:v>https://apps.tpwd.state.tx.us/huntwild/hunt/public/public_hunt_drawing/</x:v>
      </x:c>
      <x:c r="AP134" s="2" t="str">
        <x:v>https://www.google.com/maps/search/?api=1&amp;query=Ray+Roberts+Lake+State+Park+-+Isle+du+Bois%2C+Texas</x:v>
      </x:c>
      <x:c r="AQ134" s="2" t="n">
        <x:v>0</x:v>
      </x:c>
      <x:c r="AR134" s="2" t="str">
        <x:v>Standard Hastings ranking</x:v>
      </x:c>
    </x:row>
    <x:row r="135">
      <x:c r="A135" s="4" t="str">
        <x:v>No</x:v>
      </x:c>
      <x:c r="B135" s="4" t="str">
        <x:v>A</x:v>
      </x:c>
      <x:c r="C135" s="4" t="str">
        <x:v>Whitetail Deer</x:v>
      </x:c>
      <x:c r="D135" s="4" t="str">
        <x:v>Roger Fawcett WMA</x:v>
      </x:c>
      <x:c r="E135" s="4" t="str">
        <x:v>West-Central Texas</x:v>
      </x:c>
      <x:c r="F135" s="4" t="str">
        <x:v>Youth Gun Deer - Antlerless/Spike</x:v>
      </x:c>
      <x:c r="G135" s="4" t="str">
        <x:v>No</x:v>
      </x:c>
      <x:c r="H135" s="4" t="str">
        <x:v>Yes</x:v>
      </x:c>
      <x:c r="I135" s="24" t="str">
        <x:v>2026-09-15</x:v>
      </x:c>
      <x:c r="J135" s="4" t="str">
        <x:v>See TPWD category page</x:v>
      </x:c>
      <x:c r="K135" s="4" t="n">
        <x:v>0</x:v>
      </x:c>
      <x:c r="L135" s="4" t="n">
        <x:v>0</x:v>
      </x:c>
      <x:c r="M135" s="4"/>
      <x:c r="N135" s="4"/>
      <x:c r="O135" s="4"/>
      <x:c r="P135" s="4" t="n">
        <x:v>300</x:v>
      </x:c>
      <x:c r="Q135" s="4" t="str">
        <x:v>Extended</x:v>
      </x:c>
      <x:c r="R135" s="4" t="str">
        <x:v>Research before draw; property brochure linked from TPWD</x:v>
      </x:c>
      <x:c r="S135" s="4" t="str">
        <x:v>Low</x:v>
      </x:c>
      <x:c r="T135" s="4" t="str">
        <x:v>No</x:v>
      </x:c>
      <x:c r="U135" s="4" t="str">
        <x:v>Verified in TPWD 2026-2027 statewide deer category catalog.</x:v>
      </x:c>
      <x:c r="V135" s="4" t="str">
        <x:v>https://tpwd.texas.gov/huntwild/hunt/public/public_hunt_drawing/hunt-category-details.phtml?OCat=YDA</x:v>
      </x:c>
      <x:c r="W135" s="4" t="n">
        <x:v>2</x:v>
      </x:c>
      <x:c r="X135" s="4" t="n">
        <x:v>4</x:v>
      </x:c>
      <x:c r="Y135" s="4" t="n">
        <x:v>5</x:v>
      </x:c>
      <x:c r="Z135" s="4" t="n">
        <x:v>3</x:v>
      </x:c>
      <x:c r="AA135" s="4" t="n">
        <x:v>2</x:v>
      </x:c>
      <x:c r="AB135" s="4" t="n">
        <x:v>0</x:v>
      </x:c>
      <x:c r="AC135" s="4" t="n">
        <x:v>2.9</x:v>
      </x:c>
      <x:c r="AD135" s="4" t="n">
        <x:v>0</x:v>
      </x:c>
      <x:c r="AE135" s="4" t="str">
        <x:v>2026-09-15</x:v>
      </x:c>
      <x:c r="AF135" s="2"/>
      <x:c r="AG135" s="2"/>
      <x:c r="AH135" s="2"/>
      <x:c r="AI135" s="2"/>
      <x:c r="AJ135" s="2"/>
      <x:c r="AK135" s="2"/>
      <x:c r="AL135" s="2"/>
      <x:c r="AM135" s="2" t="str">
        <x:v>https://tpwd.texas.gov/huntwild/hunt/public/public_hunt_drawing/hunt-category-details.phtml?OCat=YDA</x:v>
      </x:c>
      <x:c r="AN135" s="2" t="str">
        <x:v>https://tpwd.texas.gov/search/?q=Roger+Fawcett+WMA+public+hunting+brochure</x:v>
      </x:c>
      <x:c r="AO135" s="2" t="str">
        <x:v>https://apps.tpwd.state.tx.us/huntwild/hunt/public/public_hunt_drawing/</x:v>
      </x:c>
      <x:c r="AP135" s="2" t="str">
        <x:v>https://www.google.com/maps/search/?api=1&amp;query=Roger+Fawcett+WMA%2C+Texas</x:v>
      </x:c>
      <x:c r="AQ135" s="2" t="n">
        <x:v>0</x:v>
      </x:c>
      <x:c r="AR135" s="2" t="str">
        <x:v>Standard Hastings ranking</x:v>
      </x:c>
    </x:row>
    <x:row r="136">
      <x:c r="A136" s="4" t="str">
        <x:v>No</x:v>
      </x:c>
      <x:c r="B136" s="4" t="str">
        <x:v>A</x:v>
      </x:c>
      <x:c r="C136" s="4" t="str">
        <x:v>Whitetail Deer</x:v>
      </x:c>
      <x:c r="D136" s="4" t="str">
        <x:v>Sam Houston National Forest WMA</x:v>
      </x:c>
      <x:c r="E136" s="4" t="str">
        <x:v>East Texas / Pineywoods</x:v>
      </x:c>
      <x:c r="F136" s="4" t="str">
        <x:v>USFS Antlerless Deer Permit - Youth</x:v>
      </x:c>
      <x:c r="G136" s="4" t="str">
        <x:v>No</x:v>
      </x:c>
      <x:c r="H136" s="4" t="str">
        <x:v>Yes</x:v>
      </x:c>
      <x:c r="I136" s="24" t="str">
        <x:v>2026-09-15</x:v>
      </x:c>
      <x:c r="J136" s="4" t="str">
        <x:v>See TPWD category page</x:v>
      </x:c>
      <x:c r="K136" s="4" t="n">
        <x:v>0</x:v>
      </x:c>
      <x:c r="L136" s="4" t="n">
        <x:v>0</x:v>
      </x:c>
      <x:c r="M136" s="4"/>
      <x:c r="N136" s="4"/>
      <x:c r="O136" s="4"/>
      <x:c r="P136" s="4" t="n">
        <x:v>570</x:v>
      </x:c>
      <x:c r="Q136" s="4" t="str">
        <x:v>Statewide</x:v>
      </x:c>
      <x:c r="R136" s="4" t="str">
        <x:v>Research before draw; property brochure linked from TPWD</x:v>
      </x:c>
      <x:c r="S136" s="4" t="str">
        <x:v>Low</x:v>
      </x:c>
      <x:c r="T136" s="4" t="str">
        <x:v>No</x:v>
      </x:c>
      <x:c r="U136" s="4" t="str">
        <x:v>Verified in TPWD 2026-2027 statewide deer category catalog. APH/eligibility rules apply; confirm account and permit requirements.</x:v>
      </x:c>
      <x:c r="V136" s="4" t="str">
        <x:v>https://tpwd.texas.gov/huntwild/hunt/public/public_hunt_drawing/hunt-category-details.phtml?OCat=FSY</x:v>
      </x:c>
      <x:c r="W136" s="4" t="n">
        <x:v>2</x:v>
      </x:c>
      <x:c r="X136" s="4" t="n">
        <x:v>2</x:v>
      </x:c>
      <x:c r="Y136" s="4" t="n">
        <x:v>5</x:v>
      </x:c>
      <x:c r="Z136" s="4" t="n">
        <x:v>3</x:v>
      </x:c>
      <x:c r="AA136" s="4" t="n">
        <x:v>2</x:v>
      </x:c>
      <x:c r="AB136" s="4" t="n">
        <x:v>0</x:v>
      </x:c>
      <x:c r="AC136" s="4" t="n">
        <x:v>2.5</x:v>
      </x:c>
      <x:c r="AD136" s="4" t="n">
        <x:v>0</x:v>
      </x:c>
      <x:c r="AE136" s="4" t="str">
        <x:v>2026-09-15</x:v>
      </x:c>
      <x:c r="AF136" s="2"/>
      <x:c r="AG136" s="2"/>
      <x:c r="AH136" s="2"/>
      <x:c r="AI136" s="2"/>
      <x:c r="AJ136" s="2"/>
      <x:c r="AK136" s="2"/>
      <x:c r="AL136" s="2"/>
      <x:c r="AM136" s="2" t="str">
        <x:v>https://tpwd.texas.gov/huntwild/hunt/public/public_hunt_drawing/hunt-category-details.phtml?OCat=FSY</x:v>
      </x:c>
      <x:c r="AN136" s="2" t="str">
        <x:v>https://tpwd.texas.gov/search/?q=Sam+Houston+National+Forest+WMA+public+hunting+brochure</x:v>
      </x:c>
      <x:c r="AO136" s="2" t="str">
        <x:v>https://apps.tpwd.state.tx.us/huntwild/hunt/public/public_hunt_drawing/</x:v>
      </x:c>
      <x:c r="AP136" s="2" t="str">
        <x:v>https://www.google.com/maps/search/?api=1&amp;query=Sam+Houston+National+Forest+WMA%2C+Texas</x:v>
      </x:c>
      <x:c r="AQ136" s="2" t="n">
        <x:v>0</x:v>
      </x:c>
      <x:c r="AR136" s="2" t="str">
        <x:v>Standard Hastings ranking</x:v>
      </x:c>
    </x:row>
    <x:row r="137">
      <x:c r="A137" s="4" t="str">
        <x:v>No</x:v>
      </x:c>
      <x:c r="B137" s="4" t="str">
        <x:v>A</x:v>
      </x:c>
      <x:c r="C137" s="4" t="str">
        <x:v>Whitetail Deer</x:v>
      </x:c>
      <x:c r="D137" s="4" t="str">
        <x:v>San Angelo SP</x:v>
      </x:c>
      <x:c r="E137" s="4" t="str">
        <x:v>West-Central Texas</x:v>
      </x:c>
      <x:c r="F137" s="4" t="str">
        <x:v>Youth Gun Deer - Antlerless/Spike</x:v>
      </x:c>
      <x:c r="G137" s="4" t="str">
        <x:v>No</x:v>
      </x:c>
      <x:c r="H137" s="4" t="str">
        <x:v>Yes</x:v>
      </x:c>
      <x:c r="I137" s="24" t="str">
        <x:v>2026-09-15</x:v>
      </x:c>
      <x:c r="J137" s="4" t="str">
        <x:v>See TPWD category page</x:v>
      </x:c>
      <x:c r="K137" s="4" t="n">
        <x:v>0</x:v>
      </x:c>
      <x:c r="L137" s="4" t="n">
        <x:v>0</x:v>
      </x:c>
      <x:c r="M137" s="4"/>
      <x:c r="N137" s="4"/>
      <x:c r="O137" s="4"/>
      <x:c r="P137" s="4" t="n">
        <x:v>300</x:v>
      </x:c>
      <x:c r="Q137" s="4" t="str">
        <x:v>Extended</x:v>
      </x:c>
      <x:c r="R137" s="4" t="str">
        <x:v>Research before draw; property brochure linked from TPWD</x:v>
      </x:c>
      <x:c r="S137" s="4" t="str">
        <x:v>Low</x:v>
      </x:c>
      <x:c r="T137" s="4" t="str">
        <x:v>No</x:v>
      </x:c>
      <x:c r="U137" s="4" t="str">
        <x:v>Verified in TPWD 2026-2027 statewide deer category catalog.</x:v>
      </x:c>
      <x:c r="V137" s="4" t="str">
        <x:v>https://tpwd.texas.gov/huntwild/hunt/public/public_hunt_drawing/hunt-category-details.phtml?OCat=YDA</x:v>
      </x:c>
      <x:c r="W137" s="4" t="n">
        <x:v>2</x:v>
      </x:c>
      <x:c r="X137" s="4" t="n">
        <x:v>4</x:v>
      </x:c>
      <x:c r="Y137" s="4" t="n">
        <x:v>5</x:v>
      </x:c>
      <x:c r="Z137" s="4" t="n">
        <x:v>3</x:v>
      </x:c>
      <x:c r="AA137" s="4" t="n">
        <x:v>2</x:v>
      </x:c>
      <x:c r="AB137" s="4" t="n">
        <x:v>0</x:v>
      </x:c>
      <x:c r="AC137" s="4" t="n">
        <x:v>2.9</x:v>
      </x:c>
      <x:c r="AD137" s="4" t="n">
        <x:v>0</x:v>
      </x:c>
      <x:c r="AE137" s="4" t="str">
        <x:v>2026-09-15</x:v>
      </x:c>
      <x:c r="AF137" s="2"/>
      <x:c r="AG137" s="2"/>
      <x:c r="AH137" s="2"/>
      <x:c r="AI137" s="2"/>
      <x:c r="AJ137" s="2"/>
      <x:c r="AK137" s="2"/>
      <x:c r="AL137" s="2"/>
      <x:c r="AM137" s="2" t="str">
        <x:v>https://tpwd.texas.gov/huntwild/hunt/public/public_hunt_drawing/hunt-category-details.phtml?OCat=YDA</x:v>
      </x:c>
      <x:c r="AN137" s="2" t="str">
        <x:v>https://tpwd.texas.gov/search/?q=San+Angelo+SP+public+hunting+brochure</x:v>
      </x:c>
      <x:c r="AO137" s="2" t="str">
        <x:v>https://apps.tpwd.state.tx.us/huntwild/hunt/public/public_hunt_drawing/</x:v>
      </x:c>
      <x:c r="AP137" s="2" t="str">
        <x:v>https://www.google.com/maps/search/?api=1&amp;query=San+Angelo+SP%2C+Texas</x:v>
      </x:c>
      <x:c r="AQ137" s="2" t="n">
        <x:v>0</x:v>
      </x:c>
      <x:c r="AR137" s="2" t="str">
        <x:v>Standard Hastings ranking</x:v>
      </x:c>
    </x:row>
    <x:row r="138">
      <x:c r="A138" s="4" t="str">
        <x:v>No</x:v>
      </x:c>
      <x:c r="B138" s="4" t="str">
        <x:v>A</x:v>
      </x:c>
      <x:c r="C138" s="4" t="str">
        <x:v>Whitetail Deer</x:v>
      </x:c>
      <x:c r="D138" s="4" t="str">
        <x:v>Abilene SP</x:v>
      </x:c>
      <x:c r="E138" s="4" t="str">
        <x:v>West-Central Texas</x:v>
      </x:c>
      <x:c r="F138" s="4" t="str">
        <x:v>Gun Deer - Either Sex</x:v>
      </x:c>
      <x:c r="G138" s="4" t="str">
        <x:v>Yes</x:v>
      </x:c>
      <x:c r="H138" s="4" t="str">
        <x:v>Yes</x:v>
      </x:c>
      <x:c r="I138" s="24" t="str">
        <x:v>2026-09-15</x:v>
      </x:c>
      <x:c r="J138" s="4" t="str">
        <x:v>See TPWD category page</x:v>
      </x:c>
      <x:c r="K138" s="4" t="n">
        <x:v>3</x:v>
      </x:c>
      <x:c r="L138" s="4"/>
      <x:c r="M138" s="4"/>
      <x:c r="N138" s="4"/>
      <x:c r="O138" s="4"/>
      <x:c r="P138" s="4" t="n">
        <x:v>300</x:v>
      </x:c>
      <x:c r="Q138" s="4" t="str">
        <x:v>Extended</x:v>
      </x:c>
      <x:c r="R138" s="4" t="str">
        <x:v>Research before draw; property brochure linked from TPWD</x:v>
      </x:c>
      <x:c r="S138" s="4" t="str">
        <x:v>Low</x:v>
      </x:c>
      <x:c r="T138" s="4" t="str">
        <x:v>No</x:v>
      </x:c>
      <x:c r="U138" s="4" t="str">
        <x:v>Verified in TPWD 2026-2027 statewide deer category catalog.</x:v>
      </x:c>
      <x:c r="V138" s="4" t="str">
        <x:v>https://tpwd.texas.gov/huntwild/hunt/public/public_hunt_drawing/hunt-category-details.phtml?OCat=GDE</x:v>
      </x:c>
      <x:c r="W138" s="4" t="n">
        <x:v>2</x:v>
      </x:c>
      <x:c r="X138" s="4" t="n">
        <x:v>4</x:v>
      </x:c>
      <x:c r="Y138" s="4" t="n">
        <x:v>4</x:v>
      </x:c>
      <x:c r="Z138" s="4" t="n">
        <x:v>3</x:v>
      </x:c>
      <x:c r="AA138" s="4" t="n">
        <x:v>2</x:v>
      </x:c>
      <x:c r="AB138" s="4" t="n">
        <x:v>0</x:v>
      </x:c>
      <x:c r="AC138" s="4" t="n">
        <x:v>2.6</x:v>
      </x:c>
      <x:c r="AD138" s="4"/>
      <x:c r="AE138" s="4" t="str">
        <x:v>2026-09-15</x:v>
      </x:c>
      <x:c r="AF138" s="2"/>
      <x:c r="AG138" s="2"/>
      <x:c r="AH138" s="2"/>
      <x:c r="AI138" s="2"/>
      <x:c r="AJ138" s="2"/>
      <x:c r="AK138" s="2"/>
      <x:c r="AL138" s="2"/>
      <x:c r="AM138" s="2" t="str">
        <x:v>https://tpwd.texas.gov/huntwild/hunt/public/public_hunt_drawing/hunt-category-details.phtml?OCat=GDE</x:v>
      </x:c>
      <x:c r="AN138" s="2" t="str">
        <x:v>https://tpwd.texas.gov/search/?q=Abilene+SP+public+hunting+brochure</x:v>
      </x:c>
      <x:c r="AO138" s="2" t="str">
        <x:v>https://apps.tpwd.state.tx.us/huntwild/hunt/public/public_hunt_drawing/</x:v>
      </x:c>
      <x:c r="AP138" s="2" t="str">
        <x:v>https://www.google.com/maps/search/?api=1&amp;query=Abilene+SP%2C+Texas</x:v>
      </x:c>
      <x:c r="AQ138" s="2" t="n">
        <x:v>0</x:v>
      </x:c>
      <x:c r="AR138" s="2" t="str">
        <x:v>Standard Hastings ranking</x:v>
      </x:c>
    </x:row>
    <x:row r="139">
      <x:c r="A139" s="4" t="str">
        <x:v>No</x:v>
      </x:c>
      <x:c r="B139" s="4" t="str">
        <x:v>A</x:v>
      </x:c>
      <x:c r="C139" s="4" t="str">
        <x:v>Whitetail Deer</x:v>
      </x:c>
      <x:c r="D139" s="4" t="str">
        <x:v>Alabama Creek WMA</x:v>
      </x:c>
      <x:c r="E139" s="4" t="str">
        <x:v>East Texas / Pineywoods</x:v>
      </x:c>
      <x:c r="F139" s="4" t="str">
        <x:v>USFS Antlerless Deer Permit - Adult</x:v>
      </x:c>
      <x:c r="G139" s="4" t="str">
        <x:v>Yes</x:v>
      </x:c>
      <x:c r="H139" s="4" t="str">
        <x:v>No</x:v>
      </x:c>
      <x:c r="I139" s="24" t="str">
        <x:v>2026-09-15</x:v>
      </x:c>
      <x:c r="J139" s="4" t="str">
        <x:v>See TPWD category page</x:v>
      </x:c>
      <x:c r="K139" s="4" t="n">
        <x:v>0</x:v>
      </x:c>
      <x:c r="L139" s="4" t="n">
        <x:v>0</x:v>
      </x:c>
      <x:c r="M139" s="4"/>
      <x:c r="N139" s="4"/>
      <x:c r="O139" s="4"/>
      <x:c r="P139" s="4" t="n">
        <x:v>570</x:v>
      </x:c>
      <x:c r="Q139" s="4" t="str">
        <x:v>Statewide</x:v>
      </x:c>
      <x:c r="R139" s="4" t="str">
        <x:v>Research before draw; property brochure linked from TPWD</x:v>
      </x:c>
      <x:c r="S139" s="4" t="str">
        <x:v>Low</x:v>
      </x:c>
      <x:c r="T139" s="4" t="str">
        <x:v>No</x:v>
      </x:c>
      <x:c r="U139" s="4" t="str">
        <x:v>Verified in TPWD 2026-2027 statewide deer category catalog. APH/eligibility rules apply; confirm account and permit requirements.</x:v>
      </x:c>
      <x:c r="V139" s="4" t="str">
        <x:v>https://tpwd.texas.gov/huntwild/hunt/public/public_hunt_drawing/hunt-category-details.phtml?OCat=FSD</x:v>
      </x:c>
      <x:c r="W139" s="4" t="n">
        <x:v>2</x:v>
      </x:c>
      <x:c r="X139" s="4" t="n">
        <x:v>2</x:v>
      </x:c>
      <x:c r="Y139" s="4" t="n">
        <x:v>1</x:v>
      </x:c>
      <x:c r="Z139" s="4" t="n">
        <x:v>3</x:v>
      </x:c>
      <x:c r="AA139" s="4" t="n">
        <x:v>2</x:v>
      </x:c>
      <x:c r="AB139" s="4" t="n">
        <x:v>0</x:v>
      </x:c>
      <x:c r="AC139" s="4" t="n">
        <x:v>1.6</x:v>
      </x:c>
      <x:c r="AD139" s="4" t="n">
        <x:v>0</x:v>
      </x:c>
      <x:c r="AE139" s="4" t="str">
        <x:v>2026-09-15</x:v>
      </x:c>
      <x:c r="AF139" s="2"/>
      <x:c r="AG139" s="2"/>
      <x:c r="AH139" s="2"/>
      <x:c r="AI139" s="2"/>
      <x:c r="AJ139" s="2"/>
      <x:c r="AK139" s="2"/>
      <x:c r="AL139" s="2"/>
      <x:c r="AM139" s="2" t="str">
        <x:v>https://tpwd.texas.gov/huntwild/hunt/public/public_hunt_drawing/hunt-category-details.phtml?OCat=FSD</x:v>
      </x:c>
      <x:c r="AN139" s="2" t="str">
        <x:v>https://tpwd.texas.gov/search/?q=Alabama+Creek+WMA+public+hunting+brochure</x:v>
      </x:c>
      <x:c r="AO139" s="2" t="str">
        <x:v>https://apps.tpwd.state.tx.us/huntwild/hunt/public/public_hunt_drawing/</x:v>
      </x:c>
      <x:c r="AP139" s="2" t="str">
        <x:v>https://www.google.com/maps/search/?api=1&amp;query=Alabama+Creek+WMA%2C+Texas</x:v>
      </x:c>
      <x:c r="AQ139" s="2" t="n">
        <x:v>0</x:v>
      </x:c>
      <x:c r="AR139" s="2" t="str">
        <x:v>Standard Hastings ranking</x:v>
      </x:c>
    </x:row>
    <x:row r="140">
      <x:c r="A140" s="4" t="str">
        <x:v>No</x:v>
      </x:c>
      <x:c r="B140" s="4" t="str">
        <x:v>A</x:v>
      </x:c>
      <x:c r="C140" s="4" t="str">
        <x:v>Whitetail Deer</x:v>
      </x:c>
      <x:c r="D140" s="4" t="str">
        <x:v>Alabama Creek WMA</x:v>
      </x:c>
      <x:c r="E140" s="4" t="str">
        <x:v>East Texas / Pineywoods</x:v>
      </x:c>
      <x:c r="F140" s="4" t="str">
        <x:v>USFS Buck Deer Permit - Adult</x:v>
      </x:c>
      <x:c r="G140" s="4" t="str">
        <x:v>Yes</x:v>
      </x:c>
      <x:c r="H140" s="4" t="str">
        <x:v>No</x:v>
      </x:c>
      <x:c r="I140" s="24" t="str">
        <x:v>2026-09-15</x:v>
      </x:c>
      <x:c r="J140" s="4" t="str">
        <x:v>See TPWD category page</x:v>
      </x:c>
      <x:c r="K140" s="4" t="n">
        <x:v>0</x:v>
      </x:c>
      <x:c r="L140" s="4" t="n">
        <x:v>0</x:v>
      </x:c>
      <x:c r="M140" s="4"/>
      <x:c r="N140" s="4"/>
      <x:c r="O140" s="4"/>
      <x:c r="P140" s="4" t="n">
        <x:v>570</x:v>
      </x:c>
      <x:c r="Q140" s="4" t="str">
        <x:v>Statewide</x:v>
      </x:c>
      <x:c r="R140" s="4" t="str">
        <x:v>Research before draw; property brochure linked from TPWD</x:v>
      </x:c>
      <x:c r="S140" s="4" t="str">
        <x:v>Low</x:v>
      </x:c>
      <x:c r="T140" s="4" t="str">
        <x:v>No</x:v>
      </x:c>
      <x:c r="U140" s="4" t="str">
        <x:v>Verified in TPWD 2026-2027 statewide deer category catalog. APH/eligibility rules apply; confirm account and permit requirements.</x:v>
      </x:c>
      <x:c r="V140" s="4" t="str">
        <x:v>https://tpwd.texas.gov/huntwild/hunt/public/public_hunt_drawing/hunt-category-details.phtml?OCat=FBA</x:v>
      </x:c>
      <x:c r="W140" s="4" t="n">
        <x:v>2</x:v>
      </x:c>
      <x:c r="X140" s="4" t="n">
        <x:v>2</x:v>
      </x:c>
      <x:c r="Y140" s="4" t="n">
        <x:v>1</x:v>
      </x:c>
      <x:c r="Z140" s="4" t="n">
        <x:v>3</x:v>
      </x:c>
      <x:c r="AA140" s="4" t="n">
        <x:v>2</x:v>
      </x:c>
      <x:c r="AB140" s="4" t="n">
        <x:v>0</x:v>
      </x:c>
      <x:c r="AC140" s="4" t="n">
        <x:v>1.6</x:v>
      </x:c>
      <x:c r="AD140" s="4" t="n">
        <x:v>0</x:v>
      </x:c>
      <x:c r="AE140" s="4" t="str">
        <x:v>2026-09-15</x:v>
      </x:c>
      <x:c r="AF140" s="2"/>
      <x:c r="AG140" s="2"/>
      <x:c r="AH140" s="2"/>
      <x:c r="AI140" s="2"/>
      <x:c r="AJ140" s="2"/>
      <x:c r="AK140" s="2"/>
      <x:c r="AL140" s="2"/>
      <x:c r="AM140" s="2" t="str">
        <x:v>https://tpwd.texas.gov/huntwild/hunt/public/public_hunt_drawing/hunt-category-details.phtml?OCat=FBA</x:v>
      </x:c>
      <x:c r="AN140" s="2" t="str">
        <x:v>https://tpwd.texas.gov/search/?q=Alabama+Creek+WMA+public+hunting+brochure</x:v>
      </x:c>
      <x:c r="AO140" s="2" t="str">
        <x:v>https://apps.tpwd.state.tx.us/huntwild/hunt/public/public_hunt_drawing/</x:v>
      </x:c>
      <x:c r="AP140" s="2" t="str">
        <x:v>https://www.google.com/maps/search/?api=1&amp;query=Alabama+Creek+WMA%2C+Texas</x:v>
      </x:c>
      <x:c r="AQ140" s="2" t="n">
        <x:v>0</x:v>
      </x:c>
      <x:c r="AR140" s="2" t="str">
        <x:v>Standard Hastings ranking</x:v>
      </x:c>
    </x:row>
    <x:row r="141">
      <x:c r="A141" s="4" t="str">
        <x:v>No</x:v>
      </x:c>
      <x:c r="B141" s="4" t="str">
        <x:v>A</x:v>
      </x:c>
      <x:c r="C141" s="4" t="str">
        <x:v>Whitetail Deer</x:v>
      </x:c>
      <x:c r="D141" s="4" t="str">
        <x:v>Alazan Bayou WMA</x:v>
      </x:c>
      <x:c r="E141" s="4" t="str">
        <x:v>East Texas / Pineywoods</x:v>
      </x:c>
      <x:c r="F141" s="4" t="str">
        <x:v>Gun Deer - Either Sex</x:v>
      </x:c>
      <x:c r="G141" s="4" t="str">
        <x:v>Yes</x:v>
      </x:c>
      <x:c r="H141" s="4" t="str">
        <x:v>Yes</x:v>
      </x:c>
      <x:c r="I141" s="24" t="str">
        <x:v>2026-09-15</x:v>
      </x:c>
      <x:c r="J141" s="4" t="str">
        <x:v>See TPWD category page</x:v>
      </x:c>
      <x:c r="K141" s="4" t="n">
        <x:v>3</x:v>
      </x:c>
      <x:c r="L141" s="4"/>
      <x:c r="M141" s="4"/>
      <x:c r="N141" s="4"/>
      <x:c r="O141" s="4"/>
      <x:c r="P141" s="4" t="n">
        <x:v>570</x:v>
      </x:c>
      <x:c r="Q141" s="4" t="str">
        <x:v>Statewide</x:v>
      </x:c>
      <x:c r="R141" s="4" t="str">
        <x:v>Research before draw; property brochure linked from TPWD</x:v>
      </x:c>
      <x:c r="S141" s="4" t="str">
        <x:v>Low</x:v>
      </x:c>
      <x:c r="T141" s="4" t="str">
        <x:v>No</x:v>
      </x:c>
      <x:c r="U141" s="4" t="str">
        <x:v>Verified in TPWD 2026-2027 statewide deer category catalog.</x:v>
      </x:c>
      <x:c r="V141" s="4" t="str">
        <x:v>https://tpwd.texas.gov/huntwild/hunt/public/public_hunt_drawing/hunt-category-details.phtml?OCat=GDE</x:v>
      </x:c>
      <x:c r="W141" s="4" t="n">
        <x:v>2</x:v>
      </x:c>
      <x:c r="X141" s="4" t="n">
        <x:v>2</x:v>
      </x:c>
      <x:c r="Y141" s="4" t="n">
        <x:v>4</x:v>
      </x:c>
      <x:c r="Z141" s="4" t="n">
        <x:v>3</x:v>
      </x:c>
      <x:c r="AA141" s="4" t="n">
        <x:v>2</x:v>
      </x:c>
      <x:c r="AB141" s="4" t="n">
        <x:v>0</x:v>
      </x:c>
      <x:c r="AC141" s="4" t="n">
        <x:v>2.3</x:v>
      </x:c>
      <x:c r="AD141" s="4"/>
      <x:c r="AE141" s="4" t="str">
        <x:v>2026-09-15</x:v>
      </x:c>
      <x:c r="AF141" s="2"/>
      <x:c r="AG141" s="2"/>
      <x:c r="AH141" s="2"/>
      <x:c r="AI141" s="2"/>
      <x:c r="AJ141" s="2"/>
      <x:c r="AK141" s="2"/>
      <x:c r="AL141" s="2"/>
      <x:c r="AM141" s="2" t="str">
        <x:v>https://tpwd.texas.gov/huntwild/hunt/public/public_hunt_drawing/hunt-category-details.phtml?OCat=GDE</x:v>
      </x:c>
      <x:c r="AN141" s="2" t="str">
        <x:v>https://tpwd.texas.gov/search/?q=Alazan+Bayou+WMA+public+hunting+brochure</x:v>
      </x:c>
      <x:c r="AO141" s="2" t="str">
        <x:v>https://apps.tpwd.state.tx.us/huntwild/hunt/public/public_hunt_drawing/</x:v>
      </x:c>
      <x:c r="AP141" s="2" t="str">
        <x:v>https://www.google.com/maps/search/?api=1&amp;query=Alazan+Bayou+WMA%2C+Texas</x:v>
      </x:c>
      <x:c r="AQ141" s="2" t="n">
        <x:v>0</x:v>
      </x:c>
      <x:c r="AR141" s="2" t="str">
        <x:v>Standard Hastings ranking</x:v>
      </x:c>
    </x:row>
    <x:row r="142">
      <x:c r="A142" s="4" t="str">
        <x:v>No</x:v>
      </x:c>
      <x:c r="B142" s="4" t="str">
        <x:v>A</x:v>
      </x:c>
      <x:c r="C142" s="4" t="str">
        <x:v>Whitetail Deer</x:v>
      </x:c>
      <x:c r="D142" s="4" t="str">
        <x:v>Aransas NWR</x:v>
      </x:c>
      <x:c r="E142" s="4" t="str">
        <x:v>Houston / Gulf Coast</x:v>
      </x:c>
      <x:c r="F142" s="4" t="str">
        <x:v>National Refuge General Deer</x:v>
      </x:c>
      <x:c r="G142" s="4" t="str">
        <x:v>Yes</x:v>
      </x:c>
      <x:c r="H142" s="4" t="str">
        <x:v>Yes</x:v>
      </x:c>
      <x:c r="I142" s="24" t="str">
        <x:v>2026-09-15</x:v>
      </x:c>
      <x:c r="J142" s="4" t="str">
        <x:v>See TPWD category page</x:v>
      </x:c>
      <x:c r="K142" s="4" t="n">
        <x:v>3</x:v>
      </x:c>
      <x:c r="L142" s="4"/>
      <x:c r="M142" s="4"/>
      <x:c r="N142" s="4"/>
      <x:c r="O142" s="4"/>
      <x:c r="P142" s="4" t="n">
        <x:v>610</x:v>
      </x:c>
      <x:c r="Q142" s="4" t="str">
        <x:v>Long Haul</x:v>
      </x:c>
      <x:c r="R142" s="4" t="str">
        <x:v>Research before draw; property brochure linked from TPWD</x:v>
      </x:c>
      <x:c r="S142" s="4" t="str">
        <x:v>Low</x:v>
      </x:c>
      <x:c r="T142" s="4" t="str">
        <x:v>No</x:v>
      </x:c>
      <x:c r="U142" s="4" t="str">
        <x:v>Verified in TPWD 2026-2027 statewide deer category catalog. Refuge-specific rules and permit fees may apply.</x:v>
      </x:c>
      <x:c r="V142" s="4" t="str">
        <x:v>https://tpwd.texas.gov/huntwild/hunt/public/public_hunt_drawing/hunt-category-details.phtml?OCat=NGE</x:v>
      </x:c>
      <x:c r="W142" s="4" t="n">
        <x:v>2</x:v>
      </x:c>
      <x:c r="X142" s="4" t="n">
        <x:v>1</x:v>
      </x:c>
      <x:c r="Y142" s="4" t="n">
        <x:v>4</x:v>
      </x:c>
      <x:c r="Z142" s="4" t="n">
        <x:v>3</x:v>
      </x:c>
      <x:c r="AA142" s="4" t="n">
        <x:v>2</x:v>
      </x:c>
      <x:c r="AB142" s="4" t="n">
        <x:v>0</x:v>
      </x:c>
      <x:c r="AC142" s="4" t="n">
        <x:v>2.1</x:v>
      </x:c>
      <x:c r="AD142" s="4"/>
      <x:c r="AE142" s="4" t="str">
        <x:v>2026-09-15</x:v>
      </x:c>
      <x:c r="AF142" s="2"/>
      <x:c r="AG142" s="2"/>
      <x:c r="AH142" s="2"/>
      <x:c r="AI142" s="2"/>
      <x:c r="AJ142" s="2"/>
      <x:c r="AK142" s="2"/>
      <x:c r="AL142" s="2"/>
      <x:c r="AM142" s="2" t="str">
        <x:v>https://tpwd.texas.gov/huntwild/hunt/public/public_hunt_drawing/hunt-category-details.phtml?OCat=NGE</x:v>
      </x:c>
      <x:c r="AN142" s="2" t="str">
        <x:v>https://tpwd.texas.gov/search/?q=Aransas+NWR+public+hunting+brochure</x:v>
      </x:c>
      <x:c r="AO142" s="2" t="str">
        <x:v>https://apps.tpwd.state.tx.us/huntwild/hunt/public/public_hunt_drawing/</x:v>
      </x:c>
      <x:c r="AP142" s="2" t="str">
        <x:v>https://www.google.com/maps/search/?api=1&amp;query=Aransas+NWR%2C+Texas</x:v>
      </x:c>
      <x:c r="AQ142" s="2" t="n">
        <x:v>0</x:v>
      </x:c>
      <x:c r="AR142" s="2" t="str">
        <x:v>Standard Hastings ranking</x:v>
      </x:c>
    </x:row>
    <x:row r="143">
      <x:c r="A143" s="4" t="str">
        <x:v>No</x:v>
      </x:c>
      <x:c r="B143" s="4" t="str">
        <x:v>A</x:v>
      </x:c>
      <x:c r="C143" s="4" t="str">
        <x:v>Whitetail Deer</x:v>
      </x:c>
      <x:c r="D143" s="4" t="str">
        <x:v>Atlanta SP</x:v>
      </x:c>
      <x:c r="E143" s="4" t="str">
        <x:v>East Texas / Pineywoods</x:v>
      </x:c>
      <x:c r="F143" s="4" t="str">
        <x:v>Gun Deer - Antlerless/Spike</x:v>
      </x:c>
      <x:c r="G143" s="4" t="str">
        <x:v>Yes</x:v>
      </x:c>
      <x:c r="H143" s="4" t="str">
        <x:v>Yes</x:v>
      </x:c>
      <x:c r="I143" s="24" t="str">
        <x:v>2026-09-15</x:v>
      </x:c>
      <x:c r="J143" s="4" t="str">
        <x:v>See TPWD category page</x:v>
      </x:c>
      <x:c r="K143" s="4" t="n">
        <x:v>3</x:v>
      </x:c>
      <x:c r="L143" s="4"/>
      <x:c r="M143" s="4"/>
      <x:c r="N143" s="4"/>
      <x:c r="O143" s="4"/>
      <x:c r="P143" s="4" t="n">
        <x:v>570</x:v>
      </x:c>
      <x:c r="Q143" s="4" t="str">
        <x:v>Statewide</x:v>
      </x:c>
      <x:c r="R143" s="4" t="str">
        <x:v>Research before draw; property brochure linked from TPWD</x:v>
      </x:c>
      <x:c r="S143" s="4" t="str">
        <x:v>Low</x:v>
      </x:c>
      <x:c r="T143" s="4" t="str">
        <x:v>No</x:v>
      </x:c>
      <x:c r="U143" s="4" t="str">
        <x:v>Verified in TPWD 2026-2027 statewide deer category catalog.</x:v>
      </x:c>
      <x:c r="V143" s="4" t="str">
        <x:v>https://tpwd.texas.gov/huntwild/hunt/public/public_hunt_drawing/hunt-category-details.phtml?OCat=GDA</x:v>
      </x:c>
      <x:c r="W143" s="4" t="n">
        <x:v>2</x:v>
      </x:c>
      <x:c r="X143" s="4" t="n">
        <x:v>2</x:v>
      </x:c>
      <x:c r="Y143" s="4" t="n">
        <x:v>4</x:v>
      </x:c>
      <x:c r="Z143" s="4" t="n">
        <x:v>3</x:v>
      </x:c>
      <x:c r="AA143" s="4" t="n">
        <x:v>2</x:v>
      </x:c>
      <x:c r="AB143" s="4" t="n">
        <x:v>0</x:v>
      </x:c>
      <x:c r="AC143" s="4" t="n">
        <x:v>2.3</x:v>
      </x:c>
      <x:c r="AD143" s="4"/>
      <x:c r="AE143" s="4" t="str">
        <x:v>2026-09-15</x:v>
      </x:c>
      <x:c r="AF143" s="2"/>
      <x:c r="AG143" s="2"/>
      <x:c r="AH143" s="2"/>
      <x:c r="AI143" s="2"/>
      <x:c r="AJ143" s="2"/>
      <x:c r="AK143" s="2"/>
      <x:c r="AL143" s="2"/>
      <x:c r="AM143" s="2" t="str">
        <x:v>https://tpwd.texas.gov/huntwild/hunt/public/public_hunt_drawing/hunt-category-details.phtml?OCat=GDA</x:v>
      </x:c>
      <x:c r="AN143" s="2" t="str">
        <x:v>https://tpwd.texas.gov/search/?q=Atlanta+SP+public+hunting+brochure</x:v>
      </x:c>
      <x:c r="AO143" s="2" t="str">
        <x:v>https://apps.tpwd.state.tx.us/huntwild/hunt/public/public_hunt_drawing/</x:v>
      </x:c>
      <x:c r="AP143" s="2" t="str">
        <x:v>https://www.google.com/maps/search/?api=1&amp;query=Atlanta+SP%2C+Texas</x:v>
      </x:c>
      <x:c r="AQ143" s="2" t="n">
        <x:v>0</x:v>
      </x:c>
      <x:c r="AR143" s="2" t="str">
        <x:v>Standard Hastings ranking</x:v>
      </x:c>
    </x:row>
    <x:row r="144">
      <x:c r="A144" s="4" t="str">
        <x:v>No</x:v>
      </x:c>
      <x:c r="B144" s="4" t="str">
        <x:v>A</x:v>
      </x:c>
      <x:c r="C144" s="4" t="str">
        <x:v>Whitetail Deer</x:v>
      </x:c>
      <x:c r="D144" s="4" t="str">
        <x:v>Atlanta SP</x:v>
      </x:c>
      <x:c r="E144" s="4" t="str">
        <x:v>East Texas / Pineywoods</x:v>
      </x:c>
      <x:c r="F144" s="4" t="str">
        <x:v>Gun Deer - Either Sex</x:v>
      </x:c>
      <x:c r="G144" s="4" t="str">
        <x:v>Yes</x:v>
      </x:c>
      <x:c r="H144" s="4" t="str">
        <x:v>Yes</x:v>
      </x:c>
      <x:c r="I144" s="24" t="str">
        <x:v>2026-09-15</x:v>
      </x:c>
      <x:c r="J144" s="4" t="str">
        <x:v>See TPWD category page</x:v>
      </x:c>
      <x:c r="K144" s="4" t="n">
        <x:v>3</x:v>
      </x:c>
      <x:c r="L144" s="4"/>
      <x:c r="M144" s="4"/>
      <x:c r="N144" s="4"/>
      <x:c r="O144" s="4"/>
      <x:c r="P144" s="4" t="n">
        <x:v>570</x:v>
      </x:c>
      <x:c r="Q144" s="4" t="str">
        <x:v>Statewide</x:v>
      </x:c>
      <x:c r="R144" s="4" t="str">
        <x:v>Research before draw; property brochure linked from TPWD</x:v>
      </x:c>
      <x:c r="S144" s="4" t="str">
        <x:v>Low</x:v>
      </x:c>
      <x:c r="T144" s="4" t="str">
        <x:v>No</x:v>
      </x:c>
      <x:c r="U144" s="4" t="str">
        <x:v>Verified in TPWD 2026-2027 statewide deer category catalog.</x:v>
      </x:c>
      <x:c r="V144" s="4" t="str">
        <x:v>https://tpwd.texas.gov/huntwild/hunt/public/public_hunt_drawing/hunt-category-details.phtml?OCat=GDE</x:v>
      </x:c>
      <x:c r="W144" s="4" t="n">
        <x:v>2</x:v>
      </x:c>
      <x:c r="X144" s="4" t="n">
        <x:v>2</x:v>
      </x:c>
      <x:c r="Y144" s="4" t="n">
        <x:v>4</x:v>
      </x:c>
      <x:c r="Z144" s="4" t="n">
        <x:v>3</x:v>
      </x:c>
      <x:c r="AA144" s="4" t="n">
        <x:v>2</x:v>
      </x:c>
      <x:c r="AB144" s="4" t="n">
        <x:v>0</x:v>
      </x:c>
      <x:c r="AC144" s="4" t="n">
        <x:v>2.3</x:v>
      </x:c>
      <x:c r="AD144" s="4"/>
      <x:c r="AE144" s="4" t="str">
        <x:v>2026-09-15</x:v>
      </x:c>
      <x:c r="AF144" s="2"/>
      <x:c r="AG144" s="2"/>
      <x:c r="AH144" s="2"/>
      <x:c r="AI144" s="2"/>
      <x:c r="AJ144" s="2"/>
      <x:c r="AK144" s="2"/>
      <x:c r="AL144" s="2"/>
      <x:c r="AM144" s="2" t="str">
        <x:v>https://tpwd.texas.gov/huntwild/hunt/public/public_hunt_drawing/hunt-category-details.phtml?OCat=GDE</x:v>
      </x:c>
      <x:c r="AN144" s="2" t="str">
        <x:v>https://tpwd.texas.gov/search/?q=Atlanta+SP+public+hunting+brochure</x:v>
      </x:c>
      <x:c r="AO144" s="2" t="str">
        <x:v>https://apps.tpwd.state.tx.us/huntwild/hunt/public/public_hunt_drawing/</x:v>
      </x:c>
      <x:c r="AP144" s="2" t="str">
        <x:v>https://www.google.com/maps/search/?api=1&amp;query=Atlanta+SP%2C+Texas</x:v>
      </x:c>
      <x:c r="AQ144" s="2" t="n">
        <x:v>0</x:v>
      </x:c>
      <x:c r="AR144" s="2" t="str">
        <x:v>Standard Hastings ranking</x:v>
      </x:c>
    </x:row>
    <x:row r="145">
      <x:c r="A145" s="4" t="str">
        <x:v>No</x:v>
      </x:c>
      <x:c r="B145" s="4" t="str">
        <x:v>A</x:v>
      </x:c>
      <x:c r="C145" s="4" t="str">
        <x:v>Whitetail Deer</x:v>
      </x:c>
      <x:c r="D145" s="4" t="str">
        <x:v>Balcones Canyonlands NWR</x:v>
      </x:c>
      <x:c r="E145" s="4" t="str">
        <x:v>Statewide / Other</x:v>
      </x:c>
      <x:c r="F145" s="4" t="str">
        <x:v>National Refuge General Deer</x:v>
      </x:c>
      <x:c r="G145" s="4" t="str">
        <x:v>Yes</x:v>
      </x:c>
      <x:c r="H145" s="4" t="str">
        <x:v>Yes</x:v>
      </x:c>
      <x:c r="I145" s="24" t="str">
        <x:v>2026-09-15</x:v>
      </x:c>
      <x:c r="J145" s="4" t="str">
        <x:v>See TPWD category page</x:v>
      </x:c>
      <x:c r="K145" s="4" t="n">
        <x:v>3</x:v>
      </x:c>
      <x:c r="L145" s="4"/>
      <x:c r="M145" s="4"/>
      <x:c r="N145" s="4"/>
      <x:c r="O145" s="4"/>
      <x:c r="P145" s="4" t="n">
        <x:v>500</x:v>
      </x:c>
      <x:c r="Q145" s="4" t="str">
        <x:v>Statewide</x:v>
      </x:c>
      <x:c r="R145" s="4" t="str">
        <x:v>Research before draw; property brochure linked from TPWD</x:v>
      </x:c>
      <x:c r="S145" s="4" t="str">
        <x:v>Low</x:v>
      </x:c>
      <x:c r="T145" s="4" t="str">
        <x:v>No</x:v>
      </x:c>
      <x:c r="U145" s="4" t="str">
        <x:v>Verified in TPWD 2026-2027 statewide deer category catalog. Refuge-specific rules and permit fees may apply.</x:v>
      </x:c>
      <x:c r="V145" s="4" t="str">
        <x:v>https://tpwd.texas.gov/huntwild/hunt/public/public_hunt_drawing/hunt-category-details.phtml?OCat=NGE</x:v>
      </x:c>
      <x:c r="W145" s="4" t="n">
        <x:v>2</x:v>
      </x:c>
      <x:c r="X145" s="4" t="n">
        <x:v>2</x:v>
      </x:c>
      <x:c r="Y145" s="4" t="n">
        <x:v>4</x:v>
      </x:c>
      <x:c r="Z145" s="4" t="n">
        <x:v>3</x:v>
      </x:c>
      <x:c r="AA145" s="4" t="n">
        <x:v>2</x:v>
      </x:c>
      <x:c r="AB145" s="4" t="n">
        <x:v>0</x:v>
      </x:c>
      <x:c r="AC145" s="4" t="n">
        <x:v>2.3</x:v>
      </x:c>
      <x:c r="AD145" s="4"/>
      <x:c r="AE145" s="4" t="str">
        <x:v>2026-09-15</x:v>
      </x:c>
      <x:c r="AF145" s="2"/>
      <x:c r="AG145" s="2"/>
      <x:c r="AH145" s="2"/>
      <x:c r="AI145" s="2"/>
      <x:c r="AJ145" s="2"/>
      <x:c r="AK145" s="2"/>
      <x:c r="AL145" s="2"/>
      <x:c r="AM145" s="2" t="str">
        <x:v>https://tpwd.texas.gov/huntwild/hunt/public/public_hunt_drawing/hunt-category-details.phtml?OCat=NGE</x:v>
      </x:c>
      <x:c r="AN145" s="2" t="str">
        <x:v>https://tpwd.texas.gov/search/?q=Balcones+Canyonlands+NWR+public+hunting+brochure</x:v>
      </x:c>
      <x:c r="AO145" s="2" t="str">
        <x:v>https://apps.tpwd.state.tx.us/huntwild/hunt/public/public_hunt_drawing/</x:v>
      </x:c>
      <x:c r="AP145" s="2" t="str">
        <x:v>https://www.google.com/maps/search/?api=1&amp;query=Balcones+Canyonlands+NWR%2C+Texas</x:v>
      </x:c>
      <x:c r="AQ145" s="2" t="n">
        <x:v>0</x:v>
      </x:c>
      <x:c r="AR145" s="2" t="str">
        <x:v>Standard Hastings ranking</x:v>
      </x:c>
    </x:row>
    <x:row r="146">
      <x:c r="A146" s="4" t="str">
        <x:v>No</x:v>
      </x:c>
      <x:c r="B146" s="4" t="str">
        <x:v>A</x:v>
      </x:c>
      <x:c r="C146" s="4" t="str">
        <x:v>Whitetail Deer</x:v>
      </x:c>
      <x:c r="D146" s="4" t="str">
        <x:v>Bannister WMA</x:v>
      </x:c>
      <x:c r="E146" s="4" t="str">
        <x:v>East Texas / Pineywoods</x:v>
      </x:c>
      <x:c r="F146" s="4" t="str">
        <x:v>USFS Antlerless Deer Permit - Adult</x:v>
      </x:c>
      <x:c r="G146" s="4" t="str">
        <x:v>Yes</x:v>
      </x:c>
      <x:c r="H146" s="4" t="str">
        <x:v>No</x:v>
      </x:c>
      <x:c r="I146" s="24" t="str">
        <x:v>2026-09-15</x:v>
      </x:c>
      <x:c r="J146" s="4" t="str">
        <x:v>See TPWD category page</x:v>
      </x:c>
      <x:c r="K146" s="4" t="n">
        <x:v>0</x:v>
      </x:c>
      <x:c r="L146" s="4" t="n">
        <x:v>0</x:v>
      </x:c>
      <x:c r="M146" s="4"/>
      <x:c r="N146" s="4"/>
      <x:c r="O146" s="4"/>
      <x:c r="P146" s="4" t="n">
        <x:v>570</x:v>
      </x:c>
      <x:c r="Q146" s="4" t="str">
        <x:v>Statewide</x:v>
      </x:c>
      <x:c r="R146" s="4" t="str">
        <x:v>Research before draw; property brochure linked from TPWD</x:v>
      </x:c>
      <x:c r="S146" s="4" t="str">
        <x:v>Low</x:v>
      </x:c>
      <x:c r="T146" s="4" t="str">
        <x:v>No</x:v>
      </x:c>
      <x:c r="U146" s="4" t="str">
        <x:v>Verified in TPWD 2026-2027 statewide deer category catalog. APH/eligibility rules apply; confirm account and permit requirements.</x:v>
      </x:c>
      <x:c r="V146" s="4" t="str">
        <x:v>https://tpwd.texas.gov/huntwild/hunt/public/public_hunt_drawing/hunt-category-details.phtml?OCat=FSD</x:v>
      </x:c>
      <x:c r="W146" s="4" t="n">
        <x:v>2</x:v>
      </x:c>
      <x:c r="X146" s="4" t="n">
        <x:v>2</x:v>
      </x:c>
      <x:c r="Y146" s="4" t="n">
        <x:v>1</x:v>
      </x:c>
      <x:c r="Z146" s="4" t="n">
        <x:v>3</x:v>
      </x:c>
      <x:c r="AA146" s="4" t="n">
        <x:v>2</x:v>
      </x:c>
      <x:c r="AB146" s="4" t="n">
        <x:v>0</x:v>
      </x:c>
      <x:c r="AC146" s="4" t="n">
        <x:v>1.6</x:v>
      </x:c>
      <x:c r="AD146" s="4" t="n">
        <x:v>0</x:v>
      </x:c>
      <x:c r="AE146" s="4" t="str">
        <x:v>2026-09-15</x:v>
      </x:c>
      <x:c r="AF146" s="2"/>
      <x:c r="AG146" s="2"/>
      <x:c r="AH146" s="2"/>
      <x:c r="AI146" s="2"/>
      <x:c r="AJ146" s="2"/>
      <x:c r="AK146" s="2"/>
      <x:c r="AL146" s="2"/>
      <x:c r="AM146" s="2" t="str">
        <x:v>https://tpwd.texas.gov/huntwild/hunt/public/public_hunt_drawing/hunt-category-details.phtml?OCat=FSD</x:v>
      </x:c>
      <x:c r="AN146" s="2" t="str">
        <x:v>https://tpwd.texas.gov/search/?q=Bannister+WMA+public+hunting+brochure</x:v>
      </x:c>
      <x:c r="AO146" s="2" t="str">
        <x:v>https://apps.tpwd.state.tx.us/huntwild/hunt/public/public_hunt_drawing/</x:v>
      </x:c>
      <x:c r="AP146" s="2" t="str">
        <x:v>https://www.google.com/maps/search/?api=1&amp;query=Bannister+WMA%2C+Texas</x:v>
      </x:c>
      <x:c r="AQ146" s="2" t="n">
        <x:v>0</x:v>
      </x:c>
      <x:c r="AR146" s="2" t="str">
        <x:v>Standard Hastings ranking</x:v>
      </x:c>
    </x:row>
    <x:row r="147">
      <x:c r="A147" s="4" t="str">
        <x:v>No</x:v>
      </x:c>
      <x:c r="B147" s="4" t="str">
        <x:v>A</x:v>
      </x:c>
      <x:c r="C147" s="4" t="str">
        <x:v>Whitetail Deer</x:v>
      </x:c>
      <x:c r="D147" s="4" t="str">
        <x:v>Bastrop SP</x:v>
      </x:c>
      <x:c r="E147" s="4" t="str">
        <x:v>Central Texas / Austin</x:v>
      </x:c>
      <x:c r="F147" s="4" t="str">
        <x:v>Gun Deer - Antlerless/Spike</x:v>
      </x:c>
      <x:c r="G147" s="4" t="str">
        <x:v>Yes</x:v>
      </x:c>
      <x:c r="H147" s="4" t="str">
        <x:v>Yes</x:v>
      </x:c>
      <x:c r="I147" s="24" t="str">
        <x:v>2026-09-15</x:v>
      </x:c>
      <x:c r="J147" s="4" t="str">
        <x:v>See TPWD category page</x:v>
      </x:c>
      <x:c r="K147" s="4" t="n">
        <x:v>3</x:v>
      </x:c>
      <x:c r="L147" s="4"/>
      <x:c r="M147" s="4"/>
      <x:c r="N147" s="4"/>
      <x:c r="O147" s="4"/>
      <x:c r="P147" s="4" t="n">
        <x:v>490</x:v>
      </x:c>
      <x:c r="Q147" s="4" t="str">
        <x:v>Statewide</x:v>
      </x:c>
      <x:c r="R147" s="4" t="str">
        <x:v>Research before draw; property brochure linked from TPWD</x:v>
      </x:c>
      <x:c r="S147" s="4" t="str">
        <x:v>Low</x:v>
      </x:c>
      <x:c r="T147" s="4" t="str">
        <x:v>No</x:v>
      </x:c>
      <x:c r="U147" s="4" t="str">
        <x:v>Verified in TPWD 2026-2027 statewide deer category catalog.</x:v>
      </x:c>
      <x:c r="V147" s="4" t="str">
        <x:v>https://tpwd.texas.gov/huntwild/hunt/public/public_hunt_drawing/hunt-category-details.phtml?OCat=GDA</x:v>
      </x:c>
      <x:c r="W147" s="4" t="n">
        <x:v>2</x:v>
      </x:c>
      <x:c r="X147" s="4" t="n">
        <x:v>2</x:v>
      </x:c>
      <x:c r="Y147" s="4" t="n">
        <x:v>4</x:v>
      </x:c>
      <x:c r="Z147" s="4" t="n">
        <x:v>3</x:v>
      </x:c>
      <x:c r="AA147" s="4" t="n">
        <x:v>2</x:v>
      </x:c>
      <x:c r="AB147" s="4" t="n">
        <x:v>0</x:v>
      </x:c>
      <x:c r="AC147" s="4" t="n">
        <x:v>2.3</x:v>
      </x:c>
      <x:c r="AD147" s="4"/>
      <x:c r="AE147" s="4" t="str">
        <x:v>2026-09-15</x:v>
      </x:c>
      <x:c r="AF147" s="2"/>
      <x:c r="AG147" s="2"/>
      <x:c r="AH147" s="2"/>
      <x:c r="AI147" s="2"/>
      <x:c r="AJ147" s="2"/>
      <x:c r="AK147" s="2"/>
      <x:c r="AL147" s="2"/>
      <x:c r="AM147" s="2" t="str">
        <x:v>https://tpwd.texas.gov/huntwild/hunt/public/public_hunt_drawing/hunt-category-details.phtml?OCat=GDA</x:v>
      </x:c>
      <x:c r="AN147" s="2" t="str">
        <x:v>https://tpwd.texas.gov/search/?q=Bastrop+SP+public+hunting+brochure</x:v>
      </x:c>
      <x:c r="AO147" s="2" t="str">
        <x:v>https://apps.tpwd.state.tx.us/huntwild/hunt/public/public_hunt_drawing/</x:v>
      </x:c>
      <x:c r="AP147" s="2" t="str">
        <x:v>https://www.google.com/maps/search/?api=1&amp;query=Bastrop+SP%2C+Texas</x:v>
      </x:c>
      <x:c r="AQ147" s="2" t="n">
        <x:v>0</x:v>
      </x:c>
      <x:c r="AR147" s="2" t="str">
        <x:v>Standard Hastings ranking</x:v>
      </x:c>
    </x:row>
    <x:row r="148">
      <x:c r="A148" s="4" t="str">
        <x:v>No</x:v>
      </x:c>
      <x:c r="B148" s="4" t="str">
        <x:v>A</x:v>
      </x:c>
      <x:c r="C148" s="4" t="str">
        <x:v>Whitetail Deer</x:v>
      </x:c>
      <x:c r="D148" s="4" t="str">
        <x:v>Bear Creek State Park</x:v>
      </x:c>
      <x:c r="E148" s="4" t="str">
        <x:v>East Texas / Pineywoods</x:v>
      </x:c>
      <x:c r="F148" s="4" t="str">
        <x:v>Gun Deer - Either Sex</x:v>
      </x:c>
      <x:c r="G148" s="4" t="str">
        <x:v>Yes</x:v>
      </x:c>
      <x:c r="H148" s="4" t="str">
        <x:v>Yes</x:v>
      </x:c>
      <x:c r="I148" s="24" t="str">
        <x:v>2026-09-15</x:v>
      </x:c>
      <x:c r="J148" s="4" t="str">
        <x:v>See TPWD category page</x:v>
      </x:c>
      <x:c r="K148" s="4" t="n">
        <x:v>3</x:v>
      </x:c>
      <x:c r="L148" s="4"/>
      <x:c r="M148" s="4"/>
      <x:c r="N148" s="4"/>
      <x:c r="O148" s="4"/>
      <x:c r="P148" s="4" t="n">
        <x:v>570</x:v>
      </x:c>
      <x:c r="Q148" s="4" t="str">
        <x:v>Statewide</x:v>
      </x:c>
      <x:c r="R148" s="4" t="str">
        <x:v>Research before draw; property brochure linked from TPWD</x:v>
      </x:c>
      <x:c r="S148" s="4" t="str">
        <x:v>Low</x:v>
      </x:c>
      <x:c r="T148" s="4" t="str">
        <x:v>No</x:v>
      </x:c>
      <x:c r="U148" s="4" t="str">
        <x:v>Verified in TPWD 2026-2027 statewide deer category catalog.</x:v>
      </x:c>
      <x:c r="V148" s="4" t="str">
        <x:v>https://tpwd.texas.gov/huntwild/hunt/public/public_hunt_drawing/hunt-category-details.phtml?OCat=GDE</x:v>
      </x:c>
      <x:c r="W148" s="4" t="n">
        <x:v>2</x:v>
      </x:c>
      <x:c r="X148" s="4" t="n">
        <x:v>2</x:v>
      </x:c>
      <x:c r="Y148" s="4" t="n">
        <x:v>4</x:v>
      </x:c>
      <x:c r="Z148" s="4" t="n">
        <x:v>3</x:v>
      </x:c>
      <x:c r="AA148" s="4" t="n">
        <x:v>2</x:v>
      </x:c>
      <x:c r="AB148" s="4" t="n">
        <x:v>0</x:v>
      </x:c>
      <x:c r="AC148" s="4" t="n">
        <x:v>2.3</x:v>
      </x:c>
      <x:c r="AD148" s="4"/>
      <x:c r="AE148" s="4" t="str">
        <x:v>2026-09-15</x:v>
      </x:c>
      <x:c r="AF148" s="2"/>
      <x:c r="AG148" s="2"/>
      <x:c r="AH148" s="2"/>
      <x:c r="AI148" s="2"/>
      <x:c r="AJ148" s="2"/>
      <x:c r="AK148" s="2"/>
      <x:c r="AL148" s="2"/>
      <x:c r="AM148" s="2" t="str">
        <x:v>https://tpwd.texas.gov/huntwild/hunt/public/public_hunt_drawing/hunt-category-details.phtml?OCat=GDE</x:v>
      </x:c>
      <x:c r="AN148" s="2" t="str">
        <x:v>https://tpwd.texas.gov/search/?q=Bear+Creek+State+Park+public+hunting+brochure</x:v>
      </x:c>
      <x:c r="AO148" s="2" t="str">
        <x:v>https://apps.tpwd.state.tx.us/huntwild/hunt/public/public_hunt_drawing/</x:v>
      </x:c>
      <x:c r="AP148" s="2" t="str">
        <x:v>https://www.google.com/maps/search/?api=1&amp;query=Bear+Creek+State+Park%2C+Texas</x:v>
      </x:c>
      <x:c r="AQ148" s="2" t="n">
        <x:v>0</x:v>
      </x:c>
      <x:c r="AR148" s="2" t="str">
        <x:v>Standard Hastings ranking</x:v>
      </x:c>
    </x:row>
    <x:row r="149">
      <x:c r="A149" s="4" t="str">
        <x:v>No</x:v>
      </x:c>
      <x:c r="B149" s="4" t="str">
        <x:v>A</x:v>
      </x:c>
      <x:c r="C149" s="4" t="str">
        <x:v>Whitetail Deer</x:v>
      </x:c>
      <x:c r="D149" s="4" t="str">
        <x:v>Big Lake Bottom WMA</x:v>
      </x:c>
      <x:c r="E149" s="4" t="str">
        <x:v>Statewide / Other</x:v>
      </x:c>
      <x:c r="F149" s="4" t="str">
        <x:v>E-Postcard Deer</x:v>
      </x:c>
      <x:c r="G149" s="4" t="str">
        <x:v>Yes</x:v>
      </x:c>
      <x:c r="H149" s="4" t="str">
        <x:v>Yes</x:v>
      </x:c>
      <x:c r="I149" s="24" t="str">
        <x:v>2026-09-15</x:v>
      </x:c>
      <x:c r="J149" s="4" t="str">
        <x:v>See TPWD category page</x:v>
      </x:c>
      <x:c r="K149" s="4" t="n">
        <x:v>0</x:v>
      </x:c>
      <x:c r="L149" s="4" t="n">
        <x:v>0</x:v>
      </x:c>
      <x:c r="M149" s="4"/>
      <x:c r="N149" s="4"/>
      <x:c r="O149" s="4"/>
      <x:c r="P149" s="4" t="n">
        <x:v>500</x:v>
      </x:c>
      <x:c r="Q149" s="4" t="str">
        <x:v>Statewide</x:v>
      </x:c>
      <x:c r="R149" s="4" t="str">
        <x:v>Research before draw; property brochure linked from TPWD</x:v>
      </x:c>
      <x:c r="S149" s="4" t="str">
        <x:v>Low</x:v>
      </x:c>
      <x:c r="T149" s="4" t="str">
        <x:v>No</x:v>
      </x:c>
      <x:c r="U149" s="4" t="str">
        <x:v>Verified in TPWD 2026-2027 statewide deer category catalog. APH/eligibility rules apply; confirm account and permit requirements.</x:v>
      </x:c>
      <x:c r="V149" s="4" t="str">
        <x:v>https://tpwd.texas.gov/huntwild/hunt/public/public_hunt_drawing/hunt-category-details.phtml?OCat=EDR</x:v>
      </x:c>
      <x:c r="W149" s="4" t="n">
        <x:v>2</x:v>
      </x:c>
      <x:c r="X149" s="4" t="n">
        <x:v>2</x:v>
      </x:c>
      <x:c r="Y149" s="4" t="n">
        <x:v>4</x:v>
      </x:c>
      <x:c r="Z149" s="4" t="n">
        <x:v>3</x:v>
      </x:c>
      <x:c r="AA149" s="4" t="n">
        <x:v>2</x:v>
      </x:c>
      <x:c r="AB149" s="4" t="n">
        <x:v>0</x:v>
      </x:c>
      <x:c r="AC149" s="4" t="n">
        <x:v>2.3</x:v>
      </x:c>
      <x:c r="AD149" s="4" t="n">
        <x:v>0</x:v>
      </x:c>
      <x:c r="AE149" s="4" t="str">
        <x:v>2026-09-15</x:v>
      </x:c>
      <x:c r="AF149" s="2"/>
      <x:c r="AG149" s="2"/>
      <x:c r="AH149" s="2"/>
      <x:c r="AI149" s="2"/>
      <x:c r="AJ149" s="2"/>
      <x:c r="AK149" s="2"/>
      <x:c r="AL149" s="2"/>
      <x:c r="AM149" s="2" t="str">
        <x:v>https://tpwd.texas.gov/huntwild/hunt/public/public_hunt_drawing/hunt-category-details.phtml?OCat=EDR</x:v>
      </x:c>
      <x:c r="AN149" s="2" t="str">
        <x:v>https://tpwd.texas.gov/search/?q=Big+Lake+Bottom+WMA+public+hunting+brochure</x:v>
      </x:c>
      <x:c r="AO149" s="2" t="str">
        <x:v>https://apps.tpwd.state.tx.us/huntwild/hunt/public/public_hunt_drawing/</x:v>
      </x:c>
      <x:c r="AP149" s="2" t="str">
        <x:v>https://www.google.com/maps/search/?api=1&amp;query=Big+Lake+Bottom+WMA%2C+Texas</x:v>
      </x:c>
      <x:c r="AQ149" s="2" t="n">
        <x:v>0</x:v>
      </x:c>
      <x:c r="AR149" s="2" t="str">
        <x:v>Standard Hastings ranking</x:v>
      </x:c>
    </x:row>
    <x:row r="150">
      <x:c r="A150" s="4" t="str">
        <x:v>No</x:v>
      </x:c>
      <x:c r="B150" s="4" t="str">
        <x:v>A</x:v>
      </x:c>
      <x:c r="C150" s="4" t="str">
        <x:v>Whitetail Deer</x:v>
      </x:c>
      <x:c r="D150" s="4" t="str">
        <x:v>Brazos Bend SP</x:v>
      </x:c>
      <x:c r="E150" s="4" t="str">
        <x:v>Houston / Gulf Coast</x:v>
      </x:c>
      <x:c r="F150" s="4" t="str">
        <x:v>Gun Deer - Antlerless/Spike</x:v>
      </x:c>
      <x:c r="G150" s="4" t="str">
        <x:v>Yes</x:v>
      </x:c>
      <x:c r="H150" s="4" t="str">
        <x:v>Yes</x:v>
      </x:c>
      <x:c r="I150" s="24" t="str">
        <x:v>2026-09-15</x:v>
      </x:c>
      <x:c r="J150" s="4" t="str">
        <x:v>See TPWD category page</x:v>
      </x:c>
      <x:c r="K150" s="4" t="n">
        <x:v>3</x:v>
      </x:c>
      <x:c r="L150" s="4"/>
      <x:c r="M150" s="4"/>
      <x:c r="N150" s="4"/>
      <x:c r="O150" s="4"/>
      <x:c r="P150" s="4" t="n">
        <x:v>610</x:v>
      </x:c>
      <x:c r="Q150" s="4" t="str">
        <x:v>Long Haul</x:v>
      </x:c>
      <x:c r="R150" s="4" t="str">
        <x:v>Research before draw; property brochure linked from TPWD</x:v>
      </x:c>
      <x:c r="S150" s="4" t="str">
        <x:v>Low</x:v>
      </x:c>
      <x:c r="T150" s="4" t="str">
        <x:v>No</x:v>
      </x:c>
      <x:c r="U150" s="4" t="str">
        <x:v>Verified in TPWD 2026-2027 statewide deer category catalog.</x:v>
      </x:c>
      <x:c r="V150" s="4" t="str">
        <x:v>https://tpwd.texas.gov/huntwild/hunt/public/public_hunt_drawing/hunt-category-details.phtml?OCat=GDA</x:v>
      </x:c>
      <x:c r="W150" s="4" t="n">
        <x:v>2</x:v>
      </x:c>
      <x:c r="X150" s="4" t="n">
        <x:v>1</x:v>
      </x:c>
      <x:c r="Y150" s="4" t="n">
        <x:v>4</x:v>
      </x:c>
      <x:c r="Z150" s="4" t="n">
        <x:v>3</x:v>
      </x:c>
      <x:c r="AA150" s="4" t="n">
        <x:v>2</x:v>
      </x:c>
      <x:c r="AB150" s="4" t="n">
        <x:v>0</x:v>
      </x:c>
      <x:c r="AC150" s="4" t="n">
        <x:v>2.1</x:v>
      </x:c>
      <x:c r="AD150" s="4"/>
      <x:c r="AE150" s="4" t="str">
        <x:v>2026-09-15</x:v>
      </x:c>
      <x:c r="AF150" s="2"/>
      <x:c r="AG150" s="2"/>
      <x:c r="AH150" s="2"/>
      <x:c r="AI150" s="2"/>
      <x:c r="AJ150" s="2"/>
      <x:c r="AK150" s="2"/>
      <x:c r="AL150" s="2"/>
      <x:c r="AM150" s="2" t="str">
        <x:v>https://tpwd.texas.gov/huntwild/hunt/public/public_hunt_drawing/hunt-category-details.phtml?OCat=GDA</x:v>
      </x:c>
      <x:c r="AN150" s="2" t="str">
        <x:v>https://tpwd.texas.gov/search/?q=Brazos+Bend+SP+public+hunting+brochure</x:v>
      </x:c>
      <x:c r="AO150" s="2" t="str">
        <x:v>https://apps.tpwd.state.tx.us/huntwild/hunt/public/public_hunt_drawing/</x:v>
      </x:c>
      <x:c r="AP150" s="2" t="str">
        <x:v>https://www.google.com/maps/search/?api=1&amp;query=Brazos+Bend+SP%2C+Texas</x:v>
      </x:c>
      <x:c r="AQ150" s="2" t="n">
        <x:v>0</x:v>
      </x:c>
      <x:c r="AR150" s="2" t="str">
        <x:v>Standard Hastings ranking</x:v>
      </x:c>
    </x:row>
    <x:row r="151">
      <x:c r="A151" s="4" t="str">
        <x:v>No</x:v>
      </x:c>
      <x:c r="B151" s="4" t="str">
        <x:v>A</x:v>
      </x:c>
      <x:c r="C151" s="4" t="str">
        <x:v>Whitetail Deer</x:v>
      </x:c>
      <x:c r="D151" s="4" t="str">
        <x:v>Brazos Bend SP</x:v>
      </x:c>
      <x:c r="E151" s="4" t="str">
        <x:v>Houston / Gulf Coast</x:v>
      </x:c>
      <x:c r="F151" s="4" t="str">
        <x:v>Gun Deer - Either Sex</x:v>
      </x:c>
      <x:c r="G151" s="4" t="str">
        <x:v>Yes</x:v>
      </x:c>
      <x:c r="H151" s="4" t="str">
        <x:v>Yes</x:v>
      </x:c>
      <x:c r="I151" s="24" t="str">
        <x:v>2026-09-15</x:v>
      </x:c>
      <x:c r="J151" s="4" t="str">
        <x:v>See TPWD category page</x:v>
      </x:c>
      <x:c r="K151" s="4" t="n">
        <x:v>3</x:v>
      </x:c>
      <x:c r="L151" s="4"/>
      <x:c r="M151" s="4"/>
      <x:c r="N151" s="4"/>
      <x:c r="O151" s="4"/>
      <x:c r="P151" s="4" t="n">
        <x:v>610</x:v>
      </x:c>
      <x:c r="Q151" s="4" t="str">
        <x:v>Long Haul</x:v>
      </x:c>
      <x:c r="R151" s="4" t="str">
        <x:v>Research before draw; property brochure linked from TPWD</x:v>
      </x:c>
      <x:c r="S151" s="4" t="str">
        <x:v>Low</x:v>
      </x:c>
      <x:c r="T151" s="4" t="str">
        <x:v>No</x:v>
      </x:c>
      <x:c r="U151" s="4" t="str">
        <x:v>Verified in TPWD 2026-2027 statewide deer category catalog.</x:v>
      </x:c>
      <x:c r="V151" s="4" t="str">
        <x:v>https://tpwd.texas.gov/huntwild/hunt/public/public_hunt_drawing/hunt-category-details.phtml?OCat=GDE</x:v>
      </x:c>
      <x:c r="W151" s="4" t="n">
        <x:v>2</x:v>
      </x:c>
      <x:c r="X151" s="4" t="n">
        <x:v>1</x:v>
      </x:c>
      <x:c r="Y151" s="4" t="n">
        <x:v>4</x:v>
      </x:c>
      <x:c r="Z151" s="4" t="n">
        <x:v>3</x:v>
      </x:c>
      <x:c r="AA151" s="4" t="n">
        <x:v>2</x:v>
      </x:c>
      <x:c r="AB151" s="4" t="n">
        <x:v>0</x:v>
      </x:c>
      <x:c r="AC151" s="4" t="n">
        <x:v>2.1</x:v>
      </x:c>
      <x:c r="AD151" s="4"/>
      <x:c r="AE151" s="4" t="str">
        <x:v>2026-09-15</x:v>
      </x:c>
      <x:c r="AF151" s="2"/>
      <x:c r="AG151" s="2"/>
      <x:c r="AH151" s="2"/>
      <x:c r="AI151" s="2"/>
      <x:c r="AJ151" s="2"/>
      <x:c r="AK151" s="2"/>
      <x:c r="AL151" s="2"/>
      <x:c r="AM151" s="2" t="str">
        <x:v>https://tpwd.texas.gov/huntwild/hunt/public/public_hunt_drawing/hunt-category-details.phtml?OCat=GDE</x:v>
      </x:c>
      <x:c r="AN151" s="2" t="str">
        <x:v>https://tpwd.texas.gov/search/?q=Brazos+Bend+SP+public+hunting+brochure</x:v>
      </x:c>
      <x:c r="AO151" s="2" t="str">
        <x:v>https://apps.tpwd.state.tx.us/huntwild/hunt/public/public_hunt_drawing/</x:v>
      </x:c>
      <x:c r="AP151" s="2" t="str">
        <x:v>https://www.google.com/maps/search/?api=1&amp;query=Brazos+Bend+SP%2C+Texas</x:v>
      </x:c>
      <x:c r="AQ151" s="2" t="n">
        <x:v>0</x:v>
      </x:c>
      <x:c r="AR151" s="2" t="str">
        <x:v>Standard Hastings ranking</x:v>
      </x:c>
    </x:row>
    <x:row r="152">
      <x:c r="A152" s="4" t="str">
        <x:v>No</x:v>
      </x:c>
      <x:c r="B152" s="4" t="str">
        <x:v>A</x:v>
      </x:c>
      <x:c r="C152" s="4" t="str">
        <x:v>Whitetail Deer</x:v>
      </x:c>
      <x:c r="D152" s="4" t="str">
        <x:v>Caddo Lake NWR</x:v>
      </x:c>
      <x:c r="E152" s="4" t="str">
        <x:v>East Texas / Pineywoods</x:v>
      </x:c>
      <x:c r="F152" s="4" t="str">
        <x:v>National Refuge General Deer</x:v>
      </x:c>
      <x:c r="G152" s="4" t="str">
        <x:v>Yes</x:v>
      </x:c>
      <x:c r="H152" s="4" t="str">
        <x:v>Yes</x:v>
      </x:c>
      <x:c r="I152" s="24" t="str">
        <x:v>2026-09-15</x:v>
      </x:c>
      <x:c r="J152" s="4" t="str">
        <x:v>See TPWD category page</x:v>
      </x:c>
      <x:c r="K152" s="4" t="n">
        <x:v>3</x:v>
      </x:c>
      <x:c r="L152" s="4"/>
      <x:c r="M152" s="4"/>
      <x:c r="N152" s="4"/>
      <x:c r="O152" s="4"/>
      <x:c r="P152" s="4" t="n">
        <x:v>570</x:v>
      </x:c>
      <x:c r="Q152" s="4" t="str">
        <x:v>Statewide</x:v>
      </x:c>
      <x:c r="R152" s="4" t="str">
        <x:v>Research before draw; property brochure linked from TPWD</x:v>
      </x:c>
      <x:c r="S152" s="4" t="str">
        <x:v>Low</x:v>
      </x:c>
      <x:c r="T152" s="4" t="str">
        <x:v>No</x:v>
      </x:c>
      <x:c r="U152" s="4" t="str">
        <x:v>Verified in TPWD 2026-2027 statewide deer category catalog. Refuge-specific rules and permit fees may apply.</x:v>
      </x:c>
      <x:c r="V152" s="4" t="str">
        <x:v>https://tpwd.texas.gov/huntwild/hunt/public/public_hunt_drawing/hunt-category-details.phtml?OCat=NGE</x:v>
      </x:c>
      <x:c r="W152" s="4" t="n">
        <x:v>2</x:v>
      </x:c>
      <x:c r="X152" s="4" t="n">
        <x:v>2</x:v>
      </x:c>
      <x:c r="Y152" s="4" t="n">
        <x:v>4</x:v>
      </x:c>
      <x:c r="Z152" s="4" t="n">
        <x:v>3</x:v>
      </x:c>
      <x:c r="AA152" s="4" t="n">
        <x:v>2</x:v>
      </x:c>
      <x:c r="AB152" s="4" t="n">
        <x:v>0</x:v>
      </x:c>
      <x:c r="AC152" s="4" t="n">
        <x:v>2.3</x:v>
      </x:c>
      <x:c r="AD152" s="4"/>
      <x:c r="AE152" s="4" t="str">
        <x:v>2026-09-15</x:v>
      </x:c>
      <x:c r="AF152" s="2"/>
      <x:c r="AG152" s="2"/>
      <x:c r="AH152" s="2"/>
      <x:c r="AI152" s="2"/>
      <x:c r="AJ152" s="2"/>
      <x:c r="AK152" s="2"/>
      <x:c r="AL152" s="2"/>
      <x:c r="AM152" s="2" t="str">
        <x:v>https://tpwd.texas.gov/huntwild/hunt/public/public_hunt_drawing/hunt-category-details.phtml?OCat=NGE</x:v>
      </x:c>
      <x:c r="AN152" s="2" t="str">
        <x:v>https://tpwd.texas.gov/search/?q=Caddo+Lake+NWR+public+hunting+brochure</x:v>
      </x:c>
      <x:c r="AO152" s="2" t="str">
        <x:v>https://apps.tpwd.state.tx.us/huntwild/hunt/public/public_hunt_drawing/</x:v>
      </x:c>
      <x:c r="AP152" s="2" t="str">
        <x:v>https://www.google.com/maps/search/?api=1&amp;query=Caddo+Lake+NWR%2C+Texas</x:v>
      </x:c>
      <x:c r="AQ152" s="2" t="n">
        <x:v>0</x:v>
      </x:c>
      <x:c r="AR152" s="2" t="str">
        <x:v>Standard Hastings ranking</x:v>
      </x:c>
    </x:row>
    <x:row r="153">
      <x:c r="A153" s="4" t="str">
        <x:v>No</x:v>
      </x:c>
      <x:c r="B153" s="4" t="str">
        <x:v>A</x:v>
      </x:c>
      <x:c r="C153" s="4" t="str">
        <x:v>Whitetail Deer</x:v>
      </x:c>
      <x:c r="D153" s="4" t="str">
        <x:v>Caddo Lake WMA</x:v>
      </x:c>
      <x:c r="E153" s="4" t="str">
        <x:v>East Texas / Pineywoods</x:v>
      </x:c>
      <x:c r="F153" s="4" t="str">
        <x:v>E-Postcard Deer</x:v>
      </x:c>
      <x:c r="G153" s="4" t="str">
        <x:v>Yes</x:v>
      </x:c>
      <x:c r="H153" s="4" t="str">
        <x:v>Yes</x:v>
      </x:c>
      <x:c r="I153" s="24" t="str">
        <x:v>2026-09-15</x:v>
      </x:c>
      <x:c r="J153" s="4" t="str">
        <x:v>See TPWD category page</x:v>
      </x:c>
      <x:c r="K153" s="4" t="n">
        <x:v>0</x:v>
      </x:c>
      <x:c r="L153" s="4" t="n">
        <x:v>0</x:v>
      </x:c>
      <x:c r="M153" s="4"/>
      <x:c r="N153" s="4"/>
      <x:c r="O153" s="4"/>
      <x:c r="P153" s="4" t="n">
        <x:v>570</x:v>
      </x:c>
      <x:c r="Q153" s="4" t="str">
        <x:v>Statewide</x:v>
      </x:c>
      <x:c r="R153" s="4" t="str">
        <x:v>Research before draw; property brochure linked from TPWD</x:v>
      </x:c>
      <x:c r="S153" s="4" t="str">
        <x:v>Low</x:v>
      </x:c>
      <x:c r="T153" s="4" t="str">
        <x:v>No</x:v>
      </x:c>
      <x:c r="U153" s="4" t="str">
        <x:v>Verified in TPWD 2026-2027 statewide deer category catalog. APH/eligibility rules apply; confirm account and permit requirements.</x:v>
      </x:c>
      <x:c r="V153" s="4" t="str">
        <x:v>https://tpwd.texas.gov/huntwild/hunt/public/public_hunt_drawing/hunt-category-details.phtml?OCat=EDR</x:v>
      </x:c>
      <x:c r="W153" s="4" t="n">
        <x:v>2</x:v>
      </x:c>
      <x:c r="X153" s="4" t="n">
        <x:v>2</x:v>
      </x:c>
      <x:c r="Y153" s="4" t="n">
        <x:v>4</x:v>
      </x:c>
      <x:c r="Z153" s="4" t="n">
        <x:v>3</x:v>
      </x:c>
      <x:c r="AA153" s="4" t="n">
        <x:v>2</x:v>
      </x:c>
      <x:c r="AB153" s="4" t="n">
        <x:v>0</x:v>
      </x:c>
      <x:c r="AC153" s="4" t="n">
        <x:v>2.3</x:v>
      </x:c>
      <x:c r="AD153" s="4" t="n">
        <x:v>0</x:v>
      </x:c>
      <x:c r="AE153" s="4" t="str">
        <x:v>2026-09-15</x:v>
      </x:c>
      <x:c r="AF153" s="2"/>
      <x:c r="AG153" s="2"/>
      <x:c r="AH153" s="2"/>
      <x:c r="AI153" s="2"/>
      <x:c r="AJ153" s="2"/>
      <x:c r="AK153" s="2"/>
      <x:c r="AL153" s="2"/>
      <x:c r="AM153" s="2" t="str">
        <x:v>https://tpwd.texas.gov/huntwild/hunt/public/public_hunt_drawing/hunt-category-details.phtml?OCat=EDR</x:v>
      </x:c>
      <x:c r="AN153" s="2" t="str">
        <x:v>https://tpwd.texas.gov/search/?q=Caddo+Lake+WMA+public+hunting+brochure</x:v>
      </x:c>
      <x:c r="AO153" s="2" t="str">
        <x:v>https://apps.tpwd.state.tx.us/huntwild/hunt/public/public_hunt_drawing/</x:v>
      </x:c>
      <x:c r="AP153" s="2" t="str">
        <x:v>https://www.google.com/maps/search/?api=1&amp;query=Caddo+Lake+WMA%2C+Texas</x:v>
      </x:c>
      <x:c r="AQ153" s="2" t="n">
        <x:v>0</x:v>
      </x:c>
      <x:c r="AR153" s="2" t="str">
        <x:v>Standard Hastings ranking</x:v>
      </x:c>
    </x:row>
    <x:row r="154">
      <x:c r="A154" s="4" t="str">
        <x:v>No</x:v>
      </x:c>
      <x:c r="B154" s="4" t="str">
        <x:v>A</x:v>
      </x:c>
      <x:c r="C154" s="4" t="str">
        <x:v>Whitetail Deer</x:v>
      </x:c>
      <x:c r="D154" s="4" t="str">
        <x:v>Caddo National Grasslands WMA - Bois d'Arc Unit</x:v>
      </x:c>
      <x:c r="E154" s="4" t="str">
        <x:v>North Texas / DFW</x:v>
      </x:c>
      <x:c r="F154" s="4" t="str">
        <x:v>USFS Antlerless Deer Permit - Adult</x:v>
      </x:c>
      <x:c r="G154" s="4" t="str">
        <x:v>Yes</x:v>
      </x:c>
      <x:c r="H154" s="4" t="str">
        <x:v>No</x:v>
      </x:c>
      <x:c r="I154" s="24" t="str">
        <x:v>2026-09-15</x:v>
      </x:c>
      <x:c r="J154" s="4" t="str">
        <x:v>See TPWD category page</x:v>
      </x:c>
      <x:c r="K154" s="4" t="n">
        <x:v>0</x:v>
      </x:c>
      <x:c r="L154" s="4" t="n">
        <x:v>0</x:v>
      </x:c>
      <x:c r="M154" s="4"/>
      <x:c r="N154" s="4"/>
      <x:c r="O154" s="4"/>
      <x:c r="P154" s="4" t="n">
        <x:v>360</x:v>
      </x:c>
      <x:c r="Q154" s="4" t="str">
        <x:v>Extended</x:v>
      </x:c>
      <x:c r="R154" s="4" t="str">
        <x:v>Research before draw; property brochure linked from TPWD</x:v>
      </x:c>
      <x:c r="S154" s="4" t="str">
        <x:v>Low</x:v>
      </x:c>
      <x:c r="T154" s="4" t="str">
        <x:v>No</x:v>
      </x:c>
      <x:c r="U154" s="4" t="str">
        <x:v>Verified in TPWD 2026-2027 statewide deer category catalog. APH/eligibility rules apply; confirm account and permit requirements.</x:v>
      </x:c>
      <x:c r="V154" s="4" t="str">
        <x:v>https://tpwd.texas.gov/huntwild/hunt/public/public_hunt_drawing/hunt-category-details.phtml?OCat=FSD</x:v>
      </x:c>
      <x:c r="W154" s="4" t="n">
        <x:v>2</x:v>
      </x:c>
      <x:c r="X154" s="4" t="n">
        <x:v>3</x:v>
      </x:c>
      <x:c r="Y154" s="4" t="n">
        <x:v>1</x:v>
      </x:c>
      <x:c r="Z154" s="4" t="n">
        <x:v>3</x:v>
      </x:c>
      <x:c r="AA154" s="4" t="n">
        <x:v>2</x:v>
      </x:c>
      <x:c r="AB154" s="4" t="n">
        <x:v>0</x:v>
      </x:c>
      <x:c r="AC154" s="4" t="n">
        <x:v>1.7</x:v>
      </x:c>
      <x:c r="AD154" s="4" t="n">
        <x:v>0</x:v>
      </x:c>
      <x:c r="AE154" s="4" t="str">
        <x:v>2026-09-15</x:v>
      </x:c>
      <x:c r="AF154" s="2"/>
      <x:c r="AG154" s="2"/>
      <x:c r="AH154" s="2"/>
      <x:c r="AI154" s="2"/>
      <x:c r="AJ154" s="2"/>
      <x:c r="AK154" s="2"/>
      <x:c r="AL154" s="2"/>
      <x:c r="AM154" s="2" t="str">
        <x:v>https://tpwd.texas.gov/huntwild/hunt/public/public_hunt_drawing/hunt-category-details.phtml?OCat=FSD</x:v>
      </x:c>
      <x:c r="AN154" s="2" t="str">
        <x:v>https://tpwd.texas.gov/search/?q=Caddo+National+Grasslands+WMA+-+Bois+d%27Arc+Unit+public+hunting+brochure</x:v>
      </x:c>
      <x:c r="AO154" s="2" t="str">
        <x:v>https://apps.tpwd.state.tx.us/huntwild/hunt/public/public_hunt_drawing/</x:v>
      </x:c>
      <x:c r="AP154" s="2" t="str">
        <x:v>https://www.google.com/maps/search/?api=1&amp;query=Caddo+National+Grasslands+WMA+-+Bois+d%27Arc+Unit%2C+Texas</x:v>
      </x:c>
      <x:c r="AQ154" s="2" t="n">
        <x:v>0</x:v>
      </x:c>
      <x:c r="AR154" s="2" t="str">
        <x:v>Standard Hastings ranking</x:v>
      </x:c>
    </x:row>
    <x:row r="155">
      <x:c r="A155" s="4" t="str">
        <x:v>No</x:v>
      </x:c>
      <x:c r="B155" s="4" t="str">
        <x:v>A</x:v>
      </x:c>
      <x:c r="C155" s="4" t="str">
        <x:v>Whitetail Deer</x:v>
      </x:c>
      <x:c r="D155" s="4" t="str">
        <x:v>Caddo National Grasslands WMA - Ladonia Unit</x:v>
      </x:c>
      <x:c r="E155" s="4" t="str">
        <x:v>North Texas / DFW</x:v>
      </x:c>
      <x:c r="F155" s="4" t="str">
        <x:v>USFS Antlerless Deer Permit - Adult</x:v>
      </x:c>
      <x:c r="G155" s="4" t="str">
        <x:v>Yes</x:v>
      </x:c>
      <x:c r="H155" s="4" t="str">
        <x:v>No</x:v>
      </x:c>
      <x:c r="I155" s="24" t="str">
        <x:v>2026-09-15</x:v>
      </x:c>
      <x:c r="J155" s="4" t="str">
        <x:v>See TPWD category page</x:v>
      </x:c>
      <x:c r="K155" s="4" t="n">
        <x:v>0</x:v>
      </x:c>
      <x:c r="L155" s="4" t="n">
        <x:v>0</x:v>
      </x:c>
      <x:c r="M155" s="4"/>
      <x:c r="N155" s="4"/>
      <x:c r="O155" s="4"/>
      <x:c r="P155" s="4" t="n">
        <x:v>360</x:v>
      </x:c>
      <x:c r="Q155" s="4" t="str">
        <x:v>Extended</x:v>
      </x:c>
      <x:c r="R155" s="4" t="str">
        <x:v>Research before draw; property brochure linked from TPWD</x:v>
      </x:c>
      <x:c r="S155" s="4" t="str">
        <x:v>Low</x:v>
      </x:c>
      <x:c r="T155" s="4" t="str">
        <x:v>No</x:v>
      </x:c>
      <x:c r="U155" s="4" t="str">
        <x:v>Verified in TPWD 2026-2027 statewide deer category catalog. APH/eligibility rules apply; confirm account and permit requirements.</x:v>
      </x:c>
      <x:c r="V155" s="4" t="str">
        <x:v>https://tpwd.texas.gov/huntwild/hunt/public/public_hunt_drawing/hunt-category-details.phtml?OCat=FSD</x:v>
      </x:c>
      <x:c r="W155" s="4" t="n">
        <x:v>2</x:v>
      </x:c>
      <x:c r="X155" s="4" t="n">
        <x:v>3</x:v>
      </x:c>
      <x:c r="Y155" s="4" t="n">
        <x:v>1</x:v>
      </x:c>
      <x:c r="Z155" s="4" t="n">
        <x:v>3</x:v>
      </x:c>
      <x:c r="AA155" s="4" t="n">
        <x:v>2</x:v>
      </x:c>
      <x:c r="AB155" s="4" t="n">
        <x:v>0</x:v>
      </x:c>
      <x:c r="AC155" s="4" t="n">
        <x:v>1.7</x:v>
      </x:c>
      <x:c r="AD155" s="4" t="n">
        <x:v>0</x:v>
      </x:c>
      <x:c r="AE155" s="4" t="str">
        <x:v>2026-09-15</x:v>
      </x:c>
      <x:c r="AF155" s="2"/>
      <x:c r="AG155" s="2"/>
      <x:c r="AH155" s="2"/>
      <x:c r="AI155" s="2"/>
      <x:c r="AJ155" s="2"/>
      <x:c r="AK155" s="2"/>
      <x:c r="AL155" s="2"/>
      <x:c r="AM155" s="2" t="str">
        <x:v>https://tpwd.texas.gov/huntwild/hunt/public/public_hunt_drawing/hunt-category-details.phtml?OCat=FSD</x:v>
      </x:c>
      <x:c r="AN155" s="2" t="str">
        <x:v>https://tpwd.texas.gov/search/?q=Caddo+National+Grasslands+WMA+-+Ladonia+Unit+public+hunting+brochure</x:v>
      </x:c>
      <x:c r="AO155" s="2" t="str">
        <x:v>https://apps.tpwd.state.tx.us/huntwild/hunt/public/public_hunt_drawing/</x:v>
      </x:c>
      <x:c r="AP155" s="2" t="str">
        <x:v>https://www.google.com/maps/search/?api=1&amp;query=Caddo+National+Grasslands+WMA+-+Ladonia+Unit%2C+Texas</x:v>
      </x:c>
      <x:c r="AQ155" s="2" t="n">
        <x:v>0</x:v>
      </x:c>
      <x:c r="AR155" s="2" t="str">
        <x:v>Standard Hastings ranking</x:v>
      </x:c>
    </x:row>
    <x:row r="156">
      <x:c r="A156" s="4" t="str">
        <x:v>No</x:v>
      </x:c>
      <x:c r="B156" s="4" t="str">
        <x:v>A</x:v>
      </x:c>
      <x:c r="C156" s="4" t="str">
        <x:v>Whitetail Deer</x:v>
      </x:c>
      <x:c r="D156" s="4" t="str">
        <x:v>Caprock Canyons SP</x:v>
      </x:c>
      <x:c r="E156" s="4" t="str">
        <x:v>Panhandle / Rolling Plains</x:v>
      </x:c>
      <x:c r="F156" s="4" t="str">
        <x:v>E-Postcard Deer</x:v>
      </x:c>
      <x:c r="G156" s="4" t="str">
        <x:v>Yes</x:v>
      </x:c>
      <x:c r="H156" s="4" t="str">
        <x:v>Yes</x:v>
      </x:c>
      <x:c r="I156" s="24" t="str">
        <x:v>2026-09-15</x:v>
      </x:c>
      <x:c r="J156" s="4" t="str">
        <x:v>See TPWD category page</x:v>
      </x:c>
      <x:c r="K156" s="4" t="n">
        <x:v>0</x:v>
      </x:c>
      <x:c r="L156" s="4" t="n">
        <x:v>0</x:v>
      </x:c>
      <x:c r="M156" s="4"/>
      <x:c r="N156" s="4"/>
      <x:c r="O156" s="4"/>
      <x:c r="P156" s="4" t="n">
        <x:v>130</x:v>
      </x:c>
      <x:c r="Q156" s="4" t="str">
        <x:v>Core</x:v>
      </x:c>
      <x:c r="R156" s="4" t="str">
        <x:v>Research before draw; property brochure linked from TPWD</x:v>
      </x:c>
      <x:c r="S156" s="4" t="str">
        <x:v>High</x:v>
      </x:c>
      <x:c r="T156" s="4" t="str">
        <x:v>No</x:v>
      </x:c>
      <x:c r="U156" s="4" t="str">
        <x:v>Verified in TPWD 2026-2027 statewide deer category catalog. APH/eligibility rules apply; confirm account and permit requirements.</x:v>
      </x:c>
      <x:c r="V156" s="4" t="str">
        <x:v>https://tpwd.texas.gov/huntwild/hunt/public/public_hunt_drawing/hunt-category-details.phtml?OCat=EDR</x:v>
      </x:c>
      <x:c r="W156" s="4" t="n">
        <x:v>2</x:v>
      </x:c>
      <x:c r="X156" s="4" t="n">
        <x:v>5</x:v>
      </x:c>
      <x:c r="Y156" s="4" t="n">
        <x:v>4</x:v>
      </x:c>
      <x:c r="Z156" s="4" t="n">
        <x:v>3</x:v>
      </x:c>
      <x:c r="AA156" s="4" t="n">
        <x:v>4</x:v>
      </x:c>
      <x:c r="AB156" s="4" t="n">
        <x:v>0</x:v>
      </x:c>
      <x:c r="AC156" s="4" t="n">
        <x:v>2.9</x:v>
      </x:c>
      <x:c r="AD156" s="4" t="n">
        <x:v>0</x:v>
      </x:c>
      <x:c r="AE156" s="4" t="str">
        <x:v>2026-09-15</x:v>
      </x:c>
      <x:c r="AF156" s="2"/>
      <x:c r="AG156" s="2"/>
      <x:c r="AH156" s="2"/>
      <x:c r="AI156" s="2"/>
      <x:c r="AJ156" s="2"/>
      <x:c r="AK156" s="2"/>
      <x:c r="AL156" s="2"/>
      <x:c r="AM156" s="2" t="str">
        <x:v>https://tpwd.texas.gov/huntwild/hunt/public/public_hunt_drawing/hunt-category-details.phtml?OCat=EDR</x:v>
      </x:c>
      <x:c r="AN156" s="2" t="str">
        <x:v>https://tpwd.texas.gov/search/?q=Caprock+Canyons+SP+public+hunting+brochure</x:v>
      </x:c>
      <x:c r="AO156" s="2" t="str">
        <x:v>https://apps.tpwd.state.tx.us/huntwild/hunt/public/public_hunt_drawing/</x:v>
      </x:c>
      <x:c r="AP156" s="2" t="str">
        <x:v>https://www.google.com/maps/search/?api=1&amp;query=Caprock+Canyons+SP%2C+Texas</x:v>
      </x:c>
      <x:c r="AQ156" s="2" t="n">
        <x:v>0</x:v>
      </x:c>
      <x:c r="AR156" s="2" t="str">
        <x:v>Standard Hastings ranking</x:v>
      </x:c>
    </x:row>
    <x:row r="157">
      <x:c r="A157" s="4" t="str">
        <x:v>No</x:v>
      </x:c>
      <x:c r="B157" s="4" t="str">
        <x:v>A</x:v>
      </x:c>
      <x:c r="C157" s="4" t="str">
        <x:v>Whitetail Deer</x:v>
      </x:c>
      <x:c r="D157" s="4" t="str">
        <x:v>Chaparral WMA</x:v>
      </x:c>
      <x:c r="E157" s="4" t="str">
        <x:v>South Texas / Rio Grande Valley</x:v>
      </x:c>
      <x:c r="F157" s="4" t="str">
        <x:v>Gun Deer - Either Sex</x:v>
      </x:c>
      <x:c r="G157" s="4" t="str">
        <x:v>Yes</x:v>
      </x:c>
      <x:c r="H157" s="4" t="str">
        <x:v>Yes</x:v>
      </x:c>
      <x:c r="I157" s="24" t="str">
        <x:v>2026-09-15</x:v>
      </x:c>
      <x:c r="J157" s="4" t="str">
        <x:v>See TPWD category page</x:v>
      </x:c>
      <x:c r="K157" s="4" t="n">
        <x:v>3</x:v>
      </x:c>
      <x:c r="L157" s="4"/>
      <x:c r="M157" s="4"/>
      <x:c r="N157" s="4"/>
      <x:c r="O157" s="4"/>
      <x:c r="P157" s="4" t="n">
        <x:v>700</x:v>
      </x:c>
      <x:c r="Q157" s="4" t="str">
        <x:v>Long Haul</x:v>
      </x:c>
      <x:c r="R157" s="4" t="str">
        <x:v>Research before draw; property brochure linked from TPWD</x:v>
      </x:c>
      <x:c r="S157" s="4" t="str">
        <x:v>Low</x:v>
      </x:c>
      <x:c r="T157" s="4" t="str">
        <x:v>No</x:v>
      </x:c>
      <x:c r="U157" s="4" t="str">
        <x:v>Verified in TPWD 2026-2027 statewide deer category catalog.</x:v>
      </x:c>
      <x:c r="V157" s="4" t="str">
        <x:v>https://tpwd.texas.gov/huntwild/hunt/public/public_hunt_drawing/hunt-category-details.phtml?OCat=GDE</x:v>
      </x:c>
      <x:c r="W157" s="4" t="n">
        <x:v>2</x:v>
      </x:c>
      <x:c r="X157" s="4" t="n">
        <x:v>1</x:v>
      </x:c>
      <x:c r="Y157" s="4" t="n">
        <x:v>4</x:v>
      </x:c>
      <x:c r="Z157" s="4" t="n">
        <x:v>3</x:v>
      </x:c>
      <x:c r="AA157" s="4" t="n">
        <x:v>2</x:v>
      </x:c>
      <x:c r="AB157" s="4" t="n">
        <x:v>0</x:v>
      </x:c>
      <x:c r="AC157" s="4" t="n">
        <x:v>2.1</x:v>
      </x:c>
      <x:c r="AD157" s="4"/>
      <x:c r="AE157" s="4" t="str">
        <x:v>2026-09-15</x:v>
      </x:c>
      <x:c r="AF157" s="2"/>
      <x:c r="AG157" s="2"/>
      <x:c r="AH157" s="2"/>
      <x:c r="AI157" s="2"/>
      <x:c r="AJ157" s="2"/>
      <x:c r="AK157" s="2"/>
      <x:c r="AL157" s="2"/>
      <x:c r="AM157" s="2" t="str">
        <x:v>https://tpwd.texas.gov/huntwild/hunt/public/public_hunt_drawing/hunt-category-details.phtml?OCat=GDE</x:v>
      </x:c>
      <x:c r="AN157" s="2" t="str">
        <x:v>https://tpwd.texas.gov/search/?q=Chaparral+WMA+public+hunting+brochure</x:v>
      </x:c>
      <x:c r="AO157" s="2" t="str">
        <x:v>https://apps.tpwd.state.tx.us/huntwild/hunt/public/public_hunt_drawing/</x:v>
      </x:c>
      <x:c r="AP157" s="2" t="str">
        <x:v>https://www.google.com/maps/search/?api=1&amp;query=Chaparral+WMA%2C+Texas</x:v>
      </x:c>
      <x:c r="AQ157" s="2" t="n">
        <x:v>0</x:v>
      </x:c>
      <x:c r="AR157" s="2" t="str">
        <x:v>Standard Hastings ranking</x:v>
      </x:c>
    </x:row>
    <x:row r="158">
      <x:c r="A158" s="4" t="str">
        <x:v>No</x:v>
      </x:c>
      <x:c r="B158" s="4" t="str">
        <x:v>A</x:v>
      </x:c>
      <x:c r="C158" s="4" t="str">
        <x:v>Whitetail Deer</x:v>
      </x:c>
      <x:c r="D158" s="4" t="str">
        <x:v>Choke Canyon SP - Calliham Unit</x:v>
      </x:c>
      <x:c r="E158" s="4" t="str">
        <x:v>South Texas / Rio Grande Valley</x:v>
      </x:c>
      <x:c r="F158" s="4" t="str">
        <x:v>Gun Deer - Management</x:v>
      </x:c>
      <x:c r="G158" s="4" t="str">
        <x:v>Yes</x:v>
      </x:c>
      <x:c r="H158" s="4" t="str">
        <x:v>Yes</x:v>
      </x:c>
      <x:c r="I158" s="24" t="str">
        <x:v>2026-09-15</x:v>
      </x:c>
      <x:c r="J158" s="4" t="str">
        <x:v>See TPWD category page</x:v>
      </x:c>
      <x:c r="K158" s="4" t="n">
        <x:v>3</x:v>
      </x:c>
      <x:c r="L158" s="4"/>
      <x:c r="M158" s="4"/>
      <x:c r="N158" s="4"/>
      <x:c r="O158" s="4"/>
      <x:c r="P158" s="4" t="n">
        <x:v>700</x:v>
      </x:c>
      <x:c r="Q158" s="4" t="str">
        <x:v>Long Haul</x:v>
      </x:c>
      <x:c r="R158" s="4" t="str">
        <x:v>Research before draw; property brochure linked from TPWD</x:v>
      </x:c>
      <x:c r="S158" s="4" t="str">
        <x:v>Low</x:v>
      </x:c>
      <x:c r="T158" s="4" t="str">
        <x:v>No</x:v>
      </x:c>
      <x:c r="U158" s="4" t="str">
        <x:v>Verified in TPWD 2026-2027 statewide deer category catalog.</x:v>
      </x:c>
      <x:c r="V158" s="4" t="str">
        <x:v>https://tpwd.texas.gov/huntwild/hunt/public/public_hunt_drawing/hunt-category-details.phtml?OCat=GDM</x:v>
      </x:c>
      <x:c r="W158" s="4" t="n">
        <x:v>2</x:v>
      </x:c>
      <x:c r="X158" s="4" t="n">
        <x:v>1</x:v>
      </x:c>
      <x:c r="Y158" s="4" t="n">
        <x:v>4</x:v>
      </x:c>
      <x:c r="Z158" s="4" t="n">
        <x:v>3</x:v>
      </x:c>
      <x:c r="AA158" s="4" t="n">
        <x:v>2</x:v>
      </x:c>
      <x:c r="AB158" s="4" t="n">
        <x:v>0</x:v>
      </x:c>
      <x:c r="AC158" s="4" t="n">
        <x:v>2.1</x:v>
      </x:c>
      <x:c r="AD158" s="4"/>
      <x:c r="AE158" s="4" t="str">
        <x:v>2026-09-15</x:v>
      </x:c>
      <x:c r="AF158" s="2"/>
      <x:c r="AG158" s="2"/>
      <x:c r="AH158" s="2"/>
      <x:c r="AI158" s="2"/>
      <x:c r="AJ158" s="2"/>
      <x:c r="AK158" s="2"/>
      <x:c r="AL158" s="2"/>
      <x:c r="AM158" s="2" t="str">
        <x:v>https://tpwd.texas.gov/huntwild/hunt/public/public_hunt_drawing/hunt-category-details.phtml?OCat=GDM</x:v>
      </x:c>
      <x:c r="AN158" s="2" t="str">
        <x:v>https://tpwd.texas.gov/search/?q=Choke+Canyon+SP+-+Calliham+Unit+public+hunting+brochure</x:v>
      </x:c>
      <x:c r="AO158" s="2" t="str">
        <x:v>https://apps.tpwd.state.tx.us/huntwild/hunt/public/public_hunt_drawing/</x:v>
      </x:c>
      <x:c r="AP158" s="2" t="str">
        <x:v>https://www.google.com/maps/search/?api=1&amp;query=Choke+Canyon+SP+-+Calliham+Unit%2C+Texas</x:v>
      </x:c>
      <x:c r="AQ158" s="2" t="n">
        <x:v>0</x:v>
      </x:c>
      <x:c r="AR158" s="2" t="str">
        <x:v>Standard Hastings ranking</x:v>
      </x:c>
    </x:row>
    <x:row r="159">
      <x:c r="A159" s="4" t="str">
        <x:v>No</x:v>
      </x:c>
      <x:c r="B159" s="4" t="str">
        <x:v>A</x:v>
      </x:c>
      <x:c r="C159" s="4" t="str">
        <x:v>Whitetail Deer</x:v>
      </x:c>
      <x:c r="D159" s="4" t="str">
        <x:v>Choke Canyon SP - North Shore Unit</x:v>
      </x:c>
      <x:c r="E159" s="4" t="str">
        <x:v>South Texas / Rio Grande Valley</x:v>
      </x:c>
      <x:c r="F159" s="4" t="str">
        <x:v>Gun Deer - Either Sex</x:v>
      </x:c>
      <x:c r="G159" s="4" t="str">
        <x:v>Yes</x:v>
      </x:c>
      <x:c r="H159" s="4" t="str">
        <x:v>Yes</x:v>
      </x:c>
      <x:c r="I159" s="24" t="str">
        <x:v>2026-09-15</x:v>
      </x:c>
      <x:c r="J159" s="4" t="str">
        <x:v>See TPWD category page</x:v>
      </x:c>
      <x:c r="K159" s="4" t="n">
        <x:v>3</x:v>
      </x:c>
      <x:c r="L159" s="4"/>
      <x:c r="M159" s="4"/>
      <x:c r="N159" s="4"/>
      <x:c r="O159" s="4"/>
      <x:c r="P159" s="4" t="n">
        <x:v>700</x:v>
      </x:c>
      <x:c r="Q159" s="4" t="str">
        <x:v>Long Haul</x:v>
      </x:c>
      <x:c r="R159" s="4" t="str">
        <x:v>Research before draw; property brochure linked from TPWD</x:v>
      </x:c>
      <x:c r="S159" s="4" t="str">
        <x:v>Low</x:v>
      </x:c>
      <x:c r="T159" s="4" t="str">
        <x:v>No</x:v>
      </x:c>
      <x:c r="U159" s="4" t="str">
        <x:v>Verified in TPWD 2026-2027 statewide deer category catalog.</x:v>
      </x:c>
      <x:c r="V159" s="4" t="str">
        <x:v>https://tpwd.texas.gov/huntwild/hunt/public/public_hunt_drawing/hunt-category-details.phtml?OCat=GDE</x:v>
      </x:c>
      <x:c r="W159" s="4" t="n">
        <x:v>2</x:v>
      </x:c>
      <x:c r="X159" s="4" t="n">
        <x:v>1</x:v>
      </x:c>
      <x:c r="Y159" s="4" t="n">
        <x:v>4</x:v>
      </x:c>
      <x:c r="Z159" s="4" t="n">
        <x:v>3</x:v>
      </x:c>
      <x:c r="AA159" s="4" t="n">
        <x:v>2</x:v>
      </x:c>
      <x:c r="AB159" s="4" t="n">
        <x:v>0</x:v>
      </x:c>
      <x:c r="AC159" s="4" t="n">
        <x:v>2.1</x:v>
      </x:c>
      <x:c r="AD159" s="4"/>
      <x:c r="AE159" s="4" t="str">
        <x:v>2026-09-15</x:v>
      </x:c>
      <x:c r="AF159" s="2"/>
      <x:c r="AG159" s="2"/>
      <x:c r="AH159" s="2"/>
      <x:c r="AI159" s="2"/>
      <x:c r="AJ159" s="2"/>
      <x:c r="AK159" s="2"/>
      <x:c r="AL159" s="2"/>
      <x:c r="AM159" s="2" t="str">
        <x:v>https://tpwd.texas.gov/huntwild/hunt/public/public_hunt_drawing/hunt-category-details.phtml?OCat=GDE</x:v>
      </x:c>
      <x:c r="AN159" s="2" t="str">
        <x:v>https://tpwd.texas.gov/search/?q=Choke+Canyon+SP+-+North+Shore+Unit+public+hunting+brochure</x:v>
      </x:c>
      <x:c r="AO159" s="2" t="str">
        <x:v>https://apps.tpwd.state.tx.us/huntwild/hunt/public/public_hunt_drawing/</x:v>
      </x:c>
      <x:c r="AP159" s="2" t="str">
        <x:v>https://www.google.com/maps/search/?api=1&amp;query=Choke+Canyon+SP+-+North+Shore+Unit%2C+Texas</x:v>
      </x:c>
      <x:c r="AQ159" s="2" t="n">
        <x:v>0</x:v>
      </x:c>
      <x:c r="AR159" s="2" t="str">
        <x:v>Standard Hastings ranking</x:v>
      </x:c>
    </x:row>
    <x:row r="160">
      <x:c r="A160" s="4" t="str">
        <x:v>No</x:v>
      </x:c>
      <x:c r="B160" s="4" t="str">
        <x:v>A</x:v>
      </x:c>
      <x:c r="C160" s="4" t="str">
        <x:v>Whitetail Deer</x:v>
      </x:c>
      <x:c r="D160" s="4" t="str">
        <x:v>Choke Canyon SP - North Shore Unit</x:v>
      </x:c>
      <x:c r="E160" s="4" t="str">
        <x:v>South Texas / Rio Grande Valley</x:v>
      </x:c>
      <x:c r="F160" s="4" t="str">
        <x:v>Gun Deer - Management</x:v>
      </x:c>
      <x:c r="G160" s="4" t="str">
        <x:v>Yes</x:v>
      </x:c>
      <x:c r="H160" s="4" t="str">
        <x:v>Yes</x:v>
      </x:c>
      <x:c r="I160" s="24" t="str">
        <x:v>2026-09-15</x:v>
      </x:c>
      <x:c r="J160" s="4" t="str">
        <x:v>See TPWD category page</x:v>
      </x:c>
      <x:c r="K160" s="4" t="n">
        <x:v>3</x:v>
      </x:c>
      <x:c r="L160" s="4"/>
      <x:c r="M160" s="4"/>
      <x:c r="N160" s="4"/>
      <x:c r="O160" s="4"/>
      <x:c r="P160" s="4" t="n">
        <x:v>700</x:v>
      </x:c>
      <x:c r="Q160" s="4" t="str">
        <x:v>Long Haul</x:v>
      </x:c>
      <x:c r="R160" s="4" t="str">
        <x:v>Research before draw; property brochure linked from TPWD</x:v>
      </x:c>
      <x:c r="S160" s="4" t="str">
        <x:v>Low</x:v>
      </x:c>
      <x:c r="T160" s="4" t="str">
        <x:v>No</x:v>
      </x:c>
      <x:c r="U160" s="4" t="str">
        <x:v>Verified in TPWD 2026-2027 statewide deer category catalog.</x:v>
      </x:c>
      <x:c r="V160" s="4" t="str">
        <x:v>https://tpwd.texas.gov/huntwild/hunt/public/public_hunt_drawing/hunt-category-details.phtml?OCat=GDM</x:v>
      </x:c>
      <x:c r="W160" s="4" t="n">
        <x:v>2</x:v>
      </x:c>
      <x:c r="X160" s="4" t="n">
        <x:v>1</x:v>
      </x:c>
      <x:c r="Y160" s="4" t="n">
        <x:v>4</x:v>
      </x:c>
      <x:c r="Z160" s="4" t="n">
        <x:v>3</x:v>
      </x:c>
      <x:c r="AA160" s="4" t="n">
        <x:v>2</x:v>
      </x:c>
      <x:c r="AB160" s="4" t="n">
        <x:v>0</x:v>
      </x:c>
      <x:c r="AC160" s="4" t="n">
        <x:v>2.1</x:v>
      </x:c>
      <x:c r="AD160" s="4"/>
      <x:c r="AE160" s="4" t="str">
        <x:v>2026-09-15</x:v>
      </x:c>
      <x:c r="AF160" s="2"/>
      <x:c r="AG160" s="2"/>
      <x:c r="AH160" s="2"/>
      <x:c r="AI160" s="2"/>
      <x:c r="AJ160" s="2"/>
      <x:c r="AK160" s="2"/>
      <x:c r="AL160" s="2"/>
      <x:c r="AM160" s="2" t="str">
        <x:v>https://tpwd.texas.gov/huntwild/hunt/public/public_hunt_drawing/hunt-category-details.phtml?OCat=GDM</x:v>
      </x:c>
      <x:c r="AN160" s="2" t="str">
        <x:v>https://tpwd.texas.gov/search/?q=Choke+Canyon+SP+-+North+Shore+Unit+public+hunting+brochure</x:v>
      </x:c>
      <x:c r="AO160" s="2" t="str">
        <x:v>https://apps.tpwd.state.tx.us/huntwild/hunt/public/public_hunt_drawing/</x:v>
      </x:c>
      <x:c r="AP160" s="2" t="str">
        <x:v>https://www.google.com/maps/search/?api=1&amp;query=Choke+Canyon+SP+-+North+Shore+Unit%2C+Texas</x:v>
      </x:c>
      <x:c r="AQ160" s="2" t="n">
        <x:v>0</x:v>
      </x:c>
      <x:c r="AR160" s="2" t="str">
        <x:v>Standard Hastings ranking</x:v>
      </x:c>
    </x:row>
    <x:row r="161">
      <x:c r="A161" s="4" t="str">
        <x:v>No</x:v>
      </x:c>
      <x:c r="B161" s="4" t="str">
        <x:v>A</x:v>
      </x:c>
      <x:c r="C161" s="4" t="str">
        <x:v>Whitetail Deer</x:v>
      </x:c>
      <x:c r="D161" s="4" t="str">
        <x:v>Choke Canyon SP - South Shore Unit</x:v>
      </x:c>
      <x:c r="E161" s="4" t="str">
        <x:v>South Texas / Rio Grande Valley</x:v>
      </x:c>
      <x:c r="F161" s="4" t="str">
        <x:v>Gun Deer - Management</x:v>
      </x:c>
      <x:c r="G161" s="4" t="str">
        <x:v>Yes</x:v>
      </x:c>
      <x:c r="H161" s="4" t="str">
        <x:v>Yes</x:v>
      </x:c>
      <x:c r="I161" s="24" t="str">
        <x:v>2026-09-15</x:v>
      </x:c>
      <x:c r="J161" s="4" t="str">
        <x:v>See TPWD category page</x:v>
      </x:c>
      <x:c r="K161" s="4" t="n">
        <x:v>3</x:v>
      </x:c>
      <x:c r="L161" s="4"/>
      <x:c r="M161" s="4"/>
      <x:c r="N161" s="4"/>
      <x:c r="O161" s="4"/>
      <x:c r="P161" s="4" t="n">
        <x:v>700</x:v>
      </x:c>
      <x:c r="Q161" s="4" t="str">
        <x:v>Long Haul</x:v>
      </x:c>
      <x:c r="R161" s="4" t="str">
        <x:v>Research before draw; property brochure linked from TPWD</x:v>
      </x:c>
      <x:c r="S161" s="4" t="str">
        <x:v>Low</x:v>
      </x:c>
      <x:c r="T161" s="4" t="str">
        <x:v>No</x:v>
      </x:c>
      <x:c r="U161" s="4" t="str">
        <x:v>Verified in TPWD 2026-2027 statewide deer category catalog.</x:v>
      </x:c>
      <x:c r="V161" s="4" t="str">
        <x:v>https://tpwd.texas.gov/huntwild/hunt/public/public_hunt_drawing/hunt-category-details.phtml?OCat=GDM</x:v>
      </x:c>
      <x:c r="W161" s="4" t="n">
        <x:v>2</x:v>
      </x:c>
      <x:c r="X161" s="4" t="n">
        <x:v>1</x:v>
      </x:c>
      <x:c r="Y161" s="4" t="n">
        <x:v>4</x:v>
      </x:c>
      <x:c r="Z161" s="4" t="n">
        <x:v>3</x:v>
      </x:c>
      <x:c r="AA161" s="4" t="n">
        <x:v>2</x:v>
      </x:c>
      <x:c r="AB161" s="4" t="n">
        <x:v>0</x:v>
      </x:c>
      <x:c r="AC161" s="4" t="n">
        <x:v>2.1</x:v>
      </x:c>
      <x:c r="AD161" s="4"/>
      <x:c r="AE161" s="4" t="str">
        <x:v>2026-09-15</x:v>
      </x:c>
      <x:c r="AF161" s="2"/>
      <x:c r="AG161" s="2"/>
      <x:c r="AH161" s="2"/>
      <x:c r="AI161" s="2"/>
      <x:c r="AJ161" s="2"/>
      <x:c r="AK161" s="2"/>
      <x:c r="AL161" s="2"/>
      <x:c r="AM161" s="2" t="str">
        <x:v>https://tpwd.texas.gov/huntwild/hunt/public/public_hunt_drawing/hunt-category-details.phtml?OCat=GDM</x:v>
      </x:c>
      <x:c r="AN161" s="2" t="str">
        <x:v>https://tpwd.texas.gov/search/?q=Choke+Canyon+SP+-+South+Shore+Unit+public+hunting+brochure</x:v>
      </x:c>
      <x:c r="AO161" s="2" t="str">
        <x:v>https://apps.tpwd.state.tx.us/huntwild/hunt/public/public_hunt_drawing/</x:v>
      </x:c>
      <x:c r="AP161" s="2" t="str">
        <x:v>https://www.google.com/maps/search/?api=1&amp;query=Choke+Canyon+SP+-+South+Shore+Unit%2C+Texas</x:v>
      </x:c>
      <x:c r="AQ161" s="2" t="n">
        <x:v>0</x:v>
      </x:c>
      <x:c r="AR161" s="2" t="str">
        <x:v>Standard Hastings ranking</x:v>
      </x:c>
    </x:row>
    <x:row r="162">
      <x:c r="A162" s="4" t="str">
        <x:v>No</x:v>
      </x:c>
      <x:c r="B162" s="4" t="str">
        <x:v>A</x:v>
      </x:c>
      <x:c r="C162" s="4" t="str">
        <x:v>Whitetail Deer</x:v>
      </x:c>
      <x:c r="D162" s="4" t="str">
        <x:v>Colorado Bend SP</x:v>
      </x:c>
      <x:c r="E162" s="4" t="str">
        <x:v>Central Texas / Austin</x:v>
      </x:c>
      <x:c r="F162" s="4" t="str">
        <x:v>Gun Deer - Antlerless/Spike</x:v>
      </x:c>
      <x:c r="G162" s="4" t="str">
        <x:v>Yes</x:v>
      </x:c>
      <x:c r="H162" s="4" t="str">
        <x:v>Yes</x:v>
      </x:c>
      <x:c r="I162" s="24" t="str">
        <x:v>2026-09-15</x:v>
      </x:c>
      <x:c r="J162" s="4" t="str">
        <x:v>See TPWD category page</x:v>
      </x:c>
      <x:c r="K162" s="4" t="n">
        <x:v>3</x:v>
      </x:c>
      <x:c r="L162" s="4"/>
      <x:c r="M162" s="4"/>
      <x:c r="N162" s="4"/>
      <x:c r="O162" s="4"/>
      <x:c r="P162" s="4" t="n">
        <x:v>490</x:v>
      </x:c>
      <x:c r="Q162" s="4" t="str">
        <x:v>Statewide</x:v>
      </x:c>
      <x:c r="R162" s="4" t="str">
        <x:v>Research before draw; property brochure linked from TPWD</x:v>
      </x:c>
      <x:c r="S162" s="4" t="str">
        <x:v>Low</x:v>
      </x:c>
      <x:c r="T162" s="4" t="str">
        <x:v>No</x:v>
      </x:c>
      <x:c r="U162" s="4" t="str">
        <x:v>Verified in TPWD 2026-2027 statewide deer category catalog.</x:v>
      </x:c>
      <x:c r="V162" s="4" t="str">
        <x:v>https://tpwd.texas.gov/huntwild/hunt/public/public_hunt_drawing/hunt-category-details.phtml?OCat=GDA</x:v>
      </x:c>
      <x:c r="W162" s="4" t="n">
        <x:v>2</x:v>
      </x:c>
      <x:c r="X162" s="4" t="n">
        <x:v>2</x:v>
      </x:c>
      <x:c r="Y162" s="4" t="n">
        <x:v>4</x:v>
      </x:c>
      <x:c r="Z162" s="4" t="n">
        <x:v>3</x:v>
      </x:c>
      <x:c r="AA162" s="4" t="n">
        <x:v>2</x:v>
      </x:c>
      <x:c r="AB162" s="4" t="n">
        <x:v>0</x:v>
      </x:c>
      <x:c r="AC162" s="4" t="n">
        <x:v>2.3</x:v>
      </x:c>
      <x:c r="AD162" s="4"/>
      <x:c r="AE162" s="4" t="str">
        <x:v>2026-09-15</x:v>
      </x:c>
      <x:c r="AF162" s="2"/>
      <x:c r="AG162" s="2"/>
      <x:c r="AH162" s="2"/>
      <x:c r="AI162" s="2"/>
      <x:c r="AJ162" s="2"/>
      <x:c r="AK162" s="2"/>
      <x:c r="AL162" s="2"/>
      <x:c r="AM162" s="2" t="str">
        <x:v>https://tpwd.texas.gov/huntwild/hunt/public/public_hunt_drawing/hunt-category-details.phtml?OCat=GDA</x:v>
      </x:c>
      <x:c r="AN162" s="2" t="str">
        <x:v>https://tpwd.texas.gov/search/?q=Colorado+Bend+SP+public+hunting+brochure</x:v>
      </x:c>
      <x:c r="AO162" s="2" t="str">
        <x:v>https://apps.tpwd.state.tx.us/huntwild/hunt/public/public_hunt_drawing/</x:v>
      </x:c>
      <x:c r="AP162" s="2" t="str">
        <x:v>https://www.google.com/maps/search/?api=1&amp;query=Colorado+Bend+SP%2C+Texas</x:v>
      </x:c>
      <x:c r="AQ162" s="2" t="n">
        <x:v>0</x:v>
      </x:c>
      <x:c r="AR162" s="2" t="str">
        <x:v>Standard Hastings ranking</x:v>
      </x:c>
    </x:row>
    <x:row r="163">
      <x:c r="A163" s="4" t="str">
        <x:v>No</x:v>
      </x:c>
      <x:c r="B163" s="4" t="str">
        <x:v>A</x:v>
      </x:c>
      <x:c r="C163" s="4" t="str">
        <x:v>Whitetail Deer</x:v>
      </x:c>
      <x:c r="D163" s="4" t="str">
        <x:v>Cooper WMA</x:v>
      </x:c>
      <x:c r="E163" s="4" t="str">
        <x:v>North Texas / DFW</x:v>
      </x:c>
      <x:c r="F163" s="4" t="str">
        <x:v>Gun Deer - Antlerless/Spike</x:v>
      </x:c>
      <x:c r="G163" s="4" t="str">
        <x:v>Yes</x:v>
      </x:c>
      <x:c r="H163" s="4" t="str">
        <x:v>Yes</x:v>
      </x:c>
      <x:c r="I163" s="24" t="str">
        <x:v>2026-09-15</x:v>
      </x:c>
      <x:c r="J163" s="4" t="str">
        <x:v>See TPWD category page</x:v>
      </x:c>
      <x:c r="K163" s="4" t="n">
        <x:v>3</x:v>
      </x:c>
      <x:c r="L163" s="4"/>
      <x:c r="M163" s="4"/>
      <x:c r="N163" s="4"/>
      <x:c r="O163" s="4"/>
      <x:c r="P163" s="4" t="n">
        <x:v>360</x:v>
      </x:c>
      <x:c r="Q163" s="4" t="str">
        <x:v>Extended</x:v>
      </x:c>
      <x:c r="R163" s="4" t="str">
        <x:v>Research before draw; property brochure linked from TPWD</x:v>
      </x:c>
      <x:c r="S163" s="4" t="str">
        <x:v>Low</x:v>
      </x:c>
      <x:c r="T163" s="4" t="str">
        <x:v>No</x:v>
      </x:c>
      <x:c r="U163" s="4" t="str">
        <x:v>Verified in TPWD 2026-2027 statewide deer category catalog.</x:v>
      </x:c>
      <x:c r="V163" s="4" t="str">
        <x:v>https://tpwd.texas.gov/huntwild/hunt/public/public_hunt_drawing/hunt-category-details.phtml?OCat=GDA</x:v>
      </x:c>
      <x:c r="W163" s="4" t="n">
        <x:v>2</x:v>
      </x:c>
      <x:c r="X163" s="4" t="n">
        <x:v>3</x:v>
      </x:c>
      <x:c r="Y163" s="4" t="n">
        <x:v>4</x:v>
      </x:c>
      <x:c r="Z163" s="4" t="n">
        <x:v>3</x:v>
      </x:c>
      <x:c r="AA163" s="4" t="n">
        <x:v>2</x:v>
      </x:c>
      <x:c r="AB163" s="4" t="n">
        <x:v>0</x:v>
      </x:c>
      <x:c r="AC163" s="4" t="n">
        <x:v>2.5</x:v>
      </x:c>
      <x:c r="AD163" s="4"/>
      <x:c r="AE163" s="4" t="str">
        <x:v>2026-09-15</x:v>
      </x:c>
      <x:c r="AF163" s="2"/>
      <x:c r="AG163" s="2"/>
      <x:c r="AH163" s="2"/>
      <x:c r="AI163" s="2"/>
      <x:c r="AJ163" s="2"/>
      <x:c r="AK163" s="2"/>
      <x:c r="AL163" s="2"/>
      <x:c r="AM163" s="2" t="str">
        <x:v>https://tpwd.texas.gov/huntwild/hunt/public/public_hunt_drawing/hunt-category-details.phtml?OCat=GDA</x:v>
      </x:c>
      <x:c r="AN163" s="2" t="str">
        <x:v>https://tpwd.texas.gov/search/?q=Cooper+WMA+public+hunting+brochure</x:v>
      </x:c>
      <x:c r="AO163" s="2" t="str">
        <x:v>https://apps.tpwd.state.tx.us/huntwild/hunt/public/public_hunt_drawing/</x:v>
      </x:c>
      <x:c r="AP163" s="2" t="str">
        <x:v>https://www.google.com/maps/search/?api=1&amp;query=Cooper+WMA%2C+Texas</x:v>
      </x:c>
      <x:c r="AQ163" s="2" t="n">
        <x:v>0</x:v>
      </x:c>
      <x:c r="AR163" s="2" t="str">
        <x:v>Standard Hastings ranking</x:v>
      </x:c>
    </x:row>
    <x:row r="164">
      <x:c r="A164" s="4" t="str">
        <x:v>No</x:v>
      </x:c>
      <x:c r="B164" s="4" t="str">
        <x:v>A</x:v>
      </x:c>
      <x:c r="C164" s="4" t="str">
        <x:v>Whitetail Deer</x:v>
      </x:c>
      <x:c r="D164" s="4" t="str">
        <x:v>Copper Breaks SP</x:v>
      </x:c>
      <x:c r="E164" s="4" t="str">
        <x:v>West-Central Texas</x:v>
      </x:c>
      <x:c r="F164" s="4" t="str">
        <x:v>Gun Deer - Antlerless/Spike</x:v>
      </x:c>
      <x:c r="G164" s="4" t="str">
        <x:v>Yes</x:v>
      </x:c>
      <x:c r="H164" s="4" t="str">
        <x:v>Yes</x:v>
      </x:c>
      <x:c r="I164" s="24" t="str">
        <x:v>2026-09-15</x:v>
      </x:c>
      <x:c r="J164" s="4" t="str">
        <x:v>See TPWD category page</x:v>
      </x:c>
      <x:c r="K164" s="4" t="n">
        <x:v>3</x:v>
      </x:c>
      <x:c r="L164" s="4"/>
      <x:c r="M164" s="4"/>
      <x:c r="N164" s="4"/>
      <x:c r="O164" s="4"/>
      <x:c r="P164" s="4" t="n">
        <x:v>300</x:v>
      </x:c>
      <x:c r="Q164" s="4" t="str">
        <x:v>Extended</x:v>
      </x:c>
      <x:c r="R164" s="4" t="str">
        <x:v>Research before draw; property brochure linked from TPWD</x:v>
      </x:c>
      <x:c r="S164" s="4" t="str">
        <x:v>Low</x:v>
      </x:c>
      <x:c r="T164" s="4" t="str">
        <x:v>No</x:v>
      </x:c>
      <x:c r="U164" s="4" t="str">
        <x:v>Verified in TPWD 2026-2027 statewide deer category catalog.</x:v>
      </x:c>
      <x:c r="V164" s="4" t="str">
        <x:v>https://tpwd.texas.gov/huntwild/hunt/public/public_hunt_drawing/hunt-category-details.phtml?OCat=GDA</x:v>
      </x:c>
      <x:c r="W164" s="4" t="n">
        <x:v>2</x:v>
      </x:c>
      <x:c r="X164" s="4" t="n">
        <x:v>4</x:v>
      </x:c>
      <x:c r="Y164" s="4" t="n">
        <x:v>4</x:v>
      </x:c>
      <x:c r="Z164" s="4" t="n">
        <x:v>3</x:v>
      </x:c>
      <x:c r="AA164" s="4" t="n">
        <x:v>2</x:v>
      </x:c>
      <x:c r="AB164" s="4" t="n">
        <x:v>0</x:v>
      </x:c>
      <x:c r="AC164" s="4" t="n">
        <x:v>2.6</x:v>
      </x:c>
      <x:c r="AD164" s="4"/>
      <x:c r="AE164" s="4" t="str">
        <x:v>2026-09-15</x:v>
      </x:c>
      <x:c r="AF164" s="2"/>
      <x:c r="AG164" s="2"/>
      <x:c r="AH164" s="2"/>
      <x:c r="AI164" s="2"/>
      <x:c r="AJ164" s="2"/>
      <x:c r="AK164" s="2"/>
      <x:c r="AL164" s="2"/>
      <x:c r="AM164" s="2" t="str">
        <x:v>https://tpwd.texas.gov/huntwild/hunt/public/public_hunt_drawing/hunt-category-details.phtml?OCat=GDA</x:v>
      </x:c>
      <x:c r="AN164" s="2" t="str">
        <x:v>https://tpwd.texas.gov/search/?q=Copper+Breaks+SP+public+hunting+brochure</x:v>
      </x:c>
      <x:c r="AO164" s="2" t="str">
        <x:v>https://apps.tpwd.state.tx.us/huntwild/hunt/public/public_hunt_drawing/</x:v>
      </x:c>
      <x:c r="AP164" s="2" t="str">
        <x:v>https://www.google.com/maps/search/?api=1&amp;query=Copper+Breaks+SP%2C+Texas</x:v>
      </x:c>
      <x:c r="AQ164" s="2" t="n">
        <x:v>0</x:v>
      </x:c>
      <x:c r="AR164" s="2" t="str">
        <x:v>Standard Hastings ranking</x:v>
      </x:c>
    </x:row>
    <x:row r="165">
      <x:c r="A165" s="4" t="str">
        <x:v>No</x:v>
      </x:c>
      <x:c r="B165" s="4" t="str">
        <x:v>A</x:v>
      </x:c>
      <x:c r="C165" s="4" t="str">
        <x:v>Whitetail Deer</x:v>
      </x:c>
      <x:c r="D165" s="4" t="str">
        <x:v>Devil's Sinkhole SNA</x:v>
      </x:c>
      <x:c r="E165" s="4" t="str">
        <x:v>Hill Country / San Antonio</x:v>
      </x:c>
      <x:c r="F165" s="4" t="str">
        <x:v>Gun Deer - Antlerless/Spike</x:v>
      </x:c>
      <x:c r="G165" s="4" t="str">
        <x:v>Yes</x:v>
      </x:c>
      <x:c r="H165" s="4" t="str">
        <x:v>Yes</x:v>
      </x:c>
      <x:c r="I165" s="24" t="str">
        <x:v>2026-09-15</x:v>
      </x:c>
      <x:c r="J165" s="4" t="str">
        <x:v>See TPWD category page</x:v>
      </x:c>
      <x:c r="K165" s="4" t="n">
        <x:v>3</x:v>
      </x:c>
      <x:c r="L165" s="4"/>
      <x:c r="M165" s="4"/>
      <x:c r="N165" s="4"/>
      <x:c r="O165" s="4"/>
      <x:c r="P165" s="4" t="n">
        <x:v>520</x:v>
      </x:c>
      <x:c r="Q165" s="4" t="str">
        <x:v>Statewide</x:v>
      </x:c>
      <x:c r="R165" s="4" t="str">
        <x:v>Research before draw; property brochure linked from TPWD</x:v>
      </x:c>
      <x:c r="S165" s="4" t="str">
        <x:v>Low</x:v>
      </x:c>
      <x:c r="T165" s="4" t="str">
        <x:v>No</x:v>
      </x:c>
      <x:c r="U165" s="4" t="str">
        <x:v>Verified in TPWD 2026-2027 statewide deer category catalog.</x:v>
      </x:c>
      <x:c r="V165" s="4" t="str">
        <x:v>https://tpwd.texas.gov/huntwild/hunt/public/public_hunt_drawing/hunt-category-details.phtml?OCat=GDA</x:v>
      </x:c>
      <x:c r="W165" s="4" t="n">
        <x:v>2</x:v>
      </x:c>
      <x:c r="X165" s="4" t="n">
        <x:v>2</x:v>
      </x:c>
      <x:c r="Y165" s="4" t="n">
        <x:v>4</x:v>
      </x:c>
      <x:c r="Z165" s="4" t="n">
        <x:v>3</x:v>
      </x:c>
      <x:c r="AA165" s="4" t="n">
        <x:v>2</x:v>
      </x:c>
      <x:c r="AB165" s="4" t="n">
        <x:v>0</x:v>
      </x:c>
      <x:c r="AC165" s="4" t="n">
        <x:v>2.3</x:v>
      </x:c>
      <x:c r="AD165" s="4"/>
      <x:c r="AE165" s="4" t="str">
        <x:v>2026-09-15</x:v>
      </x:c>
      <x:c r="AF165" s="2"/>
      <x:c r="AG165" s="2"/>
      <x:c r="AH165" s="2"/>
      <x:c r="AI165" s="2"/>
      <x:c r="AJ165" s="2"/>
      <x:c r="AK165" s="2"/>
      <x:c r="AL165" s="2"/>
      <x:c r="AM165" s="2" t="str">
        <x:v>https://tpwd.texas.gov/huntwild/hunt/public/public_hunt_drawing/hunt-category-details.phtml?OCat=GDA</x:v>
      </x:c>
      <x:c r="AN165" s="2" t="str">
        <x:v>https://tpwd.texas.gov/search/?q=Devil%27s+Sinkhole+SNA+public+hunting+brochure</x:v>
      </x:c>
      <x:c r="AO165" s="2" t="str">
        <x:v>https://apps.tpwd.state.tx.us/huntwild/hunt/public/public_hunt_drawing/</x:v>
      </x:c>
      <x:c r="AP165" s="2" t="str">
        <x:v>https://www.google.com/maps/search/?api=1&amp;query=Devil%27s+Sinkhole+SNA%2C+Texas</x:v>
      </x:c>
      <x:c r="AQ165" s="2" t="n">
        <x:v>0</x:v>
      </x:c>
      <x:c r="AR165" s="2" t="str">
        <x:v>Standard Hastings ranking</x:v>
      </x:c>
    </x:row>
    <x:row r="166">
      <x:c r="A166" s="4" t="str">
        <x:v>No</x:v>
      </x:c>
      <x:c r="B166" s="4" t="str">
        <x:v>A</x:v>
      </x:c>
      <x:c r="C166" s="4" t="str">
        <x:v>Whitetail Deer</x:v>
      </x:c>
      <x:c r="D166" s="4" t="str">
        <x:v>Devils River SNA - Del Norte Unit</x:v>
      </x:c>
      <x:c r="E166" s="4" t="str">
        <x:v>Trans-Pecos / West Texas</x:v>
      </x:c>
      <x:c r="F166" s="4" t="str">
        <x:v>Gun Deer - Management</x:v>
      </x:c>
      <x:c r="G166" s="4" t="str">
        <x:v>Yes</x:v>
      </x:c>
      <x:c r="H166" s="4" t="str">
        <x:v>Yes</x:v>
      </x:c>
      <x:c r="I166" s="24" t="str">
        <x:v>2026-09-15</x:v>
      </x:c>
      <x:c r="J166" s="4" t="str">
        <x:v>See TPWD category page</x:v>
      </x:c>
      <x:c r="K166" s="4" t="n">
        <x:v>3</x:v>
      </x:c>
      <x:c r="L166" s="4"/>
      <x:c r="M166" s="4"/>
      <x:c r="N166" s="4"/>
      <x:c r="O166" s="4"/>
      <x:c r="P166" s="4" t="n">
        <x:v>520</x:v>
      </x:c>
      <x:c r="Q166" s="4" t="str">
        <x:v>Statewide</x:v>
      </x:c>
      <x:c r="R166" s="4" t="str">
        <x:v>Research before draw; property brochure linked from TPWD</x:v>
      </x:c>
      <x:c r="S166" s="4" t="str">
        <x:v>High</x:v>
      </x:c>
      <x:c r="T166" s="4" t="str">
        <x:v>No</x:v>
      </x:c>
      <x:c r="U166" s="4" t="str">
        <x:v>Verified in TPWD 2026-2027 statewide deer category catalog. West Texas/El Paso-region opportunity; prioritize for mule deer adventure value.</x:v>
      </x:c>
      <x:c r="V166" s="4" t="str">
        <x:v>https://tpwd.texas.gov/huntwild/hunt/public/public_hunt_drawing/hunt-category-details.phtml?OCat=GDM</x:v>
      </x:c>
      <x:c r="W166" s="4" t="n">
        <x:v>2</x:v>
      </x:c>
      <x:c r="X166" s="4" t="n">
        <x:v>2</x:v>
      </x:c>
      <x:c r="Y166" s="4" t="n">
        <x:v>4</x:v>
      </x:c>
      <x:c r="Z166" s="4" t="n">
        <x:v>3</x:v>
      </x:c>
      <x:c r="AA166" s="4" t="n">
        <x:v>4</x:v>
      </x:c>
      <x:c r="AB166" s="4" t="n">
        <x:v>0</x:v>
      </x:c>
      <x:c r="AC166" s="4" t="n">
        <x:v>2.5</x:v>
      </x:c>
      <x:c r="AD166" s="4"/>
      <x:c r="AE166" s="4" t="str">
        <x:v>2026-09-15</x:v>
      </x:c>
      <x:c r="AF166" s="2"/>
      <x:c r="AG166" s="2"/>
      <x:c r="AH166" s="2"/>
      <x:c r="AI166" s="2"/>
      <x:c r="AJ166" s="2"/>
      <x:c r="AK166" s="2"/>
      <x:c r="AL166" s="2"/>
      <x:c r="AM166" s="2" t="str">
        <x:v>https://tpwd.texas.gov/huntwild/hunt/public/public_hunt_drawing/hunt-category-details.phtml?OCat=GDM</x:v>
      </x:c>
      <x:c r="AN166" s="2" t="str">
        <x:v>https://tpwd.texas.gov/search/?q=Devils+River+SNA+-+Del+Norte+Unit+public+hunting+brochure</x:v>
      </x:c>
      <x:c r="AO166" s="2" t="str">
        <x:v>https://apps.tpwd.state.tx.us/huntwild/hunt/public/public_hunt_drawing/</x:v>
      </x:c>
      <x:c r="AP166" s="2" t="str">
        <x:v>https://www.google.com/maps/search/?api=1&amp;query=Devils+River+SNA+-+Del+Norte+Unit%2C+Texas</x:v>
      </x:c>
      <x:c r="AQ166" s="2" t="n">
        <x:v>0</x:v>
      </x:c>
      <x:c r="AR166" s="2" t="str">
        <x:v>Standard Hastings ranking</x:v>
      </x:c>
    </x:row>
    <x:row r="167">
      <x:c r="A167" s="4" t="str">
        <x:v>No</x:v>
      </x:c>
      <x:c r="B167" s="4" t="str">
        <x:v>A</x:v>
      </x:c>
      <x:c r="C167" s="4" t="str">
        <x:v>Whitetail Deer</x:v>
      </x:c>
      <x:c r="D167" s="4" t="str">
        <x:v>Dinosaur Valley SP</x:v>
      </x:c>
      <x:c r="E167" s="4" t="str">
        <x:v>Statewide / Other</x:v>
      </x:c>
      <x:c r="F167" s="4" t="str">
        <x:v>Gun Deer - Antlerless/Spike</x:v>
      </x:c>
      <x:c r="G167" s="4" t="str">
        <x:v>Yes</x:v>
      </x:c>
      <x:c r="H167" s="4" t="str">
        <x:v>Yes</x:v>
      </x:c>
      <x:c r="I167" s="24" t="str">
        <x:v>2026-09-15</x:v>
      </x:c>
      <x:c r="J167" s="4" t="str">
        <x:v>See TPWD category page</x:v>
      </x:c>
      <x:c r="K167" s="4" t="n">
        <x:v>3</x:v>
      </x:c>
      <x:c r="L167" s="4"/>
      <x:c r="M167" s="4"/>
      <x:c r="N167" s="4"/>
      <x:c r="O167" s="4"/>
      <x:c r="P167" s="4" t="n">
        <x:v>500</x:v>
      </x:c>
      <x:c r="Q167" s="4" t="str">
        <x:v>Statewide</x:v>
      </x:c>
      <x:c r="R167" s="4" t="str">
        <x:v>Research before draw; property brochure linked from TPWD</x:v>
      </x:c>
      <x:c r="S167" s="4" t="str">
        <x:v>Low</x:v>
      </x:c>
      <x:c r="T167" s="4" t="str">
        <x:v>No</x:v>
      </x:c>
      <x:c r="U167" s="4" t="str">
        <x:v>Verified in TPWD 2026-2027 statewide deer category catalog.</x:v>
      </x:c>
      <x:c r="V167" s="4" t="str">
        <x:v>https://tpwd.texas.gov/huntwild/hunt/public/public_hunt_drawing/hunt-category-details.phtml?OCat=GDA</x:v>
      </x:c>
      <x:c r="W167" s="4" t="n">
        <x:v>2</x:v>
      </x:c>
      <x:c r="X167" s="4" t="n">
        <x:v>2</x:v>
      </x:c>
      <x:c r="Y167" s="4" t="n">
        <x:v>4</x:v>
      </x:c>
      <x:c r="Z167" s="4" t="n">
        <x:v>3</x:v>
      </x:c>
      <x:c r="AA167" s="4" t="n">
        <x:v>2</x:v>
      </x:c>
      <x:c r="AB167" s="4" t="n">
        <x:v>0</x:v>
      </x:c>
      <x:c r="AC167" s="4" t="n">
        <x:v>2.3</x:v>
      </x:c>
      <x:c r="AD167" s="4"/>
      <x:c r="AE167" s="4" t="str">
        <x:v>2026-09-15</x:v>
      </x:c>
      <x:c r="AF167" s="2"/>
      <x:c r="AG167" s="2"/>
      <x:c r="AH167" s="2"/>
      <x:c r="AI167" s="2"/>
      <x:c r="AJ167" s="2"/>
      <x:c r="AK167" s="2"/>
      <x:c r="AL167" s="2"/>
      <x:c r="AM167" s="2" t="str">
        <x:v>https://tpwd.texas.gov/huntwild/hunt/public/public_hunt_drawing/hunt-category-details.phtml?OCat=GDA</x:v>
      </x:c>
      <x:c r="AN167" s="2" t="str">
        <x:v>https://tpwd.texas.gov/search/?q=Dinosaur+Valley+SP+public+hunting+brochure</x:v>
      </x:c>
      <x:c r="AO167" s="2" t="str">
        <x:v>https://apps.tpwd.state.tx.us/huntwild/hunt/public/public_hunt_drawing/</x:v>
      </x:c>
      <x:c r="AP167" s="2" t="str">
        <x:v>https://www.google.com/maps/search/?api=1&amp;query=Dinosaur+Valley+SP%2C+Texas</x:v>
      </x:c>
      <x:c r="AQ167" s="2" t="n">
        <x:v>0</x:v>
      </x:c>
      <x:c r="AR167" s="2" t="str">
        <x:v>Standard Hastings ranking</x:v>
      </x:c>
    </x:row>
    <x:row r="168">
      <x:c r="A168" s="4" t="str">
        <x:v>No</x:v>
      </x:c>
      <x:c r="B168" s="4" t="str">
        <x:v>A</x:v>
      </x:c>
      <x:c r="C168" s="4" t="str">
        <x:v>Whitetail Deer</x:v>
      </x:c>
      <x:c r="D168" s="4" t="str">
        <x:v>Dinosaur Valley SP</x:v>
      </x:c>
      <x:c r="E168" s="4" t="str">
        <x:v>Statewide / Other</x:v>
      </x:c>
      <x:c r="F168" s="4" t="str">
        <x:v>Gun Deer - Either Sex</x:v>
      </x:c>
      <x:c r="G168" s="4" t="str">
        <x:v>Yes</x:v>
      </x:c>
      <x:c r="H168" s="4" t="str">
        <x:v>Yes</x:v>
      </x:c>
      <x:c r="I168" s="24" t="str">
        <x:v>2026-09-15</x:v>
      </x:c>
      <x:c r="J168" s="4" t="str">
        <x:v>See TPWD category page</x:v>
      </x:c>
      <x:c r="K168" s="4" t="n">
        <x:v>3</x:v>
      </x:c>
      <x:c r="L168" s="4"/>
      <x:c r="M168" s="4"/>
      <x:c r="N168" s="4"/>
      <x:c r="O168" s="4"/>
      <x:c r="P168" s="4" t="n">
        <x:v>500</x:v>
      </x:c>
      <x:c r="Q168" s="4" t="str">
        <x:v>Statewide</x:v>
      </x:c>
      <x:c r="R168" s="4" t="str">
        <x:v>Research before draw; property brochure linked from TPWD</x:v>
      </x:c>
      <x:c r="S168" s="4" t="str">
        <x:v>Low</x:v>
      </x:c>
      <x:c r="T168" s="4" t="str">
        <x:v>No</x:v>
      </x:c>
      <x:c r="U168" s="4" t="str">
        <x:v>Verified in TPWD 2026-2027 statewide deer category catalog.</x:v>
      </x:c>
      <x:c r="V168" s="4" t="str">
        <x:v>https://tpwd.texas.gov/huntwild/hunt/public/public_hunt_drawing/hunt-category-details.phtml?OCat=GDE</x:v>
      </x:c>
      <x:c r="W168" s="4" t="n">
        <x:v>2</x:v>
      </x:c>
      <x:c r="X168" s="4" t="n">
        <x:v>2</x:v>
      </x:c>
      <x:c r="Y168" s="4" t="n">
        <x:v>4</x:v>
      </x:c>
      <x:c r="Z168" s="4" t="n">
        <x:v>3</x:v>
      </x:c>
      <x:c r="AA168" s="4" t="n">
        <x:v>2</x:v>
      </x:c>
      <x:c r="AB168" s="4" t="n">
        <x:v>0</x:v>
      </x:c>
      <x:c r="AC168" s="4" t="n">
        <x:v>2.3</x:v>
      </x:c>
      <x:c r="AD168" s="4"/>
      <x:c r="AE168" s="4" t="str">
        <x:v>2026-09-15</x:v>
      </x:c>
      <x:c r="AF168" s="2"/>
      <x:c r="AG168" s="2"/>
      <x:c r="AH168" s="2"/>
      <x:c r="AI168" s="2"/>
      <x:c r="AJ168" s="2"/>
      <x:c r="AK168" s="2"/>
      <x:c r="AL168" s="2"/>
      <x:c r="AM168" s="2" t="str">
        <x:v>https://tpwd.texas.gov/huntwild/hunt/public/public_hunt_drawing/hunt-category-details.phtml?OCat=GDE</x:v>
      </x:c>
      <x:c r="AN168" s="2" t="str">
        <x:v>https://tpwd.texas.gov/search/?q=Dinosaur+Valley+SP+public+hunting+brochure</x:v>
      </x:c>
      <x:c r="AO168" s="2" t="str">
        <x:v>https://apps.tpwd.state.tx.us/huntwild/hunt/public/public_hunt_drawing/</x:v>
      </x:c>
      <x:c r="AP168" s="2" t="str">
        <x:v>https://www.google.com/maps/search/?api=1&amp;query=Dinosaur+Valley+SP%2C+Texas</x:v>
      </x:c>
      <x:c r="AQ168" s="2" t="n">
        <x:v>0</x:v>
      </x:c>
      <x:c r="AR168" s="2" t="str">
        <x:v>Standard Hastings ranking</x:v>
      </x:c>
    </x:row>
    <x:row r="169">
      <x:c r="A169" s="4" t="str">
        <x:v>No</x:v>
      </x:c>
      <x:c r="B169" s="4" t="str">
        <x:v>A</x:v>
      </x:c>
      <x:c r="C169" s="4" t="str">
        <x:v>Whitetail Deer</x:v>
      </x:c>
      <x:c r="D169" s="4" t="str">
        <x:v>Elephant Mountain WMA</x:v>
      </x:c>
      <x:c r="E169" s="4" t="str">
        <x:v>Trans-Pecos / West Texas</x:v>
      </x:c>
      <x:c r="F169" s="4" t="str">
        <x:v>Gun Deer - Management</x:v>
      </x:c>
      <x:c r="G169" s="4" t="str">
        <x:v>Yes</x:v>
      </x:c>
      <x:c r="H169" s="4" t="str">
        <x:v>Yes</x:v>
      </x:c>
      <x:c r="I169" s="24" t="str">
        <x:v>2026-09-15</x:v>
      </x:c>
      <x:c r="J169" s="4" t="str">
        <x:v>See TPWD category page</x:v>
      </x:c>
      <x:c r="K169" s="4" t="n">
        <x:v>3</x:v>
      </x:c>
      <x:c r="L169" s="4"/>
      <x:c r="M169" s="4"/>
      <x:c r="N169" s="4"/>
      <x:c r="O169" s="4"/>
      <x:c r="P169" s="4" t="n">
        <x:v>520</x:v>
      </x:c>
      <x:c r="Q169" s="4" t="str">
        <x:v>Statewide</x:v>
      </x:c>
      <x:c r="R169" s="4" t="str">
        <x:v>Research before draw; property brochure linked from TPWD</x:v>
      </x:c>
      <x:c r="S169" s="4" t="str">
        <x:v>High</x:v>
      </x:c>
      <x:c r="T169" s="4" t="str">
        <x:v>No</x:v>
      </x:c>
      <x:c r="U169" s="4" t="str">
        <x:v>Verified in TPWD 2026-2027 statewide deer category catalog. West Texas/El Paso-region opportunity; prioritize for mule deer adventure value.</x:v>
      </x:c>
      <x:c r="V169" s="4" t="str">
        <x:v>https://tpwd.texas.gov/huntwild/hunt/public/public_hunt_drawing/hunt-category-details.phtml?OCat=GDM</x:v>
      </x:c>
      <x:c r="W169" s="4" t="n">
        <x:v>2</x:v>
      </x:c>
      <x:c r="X169" s="4" t="n">
        <x:v>2</x:v>
      </x:c>
      <x:c r="Y169" s="4" t="n">
        <x:v>4</x:v>
      </x:c>
      <x:c r="Z169" s="4" t="n">
        <x:v>3</x:v>
      </x:c>
      <x:c r="AA169" s="4" t="n">
        <x:v>4</x:v>
      </x:c>
      <x:c r="AB169" s="4" t="n">
        <x:v>0</x:v>
      </x:c>
      <x:c r="AC169" s="4" t="n">
        <x:v>2.5</x:v>
      </x:c>
      <x:c r="AD169" s="4"/>
      <x:c r="AE169" s="4" t="str">
        <x:v>2026-09-15</x:v>
      </x:c>
      <x:c r="AF169" s="2"/>
      <x:c r="AG169" s="2"/>
      <x:c r="AH169" s="2"/>
      <x:c r="AI169" s="2"/>
      <x:c r="AJ169" s="2"/>
      <x:c r="AK169" s="2"/>
      <x:c r="AL169" s="2"/>
      <x:c r="AM169" s="2" t="str">
        <x:v>https://tpwd.texas.gov/huntwild/hunt/public/public_hunt_drawing/hunt-category-details.phtml?OCat=GDM</x:v>
      </x:c>
      <x:c r="AN169" s="2" t="str">
        <x:v>https://tpwd.texas.gov/search/?q=Elephant+Mountain+WMA+public+hunting+brochure</x:v>
      </x:c>
      <x:c r="AO169" s="2" t="str">
        <x:v>https://apps.tpwd.state.tx.us/huntwild/hunt/public/public_hunt_drawing/</x:v>
      </x:c>
      <x:c r="AP169" s="2" t="str">
        <x:v>https://www.google.com/maps/search/?api=1&amp;query=Elephant+Mountain+WMA%2C+Texas</x:v>
      </x:c>
      <x:c r="AQ169" s="2" t="n">
        <x:v>0</x:v>
      </x:c>
      <x:c r="AR169" s="2" t="str">
        <x:v>Standard Hastings ranking</x:v>
      </x:c>
    </x:row>
    <x:row r="170">
      <x:c r="A170" s="4" t="str">
        <x:v>No</x:v>
      </x:c>
      <x:c r="B170" s="4" t="str">
        <x:v>A</x:v>
      </x:c>
      <x:c r="C170" s="4" t="str">
        <x:v>Whitetail Deer</x:v>
      </x:c>
      <x:c r="D170" s="4" t="str">
        <x:v>Enchanted Rock SNA</x:v>
      </x:c>
      <x:c r="E170" s="4" t="str">
        <x:v>Hill Country / San Antonio</x:v>
      </x:c>
      <x:c r="F170" s="4" t="str">
        <x:v>Gun Deer - Antlerless/Spike</x:v>
      </x:c>
      <x:c r="G170" s="4" t="str">
        <x:v>Yes</x:v>
      </x:c>
      <x:c r="H170" s="4" t="str">
        <x:v>Yes</x:v>
      </x:c>
      <x:c r="I170" s="24" t="str">
        <x:v>2026-09-15</x:v>
      </x:c>
      <x:c r="J170" s="4" t="str">
        <x:v>See TPWD category page</x:v>
      </x:c>
      <x:c r="K170" s="4" t="n">
        <x:v>3</x:v>
      </x:c>
      <x:c r="L170" s="4"/>
      <x:c r="M170" s="4"/>
      <x:c r="N170" s="4"/>
      <x:c r="O170" s="4"/>
      <x:c r="P170" s="4" t="n">
        <x:v>520</x:v>
      </x:c>
      <x:c r="Q170" s="4" t="str">
        <x:v>Statewide</x:v>
      </x:c>
      <x:c r="R170" s="4" t="str">
        <x:v>Research before draw; property brochure linked from TPWD</x:v>
      </x:c>
      <x:c r="S170" s="4" t="str">
        <x:v>Low</x:v>
      </x:c>
      <x:c r="T170" s="4" t="str">
        <x:v>No</x:v>
      </x:c>
      <x:c r="U170" s="4" t="str">
        <x:v>Verified in TPWD 2026-2027 statewide deer category catalog.</x:v>
      </x:c>
      <x:c r="V170" s="4" t="str">
        <x:v>https://tpwd.texas.gov/huntwild/hunt/public/public_hunt_drawing/hunt-category-details.phtml?OCat=GDA</x:v>
      </x:c>
      <x:c r="W170" s="4" t="n">
        <x:v>2</x:v>
      </x:c>
      <x:c r="X170" s="4" t="n">
        <x:v>2</x:v>
      </x:c>
      <x:c r="Y170" s="4" t="n">
        <x:v>4</x:v>
      </x:c>
      <x:c r="Z170" s="4" t="n">
        <x:v>3</x:v>
      </x:c>
      <x:c r="AA170" s="4" t="n">
        <x:v>2</x:v>
      </x:c>
      <x:c r="AB170" s="4" t="n">
        <x:v>0</x:v>
      </x:c>
      <x:c r="AC170" s="4" t="n">
        <x:v>2.3</x:v>
      </x:c>
      <x:c r="AD170" s="4"/>
      <x:c r="AE170" s="4" t="str">
        <x:v>2026-09-15</x:v>
      </x:c>
      <x:c r="AF170" s="2"/>
      <x:c r="AG170" s="2"/>
      <x:c r="AH170" s="2"/>
      <x:c r="AI170" s="2"/>
      <x:c r="AJ170" s="2"/>
      <x:c r="AK170" s="2"/>
      <x:c r="AL170" s="2"/>
      <x:c r="AM170" s="2" t="str">
        <x:v>https://tpwd.texas.gov/huntwild/hunt/public/public_hunt_drawing/hunt-category-details.phtml?OCat=GDA</x:v>
      </x:c>
      <x:c r="AN170" s="2" t="str">
        <x:v>https://tpwd.texas.gov/search/?q=Enchanted+Rock+SNA+public+hunting+brochure</x:v>
      </x:c>
      <x:c r="AO170" s="2" t="str">
        <x:v>https://apps.tpwd.state.tx.us/huntwild/hunt/public/public_hunt_drawing/</x:v>
      </x:c>
      <x:c r="AP170" s="2" t="str">
        <x:v>https://www.google.com/maps/search/?api=1&amp;query=Enchanted+Rock+SNA%2C+Texas</x:v>
      </x:c>
      <x:c r="AQ170" s="2" t="n">
        <x:v>0</x:v>
      </x:c>
      <x:c r="AR170" s="2" t="str">
        <x:v>Standard Hastings ranking</x:v>
      </x:c>
    </x:row>
    <x:row r="171">
      <x:c r="A171" s="4" t="str">
        <x:v>No</x:v>
      </x:c>
      <x:c r="B171" s="4" t="str">
        <x:v>A</x:v>
      </x:c>
      <x:c r="C171" s="4" t="str">
        <x:v>Whitetail Deer</x:v>
      </x:c>
      <x:c r="D171" s="4" t="str">
        <x:v>Enchanted Rock SNA</x:v>
      </x:c>
      <x:c r="E171" s="4" t="str">
        <x:v>Hill Country / San Antonio</x:v>
      </x:c>
      <x:c r="F171" s="4" t="str">
        <x:v>Gun Deer - Either Sex</x:v>
      </x:c>
      <x:c r="G171" s="4" t="str">
        <x:v>Yes</x:v>
      </x:c>
      <x:c r="H171" s="4" t="str">
        <x:v>Yes</x:v>
      </x:c>
      <x:c r="I171" s="24" t="str">
        <x:v>2026-09-15</x:v>
      </x:c>
      <x:c r="J171" s="4" t="str">
        <x:v>See TPWD category page</x:v>
      </x:c>
      <x:c r="K171" s="4" t="n">
        <x:v>3</x:v>
      </x:c>
      <x:c r="L171" s="4"/>
      <x:c r="M171" s="4"/>
      <x:c r="N171" s="4"/>
      <x:c r="O171" s="4"/>
      <x:c r="P171" s="4" t="n">
        <x:v>520</x:v>
      </x:c>
      <x:c r="Q171" s="4" t="str">
        <x:v>Statewide</x:v>
      </x:c>
      <x:c r="R171" s="4" t="str">
        <x:v>Research before draw; property brochure linked from TPWD</x:v>
      </x:c>
      <x:c r="S171" s="4" t="str">
        <x:v>Low</x:v>
      </x:c>
      <x:c r="T171" s="4" t="str">
        <x:v>No</x:v>
      </x:c>
      <x:c r="U171" s="4" t="str">
        <x:v>Verified in TPWD 2026-2027 statewide deer category catalog.</x:v>
      </x:c>
      <x:c r="V171" s="4" t="str">
        <x:v>https://tpwd.texas.gov/huntwild/hunt/public/public_hunt_drawing/hunt-category-details.phtml?OCat=GDE</x:v>
      </x:c>
      <x:c r="W171" s="4" t="n">
        <x:v>2</x:v>
      </x:c>
      <x:c r="X171" s="4" t="n">
        <x:v>2</x:v>
      </x:c>
      <x:c r="Y171" s="4" t="n">
        <x:v>4</x:v>
      </x:c>
      <x:c r="Z171" s="4" t="n">
        <x:v>3</x:v>
      </x:c>
      <x:c r="AA171" s="4" t="n">
        <x:v>2</x:v>
      </x:c>
      <x:c r="AB171" s="4" t="n">
        <x:v>0</x:v>
      </x:c>
      <x:c r="AC171" s="4" t="n">
        <x:v>2.3</x:v>
      </x:c>
      <x:c r="AD171" s="4"/>
      <x:c r="AE171" s="4" t="str">
        <x:v>2026-09-15</x:v>
      </x:c>
      <x:c r="AF171" s="2"/>
      <x:c r="AG171" s="2"/>
      <x:c r="AH171" s="2"/>
      <x:c r="AI171" s="2"/>
      <x:c r="AJ171" s="2"/>
      <x:c r="AK171" s="2"/>
      <x:c r="AL171" s="2"/>
      <x:c r="AM171" s="2" t="str">
        <x:v>https://tpwd.texas.gov/huntwild/hunt/public/public_hunt_drawing/hunt-category-details.phtml?OCat=GDE</x:v>
      </x:c>
      <x:c r="AN171" s="2" t="str">
        <x:v>https://tpwd.texas.gov/search/?q=Enchanted+Rock+SNA+public+hunting+brochure</x:v>
      </x:c>
      <x:c r="AO171" s="2" t="str">
        <x:v>https://apps.tpwd.state.tx.us/huntwild/hunt/public/public_hunt_drawing/</x:v>
      </x:c>
      <x:c r="AP171" s="2" t="str">
        <x:v>https://www.google.com/maps/search/?api=1&amp;query=Enchanted+Rock+SNA%2C+Texas</x:v>
      </x:c>
      <x:c r="AQ171" s="2" t="n">
        <x:v>0</x:v>
      </x:c>
      <x:c r="AR171" s="2" t="str">
        <x:v>Standard Hastings ranking</x:v>
      </x:c>
    </x:row>
    <x:row r="172">
      <x:c r="A172" s="4" t="str">
        <x:v>No</x:v>
      </x:c>
      <x:c r="B172" s="4" t="str">
        <x:v>A</x:v>
      </x:c>
      <x:c r="C172" s="4" t="str">
        <x:v>Whitetail Deer</x:v>
      </x:c>
      <x:c r="D172" s="4" t="str">
        <x:v>Fort Boggy SP</x:v>
      </x:c>
      <x:c r="E172" s="4" t="str">
        <x:v>North Texas / DFW</x:v>
      </x:c>
      <x:c r="F172" s="4" t="str">
        <x:v>Gun Deer - Either Sex</x:v>
      </x:c>
      <x:c r="G172" s="4" t="str">
        <x:v>Yes</x:v>
      </x:c>
      <x:c r="H172" s="4" t="str">
        <x:v>Yes</x:v>
      </x:c>
      <x:c r="I172" s="24" t="str">
        <x:v>2026-09-15</x:v>
      </x:c>
      <x:c r="J172" s="4" t="str">
        <x:v>See TPWD category page</x:v>
      </x:c>
      <x:c r="K172" s="4" t="n">
        <x:v>3</x:v>
      </x:c>
      <x:c r="L172" s="4"/>
      <x:c r="M172" s="4"/>
      <x:c r="N172" s="4"/>
      <x:c r="O172" s="4"/>
      <x:c r="P172" s="4" t="n">
        <x:v>360</x:v>
      </x:c>
      <x:c r="Q172" s="4" t="str">
        <x:v>Extended</x:v>
      </x:c>
      <x:c r="R172" s="4" t="str">
        <x:v>Research before draw; property brochure linked from TPWD</x:v>
      </x:c>
      <x:c r="S172" s="4" t="str">
        <x:v>Low</x:v>
      </x:c>
      <x:c r="T172" s="4" t="str">
        <x:v>No</x:v>
      </x:c>
      <x:c r="U172" s="4" t="str">
        <x:v>Verified in TPWD 2026-2027 statewide deer category catalog.</x:v>
      </x:c>
      <x:c r="V172" s="4" t="str">
        <x:v>https://tpwd.texas.gov/huntwild/hunt/public/public_hunt_drawing/hunt-category-details.phtml?OCat=GDE</x:v>
      </x:c>
      <x:c r="W172" s="4" t="n">
        <x:v>2</x:v>
      </x:c>
      <x:c r="X172" s="4" t="n">
        <x:v>3</x:v>
      </x:c>
      <x:c r="Y172" s="4" t="n">
        <x:v>4</x:v>
      </x:c>
      <x:c r="Z172" s="4" t="n">
        <x:v>3</x:v>
      </x:c>
      <x:c r="AA172" s="4" t="n">
        <x:v>2</x:v>
      </x:c>
      <x:c r="AB172" s="4" t="n">
        <x:v>0</x:v>
      </x:c>
      <x:c r="AC172" s="4" t="n">
        <x:v>2.5</x:v>
      </x:c>
      <x:c r="AD172" s="4"/>
      <x:c r="AE172" s="4" t="str">
        <x:v>2026-09-15</x:v>
      </x:c>
      <x:c r="AF172" s="2"/>
      <x:c r="AG172" s="2"/>
      <x:c r="AH172" s="2"/>
      <x:c r="AI172" s="2"/>
      <x:c r="AJ172" s="2"/>
      <x:c r="AK172" s="2"/>
      <x:c r="AL172" s="2"/>
      <x:c r="AM172" s="2" t="str">
        <x:v>https://tpwd.texas.gov/huntwild/hunt/public/public_hunt_drawing/hunt-category-details.phtml?OCat=GDE</x:v>
      </x:c>
      <x:c r="AN172" s="2" t="str">
        <x:v>https://tpwd.texas.gov/search/?q=Fort+Boggy+SP+public+hunting+brochure</x:v>
      </x:c>
      <x:c r="AO172" s="2" t="str">
        <x:v>https://apps.tpwd.state.tx.us/huntwild/hunt/public/public_hunt_drawing/</x:v>
      </x:c>
      <x:c r="AP172" s="2" t="str">
        <x:v>https://www.google.com/maps/search/?api=1&amp;query=Fort+Boggy+SP%2C+Texas</x:v>
      </x:c>
      <x:c r="AQ172" s="2" t="n">
        <x:v>0</x:v>
      </x:c>
      <x:c r="AR172" s="2" t="str">
        <x:v>Standard Hastings ranking</x:v>
      </x:c>
    </x:row>
    <x:row r="173">
      <x:c r="A173" s="4" t="str">
        <x:v>No</x:v>
      </x:c>
      <x:c r="B173" s="4" t="str">
        <x:v>A</x:v>
      </x:c>
      <x:c r="C173" s="4" t="str">
        <x:v>Whitetail Deer</x:v>
      </x:c>
      <x:c r="D173" s="4" t="str">
        <x:v>Gene Howe WMA</x:v>
      </x:c>
      <x:c r="E173" s="4" t="str">
        <x:v>Panhandle / Rolling Plains</x:v>
      </x:c>
      <x:c r="F173" s="4" t="str">
        <x:v>Gun Deer - Antlerless/Spike</x:v>
      </x:c>
      <x:c r="G173" s="4" t="str">
        <x:v>Yes</x:v>
      </x:c>
      <x:c r="H173" s="4" t="str">
        <x:v>Yes</x:v>
      </x:c>
      <x:c r="I173" s="24" t="str">
        <x:v>2026-09-15</x:v>
      </x:c>
      <x:c r="J173" s="4" t="str">
        <x:v>See TPWD category page</x:v>
      </x:c>
      <x:c r="K173" s="4" t="n">
        <x:v>3</x:v>
      </x:c>
      <x:c r="L173" s="4"/>
      <x:c r="M173" s="4"/>
      <x:c r="N173" s="4"/>
      <x:c r="O173" s="4"/>
      <x:c r="P173" s="4" t="n">
        <x:v>130</x:v>
      </x:c>
      <x:c r="Q173" s="4" t="str">
        <x:v>Core</x:v>
      </x:c>
      <x:c r="R173" s="4" t="str">
        <x:v>Research before draw; property brochure linked from TPWD</x:v>
      </x:c>
      <x:c r="S173" s="4" t="str">
        <x:v>High</x:v>
      </x:c>
      <x:c r="T173" s="4" t="str">
        <x:v>No</x:v>
      </x:c>
      <x:c r="U173" s="4" t="str">
        <x:v>Verified in TPWD 2026-2027 statewide deer category catalog.</x:v>
      </x:c>
      <x:c r="V173" s="4" t="str">
        <x:v>https://tpwd.texas.gov/huntwild/hunt/public/public_hunt_drawing/hunt-category-details.phtml?OCat=GDA</x:v>
      </x:c>
      <x:c r="W173" s="4" t="n">
        <x:v>2</x:v>
      </x:c>
      <x:c r="X173" s="4" t="n">
        <x:v>5</x:v>
      </x:c>
      <x:c r="Y173" s="4" t="n">
        <x:v>4</x:v>
      </x:c>
      <x:c r="Z173" s="4" t="n">
        <x:v>3</x:v>
      </x:c>
      <x:c r="AA173" s="4" t="n">
        <x:v>4</x:v>
      </x:c>
      <x:c r="AB173" s="4" t="n">
        <x:v>0</x:v>
      </x:c>
      <x:c r="AC173" s="4" t="n">
        <x:v>2.9</x:v>
      </x:c>
      <x:c r="AD173" s="4"/>
      <x:c r="AE173" s="4" t="str">
        <x:v>2026-09-15</x:v>
      </x:c>
      <x:c r="AF173" s="2"/>
      <x:c r="AG173" s="2"/>
      <x:c r="AH173" s="2"/>
      <x:c r="AI173" s="2"/>
      <x:c r="AJ173" s="2"/>
      <x:c r="AK173" s="2"/>
      <x:c r="AL173" s="2"/>
      <x:c r="AM173" s="2" t="str">
        <x:v>https://tpwd.texas.gov/huntwild/hunt/public/public_hunt_drawing/hunt-category-details.phtml?OCat=GDA</x:v>
      </x:c>
      <x:c r="AN173" s="2" t="str">
        <x:v>https://tpwd.texas.gov/search/?q=Gene+Howe+WMA+public+hunting+brochure</x:v>
      </x:c>
      <x:c r="AO173" s="2" t="str">
        <x:v>https://apps.tpwd.state.tx.us/huntwild/hunt/public/public_hunt_drawing/</x:v>
      </x:c>
      <x:c r="AP173" s="2" t="str">
        <x:v>https://www.google.com/maps/search/?api=1&amp;query=Gene+Howe+WMA%2C+Texas</x:v>
      </x:c>
      <x:c r="AQ173" s="2" t="n">
        <x:v>0</x:v>
      </x:c>
      <x:c r="AR173" s="2" t="str">
        <x:v>Standard Hastings ranking</x:v>
      </x:c>
    </x:row>
    <x:row r="174">
      <x:c r="A174" s="4" t="str">
        <x:v>No</x:v>
      </x:c>
      <x:c r="B174" s="4" t="str">
        <x:v>A</x:v>
      </x:c>
      <x:c r="C174" s="4" t="str">
        <x:v>Whitetail Deer</x:v>
      </x:c>
      <x:c r="D174" s="4" t="str">
        <x:v>Gene Howe WMA</x:v>
      </x:c>
      <x:c r="E174" s="4" t="str">
        <x:v>Panhandle / Rolling Plains</x:v>
      </x:c>
      <x:c r="F174" s="4" t="str">
        <x:v>Gun Deer - Either Sex</x:v>
      </x:c>
      <x:c r="G174" s="4" t="str">
        <x:v>Yes</x:v>
      </x:c>
      <x:c r="H174" s="4" t="str">
        <x:v>Yes</x:v>
      </x:c>
      <x:c r="I174" s="24" t="str">
        <x:v>2026-09-15</x:v>
      </x:c>
      <x:c r="J174" s="4" t="str">
        <x:v>See TPWD category page</x:v>
      </x:c>
      <x:c r="K174" s="4" t="n">
        <x:v>3</x:v>
      </x:c>
      <x:c r="L174" s="4"/>
      <x:c r="M174" s="4"/>
      <x:c r="N174" s="4"/>
      <x:c r="O174" s="4"/>
      <x:c r="P174" s="4" t="n">
        <x:v>130</x:v>
      </x:c>
      <x:c r="Q174" s="4" t="str">
        <x:v>Core</x:v>
      </x:c>
      <x:c r="R174" s="4" t="str">
        <x:v>Research before draw; property brochure linked from TPWD</x:v>
      </x:c>
      <x:c r="S174" s="4" t="str">
        <x:v>High</x:v>
      </x:c>
      <x:c r="T174" s="4" t="str">
        <x:v>No</x:v>
      </x:c>
      <x:c r="U174" s="4" t="str">
        <x:v>Verified in TPWD 2026-2027 statewide deer category catalog.</x:v>
      </x:c>
      <x:c r="V174" s="4" t="str">
        <x:v>https://tpwd.texas.gov/huntwild/hunt/public/public_hunt_drawing/hunt-category-details.phtml?OCat=GDE</x:v>
      </x:c>
      <x:c r="W174" s="4" t="n">
        <x:v>2</x:v>
      </x:c>
      <x:c r="X174" s="4" t="n">
        <x:v>5</x:v>
      </x:c>
      <x:c r="Y174" s="4" t="n">
        <x:v>4</x:v>
      </x:c>
      <x:c r="Z174" s="4" t="n">
        <x:v>3</x:v>
      </x:c>
      <x:c r="AA174" s="4" t="n">
        <x:v>4</x:v>
      </x:c>
      <x:c r="AB174" s="4" t="n">
        <x:v>0</x:v>
      </x:c>
      <x:c r="AC174" s="4" t="n">
        <x:v>2.9</x:v>
      </x:c>
      <x:c r="AD174" s="4"/>
      <x:c r="AE174" s="4" t="str">
        <x:v>2026-09-15</x:v>
      </x:c>
      <x:c r="AF174" s="2"/>
      <x:c r="AG174" s="2"/>
      <x:c r="AH174" s="2"/>
      <x:c r="AI174" s="2"/>
      <x:c r="AJ174" s="2"/>
      <x:c r="AK174" s="2"/>
      <x:c r="AL174" s="2"/>
      <x:c r="AM174" s="2" t="str">
        <x:v>https://tpwd.texas.gov/huntwild/hunt/public/public_hunt_drawing/hunt-category-details.phtml?OCat=GDE</x:v>
      </x:c>
      <x:c r="AN174" s="2" t="str">
        <x:v>https://tpwd.texas.gov/search/?q=Gene+Howe+WMA+public+hunting+brochure</x:v>
      </x:c>
      <x:c r="AO174" s="2" t="str">
        <x:v>https://apps.tpwd.state.tx.us/huntwild/hunt/public/public_hunt_drawing/</x:v>
      </x:c>
      <x:c r="AP174" s="2" t="str">
        <x:v>https://www.google.com/maps/search/?api=1&amp;query=Gene+Howe+WMA%2C+Texas</x:v>
      </x:c>
      <x:c r="AQ174" s="2" t="n">
        <x:v>0</x:v>
      </x:c>
      <x:c r="AR174" s="2" t="str">
        <x:v>Standard Hastings ranking</x:v>
      </x:c>
    </x:row>
    <x:row r="175">
      <x:c r="A175" s="4" t="str">
        <x:v>No</x:v>
      </x:c>
      <x:c r="B175" s="4" t="str">
        <x:v>A</x:v>
      </x:c>
      <x:c r="C175" s="4" t="str">
        <x:v>Whitetail Deer</x:v>
      </x:c>
      <x:c r="D175" s="4" t="str">
        <x:v>Government Canyon SNA</x:v>
      </x:c>
      <x:c r="E175" s="4" t="str">
        <x:v>Hill Country / San Antonio</x:v>
      </x:c>
      <x:c r="F175" s="4" t="str">
        <x:v>Gun Deer - Either Sex</x:v>
      </x:c>
      <x:c r="G175" s="4" t="str">
        <x:v>Yes</x:v>
      </x:c>
      <x:c r="H175" s="4" t="str">
        <x:v>Yes</x:v>
      </x:c>
      <x:c r="I175" s="24" t="str">
        <x:v>2026-09-15</x:v>
      </x:c>
      <x:c r="J175" s="4" t="str">
        <x:v>See TPWD category page</x:v>
      </x:c>
      <x:c r="K175" s="4" t="n">
        <x:v>3</x:v>
      </x:c>
      <x:c r="L175" s="4"/>
      <x:c r="M175" s="4"/>
      <x:c r="N175" s="4"/>
      <x:c r="O175" s="4"/>
      <x:c r="P175" s="4" t="n">
        <x:v>520</x:v>
      </x:c>
      <x:c r="Q175" s="4" t="str">
        <x:v>Statewide</x:v>
      </x:c>
      <x:c r="R175" s="4" t="str">
        <x:v>Research before draw; property brochure linked from TPWD</x:v>
      </x:c>
      <x:c r="S175" s="4" t="str">
        <x:v>Low</x:v>
      </x:c>
      <x:c r="T175" s="4" t="str">
        <x:v>No</x:v>
      </x:c>
      <x:c r="U175" s="4" t="str">
        <x:v>Verified in TPWD 2026-2027 statewide deer category catalog.</x:v>
      </x:c>
      <x:c r="V175" s="4" t="str">
        <x:v>https://tpwd.texas.gov/huntwild/hunt/public/public_hunt_drawing/hunt-category-details.phtml?OCat=GDE</x:v>
      </x:c>
      <x:c r="W175" s="4" t="n">
        <x:v>2</x:v>
      </x:c>
      <x:c r="X175" s="4" t="n">
        <x:v>2</x:v>
      </x:c>
      <x:c r="Y175" s="4" t="n">
        <x:v>4</x:v>
      </x:c>
      <x:c r="Z175" s="4" t="n">
        <x:v>3</x:v>
      </x:c>
      <x:c r="AA175" s="4" t="n">
        <x:v>2</x:v>
      </x:c>
      <x:c r="AB175" s="4" t="n">
        <x:v>0</x:v>
      </x:c>
      <x:c r="AC175" s="4" t="n">
        <x:v>2.3</x:v>
      </x:c>
      <x:c r="AD175" s="4"/>
      <x:c r="AE175" s="4" t="str">
        <x:v>2026-09-15</x:v>
      </x:c>
      <x:c r="AF175" s="2"/>
      <x:c r="AG175" s="2"/>
      <x:c r="AH175" s="2"/>
      <x:c r="AI175" s="2"/>
      <x:c r="AJ175" s="2"/>
      <x:c r="AK175" s="2"/>
      <x:c r="AL175" s="2"/>
      <x:c r="AM175" s="2" t="str">
        <x:v>https://tpwd.texas.gov/huntwild/hunt/public/public_hunt_drawing/hunt-category-details.phtml?OCat=GDE</x:v>
      </x:c>
      <x:c r="AN175" s="2" t="str">
        <x:v>https://tpwd.texas.gov/search/?q=Government+Canyon+SNA+public+hunting+brochure</x:v>
      </x:c>
      <x:c r="AO175" s="2" t="str">
        <x:v>https://apps.tpwd.state.tx.us/huntwild/hunt/public/public_hunt_drawing/</x:v>
      </x:c>
      <x:c r="AP175" s="2" t="str">
        <x:v>https://www.google.com/maps/search/?api=1&amp;query=Government+Canyon+SNA%2C+Texas</x:v>
      </x:c>
      <x:c r="AQ175" s="2" t="n">
        <x:v>0</x:v>
      </x:c>
      <x:c r="AR175" s="2" t="str">
        <x:v>Standard Hastings ranking</x:v>
      </x:c>
    </x:row>
    <x:row r="176">
      <x:c r="A176" s="4" t="str">
        <x:v>No</x:v>
      </x:c>
      <x:c r="B176" s="4" t="str">
        <x:v>A</x:v>
      </x:c>
      <x:c r="C176" s="4" t="str">
        <x:v>Whitetail Deer</x:v>
      </x:c>
      <x:c r="D176" s="4" t="str">
        <x:v>Guadalupe River SP</x:v>
      </x:c>
      <x:c r="E176" s="4" t="str">
        <x:v>Hill Country / San Antonio</x:v>
      </x:c>
      <x:c r="F176" s="4" t="str">
        <x:v>Gun Deer - Either Sex</x:v>
      </x:c>
      <x:c r="G176" s="4" t="str">
        <x:v>Yes</x:v>
      </x:c>
      <x:c r="H176" s="4" t="str">
        <x:v>Yes</x:v>
      </x:c>
      <x:c r="I176" s="24" t="str">
        <x:v>2026-09-15</x:v>
      </x:c>
      <x:c r="J176" s="4" t="str">
        <x:v>See TPWD category page</x:v>
      </x:c>
      <x:c r="K176" s="4" t="n">
        <x:v>3</x:v>
      </x:c>
      <x:c r="L176" s="4"/>
      <x:c r="M176" s="4"/>
      <x:c r="N176" s="4"/>
      <x:c r="O176" s="4"/>
      <x:c r="P176" s="4" t="n">
        <x:v>520</x:v>
      </x:c>
      <x:c r="Q176" s="4" t="str">
        <x:v>Statewide</x:v>
      </x:c>
      <x:c r="R176" s="4" t="str">
        <x:v>Research before draw; property brochure linked from TPWD</x:v>
      </x:c>
      <x:c r="S176" s="4" t="str">
        <x:v>Low</x:v>
      </x:c>
      <x:c r="T176" s="4" t="str">
        <x:v>No</x:v>
      </x:c>
      <x:c r="U176" s="4" t="str">
        <x:v>Verified in TPWD 2026-2027 statewide deer category catalog.</x:v>
      </x:c>
      <x:c r="V176" s="4" t="str">
        <x:v>https://tpwd.texas.gov/huntwild/hunt/public/public_hunt_drawing/hunt-category-details.phtml?OCat=GDE</x:v>
      </x:c>
      <x:c r="W176" s="4" t="n">
        <x:v>2</x:v>
      </x:c>
      <x:c r="X176" s="4" t="n">
        <x:v>2</x:v>
      </x:c>
      <x:c r="Y176" s="4" t="n">
        <x:v>4</x:v>
      </x:c>
      <x:c r="Z176" s="4" t="n">
        <x:v>3</x:v>
      </x:c>
      <x:c r="AA176" s="4" t="n">
        <x:v>2</x:v>
      </x:c>
      <x:c r="AB176" s="4" t="n">
        <x:v>0</x:v>
      </x:c>
      <x:c r="AC176" s="4" t="n">
        <x:v>2.3</x:v>
      </x:c>
      <x:c r="AD176" s="4"/>
      <x:c r="AE176" s="4" t="str">
        <x:v>2026-09-15</x:v>
      </x:c>
      <x:c r="AF176" s="2"/>
      <x:c r="AG176" s="2"/>
      <x:c r="AH176" s="2"/>
      <x:c r="AI176" s="2"/>
      <x:c r="AJ176" s="2"/>
      <x:c r="AK176" s="2"/>
      <x:c r="AL176" s="2"/>
      <x:c r="AM176" s="2" t="str">
        <x:v>https://tpwd.texas.gov/huntwild/hunt/public/public_hunt_drawing/hunt-category-details.phtml?OCat=GDE</x:v>
      </x:c>
      <x:c r="AN176" s="2" t="str">
        <x:v>https://tpwd.texas.gov/search/?q=Guadalupe+River+SP+public+hunting+brochure</x:v>
      </x:c>
      <x:c r="AO176" s="2" t="str">
        <x:v>https://apps.tpwd.state.tx.us/huntwild/hunt/public/public_hunt_drawing/</x:v>
      </x:c>
      <x:c r="AP176" s="2" t="str">
        <x:v>https://www.google.com/maps/search/?api=1&amp;query=Guadalupe+River+SP%2C+Texas</x:v>
      </x:c>
      <x:c r="AQ176" s="2" t="n">
        <x:v>0</x:v>
      </x:c>
      <x:c r="AR176" s="2" t="str">
        <x:v>Standard Hastings ranking</x:v>
      </x:c>
    </x:row>
    <x:row r="177">
      <x:c r="A177" s="4" t="str">
        <x:v>No</x:v>
      </x:c>
      <x:c r="B177" s="4" t="str">
        <x:v>A</x:v>
      </x:c>
      <x:c r="C177" s="4" t="str">
        <x:v>Whitetail Deer</x:v>
      </x:c>
      <x:c r="D177" s="4" t="str">
        <x:v>Gus Engeling WMA</x:v>
      </x:c>
      <x:c r="E177" s="4" t="str">
        <x:v>Statewide / Other</x:v>
      </x:c>
      <x:c r="F177" s="4" t="str">
        <x:v>Gun Deer - Antlerless/Spike</x:v>
      </x:c>
      <x:c r="G177" s="4" t="str">
        <x:v>Yes</x:v>
      </x:c>
      <x:c r="H177" s="4" t="str">
        <x:v>Yes</x:v>
      </x:c>
      <x:c r="I177" s="24" t="str">
        <x:v>2026-09-15</x:v>
      </x:c>
      <x:c r="J177" s="4" t="str">
        <x:v>See TPWD category page</x:v>
      </x:c>
      <x:c r="K177" s="4" t="n">
        <x:v>3</x:v>
      </x:c>
      <x:c r="L177" s="4"/>
      <x:c r="M177" s="4"/>
      <x:c r="N177" s="4"/>
      <x:c r="O177" s="4"/>
      <x:c r="P177" s="4" t="n">
        <x:v>500</x:v>
      </x:c>
      <x:c r="Q177" s="4" t="str">
        <x:v>Statewide</x:v>
      </x:c>
      <x:c r="R177" s="4" t="str">
        <x:v>Research before draw; property brochure linked from TPWD</x:v>
      </x:c>
      <x:c r="S177" s="4" t="str">
        <x:v>Low</x:v>
      </x:c>
      <x:c r="T177" s="4" t="str">
        <x:v>No</x:v>
      </x:c>
      <x:c r="U177" s="4" t="str">
        <x:v>Verified in TPWD 2026-2027 statewide deer category catalog.</x:v>
      </x:c>
      <x:c r="V177" s="4" t="str">
        <x:v>https://tpwd.texas.gov/huntwild/hunt/public/public_hunt_drawing/hunt-category-details.phtml?OCat=GDA</x:v>
      </x:c>
      <x:c r="W177" s="4" t="n">
        <x:v>2</x:v>
      </x:c>
      <x:c r="X177" s="4" t="n">
        <x:v>2</x:v>
      </x:c>
      <x:c r="Y177" s="4" t="n">
        <x:v>4</x:v>
      </x:c>
      <x:c r="Z177" s="4" t="n">
        <x:v>3</x:v>
      </x:c>
      <x:c r="AA177" s="4" t="n">
        <x:v>2</x:v>
      </x:c>
      <x:c r="AB177" s="4" t="n">
        <x:v>0</x:v>
      </x:c>
      <x:c r="AC177" s="4" t="n">
        <x:v>2.3</x:v>
      </x:c>
      <x:c r="AD177" s="4"/>
      <x:c r="AE177" s="4" t="str">
        <x:v>2026-09-15</x:v>
      </x:c>
      <x:c r="AF177" s="2"/>
      <x:c r="AG177" s="2"/>
      <x:c r="AH177" s="2"/>
      <x:c r="AI177" s="2"/>
      <x:c r="AJ177" s="2"/>
      <x:c r="AK177" s="2"/>
      <x:c r="AL177" s="2"/>
      <x:c r="AM177" s="2" t="str">
        <x:v>https://tpwd.texas.gov/huntwild/hunt/public/public_hunt_drawing/hunt-category-details.phtml?OCat=GDA</x:v>
      </x:c>
      <x:c r="AN177" s="2" t="str">
        <x:v>https://tpwd.texas.gov/search/?q=Gus+Engeling+WMA+public+hunting+brochure</x:v>
      </x:c>
      <x:c r="AO177" s="2" t="str">
        <x:v>https://apps.tpwd.state.tx.us/huntwild/hunt/public/public_hunt_drawing/</x:v>
      </x:c>
      <x:c r="AP177" s="2" t="str">
        <x:v>https://www.google.com/maps/search/?api=1&amp;query=Gus+Engeling+WMA%2C+Texas</x:v>
      </x:c>
      <x:c r="AQ177" s="2" t="n">
        <x:v>0</x:v>
      </x:c>
      <x:c r="AR177" s="2" t="str">
        <x:v>Standard Hastings ranking</x:v>
      </x:c>
    </x:row>
    <x:row r="178">
      <x:c r="A178" s="4" t="str">
        <x:v>No</x:v>
      </x:c>
      <x:c r="B178" s="4" t="str">
        <x:v>A</x:v>
      </x:c>
      <x:c r="C178" s="4" t="str">
        <x:v>Whitetail Deer</x:v>
      </x:c>
      <x:c r="D178" s="4" t="str">
        <x:v>Gus Engeling WMA</x:v>
      </x:c>
      <x:c r="E178" s="4" t="str">
        <x:v>Statewide / Other</x:v>
      </x:c>
      <x:c r="F178" s="4" t="str">
        <x:v>Gun Deer - Either Sex</x:v>
      </x:c>
      <x:c r="G178" s="4" t="str">
        <x:v>Yes</x:v>
      </x:c>
      <x:c r="H178" s="4" t="str">
        <x:v>Yes</x:v>
      </x:c>
      <x:c r="I178" s="24" t="str">
        <x:v>2026-09-15</x:v>
      </x:c>
      <x:c r="J178" s="4" t="str">
        <x:v>See TPWD category page</x:v>
      </x:c>
      <x:c r="K178" s="4" t="n">
        <x:v>3</x:v>
      </x:c>
      <x:c r="L178" s="4"/>
      <x:c r="M178" s="4"/>
      <x:c r="N178" s="4"/>
      <x:c r="O178" s="4"/>
      <x:c r="P178" s="4" t="n">
        <x:v>500</x:v>
      </x:c>
      <x:c r="Q178" s="4" t="str">
        <x:v>Statewide</x:v>
      </x:c>
      <x:c r="R178" s="4" t="str">
        <x:v>Research before draw; property brochure linked from TPWD</x:v>
      </x:c>
      <x:c r="S178" s="4" t="str">
        <x:v>Low</x:v>
      </x:c>
      <x:c r="T178" s="4" t="str">
        <x:v>No</x:v>
      </x:c>
      <x:c r="U178" s="4" t="str">
        <x:v>Verified in TPWD 2026-2027 statewide deer category catalog.</x:v>
      </x:c>
      <x:c r="V178" s="4" t="str">
        <x:v>https://tpwd.texas.gov/huntwild/hunt/public/public_hunt_drawing/hunt-category-details.phtml?OCat=GDE</x:v>
      </x:c>
      <x:c r="W178" s="4" t="n">
        <x:v>2</x:v>
      </x:c>
      <x:c r="X178" s="4" t="n">
        <x:v>2</x:v>
      </x:c>
      <x:c r="Y178" s="4" t="n">
        <x:v>4</x:v>
      </x:c>
      <x:c r="Z178" s="4" t="n">
        <x:v>3</x:v>
      </x:c>
      <x:c r="AA178" s="4" t="n">
        <x:v>2</x:v>
      </x:c>
      <x:c r="AB178" s="4" t="n">
        <x:v>0</x:v>
      </x:c>
      <x:c r="AC178" s="4" t="n">
        <x:v>2.3</x:v>
      </x:c>
      <x:c r="AD178" s="4"/>
      <x:c r="AE178" s="4" t="str">
        <x:v>2026-09-15</x:v>
      </x:c>
      <x:c r="AF178" s="2"/>
      <x:c r="AG178" s="2"/>
      <x:c r="AH178" s="2"/>
      <x:c r="AI178" s="2"/>
      <x:c r="AJ178" s="2"/>
      <x:c r="AK178" s="2"/>
      <x:c r="AL178" s="2"/>
      <x:c r="AM178" s="2" t="str">
        <x:v>https://tpwd.texas.gov/huntwild/hunt/public/public_hunt_drawing/hunt-category-details.phtml?OCat=GDE</x:v>
      </x:c>
      <x:c r="AN178" s="2" t="str">
        <x:v>https://tpwd.texas.gov/search/?q=Gus+Engeling+WMA+public+hunting+brochure</x:v>
      </x:c>
      <x:c r="AO178" s="2" t="str">
        <x:v>https://apps.tpwd.state.tx.us/huntwild/hunt/public/public_hunt_drawing/</x:v>
      </x:c>
      <x:c r="AP178" s="2" t="str">
        <x:v>https://www.google.com/maps/search/?api=1&amp;query=Gus+Engeling+WMA%2C+Texas</x:v>
      </x:c>
      <x:c r="AQ178" s="2" t="n">
        <x:v>0</x:v>
      </x:c>
      <x:c r="AR178" s="2" t="str">
        <x:v>Standard Hastings ranking</x:v>
      </x:c>
    </x:row>
    <x:row r="179">
      <x:c r="A179" s="4" t="str">
        <x:v>No</x:v>
      </x:c>
      <x:c r="B179" s="4" t="str">
        <x:v>A</x:v>
      </x:c>
      <x:c r="C179" s="4" t="str">
        <x:v>Whitetail Deer</x:v>
      </x:c>
      <x:c r="D179" s="4" t="str">
        <x:v>Hill Country SNA</x:v>
      </x:c>
      <x:c r="E179" s="4" t="str">
        <x:v>Hill Country / San Antonio</x:v>
      </x:c>
      <x:c r="F179" s="4" t="str">
        <x:v>Gun Deer - Antlerless/Spike</x:v>
      </x:c>
      <x:c r="G179" s="4" t="str">
        <x:v>Yes</x:v>
      </x:c>
      <x:c r="H179" s="4" t="str">
        <x:v>Yes</x:v>
      </x:c>
      <x:c r="I179" s="24" t="str">
        <x:v>2026-09-15</x:v>
      </x:c>
      <x:c r="J179" s="4" t="str">
        <x:v>See TPWD category page</x:v>
      </x:c>
      <x:c r="K179" s="4" t="n">
        <x:v>3</x:v>
      </x:c>
      <x:c r="L179" s="4"/>
      <x:c r="M179" s="4"/>
      <x:c r="N179" s="4"/>
      <x:c r="O179" s="4"/>
      <x:c r="P179" s="4" t="n">
        <x:v>520</x:v>
      </x:c>
      <x:c r="Q179" s="4" t="str">
        <x:v>Statewide</x:v>
      </x:c>
      <x:c r="R179" s="4" t="str">
        <x:v>Research before draw; property brochure linked from TPWD</x:v>
      </x:c>
      <x:c r="S179" s="4" t="str">
        <x:v>Low</x:v>
      </x:c>
      <x:c r="T179" s="4" t="str">
        <x:v>No</x:v>
      </x:c>
      <x:c r="U179" s="4" t="str">
        <x:v>Verified in TPWD 2026-2027 statewide deer category catalog.</x:v>
      </x:c>
      <x:c r="V179" s="4" t="str">
        <x:v>https://tpwd.texas.gov/huntwild/hunt/public/public_hunt_drawing/hunt-category-details.phtml?OCat=GDA</x:v>
      </x:c>
      <x:c r="W179" s="4" t="n">
        <x:v>2</x:v>
      </x:c>
      <x:c r="X179" s="4" t="n">
        <x:v>2</x:v>
      </x:c>
      <x:c r="Y179" s="4" t="n">
        <x:v>4</x:v>
      </x:c>
      <x:c r="Z179" s="4" t="n">
        <x:v>3</x:v>
      </x:c>
      <x:c r="AA179" s="4" t="n">
        <x:v>2</x:v>
      </x:c>
      <x:c r="AB179" s="4" t="n">
        <x:v>0</x:v>
      </x:c>
      <x:c r="AC179" s="4" t="n">
        <x:v>2.3</x:v>
      </x:c>
      <x:c r="AD179" s="4"/>
      <x:c r="AE179" s="4" t="str">
        <x:v>2026-09-15</x:v>
      </x:c>
      <x:c r="AF179" s="2"/>
      <x:c r="AG179" s="2"/>
      <x:c r="AH179" s="2"/>
      <x:c r="AI179" s="2"/>
      <x:c r="AJ179" s="2"/>
      <x:c r="AK179" s="2"/>
      <x:c r="AL179" s="2"/>
      <x:c r="AM179" s="2" t="str">
        <x:v>https://tpwd.texas.gov/huntwild/hunt/public/public_hunt_drawing/hunt-category-details.phtml?OCat=GDA</x:v>
      </x:c>
      <x:c r="AN179" s="2" t="str">
        <x:v>https://tpwd.texas.gov/search/?q=Hill+Country+SNA+public+hunting+brochure</x:v>
      </x:c>
      <x:c r="AO179" s="2" t="str">
        <x:v>https://apps.tpwd.state.tx.us/huntwild/hunt/public/public_hunt_drawing/</x:v>
      </x:c>
      <x:c r="AP179" s="2" t="str">
        <x:v>https://www.google.com/maps/search/?api=1&amp;query=Hill+Country+SNA%2C+Texas</x:v>
      </x:c>
      <x:c r="AQ179" s="2" t="n">
        <x:v>0</x:v>
      </x:c>
      <x:c r="AR179" s="2" t="str">
        <x:v>Standard Hastings ranking</x:v>
      </x:c>
    </x:row>
    <x:row r="180">
      <x:c r="A180" s="4" t="str">
        <x:v>No</x:v>
      </x:c>
      <x:c r="B180" s="4" t="str">
        <x:v>A</x:v>
      </x:c>
      <x:c r="C180" s="4" t="str">
        <x:v>Whitetail Deer</x:v>
      </x:c>
      <x:c r="D180" s="4" t="str">
        <x:v>Honey Creek SNA</x:v>
      </x:c>
      <x:c r="E180" s="4" t="str">
        <x:v>Hill Country / San Antonio</x:v>
      </x:c>
      <x:c r="F180" s="4" t="str">
        <x:v>Gun Deer - Either Sex</x:v>
      </x:c>
      <x:c r="G180" s="4" t="str">
        <x:v>Yes</x:v>
      </x:c>
      <x:c r="H180" s="4" t="str">
        <x:v>Yes</x:v>
      </x:c>
      <x:c r="I180" s="24" t="str">
        <x:v>2026-09-15</x:v>
      </x:c>
      <x:c r="J180" s="4" t="str">
        <x:v>See TPWD category page</x:v>
      </x:c>
      <x:c r="K180" s="4" t="n">
        <x:v>3</x:v>
      </x:c>
      <x:c r="L180" s="4"/>
      <x:c r="M180" s="4"/>
      <x:c r="N180" s="4"/>
      <x:c r="O180" s="4"/>
      <x:c r="P180" s="4" t="n">
        <x:v>520</x:v>
      </x:c>
      <x:c r="Q180" s="4" t="str">
        <x:v>Statewide</x:v>
      </x:c>
      <x:c r="R180" s="4" t="str">
        <x:v>Research before draw; property brochure linked from TPWD</x:v>
      </x:c>
      <x:c r="S180" s="4" t="str">
        <x:v>Low</x:v>
      </x:c>
      <x:c r="T180" s="4" t="str">
        <x:v>No</x:v>
      </x:c>
      <x:c r="U180" s="4" t="str">
        <x:v>Verified in TPWD 2026-2027 statewide deer category catalog.</x:v>
      </x:c>
      <x:c r="V180" s="4" t="str">
        <x:v>https://tpwd.texas.gov/huntwild/hunt/public/public_hunt_drawing/hunt-category-details.phtml?OCat=GDE</x:v>
      </x:c>
      <x:c r="W180" s="4" t="n">
        <x:v>2</x:v>
      </x:c>
      <x:c r="X180" s="4" t="n">
        <x:v>2</x:v>
      </x:c>
      <x:c r="Y180" s="4" t="n">
        <x:v>4</x:v>
      </x:c>
      <x:c r="Z180" s="4" t="n">
        <x:v>3</x:v>
      </x:c>
      <x:c r="AA180" s="4" t="n">
        <x:v>2</x:v>
      </x:c>
      <x:c r="AB180" s="4" t="n">
        <x:v>0</x:v>
      </x:c>
      <x:c r="AC180" s="4" t="n">
        <x:v>2.3</x:v>
      </x:c>
      <x:c r="AD180" s="4"/>
      <x:c r="AE180" s="4" t="str">
        <x:v>2026-09-15</x:v>
      </x:c>
      <x:c r="AF180" s="2"/>
      <x:c r="AG180" s="2"/>
      <x:c r="AH180" s="2"/>
      <x:c r="AI180" s="2"/>
      <x:c r="AJ180" s="2"/>
      <x:c r="AK180" s="2"/>
      <x:c r="AL180" s="2"/>
      <x:c r="AM180" s="2" t="str">
        <x:v>https://tpwd.texas.gov/huntwild/hunt/public/public_hunt_drawing/hunt-category-details.phtml?OCat=GDE</x:v>
      </x:c>
      <x:c r="AN180" s="2" t="str">
        <x:v>https://tpwd.texas.gov/search/?q=Honey+Creek+SNA+public+hunting+brochure</x:v>
      </x:c>
      <x:c r="AO180" s="2" t="str">
        <x:v>https://apps.tpwd.state.tx.us/huntwild/hunt/public/public_hunt_drawing/</x:v>
      </x:c>
      <x:c r="AP180" s="2" t="str">
        <x:v>https://www.google.com/maps/search/?api=1&amp;query=Honey+Creek+SNA%2C+Texas</x:v>
      </x:c>
      <x:c r="AQ180" s="2" t="n">
        <x:v>0</x:v>
      </x:c>
      <x:c r="AR180" s="2" t="str">
        <x:v>Standard Hastings ranking</x:v>
      </x:c>
    </x:row>
    <x:row r="181">
      <x:c r="A181" s="4" t="str">
        <x:v>No</x:v>
      </x:c>
      <x:c r="B181" s="4" t="str">
        <x:v>A</x:v>
      </x:c>
      <x:c r="C181" s="4" t="str">
        <x:v>Whitetail Deer</x:v>
      </x:c>
      <x:c r="D181" s="4" t="str">
        <x:v>Huntsville SP</x:v>
      </x:c>
      <x:c r="E181" s="4" t="str">
        <x:v>East Texas / Pineywoods</x:v>
      </x:c>
      <x:c r="F181" s="4" t="str">
        <x:v>Gun Deer - Either Sex</x:v>
      </x:c>
      <x:c r="G181" s="4" t="str">
        <x:v>Yes</x:v>
      </x:c>
      <x:c r="H181" s="4" t="str">
        <x:v>Yes</x:v>
      </x:c>
      <x:c r="I181" s="24" t="str">
        <x:v>2026-09-15</x:v>
      </x:c>
      <x:c r="J181" s="4" t="str">
        <x:v>See TPWD category page</x:v>
      </x:c>
      <x:c r="K181" s="4" t="n">
        <x:v>3</x:v>
      </x:c>
      <x:c r="L181" s="4"/>
      <x:c r="M181" s="4"/>
      <x:c r="N181" s="4"/>
      <x:c r="O181" s="4"/>
      <x:c r="P181" s="4" t="n">
        <x:v>570</x:v>
      </x:c>
      <x:c r="Q181" s="4" t="str">
        <x:v>Statewide</x:v>
      </x:c>
      <x:c r="R181" s="4" t="str">
        <x:v>Research before draw; property brochure linked from TPWD</x:v>
      </x:c>
      <x:c r="S181" s="4" t="str">
        <x:v>Low</x:v>
      </x:c>
      <x:c r="T181" s="4" t="str">
        <x:v>No</x:v>
      </x:c>
      <x:c r="U181" s="4" t="str">
        <x:v>Verified in TPWD 2026-2027 statewide deer category catalog.</x:v>
      </x:c>
      <x:c r="V181" s="4" t="str">
        <x:v>https://tpwd.texas.gov/huntwild/hunt/public/public_hunt_drawing/hunt-category-details.phtml?OCat=GDE</x:v>
      </x:c>
      <x:c r="W181" s="4" t="n">
        <x:v>2</x:v>
      </x:c>
      <x:c r="X181" s="4" t="n">
        <x:v>2</x:v>
      </x:c>
      <x:c r="Y181" s="4" t="n">
        <x:v>4</x:v>
      </x:c>
      <x:c r="Z181" s="4" t="n">
        <x:v>3</x:v>
      </x:c>
      <x:c r="AA181" s="4" t="n">
        <x:v>2</x:v>
      </x:c>
      <x:c r="AB181" s="4" t="n">
        <x:v>0</x:v>
      </x:c>
      <x:c r="AC181" s="4" t="n">
        <x:v>2.3</x:v>
      </x:c>
      <x:c r="AD181" s="4"/>
      <x:c r="AE181" s="4" t="str">
        <x:v>2026-09-15</x:v>
      </x:c>
      <x:c r="AF181" s="2"/>
      <x:c r="AG181" s="2"/>
      <x:c r="AH181" s="2"/>
      <x:c r="AI181" s="2"/>
      <x:c r="AJ181" s="2"/>
      <x:c r="AK181" s="2"/>
      <x:c r="AL181" s="2"/>
      <x:c r="AM181" s="2" t="str">
        <x:v>https://tpwd.texas.gov/huntwild/hunt/public/public_hunt_drawing/hunt-category-details.phtml?OCat=GDE</x:v>
      </x:c>
      <x:c r="AN181" s="2" t="str">
        <x:v>https://tpwd.texas.gov/search/?q=Huntsville+SP+public+hunting+brochure</x:v>
      </x:c>
      <x:c r="AO181" s="2" t="str">
        <x:v>https://apps.tpwd.state.tx.us/huntwild/hunt/public/public_hunt_drawing/</x:v>
      </x:c>
      <x:c r="AP181" s="2" t="str">
        <x:v>https://www.google.com/maps/search/?api=1&amp;query=Huntsville+SP%2C+Texas</x:v>
      </x:c>
      <x:c r="AQ181" s="2" t="n">
        <x:v>0</x:v>
      </x:c>
      <x:c r="AR181" s="2" t="str">
        <x:v>Standard Hastings ranking</x:v>
      </x:c>
    </x:row>
    <x:row r="182">
      <x:c r="A182" s="4" t="str">
        <x:v>No</x:v>
      </x:c>
      <x:c r="B182" s="4" t="str">
        <x:v>A</x:v>
      </x:c>
      <x:c r="C182" s="4" t="str">
        <x:v>Whitetail Deer</x:v>
      </x:c>
      <x:c r="D182" s="4" t="str">
        <x:v>Inks Lake/Longhorn Caverns SP</x:v>
      </x:c>
      <x:c r="E182" s="4" t="str">
        <x:v>Central Texas / Austin</x:v>
      </x:c>
      <x:c r="F182" s="4" t="str">
        <x:v>Gun Deer - Antlerless/Spike</x:v>
      </x:c>
      <x:c r="G182" s="4" t="str">
        <x:v>Yes</x:v>
      </x:c>
      <x:c r="H182" s="4" t="str">
        <x:v>Yes</x:v>
      </x:c>
      <x:c r="I182" s="24" t="str">
        <x:v>2026-09-15</x:v>
      </x:c>
      <x:c r="J182" s="4" t="str">
        <x:v>See TPWD category page</x:v>
      </x:c>
      <x:c r="K182" s="4" t="n">
        <x:v>3</x:v>
      </x:c>
      <x:c r="L182" s="4"/>
      <x:c r="M182" s="4"/>
      <x:c r="N182" s="4"/>
      <x:c r="O182" s="4"/>
      <x:c r="P182" s="4" t="n">
        <x:v>490</x:v>
      </x:c>
      <x:c r="Q182" s="4" t="str">
        <x:v>Statewide</x:v>
      </x:c>
      <x:c r="R182" s="4" t="str">
        <x:v>Research before draw; property brochure linked from TPWD</x:v>
      </x:c>
      <x:c r="S182" s="4" t="str">
        <x:v>Low</x:v>
      </x:c>
      <x:c r="T182" s="4" t="str">
        <x:v>No</x:v>
      </x:c>
      <x:c r="U182" s="4" t="str">
        <x:v>Verified in TPWD 2026-2027 statewide deer category catalog.</x:v>
      </x:c>
      <x:c r="V182" s="4" t="str">
        <x:v>https://tpwd.texas.gov/huntwild/hunt/public/public_hunt_drawing/hunt-category-details.phtml?OCat=GDA</x:v>
      </x:c>
      <x:c r="W182" s="4" t="n">
        <x:v>2</x:v>
      </x:c>
      <x:c r="X182" s="4" t="n">
        <x:v>2</x:v>
      </x:c>
      <x:c r="Y182" s="4" t="n">
        <x:v>4</x:v>
      </x:c>
      <x:c r="Z182" s="4" t="n">
        <x:v>3</x:v>
      </x:c>
      <x:c r="AA182" s="4" t="n">
        <x:v>2</x:v>
      </x:c>
      <x:c r="AB182" s="4" t="n">
        <x:v>0</x:v>
      </x:c>
      <x:c r="AC182" s="4" t="n">
        <x:v>2.3</x:v>
      </x:c>
      <x:c r="AD182" s="4"/>
      <x:c r="AE182" s="4" t="str">
        <x:v>2026-09-15</x:v>
      </x:c>
      <x:c r="AF182" s="2"/>
      <x:c r="AG182" s="2"/>
      <x:c r="AH182" s="2"/>
      <x:c r="AI182" s="2"/>
      <x:c r="AJ182" s="2"/>
      <x:c r="AK182" s="2"/>
      <x:c r="AL182" s="2"/>
      <x:c r="AM182" s="2" t="str">
        <x:v>https://tpwd.texas.gov/huntwild/hunt/public/public_hunt_drawing/hunt-category-details.phtml?OCat=GDA</x:v>
      </x:c>
      <x:c r="AN182" s="2" t="str">
        <x:v>https://tpwd.texas.gov/search/?q=Inks+Lake%2FLonghorn+Caverns+SP+public+hunting+brochure</x:v>
      </x:c>
      <x:c r="AO182" s="2" t="str">
        <x:v>https://apps.tpwd.state.tx.us/huntwild/hunt/public/public_hunt_drawing/</x:v>
      </x:c>
      <x:c r="AP182" s="2" t="str">
        <x:v>https://www.google.com/maps/search/?api=1&amp;query=Inks+Lake%2FLonghorn+Caverns+SP%2C+Texas</x:v>
      </x:c>
      <x:c r="AQ182" s="2" t="n">
        <x:v>0</x:v>
      </x:c>
      <x:c r="AR182" s="2" t="str">
        <x:v>Standard Hastings ranking</x:v>
      </x:c>
    </x:row>
    <x:row r="183">
      <x:c r="A183" s="4" t="str">
        <x:v>No</x:v>
      </x:c>
      <x:c r="B183" s="4" t="str">
        <x:v>A</x:v>
      </x:c>
      <x:c r="C183" s="4" t="str">
        <x:v>Whitetail Deer</x:v>
      </x:c>
      <x:c r="D183" s="4" t="str">
        <x:v>Inks Lake/Longhorn Caverns SP</x:v>
      </x:c>
      <x:c r="E183" s="4" t="str">
        <x:v>Central Texas / Austin</x:v>
      </x:c>
      <x:c r="F183" s="4" t="str">
        <x:v>Gun Deer - Either Sex</x:v>
      </x:c>
      <x:c r="G183" s="4" t="str">
        <x:v>Yes</x:v>
      </x:c>
      <x:c r="H183" s="4" t="str">
        <x:v>Yes</x:v>
      </x:c>
      <x:c r="I183" s="24" t="str">
        <x:v>2026-09-15</x:v>
      </x:c>
      <x:c r="J183" s="4" t="str">
        <x:v>See TPWD category page</x:v>
      </x:c>
      <x:c r="K183" s="4" t="n">
        <x:v>3</x:v>
      </x:c>
      <x:c r="L183" s="4"/>
      <x:c r="M183" s="4"/>
      <x:c r="N183" s="4"/>
      <x:c r="O183" s="4"/>
      <x:c r="P183" s="4" t="n">
        <x:v>490</x:v>
      </x:c>
      <x:c r="Q183" s="4" t="str">
        <x:v>Statewide</x:v>
      </x:c>
      <x:c r="R183" s="4" t="str">
        <x:v>Research before draw; property brochure linked from TPWD</x:v>
      </x:c>
      <x:c r="S183" s="4" t="str">
        <x:v>Low</x:v>
      </x:c>
      <x:c r="T183" s="4" t="str">
        <x:v>No</x:v>
      </x:c>
      <x:c r="U183" s="4" t="str">
        <x:v>Verified in TPWD 2026-2027 statewide deer category catalog.</x:v>
      </x:c>
      <x:c r="V183" s="4" t="str">
        <x:v>https://tpwd.texas.gov/huntwild/hunt/public/public_hunt_drawing/hunt-category-details.phtml?OCat=GDE</x:v>
      </x:c>
      <x:c r="W183" s="4" t="n">
        <x:v>2</x:v>
      </x:c>
      <x:c r="X183" s="4" t="n">
        <x:v>2</x:v>
      </x:c>
      <x:c r="Y183" s="4" t="n">
        <x:v>4</x:v>
      </x:c>
      <x:c r="Z183" s="4" t="n">
        <x:v>3</x:v>
      </x:c>
      <x:c r="AA183" s="4" t="n">
        <x:v>2</x:v>
      </x:c>
      <x:c r="AB183" s="4" t="n">
        <x:v>0</x:v>
      </x:c>
      <x:c r="AC183" s="4" t="n">
        <x:v>2.3</x:v>
      </x:c>
      <x:c r="AD183" s="4"/>
      <x:c r="AE183" s="4" t="str">
        <x:v>2026-09-15</x:v>
      </x:c>
      <x:c r="AF183" s="2"/>
      <x:c r="AG183" s="2"/>
      <x:c r="AH183" s="2"/>
      <x:c r="AI183" s="2"/>
      <x:c r="AJ183" s="2"/>
      <x:c r="AK183" s="2"/>
      <x:c r="AL183" s="2"/>
      <x:c r="AM183" s="2" t="str">
        <x:v>https://tpwd.texas.gov/huntwild/hunt/public/public_hunt_drawing/hunt-category-details.phtml?OCat=GDE</x:v>
      </x:c>
      <x:c r="AN183" s="2" t="str">
        <x:v>https://tpwd.texas.gov/search/?q=Inks+Lake%2FLonghorn+Caverns+SP+public+hunting+brochure</x:v>
      </x:c>
      <x:c r="AO183" s="2" t="str">
        <x:v>https://apps.tpwd.state.tx.us/huntwild/hunt/public/public_hunt_drawing/</x:v>
      </x:c>
      <x:c r="AP183" s="2" t="str">
        <x:v>https://www.google.com/maps/search/?api=1&amp;query=Inks+Lake%2FLonghorn+Caverns+SP%2C+Texas</x:v>
      </x:c>
      <x:c r="AQ183" s="2" t="n">
        <x:v>0</x:v>
      </x:c>
      <x:c r="AR183" s="2" t="str">
        <x:v>Standard Hastings ranking</x:v>
      </x:c>
    </x:row>
    <x:row r="184">
      <x:c r="A184" s="4" t="str">
        <x:v>No</x:v>
      </x:c>
      <x:c r="B184" s="4" t="str">
        <x:v>A</x:v>
      </x:c>
      <x:c r="C184" s="4" t="str">
        <x:v>Whitetail Deer</x:v>
      </x:c>
      <x:c r="D184" s="4" t="str">
        <x:v>James Daughtrey WMA</x:v>
      </x:c>
      <x:c r="E184" s="4" t="str">
        <x:v>South Texas / Rio Grande Valley</x:v>
      </x:c>
      <x:c r="F184" s="4" t="str">
        <x:v>Gun Deer - Either Sex</x:v>
      </x:c>
      <x:c r="G184" s="4" t="str">
        <x:v>Yes</x:v>
      </x:c>
      <x:c r="H184" s="4" t="str">
        <x:v>Yes</x:v>
      </x:c>
      <x:c r="I184" s="24" t="str">
        <x:v>2026-09-15</x:v>
      </x:c>
      <x:c r="J184" s="4" t="str">
        <x:v>See TPWD category page</x:v>
      </x:c>
      <x:c r="K184" s="4" t="n">
        <x:v>3</x:v>
      </x:c>
      <x:c r="L184" s="4"/>
      <x:c r="M184" s="4"/>
      <x:c r="N184" s="4"/>
      <x:c r="O184" s="4"/>
      <x:c r="P184" s="4" t="n">
        <x:v>700</x:v>
      </x:c>
      <x:c r="Q184" s="4" t="str">
        <x:v>Long Haul</x:v>
      </x:c>
      <x:c r="R184" s="4" t="str">
        <x:v>Research before draw; property brochure linked from TPWD</x:v>
      </x:c>
      <x:c r="S184" s="4" t="str">
        <x:v>Low</x:v>
      </x:c>
      <x:c r="T184" s="4" t="str">
        <x:v>No</x:v>
      </x:c>
      <x:c r="U184" s="4" t="str">
        <x:v>Verified in TPWD 2026-2027 statewide deer category catalog.</x:v>
      </x:c>
      <x:c r="V184" s="4" t="str">
        <x:v>https://tpwd.texas.gov/huntwild/hunt/public/public_hunt_drawing/hunt-category-details.phtml?OCat=GDE</x:v>
      </x:c>
      <x:c r="W184" s="4" t="n">
        <x:v>2</x:v>
      </x:c>
      <x:c r="X184" s="4" t="n">
        <x:v>1</x:v>
      </x:c>
      <x:c r="Y184" s="4" t="n">
        <x:v>4</x:v>
      </x:c>
      <x:c r="Z184" s="4" t="n">
        <x:v>3</x:v>
      </x:c>
      <x:c r="AA184" s="4" t="n">
        <x:v>2</x:v>
      </x:c>
      <x:c r="AB184" s="4" t="n">
        <x:v>0</x:v>
      </x:c>
      <x:c r="AC184" s="4" t="n">
        <x:v>2.1</x:v>
      </x:c>
      <x:c r="AD184" s="4"/>
      <x:c r="AE184" s="4" t="str">
        <x:v>2026-09-15</x:v>
      </x:c>
      <x:c r="AF184" s="2"/>
      <x:c r="AG184" s="2"/>
      <x:c r="AH184" s="2"/>
      <x:c r="AI184" s="2"/>
      <x:c r="AJ184" s="2"/>
      <x:c r="AK184" s="2"/>
      <x:c r="AL184" s="2"/>
      <x:c r="AM184" s="2" t="str">
        <x:v>https://tpwd.texas.gov/huntwild/hunt/public/public_hunt_drawing/hunt-category-details.phtml?OCat=GDE</x:v>
      </x:c>
      <x:c r="AN184" s="2" t="str">
        <x:v>https://tpwd.texas.gov/search/?q=James+Daughtrey+WMA+public+hunting+brochure</x:v>
      </x:c>
      <x:c r="AO184" s="2" t="str">
        <x:v>https://apps.tpwd.state.tx.us/huntwild/hunt/public/public_hunt_drawing/</x:v>
      </x:c>
      <x:c r="AP184" s="2" t="str">
        <x:v>https://www.google.com/maps/search/?api=1&amp;query=James+Daughtrey+WMA%2C+Texas</x:v>
      </x:c>
      <x:c r="AQ184" s="2" t="n">
        <x:v>0</x:v>
      </x:c>
      <x:c r="AR184" s="2" t="str">
        <x:v>Standard Hastings ranking</x:v>
      </x:c>
    </x:row>
    <x:row r="185">
      <x:c r="A185" s="4" t="str">
        <x:v>No</x:v>
      </x:c>
      <x:c r="B185" s="4" t="str">
        <x:v>A</x:v>
      </x:c>
      <x:c r="C185" s="4" t="str">
        <x:v>Whitetail Deer</x:v>
      </x:c>
      <x:c r="D185" s="4" t="str">
        <x:v>James Daughtrey WMA</x:v>
      </x:c>
      <x:c r="E185" s="4" t="str">
        <x:v>South Texas / Rio Grande Valley</x:v>
      </x:c>
      <x:c r="F185" s="4" t="str">
        <x:v>Gun Deer - Management</x:v>
      </x:c>
      <x:c r="G185" s="4" t="str">
        <x:v>Yes</x:v>
      </x:c>
      <x:c r="H185" s="4" t="str">
        <x:v>Yes</x:v>
      </x:c>
      <x:c r="I185" s="24" t="str">
        <x:v>2026-09-15</x:v>
      </x:c>
      <x:c r="J185" s="4" t="str">
        <x:v>See TPWD category page</x:v>
      </x:c>
      <x:c r="K185" s="4" t="n">
        <x:v>3</x:v>
      </x:c>
      <x:c r="L185" s="4"/>
      <x:c r="M185" s="4"/>
      <x:c r="N185" s="4"/>
      <x:c r="O185" s="4"/>
      <x:c r="P185" s="4" t="n">
        <x:v>700</x:v>
      </x:c>
      <x:c r="Q185" s="4" t="str">
        <x:v>Long Haul</x:v>
      </x:c>
      <x:c r="R185" s="4" t="str">
        <x:v>Research before draw; property brochure linked from TPWD</x:v>
      </x:c>
      <x:c r="S185" s="4" t="str">
        <x:v>Low</x:v>
      </x:c>
      <x:c r="T185" s="4" t="str">
        <x:v>No</x:v>
      </x:c>
      <x:c r="U185" s="4" t="str">
        <x:v>Verified in TPWD 2026-2027 statewide deer category catalog.</x:v>
      </x:c>
      <x:c r="V185" s="4" t="str">
        <x:v>https://tpwd.texas.gov/huntwild/hunt/public/public_hunt_drawing/hunt-category-details.phtml?OCat=GDM</x:v>
      </x:c>
      <x:c r="W185" s="4" t="n">
        <x:v>2</x:v>
      </x:c>
      <x:c r="X185" s="4" t="n">
        <x:v>1</x:v>
      </x:c>
      <x:c r="Y185" s="4" t="n">
        <x:v>4</x:v>
      </x:c>
      <x:c r="Z185" s="4" t="n">
        <x:v>3</x:v>
      </x:c>
      <x:c r="AA185" s="4" t="n">
        <x:v>2</x:v>
      </x:c>
      <x:c r="AB185" s="4" t="n">
        <x:v>0</x:v>
      </x:c>
      <x:c r="AC185" s="4" t="n">
        <x:v>2.1</x:v>
      </x:c>
      <x:c r="AD185" s="4"/>
      <x:c r="AE185" s="4" t="str">
        <x:v>2026-09-15</x:v>
      </x:c>
      <x:c r="AF185" s="2"/>
      <x:c r="AG185" s="2"/>
      <x:c r="AH185" s="2"/>
      <x:c r="AI185" s="2"/>
      <x:c r="AJ185" s="2"/>
      <x:c r="AK185" s="2"/>
      <x:c r="AL185" s="2"/>
      <x:c r="AM185" s="2" t="str">
        <x:v>https://tpwd.texas.gov/huntwild/hunt/public/public_hunt_drawing/hunt-category-details.phtml?OCat=GDM</x:v>
      </x:c>
      <x:c r="AN185" s="2" t="str">
        <x:v>https://tpwd.texas.gov/search/?q=James+Daughtrey+WMA+public+hunting+brochure</x:v>
      </x:c>
      <x:c r="AO185" s="2" t="str">
        <x:v>https://apps.tpwd.state.tx.us/huntwild/hunt/public/public_hunt_drawing/</x:v>
      </x:c>
      <x:c r="AP185" s="2" t="str">
        <x:v>https://www.google.com/maps/search/?api=1&amp;query=James+Daughtrey+WMA%2C+Texas</x:v>
      </x:c>
      <x:c r="AQ185" s="2" t="n">
        <x:v>0</x:v>
      </x:c>
      <x:c r="AR185" s="2" t="str">
        <x:v>Standard Hastings ranking</x:v>
      </x:c>
    </x:row>
    <x:row r="186">
      <x:c r="A186" s="4" t="str">
        <x:v>No</x:v>
      </x:c>
      <x:c r="B186" s="4" t="str">
        <x:v>A</x:v>
      </x:c>
      <x:c r="C186" s="4" t="str">
        <x:v>Whitetail Deer</x:v>
      </x:c>
      <x:c r="D186" s="4" t="str">
        <x:v>Keechi Creek WMA</x:v>
      </x:c>
      <x:c r="E186" s="4" t="str">
        <x:v>Statewide / Other</x:v>
      </x:c>
      <x:c r="F186" s="4" t="str">
        <x:v>E-Postcard Deer</x:v>
      </x:c>
      <x:c r="G186" s="4" t="str">
        <x:v>Yes</x:v>
      </x:c>
      <x:c r="H186" s="4" t="str">
        <x:v>Yes</x:v>
      </x:c>
      <x:c r="I186" s="24" t="str">
        <x:v>2026-09-15</x:v>
      </x:c>
      <x:c r="J186" s="4" t="str">
        <x:v>See TPWD category page</x:v>
      </x:c>
      <x:c r="K186" s="4" t="n">
        <x:v>0</x:v>
      </x:c>
      <x:c r="L186" s="4" t="n">
        <x:v>0</x:v>
      </x:c>
      <x:c r="M186" s="4"/>
      <x:c r="N186" s="4"/>
      <x:c r="O186" s="4"/>
      <x:c r="P186" s="4" t="n">
        <x:v>500</x:v>
      </x:c>
      <x:c r="Q186" s="4" t="str">
        <x:v>Statewide</x:v>
      </x:c>
      <x:c r="R186" s="4" t="str">
        <x:v>Research before draw; property brochure linked from TPWD</x:v>
      </x:c>
      <x:c r="S186" s="4" t="str">
        <x:v>Low</x:v>
      </x:c>
      <x:c r="T186" s="4" t="str">
        <x:v>No</x:v>
      </x:c>
      <x:c r="U186" s="4" t="str">
        <x:v>Verified in TPWD 2026-2027 statewide deer category catalog. APH/eligibility rules apply; confirm account and permit requirements.</x:v>
      </x:c>
      <x:c r="V186" s="4" t="str">
        <x:v>https://tpwd.texas.gov/huntwild/hunt/public/public_hunt_drawing/hunt-category-details.phtml?OCat=EDR</x:v>
      </x:c>
      <x:c r="W186" s="4" t="n">
        <x:v>2</x:v>
      </x:c>
      <x:c r="X186" s="4" t="n">
        <x:v>2</x:v>
      </x:c>
      <x:c r="Y186" s="4" t="n">
        <x:v>4</x:v>
      </x:c>
      <x:c r="Z186" s="4" t="n">
        <x:v>3</x:v>
      </x:c>
      <x:c r="AA186" s="4" t="n">
        <x:v>2</x:v>
      </x:c>
      <x:c r="AB186" s="4" t="n">
        <x:v>0</x:v>
      </x:c>
      <x:c r="AC186" s="4" t="n">
        <x:v>2.3</x:v>
      </x:c>
      <x:c r="AD186" s="4" t="n">
        <x:v>0</x:v>
      </x:c>
      <x:c r="AE186" s="4" t="str">
        <x:v>2026-09-15</x:v>
      </x:c>
      <x:c r="AF186" s="2"/>
      <x:c r="AG186" s="2"/>
      <x:c r="AH186" s="2"/>
      <x:c r="AI186" s="2"/>
      <x:c r="AJ186" s="2"/>
      <x:c r="AK186" s="2"/>
      <x:c r="AL186" s="2"/>
      <x:c r="AM186" s="2" t="str">
        <x:v>https://tpwd.texas.gov/huntwild/hunt/public/public_hunt_drawing/hunt-category-details.phtml?OCat=EDR</x:v>
      </x:c>
      <x:c r="AN186" s="2" t="str">
        <x:v>https://tpwd.texas.gov/search/?q=Keechi+Creek+WMA+public+hunting+brochure</x:v>
      </x:c>
      <x:c r="AO186" s="2" t="str">
        <x:v>https://apps.tpwd.state.tx.us/huntwild/hunt/public/public_hunt_drawing/</x:v>
      </x:c>
      <x:c r="AP186" s="2" t="str">
        <x:v>https://www.google.com/maps/search/?api=1&amp;query=Keechi+Creek+WMA%2C+Texas</x:v>
      </x:c>
      <x:c r="AQ186" s="2" t="n">
        <x:v>0</x:v>
      </x:c>
      <x:c r="AR186" s="2" t="str">
        <x:v>Standard Hastings ranking</x:v>
      </x:c>
    </x:row>
    <x:row r="187">
      <x:c r="A187" s="4" t="str">
        <x:v>No</x:v>
      </x:c>
      <x:c r="B187" s="4" t="str">
        <x:v>A</x:v>
      </x:c>
      <x:c r="C187" s="4" t="str">
        <x:v>Whitetail Deer</x:v>
      </x:c>
      <x:c r="D187" s="4" t="str">
        <x:v>Kerr WMA</x:v>
      </x:c>
      <x:c r="E187" s="4" t="str">
        <x:v>Hill Country / San Antonio</x:v>
      </x:c>
      <x:c r="F187" s="4" t="str">
        <x:v>Gun Deer - Either Sex</x:v>
      </x:c>
      <x:c r="G187" s="4" t="str">
        <x:v>Yes</x:v>
      </x:c>
      <x:c r="H187" s="4" t="str">
        <x:v>Yes</x:v>
      </x:c>
      <x:c r="I187" s="24" t="str">
        <x:v>2026-09-15</x:v>
      </x:c>
      <x:c r="J187" s="4" t="str">
        <x:v>See TPWD category page</x:v>
      </x:c>
      <x:c r="K187" s="4" t="n">
        <x:v>3</x:v>
      </x:c>
      <x:c r="L187" s="4"/>
      <x:c r="M187" s="4"/>
      <x:c r="N187" s="4"/>
      <x:c r="O187" s="4"/>
      <x:c r="P187" s="4" t="n">
        <x:v>520</x:v>
      </x:c>
      <x:c r="Q187" s="4" t="str">
        <x:v>Statewide</x:v>
      </x:c>
      <x:c r="R187" s="4" t="str">
        <x:v>Research before draw; property brochure linked from TPWD</x:v>
      </x:c>
      <x:c r="S187" s="4" t="str">
        <x:v>Low</x:v>
      </x:c>
      <x:c r="T187" s="4" t="str">
        <x:v>No</x:v>
      </x:c>
      <x:c r="U187" s="4" t="str">
        <x:v>Verified in TPWD 2026-2027 statewide deer category catalog.</x:v>
      </x:c>
      <x:c r="V187" s="4" t="str">
        <x:v>https://tpwd.texas.gov/huntwild/hunt/public/public_hunt_drawing/hunt-category-details.phtml?OCat=GDE</x:v>
      </x:c>
      <x:c r="W187" s="4" t="n">
        <x:v>2</x:v>
      </x:c>
      <x:c r="X187" s="4" t="n">
        <x:v>2</x:v>
      </x:c>
      <x:c r="Y187" s="4" t="n">
        <x:v>4</x:v>
      </x:c>
      <x:c r="Z187" s="4" t="n">
        <x:v>3</x:v>
      </x:c>
      <x:c r="AA187" s="4" t="n">
        <x:v>2</x:v>
      </x:c>
      <x:c r="AB187" s="4" t="n">
        <x:v>0</x:v>
      </x:c>
      <x:c r="AC187" s="4" t="n">
        <x:v>2.3</x:v>
      </x:c>
      <x:c r="AD187" s="4"/>
      <x:c r="AE187" s="4" t="str">
        <x:v>2026-09-15</x:v>
      </x:c>
      <x:c r="AF187" s="2"/>
      <x:c r="AG187" s="2"/>
      <x:c r="AH187" s="2"/>
      <x:c r="AI187" s="2"/>
      <x:c r="AJ187" s="2"/>
      <x:c r="AK187" s="2"/>
      <x:c r="AL187" s="2"/>
      <x:c r="AM187" s="2" t="str">
        <x:v>https://tpwd.texas.gov/huntwild/hunt/public/public_hunt_drawing/hunt-category-details.phtml?OCat=GDE</x:v>
      </x:c>
      <x:c r="AN187" s="2" t="str">
        <x:v>https://tpwd.texas.gov/search/?q=Kerr+WMA+public+hunting+brochure</x:v>
      </x:c>
      <x:c r="AO187" s="2" t="str">
        <x:v>https://apps.tpwd.state.tx.us/huntwild/hunt/public/public_hunt_drawing/</x:v>
      </x:c>
      <x:c r="AP187" s="2" t="str">
        <x:v>https://www.google.com/maps/search/?api=1&amp;query=Kerr+WMA%2C+Texas</x:v>
      </x:c>
      <x:c r="AQ187" s="2" t="n">
        <x:v>0</x:v>
      </x:c>
      <x:c r="AR187" s="2" t="str">
        <x:v>Standard Hastings ranking</x:v>
      </x:c>
    </x:row>
    <x:row r="188">
      <x:c r="A188" s="4" t="str">
        <x:v>No</x:v>
      </x:c>
      <x:c r="B188" s="4" t="str">
        <x:v>A</x:v>
      </x:c>
      <x:c r="C188" s="4" t="str">
        <x:v>Whitetail Deer</x:v>
      </x:c>
      <x:c r="D188" s="4" t="str">
        <x:v>Kerr WMA</x:v>
      </x:c>
      <x:c r="E188" s="4" t="str">
        <x:v>Hill Country / San Antonio</x:v>
      </x:c>
      <x:c r="F188" s="4" t="str">
        <x:v>Gun Deer - Management</x:v>
      </x:c>
      <x:c r="G188" s="4" t="str">
        <x:v>Yes</x:v>
      </x:c>
      <x:c r="H188" s="4" t="str">
        <x:v>Yes</x:v>
      </x:c>
      <x:c r="I188" s="24" t="str">
        <x:v>2026-09-15</x:v>
      </x:c>
      <x:c r="J188" s="4" t="str">
        <x:v>See TPWD category page</x:v>
      </x:c>
      <x:c r="K188" s="4" t="n">
        <x:v>3</x:v>
      </x:c>
      <x:c r="L188" s="4"/>
      <x:c r="M188" s="4"/>
      <x:c r="N188" s="4"/>
      <x:c r="O188" s="4"/>
      <x:c r="P188" s="4" t="n">
        <x:v>520</x:v>
      </x:c>
      <x:c r="Q188" s="4" t="str">
        <x:v>Statewide</x:v>
      </x:c>
      <x:c r="R188" s="4" t="str">
        <x:v>Research before draw; property brochure linked from TPWD</x:v>
      </x:c>
      <x:c r="S188" s="4" t="str">
        <x:v>Low</x:v>
      </x:c>
      <x:c r="T188" s="4" t="str">
        <x:v>No</x:v>
      </x:c>
      <x:c r="U188" s="4" t="str">
        <x:v>Verified in TPWD 2026-2027 statewide deer category catalog.</x:v>
      </x:c>
      <x:c r="V188" s="4" t="str">
        <x:v>https://tpwd.texas.gov/huntwild/hunt/public/public_hunt_drawing/hunt-category-details.phtml?OCat=GDM</x:v>
      </x:c>
      <x:c r="W188" s="4" t="n">
        <x:v>2</x:v>
      </x:c>
      <x:c r="X188" s="4" t="n">
        <x:v>2</x:v>
      </x:c>
      <x:c r="Y188" s="4" t="n">
        <x:v>4</x:v>
      </x:c>
      <x:c r="Z188" s="4" t="n">
        <x:v>3</x:v>
      </x:c>
      <x:c r="AA188" s="4" t="n">
        <x:v>2</x:v>
      </x:c>
      <x:c r="AB188" s="4" t="n">
        <x:v>0</x:v>
      </x:c>
      <x:c r="AC188" s="4" t="n">
        <x:v>2.3</x:v>
      </x:c>
      <x:c r="AD188" s="4"/>
      <x:c r="AE188" s="4" t="str">
        <x:v>2026-09-15</x:v>
      </x:c>
      <x:c r="AF188" s="2"/>
      <x:c r="AG188" s="2"/>
      <x:c r="AH188" s="2"/>
      <x:c r="AI188" s="2"/>
      <x:c r="AJ188" s="2"/>
      <x:c r="AK188" s="2"/>
      <x:c r="AL188" s="2"/>
      <x:c r="AM188" s="2" t="str">
        <x:v>https://tpwd.texas.gov/huntwild/hunt/public/public_hunt_drawing/hunt-category-details.phtml?OCat=GDM</x:v>
      </x:c>
      <x:c r="AN188" s="2" t="str">
        <x:v>https://tpwd.texas.gov/search/?q=Kerr+WMA+public+hunting+brochure</x:v>
      </x:c>
      <x:c r="AO188" s="2" t="str">
        <x:v>https://apps.tpwd.state.tx.us/huntwild/hunt/public/public_hunt_drawing/</x:v>
      </x:c>
      <x:c r="AP188" s="2" t="str">
        <x:v>https://www.google.com/maps/search/?api=1&amp;query=Kerr+WMA%2C+Texas</x:v>
      </x:c>
      <x:c r="AQ188" s="2" t="n">
        <x:v>0</x:v>
      </x:c>
      <x:c r="AR188" s="2" t="str">
        <x:v>Standard Hastings ranking</x:v>
      </x:c>
    </x:row>
    <x:row r="189">
      <x:c r="A189" s="4" t="str">
        <x:v>No</x:v>
      </x:c>
      <x:c r="B189" s="4" t="str">
        <x:v>A</x:v>
      </x:c>
      <x:c r="C189" s="4" t="str">
        <x:v>Whitetail Deer</x:v>
      </x:c>
      <x:c r="D189" s="4" t="str">
        <x:v>Laguna Atascosa NWR</x:v>
      </x:c>
      <x:c r="E189" s="4" t="str">
        <x:v>South Texas / Rio Grande Valley</x:v>
      </x:c>
      <x:c r="F189" s="4" t="str">
        <x:v>National Refuge General Deer</x:v>
      </x:c>
      <x:c r="G189" s="4" t="str">
        <x:v>Yes</x:v>
      </x:c>
      <x:c r="H189" s="4" t="str">
        <x:v>Yes</x:v>
      </x:c>
      <x:c r="I189" s="24" t="str">
        <x:v>2026-09-15</x:v>
      </x:c>
      <x:c r="J189" s="4" t="str">
        <x:v>See TPWD category page</x:v>
      </x:c>
      <x:c r="K189" s="4" t="n">
        <x:v>3</x:v>
      </x:c>
      <x:c r="L189" s="4"/>
      <x:c r="M189" s="4"/>
      <x:c r="N189" s="4"/>
      <x:c r="O189" s="4"/>
      <x:c r="P189" s="4" t="n">
        <x:v>700</x:v>
      </x:c>
      <x:c r="Q189" s="4" t="str">
        <x:v>Long Haul</x:v>
      </x:c>
      <x:c r="R189" s="4" t="str">
        <x:v>Research before draw; property brochure linked from TPWD</x:v>
      </x:c>
      <x:c r="S189" s="4" t="str">
        <x:v>Low</x:v>
      </x:c>
      <x:c r="T189" s="4" t="str">
        <x:v>No</x:v>
      </x:c>
      <x:c r="U189" s="4" t="str">
        <x:v>Verified in TPWD 2026-2027 statewide deer category catalog. Refuge-specific rules and permit fees may apply.</x:v>
      </x:c>
      <x:c r="V189" s="4" t="str">
        <x:v>https://tpwd.texas.gov/huntwild/hunt/public/public_hunt_drawing/hunt-category-details.phtml?OCat=NGE</x:v>
      </x:c>
      <x:c r="W189" s="4" t="n">
        <x:v>2</x:v>
      </x:c>
      <x:c r="X189" s="4" t="n">
        <x:v>1</x:v>
      </x:c>
      <x:c r="Y189" s="4" t="n">
        <x:v>4</x:v>
      </x:c>
      <x:c r="Z189" s="4" t="n">
        <x:v>3</x:v>
      </x:c>
      <x:c r="AA189" s="4" t="n">
        <x:v>2</x:v>
      </x:c>
      <x:c r="AB189" s="4" t="n">
        <x:v>0</x:v>
      </x:c>
      <x:c r="AC189" s="4" t="n">
        <x:v>2.1</x:v>
      </x:c>
      <x:c r="AD189" s="4"/>
      <x:c r="AE189" s="4" t="str">
        <x:v>2026-09-15</x:v>
      </x:c>
      <x:c r="AF189" s="2"/>
      <x:c r="AG189" s="2"/>
      <x:c r="AH189" s="2"/>
      <x:c r="AI189" s="2"/>
      <x:c r="AJ189" s="2"/>
      <x:c r="AK189" s="2"/>
      <x:c r="AL189" s="2"/>
      <x:c r="AM189" s="2" t="str">
        <x:v>https://tpwd.texas.gov/huntwild/hunt/public/public_hunt_drawing/hunt-category-details.phtml?OCat=NGE</x:v>
      </x:c>
      <x:c r="AN189" s="2" t="str">
        <x:v>https://tpwd.texas.gov/search/?q=Laguna+Atascosa+NWR+public+hunting+brochure</x:v>
      </x:c>
      <x:c r="AO189" s="2" t="str">
        <x:v>https://apps.tpwd.state.tx.us/huntwild/hunt/public/public_hunt_drawing/</x:v>
      </x:c>
      <x:c r="AP189" s="2" t="str">
        <x:v>https://www.google.com/maps/search/?api=1&amp;query=Laguna+Atascosa+NWR%2C+Texas</x:v>
      </x:c>
      <x:c r="AQ189" s="2" t="n">
        <x:v>0</x:v>
      </x:c>
      <x:c r="AR189" s="2" t="str">
        <x:v>Standard Hastings ranking</x:v>
      </x:c>
    </x:row>
    <x:row r="190">
      <x:c r="A190" s="4" t="str">
        <x:v>No</x:v>
      </x:c>
      <x:c r="B190" s="4" t="str">
        <x:v>A</x:v>
      </x:c>
      <x:c r="C190" s="4" t="str">
        <x:v>Whitetail Deer</x:v>
      </x:c>
      <x:c r="D190" s="4" t="str">
        <x:v>Lake Brownwood SP</x:v>
      </x:c>
      <x:c r="E190" s="4" t="str">
        <x:v>West-Central Texas</x:v>
      </x:c>
      <x:c r="F190" s="4" t="str">
        <x:v>Gun Deer - Antlerless/Spike</x:v>
      </x:c>
      <x:c r="G190" s="4" t="str">
        <x:v>Yes</x:v>
      </x:c>
      <x:c r="H190" s="4" t="str">
        <x:v>Yes</x:v>
      </x:c>
      <x:c r="I190" s="24" t="str">
        <x:v>2026-09-15</x:v>
      </x:c>
      <x:c r="J190" s="4" t="str">
        <x:v>See TPWD category page</x:v>
      </x:c>
      <x:c r="K190" s="4" t="n">
        <x:v>3</x:v>
      </x:c>
      <x:c r="L190" s="4"/>
      <x:c r="M190" s="4"/>
      <x:c r="N190" s="4"/>
      <x:c r="O190" s="4"/>
      <x:c r="P190" s="4" t="n">
        <x:v>300</x:v>
      </x:c>
      <x:c r="Q190" s="4" t="str">
        <x:v>Extended</x:v>
      </x:c>
      <x:c r="R190" s="4" t="str">
        <x:v>Research before draw; property brochure linked from TPWD</x:v>
      </x:c>
      <x:c r="S190" s="4" t="str">
        <x:v>Low</x:v>
      </x:c>
      <x:c r="T190" s="4" t="str">
        <x:v>No</x:v>
      </x:c>
      <x:c r="U190" s="4" t="str">
        <x:v>Verified in TPWD 2026-2027 statewide deer category catalog.</x:v>
      </x:c>
      <x:c r="V190" s="4" t="str">
        <x:v>https://tpwd.texas.gov/huntwild/hunt/public/public_hunt_drawing/hunt-category-details.phtml?OCat=GDA</x:v>
      </x:c>
      <x:c r="W190" s="4" t="n">
        <x:v>2</x:v>
      </x:c>
      <x:c r="X190" s="4" t="n">
        <x:v>4</x:v>
      </x:c>
      <x:c r="Y190" s="4" t="n">
        <x:v>4</x:v>
      </x:c>
      <x:c r="Z190" s="4" t="n">
        <x:v>3</x:v>
      </x:c>
      <x:c r="AA190" s="4" t="n">
        <x:v>2</x:v>
      </x:c>
      <x:c r="AB190" s="4" t="n">
        <x:v>0</x:v>
      </x:c>
      <x:c r="AC190" s="4" t="n">
        <x:v>2.6</x:v>
      </x:c>
      <x:c r="AD190" s="4"/>
      <x:c r="AE190" s="4" t="str">
        <x:v>2026-09-15</x:v>
      </x:c>
      <x:c r="AF190" s="2"/>
      <x:c r="AG190" s="2"/>
      <x:c r="AH190" s="2"/>
      <x:c r="AI190" s="2"/>
      <x:c r="AJ190" s="2"/>
      <x:c r="AK190" s="2"/>
      <x:c r="AL190" s="2"/>
      <x:c r="AM190" s="2" t="str">
        <x:v>https://tpwd.texas.gov/huntwild/hunt/public/public_hunt_drawing/hunt-category-details.phtml?OCat=GDA</x:v>
      </x:c>
      <x:c r="AN190" s="2" t="str">
        <x:v>https://tpwd.texas.gov/search/?q=Lake+Brownwood+SP+public+hunting+brochure</x:v>
      </x:c>
      <x:c r="AO190" s="2" t="str">
        <x:v>https://apps.tpwd.state.tx.us/huntwild/hunt/public/public_hunt_drawing/</x:v>
      </x:c>
      <x:c r="AP190" s="2" t="str">
        <x:v>https://www.google.com/maps/search/?api=1&amp;query=Lake+Brownwood+SP%2C+Texas</x:v>
      </x:c>
      <x:c r="AQ190" s="2" t="n">
        <x:v>0</x:v>
      </x:c>
      <x:c r="AR190" s="2" t="str">
        <x:v>Standard Hastings ranking</x:v>
      </x:c>
    </x:row>
    <x:row r="191">
      <x:c r="A191" s="4" t="str">
        <x:v>No</x:v>
      </x:c>
      <x:c r="B191" s="4" t="str">
        <x:v>A</x:v>
      </x:c>
      <x:c r="C191" s="4" t="str">
        <x:v>Whitetail Deer</x:v>
      </x:c>
      <x:c r="D191" s="4" t="str">
        <x:v>Lake Mineral Wells SP</x:v>
      </x:c>
      <x:c r="E191" s="4" t="str">
        <x:v>North Texas / DFW</x:v>
      </x:c>
      <x:c r="F191" s="4" t="str">
        <x:v>Gun Deer - Either Sex</x:v>
      </x:c>
      <x:c r="G191" s="4" t="str">
        <x:v>Yes</x:v>
      </x:c>
      <x:c r="H191" s="4" t="str">
        <x:v>Yes</x:v>
      </x:c>
      <x:c r="I191" s="24" t="str">
        <x:v>2026-09-15</x:v>
      </x:c>
      <x:c r="J191" s="4" t="str">
        <x:v>See TPWD category page</x:v>
      </x:c>
      <x:c r="K191" s="4" t="n">
        <x:v>3</x:v>
      </x:c>
      <x:c r="L191" s="4"/>
      <x:c r="M191" s="4"/>
      <x:c r="N191" s="4"/>
      <x:c r="O191" s="4"/>
      <x:c r="P191" s="4" t="n">
        <x:v>360</x:v>
      </x:c>
      <x:c r="Q191" s="4" t="str">
        <x:v>Extended</x:v>
      </x:c>
      <x:c r="R191" s="4" t="str">
        <x:v>Research before draw; property brochure linked from TPWD</x:v>
      </x:c>
      <x:c r="S191" s="4" t="str">
        <x:v>Low</x:v>
      </x:c>
      <x:c r="T191" s="4" t="str">
        <x:v>No</x:v>
      </x:c>
      <x:c r="U191" s="4" t="str">
        <x:v>Verified in TPWD 2026-2027 statewide deer category catalog.</x:v>
      </x:c>
      <x:c r="V191" s="4" t="str">
        <x:v>https://tpwd.texas.gov/huntwild/hunt/public/public_hunt_drawing/hunt-category-details.phtml?OCat=GDE</x:v>
      </x:c>
      <x:c r="W191" s="4" t="n">
        <x:v>2</x:v>
      </x:c>
      <x:c r="X191" s="4" t="n">
        <x:v>3</x:v>
      </x:c>
      <x:c r="Y191" s="4" t="n">
        <x:v>4</x:v>
      </x:c>
      <x:c r="Z191" s="4" t="n">
        <x:v>3</x:v>
      </x:c>
      <x:c r="AA191" s="4" t="n">
        <x:v>2</x:v>
      </x:c>
      <x:c r="AB191" s="4" t="n">
        <x:v>0</x:v>
      </x:c>
      <x:c r="AC191" s="4" t="n">
        <x:v>2.5</x:v>
      </x:c>
      <x:c r="AD191" s="4"/>
      <x:c r="AE191" s="4" t="str">
        <x:v>2026-09-15</x:v>
      </x:c>
      <x:c r="AF191" s="2"/>
      <x:c r="AG191" s="2"/>
      <x:c r="AH191" s="2"/>
      <x:c r="AI191" s="2"/>
      <x:c r="AJ191" s="2"/>
      <x:c r="AK191" s="2"/>
      <x:c r="AL191" s="2"/>
      <x:c r="AM191" s="2" t="str">
        <x:v>https://tpwd.texas.gov/huntwild/hunt/public/public_hunt_drawing/hunt-category-details.phtml?OCat=GDE</x:v>
      </x:c>
      <x:c r="AN191" s="2" t="str">
        <x:v>https://tpwd.texas.gov/search/?q=Lake+Mineral+Wells+SP+public+hunting+brochure</x:v>
      </x:c>
      <x:c r="AO191" s="2" t="str">
        <x:v>https://apps.tpwd.state.tx.us/huntwild/hunt/public/public_hunt_drawing/</x:v>
      </x:c>
      <x:c r="AP191" s="2" t="str">
        <x:v>https://www.google.com/maps/search/?api=1&amp;query=Lake+Mineral+Wells+SP%2C+Texas</x:v>
      </x:c>
      <x:c r="AQ191" s="2" t="n">
        <x:v>0</x:v>
      </x:c>
      <x:c r="AR191" s="2" t="str">
        <x:v>Standard Hastings ranking</x:v>
      </x:c>
    </x:row>
    <x:row r="192">
      <x:c r="A192" s="4" t="str">
        <x:v>No</x:v>
      </x:c>
      <x:c r="B192" s="4" t="str">
        <x:v>A</x:v>
      </x:c>
      <x:c r="C192" s="4" t="str">
        <x:v>Whitetail Deer</x:v>
      </x:c>
      <x:c r="D192" s="4" t="str">
        <x:v>Lake Somerville SP - Birch Creek Unit</x:v>
      </x:c>
      <x:c r="E192" s="4" t="str">
        <x:v>Central Texas / Austin</x:v>
      </x:c>
      <x:c r="F192" s="4" t="str">
        <x:v>Gun Deer - Antlerless/Spike</x:v>
      </x:c>
      <x:c r="G192" s="4" t="str">
        <x:v>Yes</x:v>
      </x:c>
      <x:c r="H192" s="4" t="str">
        <x:v>Yes</x:v>
      </x:c>
      <x:c r="I192" s="24" t="str">
        <x:v>2026-09-15</x:v>
      </x:c>
      <x:c r="J192" s="4" t="str">
        <x:v>See TPWD category page</x:v>
      </x:c>
      <x:c r="K192" s="4" t="n">
        <x:v>3</x:v>
      </x:c>
      <x:c r="L192" s="4"/>
      <x:c r="M192" s="4"/>
      <x:c r="N192" s="4"/>
      <x:c r="O192" s="4"/>
      <x:c r="P192" s="4" t="n">
        <x:v>490</x:v>
      </x:c>
      <x:c r="Q192" s="4" t="str">
        <x:v>Statewide</x:v>
      </x:c>
      <x:c r="R192" s="4" t="str">
        <x:v>Research before draw; property brochure linked from TPWD</x:v>
      </x:c>
      <x:c r="S192" s="4" t="str">
        <x:v>Low</x:v>
      </x:c>
      <x:c r="T192" s="4" t="str">
        <x:v>No</x:v>
      </x:c>
      <x:c r="U192" s="4" t="str">
        <x:v>Verified in TPWD 2026-2027 statewide deer category catalog.</x:v>
      </x:c>
      <x:c r="V192" s="4" t="str">
        <x:v>https://tpwd.texas.gov/huntwild/hunt/public/public_hunt_drawing/hunt-category-details.phtml?OCat=GDA</x:v>
      </x:c>
      <x:c r="W192" s="4" t="n">
        <x:v>2</x:v>
      </x:c>
      <x:c r="X192" s="4" t="n">
        <x:v>2</x:v>
      </x:c>
      <x:c r="Y192" s="4" t="n">
        <x:v>4</x:v>
      </x:c>
      <x:c r="Z192" s="4" t="n">
        <x:v>3</x:v>
      </x:c>
      <x:c r="AA192" s="4" t="n">
        <x:v>2</x:v>
      </x:c>
      <x:c r="AB192" s="4" t="n">
        <x:v>0</x:v>
      </x:c>
      <x:c r="AC192" s="4" t="n">
        <x:v>2.3</x:v>
      </x:c>
      <x:c r="AD192" s="4"/>
      <x:c r="AE192" s="4" t="str">
        <x:v>2026-09-15</x:v>
      </x:c>
      <x:c r="AF192" s="2"/>
      <x:c r="AG192" s="2"/>
      <x:c r="AH192" s="2"/>
      <x:c r="AI192" s="2"/>
      <x:c r="AJ192" s="2"/>
      <x:c r="AK192" s="2"/>
      <x:c r="AL192" s="2"/>
      <x:c r="AM192" s="2" t="str">
        <x:v>https://tpwd.texas.gov/huntwild/hunt/public/public_hunt_drawing/hunt-category-details.phtml?OCat=GDA</x:v>
      </x:c>
      <x:c r="AN192" s="2" t="str">
        <x:v>https://tpwd.texas.gov/search/?q=Lake+Somerville+SP+-+Birch+Creek+Unit+public+hunting+brochure</x:v>
      </x:c>
      <x:c r="AO192" s="2" t="str">
        <x:v>https://apps.tpwd.state.tx.us/huntwild/hunt/public/public_hunt_drawing/</x:v>
      </x:c>
      <x:c r="AP192" s="2" t="str">
        <x:v>https://www.google.com/maps/search/?api=1&amp;query=Lake+Somerville+SP+-+Birch+Creek+Unit%2C+Texas</x:v>
      </x:c>
      <x:c r="AQ192" s="2" t="n">
        <x:v>0</x:v>
      </x:c>
      <x:c r="AR192" s="2" t="str">
        <x:v>Standard Hastings ranking</x:v>
      </x:c>
    </x:row>
    <x:row r="193">
      <x:c r="A193" s="4" t="str">
        <x:v>No</x:v>
      </x:c>
      <x:c r="B193" s="4" t="str">
        <x:v>A</x:v>
      </x:c>
      <x:c r="C193" s="4" t="str">
        <x:v>Whitetail Deer</x:v>
      </x:c>
      <x:c r="D193" s="4" t="str">
        <x:v>Lake Somerville SP - Nails Creek Unit</x:v>
      </x:c>
      <x:c r="E193" s="4" t="str">
        <x:v>Central Texas / Austin</x:v>
      </x:c>
      <x:c r="F193" s="4" t="str">
        <x:v>Gun Deer - Antlerless/Spike</x:v>
      </x:c>
      <x:c r="G193" s="4" t="str">
        <x:v>Yes</x:v>
      </x:c>
      <x:c r="H193" s="4" t="str">
        <x:v>Yes</x:v>
      </x:c>
      <x:c r="I193" s="24" t="str">
        <x:v>2026-09-15</x:v>
      </x:c>
      <x:c r="J193" s="4" t="str">
        <x:v>See TPWD category page</x:v>
      </x:c>
      <x:c r="K193" s="4" t="n">
        <x:v>3</x:v>
      </x:c>
      <x:c r="L193" s="4"/>
      <x:c r="M193" s="4"/>
      <x:c r="N193" s="4"/>
      <x:c r="O193" s="4"/>
      <x:c r="P193" s="4" t="n">
        <x:v>490</x:v>
      </x:c>
      <x:c r="Q193" s="4" t="str">
        <x:v>Statewide</x:v>
      </x:c>
      <x:c r="R193" s="4" t="str">
        <x:v>Research before draw; property brochure linked from TPWD</x:v>
      </x:c>
      <x:c r="S193" s="4" t="str">
        <x:v>Low</x:v>
      </x:c>
      <x:c r="T193" s="4" t="str">
        <x:v>No</x:v>
      </x:c>
      <x:c r="U193" s="4" t="str">
        <x:v>Verified in TPWD 2026-2027 statewide deer category catalog.</x:v>
      </x:c>
      <x:c r="V193" s="4" t="str">
        <x:v>https://tpwd.texas.gov/huntwild/hunt/public/public_hunt_drawing/hunt-category-details.phtml?OCat=GDA</x:v>
      </x:c>
      <x:c r="W193" s="4" t="n">
        <x:v>2</x:v>
      </x:c>
      <x:c r="X193" s="4" t="n">
        <x:v>2</x:v>
      </x:c>
      <x:c r="Y193" s="4" t="n">
        <x:v>4</x:v>
      </x:c>
      <x:c r="Z193" s="4" t="n">
        <x:v>3</x:v>
      </x:c>
      <x:c r="AA193" s="4" t="n">
        <x:v>2</x:v>
      </x:c>
      <x:c r="AB193" s="4" t="n">
        <x:v>0</x:v>
      </x:c>
      <x:c r="AC193" s="4" t="n">
        <x:v>2.3</x:v>
      </x:c>
      <x:c r="AD193" s="4"/>
      <x:c r="AE193" s="4" t="str">
        <x:v>2026-09-15</x:v>
      </x:c>
      <x:c r="AF193" s="2"/>
      <x:c r="AG193" s="2"/>
      <x:c r="AH193" s="2"/>
      <x:c r="AI193" s="2"/>
      <x:c r="AJ193" s="2"/>
      <x:c r="AK193" s="2"/>
      <x:c r="AL193" s="2"/>
      <x:c r="AM193" s="2" t="str">
        <x:v>https://tpwd.texas.gov/huntwild/hunt/public/public_hunt_drawing/hunt-category-details.phtml?OCat=GDA</x:v>
      </x:c>
      <x:c r="AN193" s="2" t="str">
        <x:v>https://tpwd.texas.gov/search/?q=Lake+Somerville+SP+-+Nails+Creek+Unit+public+hunting+brochure</x:v>
      </x:c>
      <x:c r="AO193" s="2" t="str">
        <x:v>https://apps.tpwd.state.tx.us/huntwild/hunt/public/public_hunt_drawing/</x:v>
      </x:c>
      <x:c r="AP193" s="2" t="str">
        <x:v>https://www.google.com/maps/search/?api=1&amp;query=Lake+Somerville+SP+-+Nails+Creek+Unit%2C+Texas</x:v>
      </x:c>
      <x:c r="AQ193" s="2" t="n">
        <x:v>0</x:v>
      </x:c>
      <x:c r="AR193" s="2" t="str">
        <x:v>Standard Hastings ranking</x:v>
      </x:c>
    </x:row>
    <x:row r="194">
      <x:c r="A194" s="4" t="str">
        <x:v>No</x:v>
      </x:c>
      <x:c r="B194" s="4" t="str">
        <x:v>A</x:v>
      </x:c>
      <x:c r="C194" s="4" t="str">
        <x:v>Whitetail Deer</x:v>
      </x:c>
      <x:c r="D194" s="4" t="str">
        <x:v>Lake Whitney SP</x:v>
      </x:c>
      <x:c r="E194" s="4" t="str">
        <x:v>Central Texas / Austin</x:v>
      </x:c>
      <x:c r="F194" s="4" t="str">
        <x:v>Gun Deer - Antlerless/Spike</x:v>
      </x:c>
      <x:c r="G194" s="4" t="str">
        <x:v>Yes</x:v>
      </x:c>
      <x:c r="H194" s="4" t="str">
        <x:v>Yes</x:v>
      </x:c>
      <x:c r="I194" s="24" t="str">
        <x:v>2026-09-15</x:v>
      </x:c>
      <x:c r="J194" s="4" t="str">
        <x:v>See TPWD category page</x:v>
      </x:c>
      <x:c r="K194" s="4" t="n">
        <x:v>3</x:v>
      </x:c>
      <x:c r="L194" s="4"/>
      <x:c r="M194" s="4"/>
      <x:c r="N194" s="4"/>
      <x:c r="O194" s="4"/>
      <x:c r="P194" s="4" t="n">
        <x:v>490</x:v>
      </x:c>
      <x:c r="Q194" s="4" t="str">
        <x:v>Statewide</x:v>
      </x:c>
      <x:c r="R194" s="4" t="str">
        <x:v>Research before draw; property brochure linked from TPWD</x:v>
      </x:c>
      <x:c r="S194" s="4" t="str">
        <x:v>Low</x:v>
      </x:c>
      <x:c r="T194" s="4" t="str">
        <x:v>No</x:v>
      </x:c>
      <x:c r="U194" s="4" t="str">
        <x:v>Verified in TPWD 2026-2027 statewide deer category catalog.</x:v>
      </x:c>
      <x:c r="V194" s="4" t="str">
        <x:v>https://tpwd.texas.gov/huntwild/hunt/public/public_hunt_drawing/hunt-category-details.phtml?OCat=GDA</x:v>
      </x:c>
      <x:c r="W194" s="4" t="n">
        <x:v>2</x:v>
      </x:c>
      <x:c r="X194" s="4" t="n">
        <x:v>2</x:v>
      </x:c>
      <x:c r="Y194" s="4" t="n">
        <x:v>4</x:v>
      </x:c>
      <x:c r="Z194" s="4" t="n">
        <x:v>3</x:v>
      </x:c>
      <x:c r="AA194" s="4" t="n">
        <x:v>2</x:v>
      </x:c>
      <x:c r="AB194" s="4" t="n">
        <x:v>0</x:v>
      </x:c>
      <x:c r="AC194" s="4" t="n">
        <x:v>2.3</x:v>
      </x:c>
      <x:c r="AD194" s="4"/>
      <x:c r="AE194" s="4" t="str">
        <x:v>2026-09-15</x:v>
      </x:c>
      <x:c r="AF194" s="2"/>
      <x:c r="AG194" s="2"/>
      <x:c r="AH194" s="2"/>
      <x:c r="AI194" s="2"/>
      <x:c r="AJ194" s="2"/>
      <x:c r="AK194" s="2"/>
      <x:c r="AL194" s="2"/>
      <x:c r="AM194" s="2" t="str">
        <x:v>https://tpwd.texas.gov/huntwild/hunt/public/public_hunt_drawing/hunt-category-details.phtml?OCat=GDA</x:v>
      </x:c>
      <x:c r="AN194" s="2" t="str">
        <x:v>https://tpwd.texas.gov/search/?q=Lake+Whitney+SP+public+hunting+brochure</x:v>
      </x:c>
      <x:c r="AO194" s="2" t="str">
        <x:v>https://apps.tpwd.state.tx.us/huntwild/hunt/public/public_hunt_drawing/</x:v>
      </x:c>
      <x:c r="AP194" s="2" t="str">
        <x:v>https://www.google.com/maps/search/?api=1&amp;query=Lake+Whitney+SP%2C+Texas</x:v>
      </x:c>
      <x:c r="AQ194" s="2" t="n">
        <x:v>0</x:v>
      </x:c>
      <x:c r="AR194" s="2" t="str">
        <x:v>Standard Hastings ranking</x:v>
      </x:c>
    </x:row>
    <x:row r="195">
      <x:c r="A195" s="4" t="str">
        <x:v>No</x:v>
      </x:c>
      <x:c r="B195" s="4" t="str">
        <x:v>A</x:v>
      </x:c>
      <x:c r="C195" s="4" t="str">
        <x:v>Whitetail Deer</x:v>
      </x:c>
      <x:c r="D195" s="4" t="str">
        <x:v>Las Palomas WMA - Arroyo Colorado Unit</x:v>
      </x:c>
      <x:c r="E195" s="4" t="str">
        <x:v>South Texas / Rio Grande Valley</x:v>
      </x:c>
      <x:c r="F195" s="4" t="str">
        <x:v>Gun Deer - Either Sex</x:v>
      </x:c>
      <x:c r="G195" s="4" t="str">
        <x:v>Yes</x:v>
      </x:c>
      <x:c r="H195" s="4" t="str">
        <x:v>Yes</x:v>
      </x:c>
      <x:c r="I195" s="24" t="str">
        <x:v>2026-09-15</x:v>
      </x:c>
      <x:c r="J195" s="4" t="str">
        <x:v>See TPWD category page</x:v>
      </x:c>
      <x:c r="K195" s="4" t="n">
        <x:v>3</x:v>
      </x:c>
      <x:c r="L195" s="4"/>
      <x:c r="M195" s="4"/>
      <x:c r="N195" s="4"/>
      <x:c r="O195" s="4"/>
      <x:c r="P195" s="4" t="n">
        <x:v>700</x:v>
      </x:c>
      <x:c r="Q195" s="4" t="str">
        <x:v>Long Haul</x:v>
      </x:c>
      <x:c r="R195" s="4" t="str">
        <x:v>Research before draw; property brochure linked from TPWD</x:v>
      </x:c>
      <x:c r="S195" s="4" t="str">
        <x:v>Low</x:v>
      </x:c>
      <x:c r="T195" s="4" t="str">
        <x:v>No</x:v>
      </x:c>
      <x:c r="U195" s="4" t="str">
        <x:v>Verified in TPWD 2026-2027 statewide deer category catalog.</x:v>
      </x:c>
      <x:c r="V195" s="4" t="str">
        <x:v>https://tpwd.texas.gov/huntwild/hunt/public/public_hunt_drawing/hunt-category-details.phtml?OCat=GDE</x:v>
      </x:c>
      <x:c r="W195" s="4" t="n">
        <x:v>2</x:v>
      </x:c>
      <x:c r="X195" s="4" t="n">
        <x:v>1</x:v>
      </x:c>
      <x:c r="Y195" s="4" t="n">
        <x:v>4</x:v>
      </x:c>
      <x:c r="Z195" s="4" t="n">
        <x:v>3</x:v>
      </x:c>
      <x:c r="AA195" s="4" t="n">
        <x:v>2</x:v>
      </x:c>
      <x:c r="AB195" s="4" t="n">
        <x:v>0</x:v>
      </x:c>
      <x:c r="AC195" s="4" t="n">
        <x:v>2.1</x:v>
      </x:c>
      <x:c r="AD195" s="4"/>
      <x:c r="AE195" s="4" t="str">
        <x:v>2026-09-15</x:v>
      </x:c>
      <x:c r="AF195" s="2"/>
      <x:c r="AG195" s="2"/>
      <x:c r="AH195" s="2"/>
      <x:c r="AI195" s="2"/>
      <x:c r="AJ195" s="2"/>
      <x:c r="AK195" s="2"/>
      <x:c r="AL195" s="2"/>
      <x:c r="AM195" s="2" t="str">
        <x:v>https://tpwd.texas.gov/huntwild/hunt/public/public_hunt_drawing/hunt-category-details.phtml?OCat=GDE</x:v>
      </x:c>
      <x:c r="AN195" s="2" t="str">
        <x:v>https://tpwd.texas.gov/search/?q=Las+Palomas+WMA+-+Arroyo+Colorado+Unit+public+hunting+brochure</x:v>
      </x:c>
      <x:c r="AO195" s="2" t="str">
        <x:v>https://apps.tpwd.state.tx.us/huntwild/hunt/public/public_hunt_drawing/</x:v>
      </x:c>
      <x:c r="AP195" s="2" t="str">
        <x:v>https://www.google.com/maps/search/?api=1&amp;query=Las+Palomas+WMA+-+Arroyo+Colorado+Unit%2C+Texas</x:v>
      </x:c>
      <x:c r="AQ195" s="2" t="n">
        <x:v>0</x:v>
      </x:c>
      <x:c r="AR195" s="2" t="str">
        <x:v>Standard Hastings ranking</x:v>
      </x:c>
    </x:row>
    <x:row r="196">
      <x:c r="A196" s="4" t="str">
        <x:v>No</x:v>
      </x:c>
      <x:c r="B196" s="4" t="str">
        <x:v>A</x:v>
      </x:c>
      <x:c r="C196" s="4" t="str">
        <x:v>Whitetail Deer</x:v>
      </x:c>
      <x:c r="D196" s="4" t="str">
        <x:v>Lost Maples SNA</x:v>
      </x:c>
      <x:c r="E196" s="4" t="str">
        <x:v>Hill Country / San Antonio</x:v>
      </x:c>
      <x:c r="F196" s="4" t="str">
        <x:v>Gun Deer - Antlerless/Spike</x:v>
      </x:c>
      <x:c r="G196" s="4" t="str">
        <x:v>Yes</x:v>
      </x:c>
      <x:c r="H196" s="4" t="str">
        <x:v>Yes</x:v>
      </x:c>
      <x:c r="I196" s="24" t="str">
        <x:v>2026-09-15</x:v>
      </x:c>
      <x:c r="J196" s="4" t="str">
        <x:v>See TPWD category page</x:v>
      </x:c>
      <x:c r="K196" s="4" t="n">
        <x:v>3</x:v>
      </x:c>
      <x:c r="L196" s="4"/>
      <x:c r="M196" s="4"/>
      <x:c r="N196" s="4"/>
      <x:c r="O196" s="4"/>
      <x:c r="P196" s="4" t="n">
        <x:v>520</x:v>
      </x:c>
      <x:c r="Q196" s="4" t="str">
        <x:v>Statewide</x:v>
      </x:c>
      <x:c r="R196" s="4" t="str">
        <x:v>Research before draw; property brochure linked from TPWD</x:v>
      </x:c>
      <x:c r="S196" s="4" t="str">
        <x:v>Low</x:v>
      </x:c>
      <x:c r="T196" s="4" t="str">
        <x:v>No</x:v>
      </x:c>
      <x:c r="U196" s="4" t="str">
        <x:v>Verified in TPWD 2026-2027 statewide deer category catalog.</x:v>
      </x:c>
      <x:c r="V196" s="4" t="str">
        <x:v>https://tpwd.texas.gov/huntwild/hunt/public/public_hunt_drawing/hunt-category-details.phtml?OCat=GDA</x:v>
      </x:c>
      <x:c r="W196" s="4" t="n">
        <x:v>2</x:v>
      </x:c>
      <x:c r="X196" s="4" t="n">
        <x:v>2</x:v>
      </x:c>
      <x:c r="Y196" s="4" t="n">
        <x:v>4</x:v>
      </x:c>
      <x:c r="Z196" s="4" t="n">
        <x:v>3</x:v>
      </x:c>
      <x:c r="AA196" s="4" t="n">
        <x:v>2</x:v>
      </x:c>
      <x:c r="AB196" s="4" t="n">
        <x:v>0</x:v>
      </x:c>
      <x:c r="AC196" s="4" t="n">
        <x:v>2.3</x:v>
      </x:c>
      <x:c r="AD196" s="4"/>
      <x:c r="AE196" s="4" t="str">
        <x:v>2026-09-15</x:v>
      </x:c>
      <x:c r="AF196" s="2"/>
      <x:c r="AG196" s="2"/>
      <x:c r="AH196" s="2"/>
      <x:c r="AI196" s="2"/>
      <x:c r="AJ196" s="2"/>
      <x:c r="AK196" s="2"/>
      <x:c r="AL196" s="2"/>
      <x:c r="AM196" s="2" t="str">
        <x:v>https://tpwd.texas.gov/huntwild/hunt/public/public_hunt_drawing/hunt-category-details.phtml?OCat=GDA</x:v>
      </x:c>
      <x:c r="AN196" s="2" t="str">
        <x:v>https://tpwd.texas.gov/search/?q=Lost+Maples+SNA+public+hunting+brochure</x:v>
      </x:c>
      <x:c r="AO196" s="2" t="str">
        <x:v>https://apps.tpwd.state.tx.us/huntwild/hunt/public/public_hunt_drawing/</x:v>
      </x:c>
      <x:c r="AP196" s="2" t="str">
        <x:v>https://www.google.com/maps/search/?api=1&amp;query=Lost+Maples+SNA%2C+Texas</x:v>
      </x:c>
      <x:c r="AQ196" s="2" t="n">
        <x:v>0</x:v>
      </x:c>
      <x:c r="AR196" s="2" t="str">
        <x:v>Standard Hastings ranking</x:v>
      </x:c>
    </x:row>
    <x:row r="197">
      <x:c r="A197" s="4" t="str">
        <x:v>No</x:v>
      </x:c>
      <x:c r="B197" s="4" t="str">
        <x:v>A</x:v>
      </x:c>
      <x:c r="C197" s="4" t="str">
        <x:v>Whitetail Deer</x:v>
      </x:c>
      <x:c r="D197" s="4" t="str">
        <x:v>Lower Rio Grande Valley NWR - East Lake</x:v>
      </x:c>
      <x:c r="E197" s="4" t="str">
        <x:v>South Texas / Rio Grande Valley</x:v>
      </x:c>
      <x:c r="F197" s="4" t="str">
        <x:v>National Refuge General Deer</x:v>
      </x:c>
      <x:c r="G197" s="4" t="str">
        <x:v>Yes</x:v>
      </x:c>
      <x:c r="H197" s="4" t="str">
        <x:v>Yes</x:v>
      </x:c>
      <x:c r="I197" s="24" t="str">
        <x:v>2026-09-15</x:v>
      </x:c>
      <x:c r="J197" s="4" t="str">
        <x:v>See TPWD category page</x:v>
      </x:c>
      <x:c r="K197" s="4" t="n">
        <x:v>3</x:v>
      </x:c>
      <x:c r="L197" s="4"/>
      <x:c r="M197" s="4"/>
      <x:c r="N197" s="4"/>
      <x:c r="O197" s="4"/>
      <x:c r="P197" s="4" t="n">
        <x:v>700</x:v>
      </x:c>
      <x:c r="Q197" s="4" t="str">
        <x:v>Long Haul</x:v>
      </x:c>
      <x:c r="R197" s="4" t="str">
        <x:v>Research before draw; property brochure linked from TPWD</x:v>
      </x:c>
      <x:c r="S197" s="4" t="str">
        <x:v>Low</x:v>
      </x:c>
      <x:c r="T197" s="4" t="str">
        <x:v>No</x:v>
      </x:c>
      <x:c r="U197" s="4" t="str">
        <x:v>Verified in TPWD 2026-2027 statewide deer category catalog. Refuge-specific rules and permit fees may apply.</x:v>
      </x:c>
      <x:c r="V197" s="4" t="str">
        <x:v>https://tpwd.texas.gov/huntwild/hunt/public/public_hunt_drawing/hunt-category-details.phtml?OCat=NGE</x:v>
      </x:c>
      <x:c r="W197" s="4" t="n">
        <x:v>2</x:v>
      </x:c>
      <x:c r="X197" s="4" t="n">
        <x:v>1</x:v>
      </x:c>
      <x:c r="Y197" s="4" t="n">
        <x:v>4</x:v>
      </x:c>
      <x:c r="Z197" s="4" t="n">
        <x:v>3</x:v>
      </x:c>
      <x:c r="AA197" s="4" t="n">
        <x:v>2</x:v>
      </x:c>
      <x:c r="AB197" s="4" t="n">
        <x:v>0</x:v>
      </x:c>
      <x:c r="AC197" s="4" t="n">
        <x:v>2.1</x:v>
      </x:c>
      <x:c r="AD197" s="4"/>
      <x:c r="AE197" s="4" t="str">
        <x:v>2026-09-15</x:v>
      </x:c>
      <x:c r="AF197" s="2"/>
      <x:c r="AG197" s="2"/>
      <x:c r="AH197" s="2"/>
      <x:c r="AI197" s="2"/>
      <x:c r="AJ197" s="2"/>
      <x:c r="AK197" s="2"/>
      <x:c r="AL197" s="2"/>
      <x:c r="AM197" s="2" t="str">
        <x:v>https://tpwd.texas.gov/huntwild/hunt/public/public_hunt_drawing/hunt-category-details.phtml?OCat=NGE</x:v>
      </x:c>
      <x:c r="AN197" s="2" t="str">
        <x:v>https://tpwd.texas.gov/search/?q=Lower+Rio+Grande+Valley+NWR+-+East+Lake+public+hunting+brochure</x:v>
      </x:c>
      <x:c r="AO197" s="2" t="str">
        <x:v>https://apps.tpwd.state.tx.us/huntwild/hunt/public/public_hunt_drawing/</x:v>
      </x:c>
      <x:c r="AP197" s="2" t="str">
        <x:v>https://www.google.com/maps/search/?api=1&amp;query=Lower+Rio+Grande+Valley+NWR+-+East+Lake%2C+Texas</x:v>
      </x:c>
      <x:c r="AQ197" s="2" t="n">
        <x:v>0</x:v>
      </x:c>
      <x:c r="AR197" s="2" t="str">
        <x:v>Standard Hastings ranking</x:v>
      </x:c>
    </x:row>
    <x:row r="198">
      <x:c r="A198" s="4" t="str">
        <x:v>No</x:v>
      </x:c>
      <x:c r="B198" s="4" t="str">
        <x:v>A</x:v>
      </x:c>
      <x:c r="C198" s="4" t="str">
        <x:v>Whitetail Deer</x:v>
      </x:c>
      <x:c r="D198" s="4" t="str">
        <x:v>Mason Mountain WMA</x:v>
      </x:c>
      <x:c r="E198" s="4" t="str">
        <x:v>Hill Country / San Antonio</x:v>
      </x:c>
      <x:c r="F198" s="4" t="str">
        <x:v>Gun Deer - Either Sex</x:v>
      </x:c>
      <x:c r="G198" s="4" t="str">
        <x:v>Yes</x:v>
      </x:c>
      <x:c r="H198" s="4" t="str">
        <x:v>Yes</x:v>
      </x:c>
      <x:c r="I198" s="24" t="str">
        <x:v>2026-09-15</x:v>
      </x:c>
      <x:c r="J198" s="4" t="str">
        <x:v>See TPWD category page</x:v>
      </x:c>
      <x:c r="K198" s="4" t="n">
        <x:v>3</x:v>
      </x:c>
      <x:c r="L198" s="4"/>
      <x:c r="M198" s="4"/>
      <x:c r="N198" s="4"/>
      <x:c r="O198" s="4"/>
      <x:c r="P198" s="4" t="n">
        <x:v>520</x:v>
      </x:c>
      <x:c r="Q198" s="4" t="str">
        <x:v>Statewide</x:v>
      </x:c>
      <x:c r="R198" s="4" t="str">
        <x:v>Research before draw; property brochure linked from TPWD</x:v>
      </x:c>
      <x:c r="S198" s="4" t="str">
        <x:v>Low</x:v>
      </x:c>
      <x:c r="T198" s="4" t="str">
        <x:v>No</x:v>
      </x:c>
      <x:c r="U198" s="4" t="str">
        <x:v>Verified in TPWD 2026-2027 statewide deer category catalog.</x:v>
      </x:c>
      <x:c r="V198" s="4" t="str">
        <x:v>https://tpwd.texas.gov/huntwild/hunt/public/public_hunt_drawing/hunt-category-details.phtml?OCat=GDE</x:v>
      </x:c>
      <x:c r="W198" s="4" t="n">
        <x:v>2</x:v>
      </x:c>
      <x:c r="X198" s="4" t="n">
        <x:v>2</x:v>
      </x:c>
      <x:c r="Y198" s="4" t="n">
        <x:v>4</x:v>
      </x:c>
      <x:c r="Z198" s="4" t="n">
        <x:v>3</x:v>
      </x:c>
      <x:c r="AA198" s="4" t="n">
        <x:v>2</x:v>
      </x:c>
      <x:c r="AB198" s="4" t="n">
        <x:v>0</x:v>
      </x:c>
      <x:c r="AC198" s="4" t="n">
        <x:v>2.3</x:v>
      </x:c>
      <x:c r="AD198" s="4"/>
      <x:c r="AE198" s="4" t="str">
        <x:v>2026-09-15</x:v>
      </x:c>
      <x:c r="AF198" s="2"/>
      <x:c r="AG198" s="2"/>
      <x:c r="AH198" s="2"/>
      <x:c r="AI198" s="2"/>
      <x:c r="AJ198" s="2"/>
      <x:c r="AK198" s="2"/>
      <x:c r="AL198" s="2"/>
      <x:c r="AM198" s="2" t="str">
        <x:v>https://tpwd.texas.gov/huntwild/hunt/public/public_hunt_drawing/hunt-category-details.phtml?OCat=GDE</x:v>
      </x:c>
      <x:c r="AN198" s="2" t="str">
        <x:v>https://tpwd.texas.gov/search/?q=Mason+Mountain+WMA+public+hunting+brochure</x:v>
      </x:c>
      <x:c r="AO198" s="2" t="str">
        <x:v>https://apps.tpwd.state.tx.us/huntwild/hunt/public/public_hunt_drawing/</x:v>
      </x:c>
      <x:c r="AP198" s="2" t="str">
        <x:v>https://www.google.com/maps/search/?api=1&amp;query=Mason+Mountain+WMA%2C+Texas</x:v>
      </x:c>
      <x:c r="AQ198" s="2" t="n">
        <x:v>0</x:v>
      </x:c>
      <x:c r="AR198" s="2" t="str">
        <x:v>Standard Hastings ranking</x:v>
      </x:c>
    </x:row>
    <x:row r="199">
      <x:c r="A199" s="4" t="str">
        <x:v>No</x:v>
      </x:c>
      <x:c r="B199" s="4" t="str">
        <x:v>A</x:v>
      </x:c>
      <x:c r="C199" s="4" t="str">
        <x:v>Whitetail Deer</x:v>
      </x:c>
      <x:c r="D199" s="4" t="str">
        <x:v>Mason Mountain WMA</x:v>
      </x:c>
      <x:c r="E199" s="4" t="str">
        <x:v>Hill Country / San Antonio</x:v>
      </x:c>
      <x:c r="F199" s="4" t="str">
        <x:v>Gun Deer - Management</x:v>
      </x:c>
      <x:c r="G199" s="4" t="str">
        <x:v>Yes</x:v>
      </x:c>
      <x:c r="H199" s="4" t="str">
        <x:v>Yes</x:v>
      </x:c>
      <x:c r="I199" s="24" t="str">
        <x:v>2026-09-15</x:v>
      </x:c>
      <x:c r="J199" s="4" t="str">
        <x:v>See TPWD category page</x:v>
      </x:c>
      <x:c r="K199" s="4" t="n">
        <x:v>3</x:v>
      </x:c>
      <x:c r="L199" s="4"/>
      <x:c r="M199" s="4"/>
      <x:c r="N199" s="4"/>
      <x:c r="O199" s="4"/>
      <x:c r="P199" s="4" t="n">
        <x:v>520</x:v>
      </x:c>
      <x:c r="Q199" s="4" t="str">
        <x:v>Statewide</x:v>
      </x:c>
      <x:c r="R199" s="4" t="str">
        <x:v>Research before draw; property brochure linked from TPWD</x:v>
      </x:c>
      <x:c r="S199" s="4" t="str">
        <x:v>Low</x:v>
      </x:c>
      <x:c r="T199" s="4" t="str">
        <x:v>No</x:v>
      </x:c>
      <x:c r="U199" s="4" t="str">
        <x:v>Verified in TPWD 2026-2027 statewide deer category catalog.</x:v>
      </x:c>
      <x:c r="V199" s="4" t="str">
        <x:v>https://tpwd.texas.gov/huntwild/hunt/public/public_hunt_drawing/hunt-category-details.phtml?OCat=GDM</x:v>
      </x:c>
      <x:c r="W199" s="4" t="n">
        <x:v>2</x:v>
      </x:c>
      <x:c r="X199" s="4" t="n">
        <x:v>2</x:v>
      </x:c>
      <x:c r="Y199" s="4" t="n">
        <x:v>4</x:v>
      </x:c>
      <x:c r="Z199" s="4" t="n">
        <x:v>3</x:v>
      </x:c>
      <x:c r="AA199" s="4" t="n">
        <x:v>2</x:v>
      </x:c>
      <x:c r="AB199" s="4" t="n">
        <x:v>0</x:v>
      </x:c>
      <x:c r="AC199" s="4" t="n">
        <x:v>2.3</x:v>
      </x:c>
      <x:c r="AD199" s="4"/>
      <x:c r="AE199" s="4" t="str">
        <x:v>2026-09-15</x:v>
      </x:c>
      <x:c r="AF199" s="2"/>
      <x:c r="AG199" s="2"/>
      <x:c r="AH199" s="2"/>
      <x:c r="AI199" s="2"/>
      <x:c r="AJ199" s="2"/>
      <x:c r="AK199" s="2"/>
      <x:c r="AL199" s="2"/>
      <x:c r="AM199" s="2" t="str">
        <x:v>https://tpwd.texas.gov/huntwild/hunt/public/public_hunt_drawing/hunt-category-details.phtml?OCat=GDM</x:v>
      </x:c>
      <x:c r="AN199" s="2" t="str">
        <x:v>https://tpwd.texas.gov/search/?q=Mason+Mountain+WMA+public+hunting+brochure</x:v>
      </x:c>
      <x:c r="AO199" s="2" t="str">
        <x:v>https://apps.tpwd.state.tx.us/huntwild/hunt/public/public_hunt_drawing/</x:v>
      </x:c>
      <x:c r="AP199" s="2" t="str">
        <x:v>https://www.google.com/maps/search/?api=1&amp;query=Mason+Mountain+WMA%2C+Texas</x:v>
      </x:c>
      <x:c r="AQ199" s="2" t="n">
        <x:v>0</x:v>
      </x:c>
      <x:c r="AR199" s="2" t="str">
        <x:v>Standard Hastings ranking</x:v>
      </x:c>
    </x:row>
    <x:row r="200">
      <x:c r="A200" s="4" t="str">
        <x:v>No</x:v>
      </x:c>
      <x:c r="B200" s="4" t="str">
        <x:v>A</x:v>
      </x:c>
      <x:c r="C200" s="4" t="str">
        <x:v>Whitetail Deer</x:v>
      </x:c>
      <x:c r="D200" s="4" t="str">
        <x:v>Matador WMA</x:v>
      </x:c>
      <x:c r="E200" s="4" t="str">
        <x:v>Panhandle / Rolling Plains</x:v>
      </x:c>
      <x:c r="F200" s="4" t="str">
        <x:v>Gun Deer - Either Sex</x:v>
      </x:c>
      <x:c r="G200" s="4" t="str">
        <x:v>Yes</x:v>
      </x:c>
      <x:c r="H200" s="4" t="str">
        <x:v>Yes</x:v>
      </x:c>
      <x:c r="I200" s="24" t="str">
        <x:v>2026-09-15</x:v>
      </x:c>
      <x:c r="J200" s="4" t="str">
        <x:v>See TPWD category page</x:v>
      </x:c>
      <x:c r="K200" s="4" t="n">
        <x:v>3</x:v>
      </x:c>
      <x:c r="L200" s="4"/>
      <x:c r="M200" s="4"/>
      <x:c r="N200" s="4"/>
      <x:c r="O200" s="4"/>
      <x:c r="P200" s="4" t="n">
        <x:v>130</x:v>
      </x:c>
      <x:c r="Q200" s="4" t="str">
        <x:v>Core</x:v>
      </x:c>
      <x:c r="R200" s="4" t="str">
        <x:v>Research before draw; property brochure linked from TPWD</x:v>
      </x:c>
      <x:c r="S200" s="4" t="str">
        <x:v>High</x:v>
      </x:c>
      <x:c r="T200" s="4" t="str">
        <x:v>No</x:v>
      </x:c>
      <x:c r="U200" s="4" t="str">
        <x:v>Verified in TPWD 2026-2027 statewide deer category catalog.</x:v>
      </x:c>
      <x:c r="V200" s="4" t="str">
        <x:v>https://tpwd.texas.gov/huntwild/hunt/public/public_hunt_drawing/hunt-category-details.phtml?OCat=GDE</x:v>
      </x:c>
      <x:c r="W200" s="4" t="n">
        <x:v>2</x:v>
      </x:c>
      <x:c r="X200" s="4" t="n">
        <x:v>5</x:v>
      </x:c>
      <x:c r="Y200" s="4" t="n">
        <x:v>4</x:v>
      </x:c>
      <x:c r="Z200" s="4" t="n">
        <x:v>3</x:v>
      </x:c>
      <x:c r="AA200" s="4" t="n">
        <x:v>4</x:v>
      </x:c>
      <x:c r="AB200" s="4" t="n">
        <x:v>0</x:v>
      </x:c>
      <x:c r="AC200" s="4" t="n">
        <x:v>2.9</x:v>
      </x:c>
      <x:c r="AD200" s="4"/>
      <x:c r="AE200" s="4" t="str">
        <x:v>2026-09-15</x:v>
      </x:c>
      <x:c r="AF200" s="2"/>
      <x:c r="AG200" s="2"/>
      <x:c r="AH200" s="2"/>
      <x:c r="AI200" s="2"/>
      <x:c r="AJ200" s="2"/>
      <x:c r="AK200" s="2"/>
      <x:c r="AL200" s="2"/>
      <x:c r="AM200" s="2" t="str">
        <x:v>https://tpwd.texas.gov/huntwild/hunt/public/public_hunt_drawing/hunt-category-details.phtml?OCat=GDE</x:v>
      </x:c>
      <x:c r="AN200" s="2" t="str">
        <x:v>https://tpwd.texas.gov/search/?q=Matador+WMA+public+hunting+brochure</x:v>
      </x:c>
      <x:c r="AO200" s="2" t="str">
        <x:v>https://apps.tpwd.state.tx.us/huntwild/hunt/public/public_hunt_drawing/</x:v>
      </x:c>
      <x:c r="AP200" s="2" t="str">
        <x:v>https://www.google.com/maps/search/?api=1&amp;query=Matador+WMA%2C+Texas</x:v>
      </x:c>
      <x:c r="AQ200" s="2" t="n">
        <x:v>0</x:v>
      </x:c>
      <x:c r="AR200" s="2" t="str">
        <x:v>Standard Hastings ranking</x:v>
      </x:c>
    </x:row>
    <x:row r="201">
      <x:c r="A201" s="2" t="str">
        <x:v>No</x:v>
      </x:c>
      <x:c r="B201" s="2" t="str">
        <x:v>A</x:v>
      </x:c>
      <x:c r="C201" s="2" t="str">
        <x:v>Whitetail Deer</x:v>
      </x:c>
      <x:c r="D201" s="2" t="str">
        <x:v>Matagorda Island WMA</x:v>
      </x:c>
      <x:c r="E201" s="2" t="str">
        <x:v>Houston / Gulf Coast</x:v>
      </x:c>
      <x:c r="F201" s="2" t="str">
        <x:v>Gun Deer - Either Sex</x:v>
      </x:c>
      <x:c r="G201" s="2" t="str">
        <x:v>Yes</x:v>
      </x:c>
      <x:c r="H201" s="2" t="str">
        <x:v>Yes</x:v>
      </x:c>
      <x:c r="I201" s="97" t="str">
        <x:v>2026-09-15</x:v>
      </x:c>
      <x:c r="J201" s="2" t="str">
        <x:v>See TPWD category page</x:v>
      </x:c>
      <x:c r="K201" s="2" t="n">
        <x:v>3</x:v>
      </x:c>
      <x:c r="L201" s="2"/>
      <x:c r="M201" s="2"/>
      <x:c r="N201" s="2"/>
      <x:c r="O201" s="2"/>
      <x:c r="P201" s="2" t="n">
        <x:v>610</x:v>
      </x:c>
      <x:c r="Q201" s="2" t="str">
        <x:v>Long Haul</x:v>
      </x:c>
      <x:c r="R201" s="2" t="str">
        <x:v>Research before draw; property brochure linked from TPWD</x:v>
      </x:c>
      <x:c r="S201" s="2" t="str">
        <x:v>Low</x:v>
      </x:c>
      <x:c r="T201" s="2" t="str">
        <x:v>No</x:v>
      </x:c>
      <x:c r="U201" s="2" t="str">
        <x:v>Verified in TPWD 2026-2027 statewide deer category catalog.</x:v>
      </x:c>
      <x:c r="V201" s="2" t="str">
        <x:v>https://tpwd.texas.gov/huntwild/hunt/public/public_hunt_drawing/hunt-category-details.phtml?OCat=GDE</x:v>
      </x:c>
      <x:c r="W201" s="2" t="n">
        <x:v>2</x:v>
      </x:c>
      <x:c r="X201" s="2" t="n">
        <x:v>1</x:v>
      </x:c>
      <x:c r="Y201" s="2" t="n">
        <x:v>4</x:v>
      </x:c>
      <x:c r="Z201" s="2" t="n">
        <x:v>3</x:v>
      </x:c>
      <x:c r="AA201" s="2" t="n">
        <x:v>2</x:v>
      </x:c>
      <x:c r="AB201" s="2" t="n">
        <x:v>0</x:v>
      </x:c>
      <x:c r="AC201" s="2" t="n">
        <x:v>2.1</x:v>
      </x:c>
      <x:c r="AD201" s="2"/>
      <x:c r="AE201" s="2" t="str">
        <x:v>2026-09-15</x:v>
      </x:c>
      <x:c r="AF201" s="2"/>
      <x:c r="AG201" s="2"/>
      <x:c r="AH201" s="2"/>
      <x:c r="AI201" s="2"/>
      <x:c r="AJ201" s="2"/>
      <x:c r="AK201" s="2"/>
      <x:c r="AL201" s="2"/>
      <x:c r="AM201" s="2" t="str">
        <x:v>https://tpwd.texas.gov/huntwild/hunt/public/public_hunt_drawing/hunt-category-details.phtml?OCat=GDE</x:v>
      </x:c>
      <x:c r="AN201" s="2" t="str">
        <x:v>https://tpwd.texas.gov/search/?q=Matagorda+Island+WMA+public+hunting+brochure</x:v>
      </x:c>
      <x:c r="AO201" s="2" t="str">
        <x:v>https://apps.tpwd.state.tx.us/huntwild/hunt/public/public_hunt_drawing/</x:v>
      </x:c>
      <x:c r="AP201" s="2" t="str">
        <x:v>https://www.google.com/maps/search/?api=1&amp;query=Matagorda+Island+WMA%2C+Texas</x:v>
      </x:c>
      <x:c r="AQ201" s="2" t="n">
        <x:v>0</x:v>
      </x:c>
      <x:c r="AR201" s="2" t="str">
        <x:v>Standard Hastings ranking</x:v>
      </x:c>
    </x:row>
    <x:row r="202">
      <x:c r="A202" s="2" t="str">
        <x:v>No</x:v>
      </x:c>
      <x:c r="B202" s="2" t="str">
        <x:v>A</x:v>
      </x:c>
      <x:c r="C202" s="2" t="str">
        <x:v>Whitetail Deer</x:v>
      </x:c>
      <x:c r="D202" s="2" t="str">
        <x:v>Moore Plantation WMA</x:v>
      </x:c>
      <x:c r="E202" s="2" t="str">
        <x:v>East Texas / Pineywoods</x:v>
      </x:c>
      <x:c r="F202" s="2" t="str">
        <x:v>USFS Antlerless Deer Permit - Adult</x:v>
      </x:c>
      <x:c r="G202" s="2" t="str">
        <x:v>Yes</x:v>
      </x:c>
      <x:c r="H202" s="2" t="str">
        <x:v>No</x:v>
      </x:c>
      <x:c r="I202" s="97" t="str">
        <x:v>2026-09-15</x:v>
      </x:c>
      <x:c r="J202" s="2" t="str">
        <x:v>See TPWD category page</x:v>
      </x:c>
      <x:c r="K202" s="2" t="n">
        <x:v>0</x:v>
      </x:c>
      <x:c r="L202" s="2" t="n">
        <x:v>0</x:v>
      </x:c>
      <x:c r="M202" s="2"/>
      <x:c r="N202" s="2"/>
      <x:c r="O202" s="2"/>
      <x:c r="P202" s="2" t="n">
        <x:v>570</x:v>
      </x:c>
      <x:c r="Q202" s="2" t="str">
        <x:v>Statewide</x:v>
      </x:c>
      <x:c r="R202" s="2" t="str">
        <x:v>Research before draw; property brochure linked from TPWD</x:v>
      </x:c>
      <x:c r="S202" s="2" t="str">
        <x:v>Low</x:v>
      </x:c>
      <x:c r="T202" s="2" t="str">
        <x:v>No</x:v>
      </x:c>
      <x:c r="U202" s="2" t="str">
        <x:v>Verified in TPWD 2026-2027 statewide deer category catalog. APH/eligibility rules apply; confirm account and permit requirements.</x:v>
      </x:c>
      <x:c r="V202" s="2" t="str">
        <x:v>https://tpwd.texas.gov/huntwild/hunt/public/public_hunt_drawing/hunt-category-details.phtml?OCat=FSD</x:v>
      </x:c>
      <x:c r="W202" s="2" t="n">
        <x:v>2</x:v>
      </x:c>
      <x:c r="X202" s="2" t="n">
        <x:v>2</x:v>
      </x:c>
      <x:c r="Y202" s="2" t="n">
        <x:v>1</x:v>
      </x:c>
      <x:c r="Z202" s="2" t="n">
        <x:v>3</x:v>
      </x:c>
      <x:c r="AA202" s="2" t="n">
        <x:v>2</x:v>
      </x:c>
      <x:c r="AB202" s="2" t="n">
        <x:v>0</x:v>
      </x:c>
      <x:c r="AC202" s="2" t="n">
        <x:v>1.6</x:v>
      </x:c>
      <x:c r="AD202" s="2" t="n">
        <x:v>0</x:v>
      </x:c>
      <x:c r="AE202" s="2" t="str">
        <x:v>2026-09-15</x:v>
      </x:c>
      <x:c r="AF202" s="2"/>
      <x:c r="AG202" s="2"/>
      <x:c r="AH202" s="2"/>
      <x:c r="AI202" s="2"/>
      <x:c r="AJ202" s="2"/>
      <x:c r="AK202" s="2"/>
      <x:c r="AL202" s="2"/>
      <x:c r="AM202" s="2" t="str">
        <x:v>https://tpwd.texas.gov/huntwild/hunt/public/public_hunt_drawing/hunt-category-details.phtml?OCat=FSD</x:v>
      </x:c>
      <x:c r="AN202" s="2" t="str">
        <x:v>https://tpwd.texas.gov/search/?q=Moore+Plantation+WMA+public+hunting+brochure</x:v>
      </x:c>
      <x:c r="AO202" s="2" t="str">
        <x:v>https://apps.tpwd.state.tx.us/huntwild/hunt/public/public_hunt_drawing/</x:v>
      </x:c>
      <x:c r="AP202" s="2" t="str">
        <x:v>https://www.google.com/maps/search/?api=1&amp;query=Moore+Plantation+WMA%2C+Texas</x:v>
      </x:c>
      <x:c r="AQ202" s="2" t="n">
        <x:v>0</x:v>
      </x:c>
      <x:c r="AR202" s="2" t="str">
        <x:v>Standard Hastings ranking</x:v>
      </x:c>
    </x:row>
    <x:row r="203">
      <x:c r="A203" s="2" t="str">
        <x:v>No</x:v>
      </x:c>
      <x:c r="B203" s="2" t="str">
        <x:v>A</x:v>
      </x:c>
      <x:c r="C203" s="2" t="str">
        <x:v>Whitetail Deer</x:v>
      </x:c>
      <x:c r="D203" s="2" t="str">
        <x:v>Muse WMA</x:v>
      </x:c>
      <x:c r="E203" s="2" t="str">
        <x:v>Statewide / Other</x:v>
      </x:c>
      <x:c r="F203" s="2" t="str">
        <x:v>Gun Deer - Either Sex</x:v>
      </x:c>
      <x:c r="G203" s="2" t="str">
        <x:v>Yes</x:v>
      </x:c>
      <x:c r="H203" s="2" t="str">
        <x:v>Yes</x:v>
      </x:c>
      <x:c r="I203" s="97" t="str">
        <x:v>2026-09-15</x:v>
      </x:c>
      <x:c r="J203" s="2" t="str">
        <x:v>See TPWD category page</x:v>
      </x:c>
      <x:c r="K203" s="2" t="n">
        <x:v>3</x:v>
      </x:c>
      <x:c r="L203" s="2"/>
      <x:c r="M203" s="2"/>
      <x:c r="N203" s="2"/>
      <x:c r="O203" s="2"/>
      <x:c r="P203" s="2" t="n">
        <x:v>500</x:v>
      </x:c>
      <x:c r="Q203" s="2" t="str">
        <x:v>Statewide</x:v>
      </x:c>
      <x:c r="R203" s="2" t="str">
        <x:v>Research before draw; property brochure linked from TPWD</x:v>
      </x:c>
      <x:c r="S203" s="2" t="str">
        <x:v>Low</x:v>
      </x:c>
      <x:c r="T203" s="2" t="str">
        <x:v>No</x:v>
      </x:c>
      <x:c r="U203" s="2" t="str">
        <x:v>Verified in TPWD 2026-2027 statewide deer category catalog.</x:v>
      </x:c>
      <x:c r="V203" s="2" t="str">
        <x:v>https://tpwd.texas.gov/huntwild/hunt/public/public_hunt_drawing/hunt-category-details.phtml?OCat=GDE</x:v>
      </x:c>
      <x:c r="W203" s="2" t="n">
        <x:v>2</x:v>
      </x:c>
      <x:c r="X203" s="2" t="n">
        <x:v>2</x:v>
      </x:c>
      <x:c r="Y203" s="2" t="n">
        <x:v>4</x:v>
      </x:c>
      <x:c r="Z203" s="2" t="n">
        <x:v>3</x:v>
      </x:c>
      <x:c r="AA203" s="2" t="n">
        <x:v>2</x:v>
      </x:c>
      <x:c r="AB203" s="2" t="n">
        <x:v>0</x:v>
      </x:c>
      <x:c r="AC203" s="2" t="n">
        <x:v>2.3</x:v>
      </x:c>
      <x:c r="AD203" s="2"/>
      <x:c r="AE203" s="2" t="str">
        <x:v>2026-09-15</x:v>
      </x:c>
      <x:c r="AF203" s="2"/>
      <x:c r="AG203" s="2"/>
      <x:c r="AH203" s="2"/>
      <x:c r="AI203" s="2"/>
      <x:c r="AJ203" s="2"/>
      <x:c r="AK203" s="2"/>
      <x:c r="AL203" s="2"/>
      <x:c r="AM203" s="2" t="str">
        <x:v>https://tpwd.texas.gov/huntwild/hunt/public/public_hunt_drawing/hunt-category-details.phtml?OCat=GDE</x:v>
      </x:c>
      <x:c r="AN203" s="2" t="str">
        <x:v>https://tpwd.texas.gov/search/?q=Muse+WMA+public+hunting+brochure</x:v>
      </x:c>
      <x:c r="AO203" s="2" t="str">
        <x:v>https://apps.tpwd.state.tx.us/huntwild/hunt/public/public_hunt_drawing/</x:v>
      </x:c>
      <x:c r="AP203" s="2" t="str">
        <x:v>https://www.google.com/maps/search/?api=1&amp;query=Muse+WMA%2C+Texas</x:v>
      </x:c>
      <x:c r="AQ203" s="2" t="n">
        <x:v>0</x:v>
      </x:c>
      <x:c r="AR203" s="2" t="str">
        <x:v>Standard Hastings ranking</x:v>
      </x:c>
    </x:row>
    <x:row r="204">
      <x:c r="A204" s="2" t="str">
        <x:v>No</x:v>
      </x:c>
      <x:c r="B204" s="2" t="str">
        <x:v>A</x:v>
      </x:c>
      <x:c r="C204" s="2" t="str">
        <x:v>Whitetail Deer</x:v>
      </x:c>
      <x:c r="D204" s="2" t="str">
        <x:v>Nannie Stringfellow WMA</x:v>
      </x:c>
      <x:c r="E204" s="2" t="str">
        <x:v>Houston / Gulf Coast</x:v>
      </x:c>
      <x:c r="F204" s="2" t="str">
        <x:v>Gun Deer - Antlerless/Spike</x:v>
      </x:c>
      <x:c r="G204" s="2" t="str">
        <x:v>Yes</x:v>
      </x:c>
      <x:c r="H204" s="2" t="str">
        <x:v>Yes</x:v>
      </x:c>
      <x:c r="I204" s="97" t="str">
        <x:v>2026-09-15</x:v>
      </x:c>
      <x:c r="J204" s="2" t="str">
        <x:v>See TPWD category page</x:v>
      </x:c>
      <x:c r="K204" s="2" t="n">
        <x:v>3</x:v>
      </x:c>
      <x:c r="L204" s="2"/>
      <x:c r="M204" s="2"/>
      <x:c r="N204" s="2"/>
      <x:c r="O204" s="2"/>
      <x:c r="P204" s="2" t="n">
        <x:v>610</x:v>
      </x:c>
      <x:c r="Q204" s="2" t="str">
        <x:v>Long Haul</x:v>
      </x:c>
      <x:c r="R204" s="2" t="str">
        <x:v>Research before draw; property brochure linked from TPWD</x:v>
      </x:c>
      <x:c r="S204" s="2" t="str">
        <x:v>Low</x:v>
      </x:c>
      <x:c r="T204" s="2" t="str">
        <x:v>No</x:v>
      </x:c>
      <x:c r="U204" s="2" t="str">
        <x:v>Verified in TPWD 2026-2027 statewide deer category catalog.</x:v>
      </x:c>
      <x:c r="V204" s="2" t="str">
        <x:v>https://tpwd.texas.gov/huntwild/hunt/public/public_hunt_drawing/hunt-category-details.phtml?OCat=GDA</x:v>
      </x:c>
      <x:c r="W204" s="2" t="n">
        <x:v>2</x:v>
      </x:c>
      <x:c r="X204" s="2" t="n">
        <x:v>1</x:v>
      </x:c>
      <x:c r="Y204" s="2" t="n">
        <x:v>4</x:v>
      </x:c>
      <x:c r="Z204" s="2" t="n">
        <x:v>3</x:v>
      </x:c>
      <x:c r="AA204" s="2" t="n">
        <x:v>2</x:v>
      </x:c>
      <x:c r="AB204" s="2" t="n">
        <x:v>0</x:v>
      </x:c>
      <x:c r="AC204" s="2" t="n">
        <x:v>2.1</x:v>
      </x:c>
      <x:c r="AD204" s="2"/>
      <x:c r="AE204" s="2" t="str">
        <x:v>2026-09-15</x:v>
      </x:c>
      <x:c r="AF204" s="2"/>
      <x:c r="AG204" s="2"/>
      <x:c r="AH204" s="2"/>
      <x:c r="AI204" s="2"/>
      <x:c r="AJ204" s="2"/>
      <x:c r="AK204" s="2"/>
      <x:c r="AL204" s="2"/>
      <x:c r="AM204" s="2" t="str">
        <x:v>https://tpwd.texas.gov/huntwild/hunt/public/public_hunt_drawing/hunt-category-details.phtml?OCat=GDA</x:v>
      </x:c>
      <x:c r="AN204" s="2" t="str">
        <x:v>https://tpwd.texas.gov/search/?q=Nannie+Stringfellow+WMA+public+hunting+brochure</x:v>
      </x:c>
      <x:c r="AO204" s="2" t="str">
        <x:v>https://apps.tpwd.state.tx.us/huntwild/hunt/public/public_hunt_drawing/</x:v>
      </x:c>
      <x:c r="AP204" s="2" t="str">
        <x:v>https://www.google.com/maps/search/?api=1&amp;query=Nannie+Stringfellow+WMA%2C+Texas</x:v>
      </x:c>
      <x:c r="AQ204" s="2" t="n">
        <x:v>0</x:v>
      </x:c>
      <x:c r="AR204" s="2" t="str">
        <x:v>Standard Hastings ranking</x:v>
      </x:c>
    </x:row>
    <x:row r="205">
      <x:c r="A205" s="2" t="str">
        <x:v>No</x:v>
      </x:c>
      <x:c r="B205" s="2" t="str">
        <x:v>A</x:v>
      </x:c>
      <x:c r="C205" s="2" t="str">
        <x:v>Whitetail Deer</x:v>
      </x:c>
      <x:c r="D205" s="2" t="str">
        <x:v>Neches River NWR - Dead Water Unit</x:v>
      </x:c>
      <x:c r="E205" s="2" t="str">
        <x:v>East Texas / Pineywoods</x:v>
      </x:c>
      <x:c r="F205" s="2" t="str">
        <x:v>National Refuge General Deer</x:v>
      </x:c>
      <x:c r="G205" s="2" t="str">
        <x:v>Yes</x:v>
      </x:c>
      <x:c r="H205" s="2" t="str">
        <x:v>Yes</x:v>
      </x:c>
      <x:c r="I205" s="97" t="str">
        <x:v>2026-09-15</x:v>
      </x:c>
      <x:c r="J205" s="2" t="str">
        <x:v>See TPWD category page</x:v>
      </x:c>
      <x:c r="K205" s="2" t="n">
        <x:v>3</x:v>
      </x:c>
      <x:c r="L205" s="2"/>
      <x:c r="M205" s="2"/>
      <x:c r="N205" s="2"/>
      <x:c r="O205" s="2"/>
      <x:c r="P205" s="2" t="n">
        <x:v>570</x:v>
      </x:c>
      <x:c r="Q205" s="2" t="str">
        <x:v>Statewide</x:v>
      </x:c>
      <x:c r="R205" s="2" t="str">
        <x:v>Research before draw; property brochure linked from TPWD</x:v>
      </x:c>
      <x:c r="S205" s="2" t="str">
        <x:v>Low</x:v>
      </x:c>
      <x:c r="T205" s="2" t="str">
        <x:v>No</x:v>
      </x:c>
      <x:c r="U205" s="2" t="str">
        <x:v>Verified in TPWD 2026-2027 statewide deer category catalog. Refuge-specific rules and permit fees may apply.</x:v>
      </x:c>
      <x:c r="V205" s="2" t="str">
        <x:v>https://tpwd.texas.gov/huntwild/hunt/public/public_hunt_drawing/hunt-category-details.phtml?OCat=NGE</x:v>
      </x:c>
      <x:c r="W205" s="2" t="n">
        <x:v>2</x:v>
      </x:c>
      <x:c r="X205" s="2" t="n">
        <x:v>2</x:v>
      </x:c>
      <x:c r="Y205" s="2" t="n">
        <x:v>4</x:v>
      </x:c>
      <x:c r="Z205" s="2" t="n">
        <x:v>3</x:v>
      </x:c>
      <x:c r="AA205" s="2" t="n">
        <x:v>2</x:v>
      </x:c>
      <x:c r="AB205" s="2" t="n">
        <x:v>0</x:v>
      </x:c>
      <x:c r="AC205" s="2" t="n">
        <x:v>2.3</x:v>
      </x:c>
      <x:c r="AD205" s="2"/>
      <x:c r="AE205" s="2" t="str">
        <x:v>2026-09-15</x:v>
      </x:c>
      <x:c r="AF205" s="2"/>
      <x:c r="AG205" s="2"/>
      <x:c r="AH205" s="2"/>
      <x:c r="AI205" s="2"/>
      <x:c r="AJ205" s="2"/>
      <x:c r="AK205" s="2"/>
      <x:c r="AL205" s="2"/>
      <x:c r="AM205" s="2" t="str">
        <x:v>https://tpwd.texas.gov/huntwild/hunt/public/public_hunt_drawing/hunt-category-details.phtml?OCat=NGE</x:v>
      </x:c>
      <x:c r="AN205" s="2" t="str">
        <x:v>https://tpwd.texas.gov/search/?q=Neches+River+NWR+-+Dead+Water+Unit+public+hunting+brochure</x:v>
      </x:c>
      <x:c r="AO205" s="2" t="str">
        <x:v>https://apps.tpwd.state.tx.us/huntwild/hunt/public/public_hunt_drawing/</x:v>
      </x:c>
      <x:c r="AP205" s="2" t="str">
        <x:v>https://www.google.com/maps/search/?api=1&amp;query=Neches+River+NWR+-+Dead+Water+Unit%2C+Texas</x:v>
      </x:c>
      <x:c r="AQ205" s="2" t="n">
        <x:v>0</x:v>
      </x:c>
      <x:c r="AR205" s="2" t="str">
        <x:v>Standard Hastings ranking</x:v>
      </x:c>
    </x:row>
    <x:row r="206">
      <x:c r="A206" s="2" t="str">
        <x:v>No</x:v>
      </x:c>
      <x:c r="B206" s="2" t="str">
        <x:v>A</x:v>
      </x:c>
      <x:c r="C206" s="2" t="str">
        <x:v>Whitetail Deer</x:v>
      </x:c>
      <x:c r="D206" s="2" t="str">
        <x:v>Neches River NWR - Rocky Point Unit</x:v>
      </x:c>
      <x:c r="E206" s="2" t="str">
        <x:v>East Texas / Pineywoods</x:v>
      </x:c>
      <x:c r="F206" s="2" t="str">
        <x:v>National Refuge General Deer</x:v>
      </x:c>
      <x:c r="G206" s="2" t="str">
        <x:v>Yes</x:v>
      </x:c>
      <x:c r="H206" s="2" t="str">
        <x:v>Yes</x:v>
      </x:c>
      <x:c r="I206" s="97" t="str">
        <x:v>2026-09-15</x:v>
      </x:c>
      <x:c r="J206" s="2" t="str">
        <x:v>See TPWD category page</x:v>
      </x:c>
      <x:c r="K206" s="2" t="n">
        <x:v>3</x:v>
      </x:c>
      <x:c r="L206" s="2"/>
      <x:c r="M206" s="2"/>
      <x:c r="N206" s="2"/>
      <x:c r="O206" s="2"/>
      <x:c r="P206" s="2" t="n">
        <x:v>570</x:v>
      </x:c>
      <x:c r="Q206" s="2" t="str">
        <x:v>Statewide</x:v>
      </x:c>
      <x:c r="R206" s="2" t="str">
        <x:v>Research before draw; property brochure linked from TPWD</x:v>
      </x:c>
      <x:c r="S206" s="2" t="str">
        <x:v>Low</x:v>
      </x:c>
      <x:c r="T206" s="2" t="str">
        <x:v>No</x:v>
      </x:c>
      <x:c r="U206" s="2" t="str">
        <x:v>Verified in TPWD 2026-2027 statewide deer category catalog. Refuge-specific rules and permit fees may apply.</x:v>
      </x:c>
      <x:c r="V206" s="2" t="str">
        <x:v>https://tpwd.texas.gov/huntwild/hunt/public/public_hunt_drawing/hunt-category-details.phtml?OCat=NGE</x:v>
      </x:c>
      <x:c r="W206" s="2" t="n">
        <x:v>2</x:v>
      </x:c>
      <x:c r="X206" s="2" t="n">
        <x:v>2</x:v>
      </x:c>
      <x:c r="Y206" s="2" t="n">
        <x:v>4</x:v>
      </x:c>
      <x:c r="Z206" s="2" t="n">
        <x:v>3</x:v>
      </x:c>
      <x:c r="AA206" s="2" t="n">
        <x:v>2</x:v>
      </x:c>
      <x:c r="AB206" s="2" t="n">
        <x:v>0</x:v>
      </x:c>
      <x:c r="AC206" s="2" t="n">
        <x:v>2.3</x:v>
      </x:c>
      <x:c r="AD206" s="2"/>
      <x:c r="AE206" s="2" t="str">
        <x:v>2026-09-15</x:v>
      </x:c>
      <x:c r="AF206" s="2"/>
      <x:c r="AG206" s="2"/>
      <x:c r="AH206" s="2"/>
      <x:c r="AI206" s="2"/>
      <x:c r="AJ206" s="2"/>
      <x:c r="AK206" s="2"/>
      <x:c r="AL206" s="2"/>
      <x:c r="AM206" s="2" t="str">
        <x:v>https://tpwd.texas.gov/huntwild/hunt/public/public_hunt_drawing/hunt-category-details.phtml?OCat=NGE</x:v>
      </x:c>
      <x:c r="AN206" s="2" t="str">
        <x:v>https://tpwd.texas.gov/search/?q=Neches+River+NWR+-+Rocky+Point+Unit+public+hunting+brochure</x:v>
      </x:c>
      <x:c r="AO206" s="2" t="str">
        <x:v>https://apps.tpwd.state.tx.us/huntwild/hunt/public/public_hunt_drawing/</x:v>
      </x:c>
      <x:c r="AP206" s="2" t="str">
        <x:v>https://www.google.com/maps/search/?api=1&amp;query=Neches+River+NWR+-+Rocky+Point+Unit%2C+Texas</x:v>
      </x:c>
      <x:c r="AQ206" s="2" t="n">
        <x:v>0</x:v>
      </x:c>
      <x:c r="AR206" s="2" t="str">
        <x:v>Standard Hastings ranking</x:v>
      </x:c>
    </x:row>
    <x:row r="207">
      <x:c r="A207" s="2" t="str">
        <x:v>No</x:v>
      </x:c>
      <x:c r="B207" s="2" t="str">
        <x:v>A</x:v>
      </x:c>
      <x:c r="C207" s="2" t="str">
        <x:v>Whitetail Deer</x:v>
      </x:c>
      <x:c r="D207" s="2" t="str">
        <x:v>Neches River NWR - Sandy Bluff Unit</x:v>
      </x:c>
      <x:c r="E207" s="2" t="str">
        <x:v>East Texas / Pineywoods</x:v>
      </x:c>
      <x:c r="F207" s="2" t="str">
        <x:v>National Refuge General Deer</x:v>
      </x:c>
      <x:c r="G207" s="2" t="str">
        <x:v>Yes</x:v>
      </x:c>
      <x:c r="H207" s="2" t="str">
        <x:v>Yes</x:v>
      </x:c>
      <x:c r="I207" s="97" t="str">
        <x:v>2026-09-15</x:v>
      </x:c>
      <x:c r="J207" s="2" t="str">
        <x:v>See TPWD category page</x:v>
      </x:c>
      <x:c r="K207" s="2" t="n">
        <x:v>3</x:v>
      </x:c>
      <x:c r="L207" s="2"/>
      <x:c r="M207" s="2"/>
      <x:c r="N207" s="2"/>
      <x:c r="O207" s="2"/>
      <x:c r="P207" s="2" t="n">
        <x:v>570</x:v>
      </x:c>
      <x:c r="Q207" s="2" t="str">
        <x:v>Statewide</x:v>
      </x:c>
      <x:c r="R207" s="2" t="str">
        <x:v>Research before draw; property brochure linked from TPWD</x:v>
      </x:c>
      <x:c r="S207" s="2" t="str">
        <x:v>Low</x:v>
      </x:c>
      <x:c r="T207" s="2" t="str">
        <x:v>No</x:v>
      </x:c>
      <x:c r="U207" s="2" t="str">
        <x:v>Verified in TPWD 2026-2027 statewide deer category catalog. Refuge-specific rules and permit fees may apply.</x:v>
      </x:c>
      <x:c r="V207" s="2" t="str">
        <x:v>https://tpwd.texas.gov/huntwild/hunt/public/public_hunt_drawing/hunt-category-details.phtml?OCat=NGE</x:v>
      </x:c>
      <x:c r="W207" s="2" t="n">
        <x:v>2</x:v>
      </x:c>
      <x:c r="X207" s="2" t="n">
        <x:v>2</x:v>
      </x:c>
      <x:c r="Y207" s="2" t="n">
        <x:v>4</x:v>
      </x:c>
      <x:c r="Z207" s="2" t="n">
        <x:v>3</x:v>
      </x:c>
      <x:c r="AA207" s="2" t="n">
        <x:v>2</x:v>
      </x:c>
      <x:c r="AB207" s="2" t="n">
        <x:v>0</x:v>
      </x:c>
      <x:c r="AC207" s="2" t="n">
        <x:v>2.3</x:v>
      </x:c>
      <x:c r="AD207" s="2"/>
      <x:c r="AE207" s="2" t="str">
        <x:v>2026-09-15</x:v>
      </x:c>
      <x:c r="AF207" s="2"/>
      <x:c r="AG207" s="2"/>
      <x:c r="AH207" s="2"/>
      <x:c r="AI207" s="2"/>
      <x:c r="AJ207" s="2"/>
      <x:c r="AK207" s="2"/>
      <x:c r="AL207" s="2"/>
      <x:c r="AM207" s="2" t="str">
        <x:v>https://tpwd.texas.gov/huntwild/hunt/public/public_hunt_drawing/hunt-category-details.phtml?OCat=NGE</x:v>
      </x:c>
      <x:c r="AN207" s="2" t="str">
        <x:v>https://tpwd.texas.gov/search/?q=Neches+River+NWR+-+Sandy+Bluff+Unit+public+hunting+brochure</x:v>
      </x:c>
      <x:c r="AO207" s="2" t="str">
        <x:v>https://apps.tpwd.state.tx.us/huntwild/hunt/public/public_hunt_drawing/</x:v>
      </x:c>
      <x:c r="AP207" s="2" t="str">
        <x:v>https://www.google.com/maps/search/?api=1&amp;query=Neches+River+NWR+-+Sandy+Bluff+Unit%2C+Texas</x:v>
      </x:c>
      <x:c r="AQ207" s="2" t="n">
        <x:v>0</x:v>
      </x:c>
      <x:c r="AR207" s="2" t="str">
        <x:v>Standard Hastings ranking</x:v>
      </x:c>
    </x:row>
    <x:row r="208">
      <x:c r="A208" s="2" t="str">
        <x:v>No</x:v>
      </x:c>
      <x:c r="B208" s="2" t="str">
        <x:v>A</x:v>
      </x:c>
      <x:c r="C208" s="2" t="str">
        <x:v>Whitetail Deer</x:v>
      </x:c>
      <x:c r="D208" s="2" t="str">
        <x:v>Neches River NWR - Walnut Branch Unit</x:v>
      </x:c>
      <x:c r="E208" s="2" t="str">
        <x:v>East Texas / Pineywoods</x:v>
      </x:c>
      <x:c r="F208" s="2" t="str">
        <x:v>National Refuge General Deer</x:v>
      </x:c>
      <x:c r="G208" s="2" t="str">
        <x:v>Yes</x:v>
      </x:c>
      <x:c r="H208" s="2" t="str">
        <x:v>Yes</x:v>
      </x:c>
      <x:c r="I208" s="97" t="str">
        <x:v>2026-09-15</x:v>
      </x:c>
      <x:c r="J208" s="2" t="str">
        <x:v>See TPWD category page</x:v>
      </x:c>
      <x:c r="K208" s="2" t="n">
        <x:v>3</x:v>
      </x:c>
      <x:c r="L208" s="2"/>
      <x:c r="M208" s="2"/>
      <x:c r="N208" s="2"/>
      <x:c r="O208" s="2"/>
      <x:c r="P208" s="2" t="n">
        <x:v>570</x:v>
      </x:c>
      <x:c r="Q208" s="2" t="str">
        <x:v>Statewide</x:v>
      </x:c>
      <x:c r="R208" s="2" t="str">
        <x:v>Research before draw; property brochure linked from TPWD</x:v>
      </x:c>
      <x:c r="S208" s="2" t="str">
        <x:v>Low</x:v>
      </x:c>
      <x:c r="T208" s="2" t="str">
        <x:v>No</x:v>
      </x:c>
      <x:c r="U208" s="2" t="str">
        <x:v>Verified in TPWD 2026-2027 statewide deer category catalog. Refuge-specific rules and permit fees may apply.</x:v>
      </x:c>
      <x:c r="V208" s="2" t="str">
        <x:v>https://tpwd.texas.gov/huntwild/hunt/public/public_hunt_drawing/hunt-category-details.phtml?OCat=NGE</x:v>
      </x:c>
      <x:c r="W208" s="2" t="n">
        <x:v>2</x:v>
      </x:c>
      <x:c r="X208" s="2" t="n">
        <x:v>2</x:v>
      </x:c>
      <x:c r="Y208" s="2" t="n">
        <x:v>4</x:v>
      </x:c>
      <x:c r="Z208" s="2" t="n">
        <x:v>3</x:v>
      </x:c>
      <x:c r="AA208" s="2" t="n">
        <x:v>2</x:v>
      </x:c>
      <x:c r="AB208" s="2" t="n">
        <x:v>0</x:v>
      </x:c>
      <x:c r="AC208" s="2" t="n">
        <x:v>2.3</x:v>
      </x:c>
      <x:c r="AD208" s="2"/>
      <x:c r="AE208" s="2" t="str">
        <x:v>2026-09-15</x:v>
      </x:c>
      <x:c r="AF208" s="2"/>
      <x:c r="AG208" s="2"/>
      <x:c r="AH208" s="2"/>
      <x:c r="AI208" s="2"/>
      <x:c r="AJ208" s="2"/>
      <x:c r="AK208" s="2"/>
      <x:c r="AL208" s="2"/>
      <x:c r="AM208" s="2" t="str">
        <x:v>https://tpwd.texas.gov/huntwild/hunt/public/public_hunt_drawing/hunt-category-details.phtml?OCat=NGE</x:v>
      </x:c>
      <x:c r="AN208" s="2" t="str">
        <x:v>https://tpwd.texas.gov/search/?q=Neches+River+NWR+-+Walnut+Branch+Unit+public+hunting+brochure</x:v>
      </x:c>
      <x:c r="AO208" s="2" t="str">
        <x:v>https://apps.tpwd.state.tx.us/huntwild/hunt/public/public_hunt_drawing/</x:v>
      </x:c>
      <x:c r="AP208" s="2" t="str">
        <x:v>https://www.google.com/maps/search/?api=1&amp;query=Neches+River+NWR+-+Walnut+Branch+Unit%2C+Texas</x:v>
      </x:c>
      <x:c r="AQ208" s="2" t="n">
        <x:v>0</x:v>
      </x:c>
      <x:c r="AR208" s="2" t="str">
        <x:v>Standard Hastings ranking</x:v>
      </x:c>
    </x:row>
    <x:row r="209">
      <x:c r="A209" s="2" t="str">
        <x:v>No</x:v>
      </x:c>
      <x:c r="B209" s="2" t="str">
        <x:v>A</x:v>
      </x:c>
      <x:c r="C209" s="2" t="str">
        <x:v>Whitetail Deer</x:v>
      </x:c>
      <x:c r="D209" s="2" t="str">
        <x:v>Old Sabine Bottom WMA</x:v>
      </x:c>
      <x:c r="E209" s="2" t="str">
        <x:v>East Texas / Pineywoods</x:v>
      </x:c>
      <x:c r="F209" s="2" t="str">
        <x:v>E-Postcard Deer</x:v>
      </x:c>
      <x:c r="G209" s="2" t="str">
        <x:v>Yes</x:v>
      </x:c>
      <x:c r="H209" s="2" t="str">
        <x:v>Yes</x:v>
      </x:c>
      <x:c r="I209" s="97" t="str">
        <x:v>2026-09-15</x:v>
      </x:c>
      <x:c r="J209" s="2" t="str">
        <x:v>See TPWD category page</x:v>
      </x:c>
      <x:c r="K209" s="2" t="n">
        <x:v>0</x:v>
      </x:c>
      <x:c r="L209" s="2" t="n">
        <x:v>0</x:v>
      </x:c>
      <x:c r="M209" s="2"/>
      <x:c r="N209" s="2"/>
      <x:c r="O209" s="2"/>
      <x:c r="P209" s="2" t="n">
        <x:v>570</x:v>
      </x:c>
      <x:c r="Q209" s="2" t="str">
        <x:v>Statewide</x:v>
      </x:c>
      <x:c r="R209" s="2" t="str">
        <x:v>Research before draw; property brochure linked from TPWD</x:v>
      </x:c>
      <x:c r="S209" s="2" t="str">
        <x:v>Low</x:v>
      </x:c>
      <x:c r="T209" s="2" t="str">
        <x:v>No</x:v>
      </x:c>
      <x:c r="U209" s="2" t="str">
        <x:v>Verified in TPWD 2026-2027 statewide deer category catalog. APH/eligibility rules apply; confirm account and permit requirements.</x:v>
      </x:c>
      <x:c r="V209" s="2" t="str">
        <x:v>https://tpwd.texas.gov/huntwild/hunt/public/public_hunt_drawing/hunt-category-details.phtml?OCat=EDR</x:v>
      </x:c>
      <x:c r="W209" s="2" t="n">
        <x:v>2</x:v>
      </x:c>
      <x:c r="X209" s="2" t="n">
        <x:v>2</x:v>
      </x:c>
      <x:c r="Y209" s="2" t="n">
        <x:v>4</x:v>
      </x:c>
      <x:c r="Z209" s="2" t="n">
        <x:v>3</x:v>
      </x:c>
      <x:c r="AA209" s="2" t="n">
        <x:v>2</x:v>
      </x:c>
      <x:c r="AB209" s="2" t="n">
        <x:v>0</x:v>
      </x:c>
      <x:c r="AC209" s="2" t="n">
        <x:v>2.3</x:v>
      </x:c>
      <x:c r="AD209" s="2" t="n">
        <x:v>0</x:v>
      </x:c>
      <x:c r="AE209" s="2" t="str">
        <x:v>2026-09-15</x:v>
      </x:c>
      <x:c r="AF209" s="2"/>
      <x:c r="AG209" s="2"/>
      <x:c r="AH209" s="2"/>
      <x:c r="AI209" s="2"/>
      <x:c r="AJ209" s="2"/>
      <x:c r="AK209" s="2"/>
      <x:c r="AL209" s="2"/>
      <x:c r="AM209" s="2" t="str">
        <x:v>https://tpwd.texas.gov/huntwild/hunt/public/public_hunt_drawing/hunt-category-details.phtml?OCat=EDR</x:v>
      </x:c>
      <x:c r="AN209" s="2" t="str">
        <x:v>https://tpwd.texas.gov/search/?q=Old+Sabine+Bottom+WMA+public+hunting+brochure</x:v>
      </x:c>
      <x:c r="AO209" s="2" t="str">
        <x:v>https://apps.tpwd.state.tx.us/huntwild/hunt/public/public_hunt_drawing/</x:v>
      </x:c>
      <x:c r="AP209" s="2" t="str">
        <x:v>https://www.google.com/maps/search/?api=1&amp;query=Old+Sabine+Bottom+WMA%2C+Texas</x:v>
      </x:c>
      <x:c r="AQ209" s="2" t="n">
        <x:v>0</x:v>
      </x:c>
      <x:c r="AR209" s="2" t="str">
        <x:v>Standard Hastings ranking</x:v>
      </x:c>
    </x:row>
    <x:row r="210">
      <x:c r="A210" s="2" t="str">
        <x:v>No</x:v>
      </x:c>
      <x:c r="B210" s="2" t="str">
        <x:v>A</x:v>
      </x:c>
      <x:c r="C210" s="2" t="str">
        <x:v>Whitetail Deer</x:v>
      </x:c>
      <x:c r="D210" s="2" t="str">
        <x:v>Old Sabine Bottom WMA</x:v>
      </x:c>
      <x:c r="E210" s="2" t="str">
        <x:v>East Texas / Pineywoods</x:v>
      </x:c>
      <x:c r="F210" s="2" t="str">
        <x:v>Gun Deer - Either Sex</x:v>
      </x:c>
      <x:c r="G210" s="2" t="str">
        <x:v>Yes</x:v>
      </x:c>
      <x:c r="H210" s="2" t="str">
        <x:v>Yes</x:v>
      </x:c>
      <x:c r="I210" s="97" t="str">
        <x:v>2026-09-15</x:v>
      </x:c>
      <x:c r="J210" s="2" t="str">
        <x:v>See TPWD category page</x:v>
      </x:c>
      <x:c r="K210" s="2" t="n">
        <x:v>3</x:v>
      </x:c>
      <x:c r="L210" s="2"/>
      <x:c r="M210" s="2"/>
      <x:c r="N210" s="2"/>
      <x:c r="O210" s="2"/>
      <x:c r="P210" s="2" t="n">
        <x:v>570</x:v>
      </x:c>
      <x:c r="Q210" s="2" t="str">
        <x:v>Statewide</x:v>
      </x:c>
      <x:c r="R210" s="2" t="str">
        <x:v>Research before draw; property brochure linked from TPWD</x:v>
      </x:c>
      <x:c r="S210" s="2" t="str">
        <x:v>Low</x:v>
      </x:c>
      <x:c r="T210" s="2" t="str">
        <x:v>No</x:v>
      </x:c>
      <x:c r="U210" s="2" t="str">
        <x:v>Verified in TPWD 2026-2027 statewide deer category catalog.</x:v>
      </x:c>
      <x:c r="V210" s="2" t="str">
        <x:v>https://tpwd.texas.gov/huntwild/hunt/public/public_hunt_drawing/hunt-category-details.phtml?OCat=GDE</x:v>
      </x:c>
      <x:c r="W210" s="2" t="n">
        <x:v>2</x:v>
      </x:c>
      <x:c r="X210" s="2" t="n">
        <x:v>2</x:v>
      </x:c>
      <x:c r="Y210" s="2" t="n">
        <x:v>4</x:v>
      </x:c>
      <x:c r="Z210" s="2" t="n">
        <x:v>3</x:v>
      </x:c>
      <x:c r="AA210" s="2" t="n">
        <x:v>2</x:v>
      </x:c>
      <x:c r="AB210" s="2" t="n">
        <x:v>0</x:v>
      </x:c>
      <x:c r="AC210" s="2" t="n">
        <x:v>2.3</x:v>
      </x:c>
      <x:c r="AD210" s="2"/>
      <x:c r="AE210" s="2" t="str">
        <x:v>2026-09-15</x:v>
      </x:c>
      <x:c r="AF210" s="2"/>
      <x:c r="AG210" s="2"/>
      <x:c r="AH210" s="2"/>
      <x:c r="AI210" s="2"/>
      <x:c r="AJ210" s="2"/>
      <x:c r="AK210" s="2"/>
      <x:c r="AL210" s="2"/>
      <x:c r="AM210" s="2" t="str">
        <x:v>https://tpwd.texas.gov/huntwild/hunt/public/public_hunt_drawing/hunt-category-details.phtml?OCat=GDE</x:v>
      </x:c>
      <x:c r="AN210" s="2" t="str">
        <x:v>https://tpwd.texas.gov/search/?q=Old+Sabine+Bottom+WMA+public+hunting+brochure</x:v>
      </x:c>
      <x:c r="AO210" s="2" t="str">
        <x:v>https://apps.tpwd.state.tx.us/huntwild/hunt/public/public_hunt_drawing/</x:v>
      </x:c>
      <x:c r="AP210" s="2" t="str">
        <x:v>https://www.google.com/maps/search/?api=1&amp;query=Old+Sabine+Bottom+WMA%2C+Texas</x:v>
      </x:c>
      <x:c r="AQ210" s="2" t="n">
        <x:v>0</x:v>
      </x:c>
      <x:c r="AR210" s="2" t="str">
        <x:v>Standard Hastings ranking</x:v>
      </x:c>
    </x:row>
    <x:row r="211">
      <x:c r="A211" s="2" t="str">
        <x:v>No</x:v>
      </x:c>
      <x:c r="B211" s="2" t="str">
        <x:v>A</x:v>
      </x:c>
      <x:c r="C211" s="2" t="str">
        <x:v>Whitetail Deer</x:v>
      </x:c>
      <x:c r="D211" s="2" t="str">
        <x:v>Pat Mayse WMA</x:v>
      </x:c>
      <x:c r="E211" s="2" t="str">
        <x:v>North Texas / DFW</x:v>
      </x:c>
      <x:c r="F211" s="2" t="str">
        <x:v>Gun Deer - Either Sex</x:v>
      </x:c>
      <x:c r="G211" s="2" t="str">
        <x:v>Yes</x:v>
      </x:c>
      <x:c r="H211" s="2" t="str">
        <x:v>Yes</x:v>
      </x:c>
      <x:c r="I211" s="97" t="str">
        <x:v>2026-09-15</x:v>
      </x:c>
      <x:c r="J211" s="2" t="str">
        <x:v>See TPWD category page</x:v>
      </x:c>
      <x:c r="K211" s="2" t="n">
        <x:v>3</x:v>
      </x:c>
      <x:c r="L211" s="2"/>
      <x:c r="M211" s="2"/>
      <x:c r="N211" s="2"/>
      <x:c r="O211" s="2"/>
      <x:c r="P211" s="2" t="n">
        <x:v>360</x:v>
      </x:c>
      <x:c r="Q211" s="2" t="str">
        <x:v>Extended</x:v>
      </x:c>
      <x:c r="R211" s="2" t="str">
        <x:v>Research before draw; property brochure linked from TPWD</x:v>
      </x:c>
      <x:c r="S211" s="2" t="str">
        <x:v>Low</x:v>
      </x:c>
      <x:c r="T211" s="2" t="str">
        <x:v>No</x:v>
      </x:c>
      <x:c r="U211" s="2" t="str">
        <x:v>Verified in TPWD 2026-2027 statewide deer category catalog.</x:v>
      </x:c>
      <x:c r="V211" s="2" t="str">
        <x:v>https://tpwd.texas.gov/huntwild/hunt/public/public_hunt_drawing/hunt-category-details.phtml?OCat=GDE</x:v>
      </x:c>
      <x:c r="W211" s="2" t="n">
        <x:v>2</x:v>
      </x:c>
      <x:c r="X211" s="2" t="n">
        <x:v>3</x:v>
      </x:c>
      <x:c r="Y211" s="2" t="n">
        <x:v>4</x:v>
      </x:c>
      <x:c r="Z211" s="2" t="n">
        <x:v>3</x:v>
      </x:c>
      <x:c r="AA211" s="2" t="n">
        <x:v>2</x:v>
      </x:c>
      <x:c r="AB211" s="2" t="n">
        <x:v>0</x:v>
      </x:c>
      <x:c r="AC211" s="2" t="n">
        <x:v>2.5</x:v>
      </x:c>
      <x:c r="AD211" s="2"/>
      <x:c r="AE211" s="2" t="str">
        <x:v>2026-09-15</x:v>
      </x:c>
      <x:c r="AF211" s="2"/>
      <x:c r="AG211" s="2"/>
      <x:c r="AH211" s="2"/>
      <x:c r="AI211" s="2"/>
      <x:c r="AJ211" s="2"/>
      <x:c r="AK211" s="2"/>
      <x:c r="AL211" s="2"/>
      <x:c r="AM211" s="2" t="str">
        <x:v>https://tpwd.texas.gov/huntwild/hunt/public/public_hunt_drawing/hunt-category-details.phtml?OCat=GDE</x:v>
      </x:c>
      <x:c r="AN211" s="2" t="str">
        <x:v>https://tpwd.texas.gov/search/?q=Pat+Mayse+WMA+public+hunting+brochure</x:v>
      </x:c>
      <x:c r="AO211" s="2" t="str">
        <x:v>https://apps.tpwd.state.tx.us/huntwild/hunt/public/public_hunt_drawing/</x:v>
      </x:c>
      <x:c r="AP211" s="2" t="str">
        <x:v>https://www.google.com/maps/search/?api=1&amp;query=Pat+Mayse+WMA%2C+Texas</x:v>
      </x:c>
      <x:c r="AQ211" s="2" t="n">
        <x:v>0</x:v>
      </x:c>
      <x:c r="AR211" s="2" t="str">
        <x:v>Standard Hastings ranking</x:v>
      </x:c>
    </x:row>
    <x:row r="212">
      <x:c r="A212" s="2" t="str">
        <x:v>No</x:v>
      </x:c>
      <x:c r="B212" s="2" t="str">
        <x:v>A</x:v>
      </x:c>
      <x:c r="C212" s="2" t="str">
        <x:v>Whitetail Deer</x:v>
      </x:c>
      <x:c r="D212" s="2" t="str">
        <x:v>Pedernales Falls SP</x:v>
      </x:c>
      <x:c r="E212" s="2" t="str">
        <x:v>Hill Country / San Antonio</x:v>
      </x:c>
      <x:c r="F212" s="2" t="str">
        <x:v>Gun Deer - Antlerless/Spike</x:v>
      </x:c>
      <x:c r="G212" s="2" t="str">
        <x:v>Yes</x:v>
      </x:c>
      <x:c r="H212" s="2" t="str">
        <x:v>Yes</x:v>
      </x:c>
      <x:c r="I212" s="97" t="str">
        <x:v>2026-09-15</x:v>
      </x:c>
      <x:c r="J212" s="2" t="str">
        <x:v>See TPWD category page</x:v>
      </x:c>
      <x:c r="K212" s="2" t="n">
        <x:v>3</x:v>
      </x:c>
      <x:c r="L212" s="2"/>
      <x:c r="M212" s="2"/>
      <x:c r="N212" s="2"/>
      <x:c r="O212" s="2"/>
      <x:c r="P212" s="2" t="n">
        <x:v>520</x:v>
      </x:c>
      <x:c r="Q212" s="2" t="str">
        <x:v>Statewide</x:v>
      </x:c>
      <x:c r="R212" s="2" t="str">
        <x:v>Research before draw; property brochure linked from TPWD</x:v>
      </x:c>
      <x:c r="S212" s="2" t="str">
        <x:v>Low</x:v>
      </x:c>
      <x:c r="T212" s="2" t="str">
        <x:v>No</x:v>
      </x:c>
      <x:c r="U212" s="2" t="str">
        <x:v>Verified in TPWD 2026-2027 statewide deer category catalog.</x:v>
      </x:c>
      <x:c r="V212" s="2" t="str">
        <x:v>https://tpwd.texas.gov/huntwild/hunt/public/public_hunt_drawing/hunt-category-details.phtml?OCat=GDA</x:v>
      </x:c>
      <x:c r="W212" s="2" t="n">
        <x:v>2</x:v>
      </x:c>
      <x:c r="X212" s="2" t="n">
        <x:v>2</x:v>
      </x:c>
      <x:c r="Y212" s="2" t="n">
        <x:v>4</x:v>
      </x:c>
      <x:c r="Z212" s="2" t="n">
        <x:v>3</x:v>
      </x:c>
      <x:c r="AA212" s="2" t="n">
        <x:v>2</x:v>
      </x:c>
      <x:c r="AB212" s="2" t="n">
        <x:v>0</x:v>
      </x:c>
      <x:c r="AC212" s="2" t="n">
        <x:v>2.3</x:v>
      </x:c>
      <x:c r="AD212" s="2"/>
      <x:c r="AE212" s="2" t="str">
        <x:v>2026-09-15</x:v>
      </x:c>
      <x:c r="AF212" s="2"/>
      <x:c r="AG212" s="2"/>
      <x:c r="AH212" s="2"/>
      <x:c r="AI212" s="2"/>
      <x:c r="AJ212" s="2"/>
      <x:c r="AK212" s="2"/>
      <x:c r="AL212" s="2"/>
      <x:c r="AM212" s="2" t="str">
        <x:v>https://tpwd.texas.gov/huntwild/hunt/public/public_hunt_drawing/hunt-category-details.phtml?OCat=GDA</x:v>
      </x:c>
      <x:c r="AN212" s="2" t="str">
        <x:v>https://tpwd.texas.gov/search/?q=Pedernales+Falls+SP+public+hunting+brochure</x:v>
      </x:c>
      <x:c r="AO212" s="2" t="str">
        <x:v>https://apps.tpwd.state.tx.us/huntwild/hunt/public/public_hunt_drawing/</x:v>
      </x:c>
      <x:c r="AP212" s="2" t="str">
        <x:v>https://www.google.com/maps/search/?api=1&amp;query=Pedernales+Falls+SP%2C+Texas</x:v>
      </x:c>
      <x:c r="AQ212" s="2" t="n">
        <x:v>0</x:v>
      </x:c>
      <x:c r="AR212" s="2" t="str">
        <x:v>Standard Hastings ranking</x:v>
      </x:c>
    </x:row>
    <x:row r="213">
      <x:c r="A213" s="2" t="str">
        <x:v>No</x:v>
      </x:c>
      <x:c r="B213" s="2" t="str">
        <x:v>A</x:v>
      </x:c>
      <x:c r="C213" s="2" t="str">
        <x:v>Whitetail Deer</x:v>
      </x:c>
      <x:c r="D213" s="2" t="str">
        <x:v>Pedernales Falls SP Annex</x:v>
      </x:c>
      <x:c r="E213" s="2" t="str">
        <x:v>Hill Country / San Antonio</x:v>
      </x:c>
      <x:c r="F213" s="2" t="str">
        <x:v>Gun Deer - Either Sex</x:v>
      </x:c>
      <x:c r="G213" s="2" t="str">
        <x:v>Yes</x:v>
      </x:c>
      <x:c r="H213" s="2" t="str">
        <x:v>Yes</x:v>
      </x:c>
      <x:c r="I213" s="97" t="str">
        <x:v>2026-09-15</x:v>
      </x:c>
      <x:c r="J213" s="2" t="str">
        <x:v>See TPWD category page</x:v>
      </x:c>
      <x:c r="K213" s="2" t="n">
        <x:v>3</x:v>
      </x:c>
      <x:c r="L213" s="2"/>
      <x:c r="M213" s="2"/>
      <x:c r="N213" s="2"/>
      <x:c r="O213" s="2"/>
      <x:c r="P213" s="2" t="n">
        <x:v>520</x:v>
      </x:c>
      <x:c r="Q213" s="2" t="str">
        <x:v>Statewide</x:v>
      </x:c>
      <x:c r="R213" s="2" t="str">
        <x:v>Research before draw; property brochure linked from TPWD</x:v>
      </x:c>
      <x:c r="S213" s="2" t="str">
        <x:v>Low</x:v>
      </x:c>
      <x:c r="T213" s="2" t="str">
        <x:v>No</x:v>
      </x:c>
      <x:c r="U213" s="2" t="str">
        <x:v>Verified in TPWD 2026-2027 statewide deer category catalog.</x:v>
      </x:c>
      <x:c r="V213" s="2" t="str">
        <x:v>https://tpwd.texas.gov/huntwild/hunt/public/public_hunt_drawing/hunt-category-details.phtml?OCat=GDE</x:v>
      </x:c>
      <x:c r="W213" s="2" t="n">
        <x:v>2</x:v>
      </x:c>
      <x:c r="X213" s="2" t="n">
        <x:v>2</x:v>
      </x:c>
      <x:c r="Y213" s="2" t="n">
        <x:v>4</x:v>
      </x:c>
      <x:c r="Z213" s="2" t="n">
        <x:v>3</x:v>
      </x:c>
      <x:c r="AA213" s="2" t="n">
        <x:v>2</x:v>
      </x:c>
      <x:c r="AB213" s="2" t="n">
        <x:v>0</x:v>
      </x:c>
      <x:c r="AC213" s="2" t="n">
        <x:v>2.3</x:v>
      </x:c>
      <x:c r="AD213" s="2"/>
      <x:c r="AE213" s="2" t="str">
        <x:v>2026-09-15</x:v>
      </x:c>
      <x:c r="AF213" s="2"/>
      <x:c r="AG213" s="2"/>
      <x:c r="AH213" s="2"/>
      <x:c r="AI213" s="2"/>
      <x:c r="AJ213" s="2"/>
      <x:c r="AK213" s="2"/>
      <x:c r="AL213" s="2"/>
      <x:c r="AM213" s="2" t="str">
        <x:v>https://tpwd.texas.gov/huntwild/hunt/public/public_hunt_drawing/hunt-category-details.phtml?OCat=GDE</x:v>
      </x:c>
      <x:c r="AN213" s="2" t="str">
        <x:v>https://tpwd.texas.gov/search/?q=Pedernales+Falls+SP+Annex+public+hunting+brochure</x:v>
      </x:c>
      <x:c r="AO213" s="2" t="str">
        <x:v>https://apps.tpwd.state.tx.us/huntwild/hunt/public/public_hunt_drawing/</x:v>
      </x:c>
      <x:c r="AP213" s="2" t="str">
        <x:v>https://www.google.com/maps/search/?api=1&amp;query=Pedernales+Falls+SP+Annex%2C+Texas</x:v>
      </x:c>
      <x:c r="AQ213" s="2" t="n">
        <x:v>0</x:v>
      </x:c>
      <x:c r="AR213" s="2" t="str">
        <x:v>Standard Hastings ranking</x:v>
      </x:c>
    </x:row>
    <x:row r="214">
      <x:c r="A214" s="2" t="str">
        <x:v>No</x:v>
      </x:c>
      <x:c r="B214" s="2" t="str">
        <x:v>A</x:v>
      </x:c>
      <x:c r="C214" s="2" t="str">
        <x:v>Whitetail Deer</x:v>
      </x:c>
      <x:c r="D214" s="2" t="str">
        <x:v>Post Oak Ridge State Park</x:v>
      </x:c>
      <x:c r="E214" s="2" t="str">
        <x:v>Statewide / Other</x:v>
      </x:c>
      <x:c r="F214" s="2" t="str">
        <x:v>Gun Deer - Antlerless/Spike</x:v>
      </x:c>
      <x:c r="G214" s="2" t="str">
        <x:v>Yes</x:v>
      </x:c>
      <x:c r="H214" s="2" t="str">
        <x:v>Yes</x:v>
      </x:c>
      <x:c r="I214" s="97" t="str">
        <x:v>2026-09-15</x:v>
      </x:c>
      <x:c r="J214" s="2" t="str">
        <x:v>See TPWD category page</x:v>
      </x:c>
      <x:c r="K214" s="2" t="n">
        <x:v>3</x:v>
      </x:c>
      <x:c r="L214" s="2"/>
      <x:c r="M214" s="2"/>
      <x:c r="N214" s="2"/>
      <x:c r="O214" s="2"/>
      <x:c r="P214" s="2" t="n">
        <x:v>500</x:v>
      </x:c>
      <x:c r="Q214" s="2" t="str">
        <x:v>Statewide</x:v>
      </x:c>
      <x:c r="R214" s="2" t="str">
        <x:v>Research before draw; property brochure linked from TPWD</x:v>
      </x:c>
      <x:c r="S214" s="2" t="str">
        <x:v>Low</x:v>
      </x:c>
      <x:c r="T214" s="2" t="str">
        <x:v>No</x:v>
      </x:c>
      <x:c r="U214" s="2" t="str">
        <x:v>Verified in TPWD 2026-2027 statewide deer category catalog.</x:v>
      </x:c>
      <x:c r="V214" s="2" t="str">
        <x:v>https://tpwd.texas.gov/huntwild/hunt/public/public_hunt_drawing/hunt-category-details.phtml?OCat=GDA</x:v>
      </x:c>
      <x:c r="W214" s="2" t="n">
        <x:v>2</x:v>
      </x:c>
      <x:c r="X214" s="2" t="n">
        <x:v>2</x:v>
      </x:c>
      <x:c r="Y214" s="2" t="n">
        <x:v>4</x:v>
      </x:c>
      <x:c r="Z214" s="2" t="n">
        <x:v>3</x:v>
      </x:c>
      <x:c r="AA214" s="2" t="n">
        <x:v>2</x:v>
      </x:c>
      <x:c r="AB214" s="2" t="n">
        <x:v>0</x:v>
      </x:c>
      <x:c r="AC214" s="2" t="n">
        <x:v>2.3</x:v>
      </x:c>
      <x:c r="AD214" s="2"/>
      <x:c r="AE214" s="2" t="str">
        <x:v>2026-09-15</x:v>
      </x:c>
      <x:c r="AF214" s="2"/>
      <x:c r="AG214" s="2"/>
      <x:c r="AH214" s="2"/>
      <x:c r="AI214" s="2"/>
      <x:c r="AJ214" s="2"/>
      <x:c r="AK214" s="2"/>
      <x:c r="AL214" s="2"/>
      <x:c r="AM214" s="2" t="str">
        <x:v>https://tpwd.texas.gov/huntwild/hunt/public/public_hunt_drawing/hunt-category-details.phtml?OCat=GDA</x:v>
      </x:c>
      <x:c r="AN214" s="2" t="str">
        <x:v>https://tpwd.texas.gov/search/?q=Post+Oak+Ridge+State+Park+public+hunting+brochure</x:v>
      </x:c>
      <x:c r="AO214" s="2" t="str">
        <x:v>https://apps.tpwd.state.tx.us/huntwild/hunt/public/public_hunt_drawing/</x:v>
      </x:c>
      <x:c r="AP214" s="2" t="str">
        <x:v>https://www.google.com/maps/search/?api=1&amp;query=Post+Oak+Ridge+State+Park%2C+Texas</x:v>
      </x:c>
      <x:c r="AQ214" s="2" t="n">
        <x:v>0</x:v>
      </x:c>
      <x:c r="AR214" s="2" t="str">
        <x:v>Standard Hastings ranking</x:v>
      </x:c>
    </x:row>
    <x:row r="215">
      <x:c r="A215" s="2" t="str">
        <x:v>No</x:v>
      </x:c>
      <x:c r="B215" s="2" t="str">
        <x:v>A</x:v>
      </x:c>
      <x:c r="C215" s="2" t="str">
        <x:v>Whitetail Deer</x:v>
      </x:c>
      <x:c r="D215" s="2" t="str">
        <x:v>Post Oak Ridge State Park</x:v>
      </x:c>
      <x:c r="E215" s="2" t="str">
        <x:v>Statewide / Other</x:v>
      </x:c>
      <x:c r="F215" s="2" t="str">
        <x:v>Gun Deer - Either Sex</x:v>
      </x:c>
      <x:c r="G215" s="2" t="str">
        <x:v>Yes</x:v>
      </x:c>
      <x:c r="H215" s="2" t="str">
        <x:v>Yes</x:v>
      </x:c>
      <x:c r="I215" s="97" t="str">
        <x:v>2026-09-15</x:v>
      </x:c>
      <x:c r="J215" s="2" t="str">
        <x:v>See TPWD category page</x:v>
      </x:c>
      <x:c r="K215" s="2" t="n">
        <x:v>3</x:v>
      </x:c>
      <x:c r="L215" s="2"/>
      <x:c r="M215" s="2"/>
      <x:c r="N215" s="2"/>
      <x:c r="O215" s="2"/>
      <x:c r="P215" s="2" t="n">
        <x:v>500</x:v>
      </x:c>
      <x:c r="Q215" s="2" t="str">
        <x:v>Statewide</x:v>
      </x:c>
      <x:c r="R215" s="2" t="str">
        <x:v>Research before draw; property brochure linked from TPWD</x:v>
      </x:c>
      <x:c r="S215" s="2" t="str">
        <x:v>Low</x:v>
      </x:c>
      <x:c r="T215" s="2" t="str">
        <x:v>No</x:v>
      </x:c>
      <x:c r="U215" s="2" t="str">
        <x:v>Verified in TPWD 2026-2027 statewide deer category catalog.</x:v>
      </x:c>
      <x:c r="V215" s="2" t="str">
        <x:v>https://tpwd.texas.gov/huntwild/hunt/public/public_hunt_drawing/hunt-category-details.phtml?OCat=GDE</x:v>
      </x:c>
      <x:c r="W215" s="2" t="n">
        <x:v>2</x:v>
      </x:c>
      <x:c r="X215" s="2" t="n">
        <x:v>2</x:v>
      </x:c>
      <x:c r="Y215" s="2" t="n">
        <x:v>4</x:v>
      </x:c>
      <x:c r="Z215" s="2" t="n">
        <x:v>3</x:v>
      </x:c>
      <x:c r="AA215" s="2" t="n">
        <x:v>2</x:v>
      </x:c>
      <x:c r="AB215" s="2" t="n">
        <x:v>0</x:v>
      </x:c>
      <x:c r="AC215" s="2" t="n">
        <x:v>2.3</x:v>
      </x:c>
      <x:c r="AD215" s="2"/>
      <x:c r="AE215" s="2" t="str">
        <x:v>2026-09-15</x:v>
      </x:c>
      <x:c r="AF215" s="2"/>
      <x:c r="AG215" s="2"/>
      <x:c r="AH215" s="2"/>
      <x:c r="AI215" s="2"/>
      <x:c r="AJ215" s="2"/>
      <x:c r="AK215" s="2"/>
      <x:c r="AL215" s="2"/>
      <x:c r="AM215" s="2" t="str">
        <x:v>https://tpwd.texas.gov/huntwild/hunt/public/public_hunt_drawing/hunt-category-details.phtml?OCat=GDE</x:v>
      </x:c>
      <x:c r="AN215" s="2" t="str">
        <x:v>https://tpwd.texas.gov/search/?q=Post+Oak+Ridge+State+Park+public+hunting+brochure</x:v>
      </x:c>
      <x:c r="AO215" s="2" t="str">
        <x:v>https://apps.tpwd.state.tx.us/huntwild/hunt/public/public_hunt_drawing/</x:v>
      </x:c>
      <x:c r="AP215" s="2" t="str">
        <x:v>https://www.google.com/maps/search/?api=1&amp;query=Post+Oak+Ridge+State+Park%2C+Texas</x:v>
      </x:c>
      <x:c r="AQ215" s="2" t="n">
        <x:v>0</x:v>
      </x:c>
      <x:c r="AR215" s="2" t="str">
        <x:v>Standard Hastings ranking</x:v>
      </x:c>
    </x:row>
    <x:row r="216">
      <x:c r="A216" s="2" t="str">
        <x:v>No</x:v>
      </x:c>
      <x:c r="B216" s="2" t="str">
        <x:v>A</x:v>
      </x:c>
      <x:c r="C216" s="2" t="str">
        <x:v>Whitetail Deer</x:v>
      </x:c>
      <x:c r="D216" s="2" t="str">
        <x:v>Powderhorn WMA</x:v>
      </x:c>
      <x:c r="E216" s="2" t="str">
        <x:v>Houston / Gulf Coast</x:v>
      </x:c>
      <x:c r="F216" s="2" t="str">
        <x:v>Gun Deer - Either Sex</x:v>
      </x:c>
      <x:c r="G216" s="2" t="str">
        <x:v>Yes</x:v>
      </x:c>
      <x:c r="H216" s="2" t="str">
        <x:v>Yes</x:v>
      </x:c>
      <x:c r="I216" s="97" t="str">
        <x:v>2026-09-15</x:v>
      </x:c>
      <x:c r="J216" s="2" t="str">
        <x:v>See TPWD category page</x:v>
      </x:c>
      <x:c r="K216" s="2" t="n">
        <x:v>3</x:v>
      </x:c>
      <x:c r="L216" s="2"/>
      <x:c r="M216" s="2"/>
      <x:c r="N216" s="2"/>
      <x:c r="O216" s="2"/>
      <x:c r="P216" s="2" t="n">
        <x:v>610</x:v>
      </x:c>
      <x:c r="Q216" s="2" t="str">
        <x:v>Long Haul</x:v>
      </x:c>
      <x:c r="R216" s="2" t="str">
        <x:v>Research before draw; property brochure linked from TPWD</x:v>
      </x:c>
      <x:c r="S216" s="2" t="str">
        <x:v>Low</x:v>
      </x:c>
      <x:c r="T216" s="2" t="str">
        <x:v>No</x:v>
      </x:c>
      <x:c r="U216" s="2" t="str">
        <x:v>Verified in TPWD 2026-2027 statewide deer category catalog.</x:v>
      </x:c>
      <x:c r="V216" s="2" t="str">
        <x:v>https://tpwd.texas.gov/huntwild/hunt/public/public_hunt_drawing/hunt-category-details.phtml?OCat=GDE</x:v>
      </x:c>
      <x:c r="W216" s="2" t="n">
        <x:v>2</x:v>
      </x:c>
      <x:c r="X216" s="2" t="n">
        <x:v>1</x:v>
      </x:c>
      <x:c r="Y216" s="2" t="n">
        <x:v>4</x:v>
      </x:c>
      <x:c r="Z216" s="2" t="n">
        <x:v>3</x:v>
      </x:c>
      <x:c r="AA216" s="2" t="n">
        <x:v>2</x:v>
      </x:c>
      <x:c r="AB216" s="2" t="n">
        <x:v>0</x:v>
      </x:c>
      <x:c r="AC216" s="2" t="n">
        <x:v>2.1</x:v>
      </x:c>
      <x:c r="AD216" s="2"/>
      <x:c r="AE216" s="2" t="str">
        <x:v>2026-09-15</x:v>
      </x:c>
      <x:c r="AF216" s="2"/>
      <x:c r="AG216" s="2"/>
      <x:c r="AH216" s="2"/>
      <x:c r="AI216" s="2"/>
      <x:c r="AJ216" s="2"/>
      <x:c r="AK216" s="2"/>
      <x:c r="AL216" s="2"/>
      <x:c r="AM216" s="2" t="str">
        <x:v>https://tpwd.texas.gov/huntwild/hunt/public/public_hunt_drawing/hunt-category-details.phtml?OCat=GDE</x:v>
      </x:c>
      <x:c r="AN216" s="2" t="str">
        <x:v>https://tpwd.texas.gov/search/?q=Powderhorn+WMA+public+hunting+brochure</x:v>
      </x:c>
      <x:c r="AO216" s="2" t="str">
        <x:v>https://apps.tpwd.state.tx.us/huntwild/hunt/public/public_hunt_drawing/</x:v>
      </x:c>
      <x:c r="AP216" s="2" t="str">
        <x:v>https://www.google.com/maps/search/?api=1&amp;query=Powderhorn+WMA%2C+Texas</x:v>
      </x:c>
      <x:c r="AQ216" s="2" t="n">
        <x:v>0</x:v>
      </x:c>
      <x:c r="AR216" s="2" t="str">
        <x:v>Standard Hastings ranking</x:v>
      </x:c>
    </x:row>
    <x:row r="217">
      <x:c r="A217" s="2" t="str">
        <x:v>No</x:v>
      </x:c>
      <x:c r="B217" s="2" t="str">
        <x:v>A</x:v>
      </x:c>
      <x:c r="C217" s="2" t="str">
        <x:v>Whitetail Deer</x:v>
      </x:c>
      <x:c r="D217" s="2" t="str">
        <x:v>Richland Creek WMA - Carl Frentress Unit</x:v>
      </x:c>
      <x:c r="E217" s="2" t="str">
        <x:v>Statewide / Other</x:v>
      </x:c>
      <x:c r="F217" s="2" t="str">
        <x:v>Gun Deer - Antlerless/Spike</x:v>
      </x:c>
      <x:c r="G217" s="2" t="str">
        <x:v>Yes</x:v>
      </x:c>
      <x:c r="H217" s="2" t="str">
        <x:v>Yes</x:v>
      </x:c>
      <x:c r="I217" s="97" t="str">
        <x:v>2026-09-15</x:v>
      </x:c>
      <x:c r="J217" s="2" t="str">
        <x:v>See TPWD category page</x:v>
      </x:c>
      <x:c r="K217" s="2" t="n">
        <x:v>3</x:v>
      </x:c>
      <x:c r="L217" s="2"/>
      <x:c r="M217" s="2"/>
      <x:c r="N217" s="2"/>
      <x:c r="O217" s="2"/>
      <x:c r="P217" s="2" t="n">
        <x:v>500</x:v>
      </x:c>
      <x:c r="Q217" s="2" t="str">
        <x:v>Statewide</x:v>
      </x:c>
      <x:c r="R217" s="2" t="str">
        <x:v>Research before draw; property brochure linked from TPWD</x:v>
      </x:c>
      <x:c r="S217" s="2" t="str">
        <x:v>Low</x:v>
      </x:c>
      <x:c r="T217" s="2" t="str">
        <x:v>No</x:v>
      </x:c>
      <x:c r="U217" s="2" t="str">
        <x:v>Verified in TPWD 2026-2027 statewide deer category catalog.</x:v>
      </x:c>
      <x:c r="V217" s="2" t="str">
        <x:v>https://tpwd.texas.gov/huntwild/hunt/public/public_hunt_drawing/hunt-category-details.phtml?OCat=GDA</x:v>
      </x:c>
      <x:c r="W217" s="2" t="n">
        <x:v>2</x:v>
      </x:c>
      <x:c r="X217" s="2" t="n">
        <x:v>2</x:v>
      </x:c>
      <x:c r="Y217" s="2" t="n">
        <x:v>4</x:v>
      </x:c>
      <x:c r="Z217" s="2" t="n">
        <x:v>3</x:v>
      </x:c>
      <x:c r="AA217" s="2" t="n">
        <x:v>2</x:v>
      </x:c>
      <x:c r="AB217" s="2" t="n">
        <x:v>0</x:v>
      </x:c>
      <x:c r="AC217" s="2" t="n">
        <x:v>2.3</x:v>
      </x:c>
      <x:c r="AD217" s="2"/>
      <x:c r="AE217" s="2" t="str">
        <x:v>2026-09-15</x:v>
      </x:c>
      <x:c r="AF217" s="2"/>
      <x:c r="AG217" s="2"/>
      <x:c r="AH217" s="2"/>
      <x:c r="AI217" s="2"/>
      <x:c r="AJ217" s="2"/>
      <x:c r="AK217" s="2"/>
      <x:c r="AL217" s="2"/>
      <x:c r="AM217" s="2" t="str">
        <x:v>https://tpwd.texas.gov/huntwild/hunt/public/public_hunt_drawing/hunt-category-details.phtml?OCat=GDA</x:v>
      </x:c>
      <x:c r="AN217" s="2" t="str">
        <x:v>https://tpwd.texas.gov/search/?q=Richland+Creek+WMA+-+Carl+Frentress+Unit+public+hunting+brochure</x:v>
      </x:c>
      <x:c r="AO217" s="2" t="str">
        <x:v>https://apps.tpwd.state.tx.us/huntwild/hunt/public/public_hunt_drawing/</x:v>
      </x:c>
      <x:c r="AP217" s="2" t="str">
        <x:v>https://www.google.com/maps/search/?api=1&amp;query=Richland+Creek+WMA+-+Carl+Frentress+Unit%2C+Texas</x:v>
      </x:c>
      <x:c r="AQ217" s="2" t="n">
        <x:v>0</x:v>
      </x:c>
      <x:c r="AR217" s="2" t="str">
        <x:v>Standard Hastings ranking</x:v>
      </x:c>
    </x:row>
    <x:row r="218">
      <x:c r="A218" s="2" t="str">
        <x:v>No</x:v>
      </x:c>
      <x:c r="B218" s="2" t="str">
        <x:v>A</x:v>
      </x:c>
      <x:c r="C218" s="2" t="str">
        <x:v>Whitetail Deer</x:v>
      </x:c>
      <x:c r="D218" s="2" t="str">
        <x:v>Richland Creek WMA - Carl Frentress Unit</x:v>
      </x:c>
      <x:c r="E218" s="2" t="str">
        <x:v>Statewide / Other</x:v>
      </x:c>
      <x:c r="F218" s="2" t="str">
        <x:v>Gun Deer - Either Sex</x:v>
      </x:c>
      <x:c r="G218" s="2" t="str">
        <x:v>Yes</x:v>
      </x:c>
      <x:c r="H218" s="2" t="str">
        <x:v>Yes</x:v>
      </x:c>
      <x:c r="I218" s="97" t="str">
        <x:v>2026-09-15</x:v>
      </x:c>
      <x:c r="J218" s="2" t="str">
        <x:v>See TPWD category page</x:v>
      </x:c>
      <x:c r="K218" s="2" t="n">
        <x:v>3</x:v>
      </x:c>
      <x:c r="L218" s="2"/>
      <x:c r="M218" s="2"/>
      <x:c r="N218" s="2"/>
      <x:c r="O218" s="2"/>
      <x:c r="P218" s="2" t="n">
        <x:v>500</x:v>
      </x:c>
      <x:c r="Q218" s="2" t="str">
        <x:v>Statewide</x:v>
      </x:c>
      <x:c r="R218" s="2" t="str">
        <x:v>Research before draw; property brochure linked from TPWD</x:v>
      </x:c>
      <x:c r="S218" s="2" t="str">
        <x:v>Low</x:v>
      </x:c>
      <x:c r="T218" s="2" t="str">
        <x:v>No</x:v>
      </x:c>
      <x:c r="U218" s="2" t="str">
        <x:v>Verified in TPWD 2026-2027 statewide deer category catalog.</x:v>
      </x:c>
      <x:c r="V218" s="2" t="str">
        <x:v>https://tpwd.texas.gov/huntwild/hunt/public/public_hunt_drawing/hunt-category-details.phtml?OCat=GDE</x:v>
      </x:c>
      <x:c r="W218" s="2" t="n">
        <x:v>2</x:v>
      </x:c>
      <x:c r="X218" s="2" t="n">
        <x:v>2</x:v>
      </x:c>
      <x:c r="Y218" s="2" t="n">
        <x:v>4</x:v>
      </x:c>
      <x:c r="Z218" s="2" t="n">
        <x:v>3</x:v>
      </x:c>
      <x:c r="AA218" s="2" t="n">
        <x:v>2</x:v>
      </x:c>
      <x:c r="AB218" s="2" t="n">
        <x:v>0</x:v>
      </x:c>
      <x:c r="AC218" s="2" t="n">
        <x:v>2.3</x:v>
      </x:c>
      <x:c r="AD218" s="2"/>
      <x:c r="AE218" s="2" t="str">
        <x:v>2026-09-15</x:v>
      </x:c>
      <x:c r="AF218" s="2"/>
      <x:c r="AG218" s="2"/>
      <x:c r="AH218" s="2"/>
      <x:c r="AI218" s="2"/>
      <x:c r="AJ218" s="2"/>
      <x:c r="AK218" s="2"/>
      <x:c r="AL218" s="2"/>
      <x:c r="AM218" s="2" t="str">
        <x:v>https://tpwd.texas.gov/huntwild/hunt/public/public_hunt_drawing/hunt-category-details.phtml?OCat=GDE</x:v>
      </x:c>
      <x:c r="AN218" s="2" t="str">
        <x:v>https://tpwd.texas.gov/search/?q=Richland+Creek+WMA+-+Carl+Frentress+Unit+public+hunting+brochure</x:v>
      </x:c>
      <x:c r="AO218" s="2" t="str">
        <x:v>https://apps.tpwd.state.tx.us/huntwild/hunt/public/public_hunt_drawing/</x:v>
      </x:c>
      <x:c r="AP218" s="2" t="str">
        <x:v>https://www.google.com/maps/search/?api=1&amp;query=Richland+Creek+WMA+-+Carl+Frentress+Unit%2C+Texas</x:v>
      </x:c>
      <x:c r="AQ218" s="2" t="n">
        <x:v>0</x:v>
      </x:c>
      <x:c r="AR218" s="2" t="str">
        <x:v>Standard Hastings ranking</x:v>
      </x:c>
    </x:row>
    <x:row r="219">
      <x:c r="A219" s="2" t="str">
        <x:v>No</x:v>
      </x:c>
      <x:c r="B219" s="2" t="str">
        <x:v>A</x:v>
      </x:c>
      <x:c r="C219" s="2" t="str">
        <x:v>Whitetail Deer</x:v>
      </x:c>
      <x:c r="D219" s="2" t="str">
        <x:v>Richland Creek WMA - South Unit</x:v>
      </x:c>
      <x:c r="E219" s="2" t="str">
        <x:v>Statewide / Other</x:v>
      </x:c>
      <x:c r="F219" s="2" t="str">
        <x:v>Gun Deer - Antlerless/Spike</x:v>
      </x:c>
      <x:c r="G219" s="2" t="str">
        <x:v>Yes</x:v>
      </x:c>
      <x:c r="H219" s="2" t="str">
        <x:v>Yes</x:v>
      </x:c>
      <x:c r="I219" s="97" t="str">
        <x:v>2026-09-15</x:v>
      </x:c>
      <x:c r="J219" s="2" t="str">
        <x:v>See TPWD category page</x:v>
      </x:c>
      <x:c r="K219" s="2" t="n">
        <x:v>3</x:v>
      </x:c>
      <x:c r="L219" s="2"/>
      <x:c r="M219" s="2"/>
      <x:c r="N219" s="2"/>
      <x:c r="O219" s="2"/>
      <x:c r="P219" s="2" t="n">
        <x:v>500</x:v>
      </x:c>
      <x:c r="Q219" s="2" t="str">
        <x:v>Statewide</x:v>
      </x:c>
      <x:c r="R219" s="2" t="str">
        <x:v>Research before draw; property brochure linked from TPWD</x:v>
      </x:c>
      <x:c r="S219" s="2" t="str">
        <x:v>Low</x:v>
      </x:c>
      <x:c r="T219" s="2" t="str">
        <x:v>No</x:v>
      </x:c>
      <x:c r="U219" s="2" t="str">
        <x:v>Verified in TPWD 2026-2027 statewide deer category catalog.</x:v>
      </x:c>
      <x:c r="V219" s="2" t="str">
        <x:v>https://tpwd.texas.gov/huntwild/hunt/public/public_hunt_drawing/hunt-category-details.phtml?OCat=GDA</x:v>
      </x:c>
      <x:c r="W219" s="2" t="n">
        <x:v>2</x:v>
      </x:c>
      <x:c r="X219" s="2" t="n">
        <x:v>2</x:v>
      </x:c>
      <x:c r="Y219" s="2" t="n">
        <x:v>4</x:v>
      </x:c>
      <x:c r="Z219" s="2" t="n">
        <x:v>3</x:v>
      </x:c>
      <x:c r="AA219" s="2" t="n">
        <x:v>2</x:v>
      </x:c>
      <x:c r="AB219" s="2" t="n">
        <x:v>0</x:v>
      </x:c>
      <x:c r="AC219" s="2" t="n">
        <x:v>2.3</x:v>
      </x:c>
      <x:c r="AD219" s="2"/>
      <x:c r="AE219" s="2" t="str">
        <x:v>2026-09-15</x:v>
      </x:c>
      <x:c r="AF219" s="2"/>
      <x:c r="AG219" s="2"/>
      <x:c r="AH219" s="2"/>
      <x:c r="AI219" s="2"/>
      <x:c r="AJ219" s="2"/>
      <x:c r="AK219" s="2"/>
      <x:c r="AL219" s="2"/>
      <x:c r="AM219" s="2" t="str">
        <x:v>https://tpwd.texas.gov/huntwild/hunt/public/public_hunt_drawing/hunt-category-details.phtml?OCat=GDA</x:v>
      </x:c>
      <x:c r="AN219" s="2" t="str">
        <x:v>https://tpwd.texas.gov/search/?q=Richland+Creek+WMA+-+South+Unit+public+hunting+brochure</x:v>
      </x:c>
      <x:c r="AO219" s="2" t="str">
        <x:v>https://apps.tpwd.state.tx.us/huntwild/hunt/public/public_hunt_drawing/</x:v>
      </x:c>
      <x:c r="AP219" s="2" t="str">
        <x:v>https://www.google.com/maps/search/?api=1&amp;query=Richland+Creek+WMA+-+South+Unit%2C+Texas</x:v>
      </x:c>
      <x:c r="AQ219" s="2" t="n">
        <x:v>0</x:v>
      </x:c>
      <x:c r="AR219" s="2" t="str">
        <x:v>Standard Hastings ranking</x:v>
      </x:c>
    </x:row>
    <x:row r="220">
      <x:c r="A220" s="2" t="str">
        <x:v>No</x:v>
      </x:c>
      <x:c r="B220" s="2" t="str">
        <x:v>A</x:v>
      </x:c>
      <x:c r="C220" s="2" t="str">
        <x:v>Whitetail Deer</x:v>
      </x:c>
      <x:c r="D220" s="2" t="str">
        <x:v>Richland Creek WMA - South Unit</x:v>
      </x:c>
      <x:c r="E220" s="2" t="str">
        <x:v>Statewide / Other</x:v>
      </x:c>
      <x:c r="F220" s="2" t="str">
        <x:v>Gun Deer - Either Sex</x:v>
      </x:c>
      <x:c r="G220" s="2" t="str">
        <x:v>Yes</x:v>
      </x:c>
      <x:c r="H220" s="2" t="str">
        <x:v>Yes</x:v>
      </x:c>
      <x:c r="I220" s="97" t="str">
        <x:v>2026-09-15</x:v>
      </x:c>
      <x:c r="J220" s="2" t="str">
        <x:v>See TPWD category page</x:v>
      </x:c>
      <x:c r="K220" s="2" t="n">
        <x:v>3</x:v>
      </x:c>
      <x:c r="L220" s="2"/>
      <x:c r="M220" s="2"/>
      <x:c r="N220" s="2"/>
      <x:c r="O220" s="2"/>
      <x:c r="P220" s="2" t="n">
        <x:v>500</x:v>
      </x:c>
      <x:c r="Q220" s="2" t="str">
        <x:v>Statewide</x:v>
      </x:c>
      <x:c r="R220" s="2" t="str">
        <x:v>Research before draw; property brochure linked from TPWD</x:v>
      </x:c>
      <x:c r="S220" s="2" t="str">
        <x:v>Low</x:v>
      </x:c>
      <x:c r="T220" s="2" t="str">
        <x:v>No</x:v>
      </x:c>
      <x:c r="U220" s="2" t="str">
        <x:v>Verified in TPWD 2026-2027 statewide deer category catalog.</x:v>
      </x:c>
      <x:c r="V220" s="2" t="str">
        <x:v>https://tpwd.texas.gov/huntwild/hunt/public/public_hunt_drawing/hunt-category-details.phtml?OCat=GDE</x:v>
      </x:c>
      <x:c r="W220" s="2" t="n">
        <x:v>2</x:v>
      </x:c>
      <x:c r="X220" s="2" t="n">
        <x:v>2</x:v>
      </x:c>
      <x:c r="Y220" s="2" t="n">
        <x:v>4</x:v>
      </x:c>
      <x:c r="Z220" s="2" t="n">
        <x:v>3</x:v>
      </x:c>
      <x:c r="AA220" s="2" t="n">
        <x:v>2</x:v>
      </x:c>
      <x:c r="AB220" s="2" t="n">
        <x:v>0</x:v>
      </x:c>
      <x:c r="AC220" s="2" t="n">
        <x:v>2.3</x:v>
      </x:c>
      <x:c r="AD220" s="2"/>
      <x:c r="AE220" s="2" t="str">
        <x:v>2026-09-15</x:v>
      </x:c>
      <x:c r="AF220" s="2"/>
      <x:c r="AG220" s="2"/>
      <x:c r="AH220" s="2"/>
      <x:c r="AI220" s="2"/>
      <x:c r="AJ220" s="2"/>
      <x:c r="AK220" s="2"/>
      <x:c r="AL220" s="2"/>
      <x:c r="AM220" s="2" t="str">
        <x:v>https://tpwd.texas.gov/huntwild/hunt/public/public_hunt_drawing/hunt-category-details.phtml?OCat=GDE</x:v>
      </x:c>
      <x:c r="AN220" s="2" t="str">
        <x:v>https://tpwd.texas.gov/search/?q=Richland+Creek+WMA+-+South+Unit+public+hunting+brochure</x:v>
      </x:c>
      <x:c r="AO220" s="2" t="str">
        <x:v>https://apps.tpwd.state.tx.us/huntwild/hunt/public/public_hunt_drawing/</x:v>
      </x:c>
      <x:c r="AP220" s="2" t="str">
        <x:v>https://www.google.com/maps/search/?api=1&amp;query=Richland+Creek+WMA+-+South+Unit%2C+Texas</x:v>
      </x:c>
      <x:c r="AQ220" s="2" t="n">
        <x:v>0</x:v>
      </x:c>
      <x:c r="AR220" s="2" t="str">
        <x:v>Standard Hastings ranking</x:v>
      </x:c>
    </x:row>
    <x:row r="221">
      <x:c r="A221" s="2" t="str">
        <x:v>No</x:v>
      </x:c>
      <x:c r="B221" s="2" t="str">
        <x:v>A</x:v>
      </x:c>
      <x:c r="C221" s="2" t="str">
        <x:v>Whitetail Deer</x:v>
      </x:c>
      <x:c r="D221" s="2" t="str">
        <x:v>Roger Fawcett WMA</x:v>
      </x:c>
      <x:c r="E221" s="2" t="str">
        <x:v>West-Central Texas</x:v>
      </x:c>
      <x:c r="F221" s="2" t="str">
        <x:v>Gun Deer - Either Sex</x:v>
      </x:c>
      <x:c r="G221" s="2" t="str">
        <x:v>Yes</x:v>
      </x:c>
      <x:c r="H221" s="2" t="str">
        <x:v>Yes</x:v>
      </x:c>
      <x:c r="I221" s="97" t="str">
        <x:v>2026-09-15</x:v>
      </x:c>
      <x:c r="J221" s="2" t="str">
        <x:v>See TPWD category page</x:v>
      </x:c>
      <x:c r="K221" s="2" t="n">
        <x:v>3</x:v>
      </x:c>
      <x:c r="L221" s="2"/>
      <x:c r="M221" s="2"/>
      <x:c r="N221" s="2"/>
      <x:c r="O221" s="2"/>
      <x:c r="P221" s="2" t="n">
        <x:v>300</x:v>
      </x:c>
      <x:c r="Q221" s="2" t="str">
        <x:v>Extended</x:v>
      </x:c>
      <x:c r="R221" s="2" t="str">
        <x:v>Research before draw; property brochure linked from TPWD</x:v>
      </x:c>
      <x:c r="S221" s="2" t="str">
        <x:v>Low</x:v>
      </x:c>
      <x:c r="T221" s="2" t="str">
        <x:v>No</x:v>
      </x:c>
      <x:c r="U221" s="2" t="str">
        <x:v>Verified in TPWD 2026-2027 statewide deer category catalog.</x:v>
      </x:c>
      <x:c r="V221" s="2" t="str">
        <x:v>https://tpwd.texas.gov/huntwild/hunt/public/public_hunt_drawing/hunt-category-details.phtml?OCat=GDE</x:v>
      </x:c>
      <x:c r="W221" s="2" t="n">
        <x:v>2</x:v>
      </x:c>
      <x:c r="X221" s="2" t="n">
        <x:v>4</x:v>
      </x:c>
      <x:c r="Y221" s="2" t="n">
        <x:v>4</x:v>
      </x:c>
      <x:c r="Z221" s="2" t="n">
        <x:v>3</x:v>
      </x:c>
      <x:c r="AA221" s="2" t="n">
        <x:v>2</x:v>
      </x:c>
      <x:c r="AB221" s="2" t="n">
        <x:v>0</x:v>
      </x:c>
      <x:c r="AC221" s="2" t="n">
        <x:v>2.6</x:v>
      </x:c>
      <x:c r="AD221" s="2"/>
      <x:c r="AE221" s="2" t="str">
        <x:v>2026-09-15</x:v>
      </x:c>
      <x:c r="AF221" s="2"/>
      <x:c r="AG221" s="2"/>
      <x:c r="AH221" s="2"/>
      <x:c r="AI221" s="2"/>
      <x:c r="AJ221" s="2"/>
      <x:c r="AK221" s="2"/>
      <x:c r="AL221" s="2"/>
      <x:c r="AM221" s="2" t="str">
        <x:v>https://tpwd.texas.gov/huntwild/hunt/public/public_hunt_drawing/hunt-category-details.phtml?OCat=GDE</x:v>
      </x:c>
      <x:c r="AN221" s="2" t="str">
        <x:v>https://tpwd.texas.gov/search/?q=Roger+Fawcett+WMA+public+hunting+brochure</x:v>
      </x:c>
      <x:c r="AO221" s="2" t="str">
        <x:v>https://apps.tpwd.state.tx.us/huntwild/hunt/public/public_hunt_drawing/</x:v>
      </x:c>
      <x:c r="AP221" s="2" t="str">
        <x:v>https://www.google.com/maps/search/?api=1&amp;query=Roger+Fawcett+WMA%2C+Texas</x:v>
      </x:c>
      <x:c r="AQ221" s="2" t="n">
        <x:v>0</x:v>
      </x:c>
      <x:c r="AR221" s="2" t="str">
        <x:v>Standard Hastings ranking</x:v>
      </x:c>
    </x:row>
    <x:row r="222">
      <x:c r="A222" s="2" t="str">
        <x:v>No</x:v>
      </x:c>
      <x:c r="B222" s="2" t="str">
        <x:v>A</x:v>
      </x:c>
      <x:c r="C222" s="2" t="str">
        <x:v>Whitetail Deer</x:v>
      </x:c>
      <x:c r="D222" s="2" t="str">
        <x:v>Sam Houston National Forest WMA</x:v>
      </x:c>
      <x:c r="E222" s="2" t="str">
        <x:v>East Texas / Pineywoods</x:v>
      </x:c>
      <x:c r="F222" s="2" t="str">
        <x:v>USFS Antlerless Deer Permit - Adult</x:v>
      </x:c>
      <x:c r="G222" s="2" t="str">
        <x:v>Yes</x:v>
      </x:c>
      <x:c r="H222" s="2" t="str">
        <x:v>No</x:v>
      </x:c>
      <x:c r="I222" s="97" t="str">
        <x:v>2026-09-15</x:v>
      </x:c>
      <x:c r="J222" s="2" t="str">
        <x:v>See TPWD category page</x:v>
      </x:c>
      <x:c r="K222" s="2" t="n">
        <x:v>0</x:v>
      </x:c>
      <x:c r="L222" s="2" t="n">
        <x:v>0</x:v>
      </x:c>
      <x:c r="M222" s="2"/>
      <x:c r="N222" s="2"/>
      <x:c r="O222" s="2"/>
      <x:c r="P222" s="2" t="n">
        <x:v>570</x:v>
      </x:c>
      <x:c r="Q222" s="2" t="str">
        <x:v>Statewide</x:v>
      </x:c>
      <x:c r="R222" s="2" t="str">
        <x:v>Research before draw; property brochure linked from TPWD</x:v>
      </x:c>
      <x:c r="S222" s="2" t="str">
        <x:v>Low</x:v>
      </x:c>
      <x:c r="T222" s="2" t="str">
        <x:v>No</x:v>
      </x:c>
      <x:c r="U222" s="2" t="str">
        <x:v>Verified in TPWD 2026-2027 statewide deer category catalog. APH/eligibility rules apply; confirm account and permit requirements.</x:v>
      </x:c>
      <x:c r="V222" s="2" t="str">
        <x:v>https://tpwd.texas.gov/huntwild/hunt/public/public_hunt_drawing/hunt-category-details.phtml?OCat=FSD</x:v>
      </x:c>
      <x:c r="W222" s="2" t="n">
        <x:v>2</x:v>
      </x:c>
      <x:c r="X222" s="2" t="n">
        <x:v>2</x:v>
      </x:c>
      <x:c r="Y222" s="2" t="n">
        <x:v>1</x:v>
      </x:c>
      <x:c r="Z222" s="2" t="n">
        <x:v>3</x:v>
      </x:c>
      <x:c r="AA222" s="2" t="n">
        <x:v>2</x:v>
      </x:c>
      <x:c r="AB222" s="2" t="n">
        <x:v>0</x:v>
      </x:c>
      <x:c r="AC222" s="2" t="n">
        <x:v>1.6</x:v>
      </x:c>
      <x:c r="AD222" s="2" t="n">
        <x:v>0</x:v>
      </x:c>
      <x:c r="AE222" s="2" t="str">
        <x:v>2026-09-15</x:v>
      </x:c>
      <x:c r="AF222" s="2"/>
      <x:c r="AG222" s="2"/>
      <x:c r="AH222" s="2"/>
      <x:c r="AI222" s="2"/>
      <x:c r="AJ222" s="2"/>
      <x:c r="AK222" s="2"/>
      <x:c r="AL222" s="2"/>
      <x:c r="AM222" s="2" t="str">
        <x:v>https://tpwd.texas.gov/huntwild/hunt/public/public_hunt_drawing/hunt-category-details.phtml?OCat=FSD</x:v>
      </x:c>
      <x:c r="AN222" s="2" t="str">
        <x:v>https://tpwd.texas.gov/search/?q=Sam+Houston+National+Forest+WMA+public+hunting+brochure</x:v>
      </x:c>
      <x:c r="AO222" s="2" t="str">
        <x:v>https://apps.tpwd.state.tx.us/huntwild/hunt/public/public_hunt_drawing/</x:v>
      </x:c>
      <x:c r="AP222" s="2" t="str">
        <x:v>https://www.google.com/maps/search/?api=1&amp;query=Sam+Houston+National+Forest+WMA%2C+Texas</x:v>
      </x:c>
      <x:c r="AQ222" s="2" t="n">
        <x:v>0</x:v>
      </x:c>
      <x:c r="AR222" s="2" t="str">
        <x:v>Standard Hastings ranking</x:v>
      </x:c>
    </x:row>
    <x:row r="223">
      <x:c r="A223" s="2" t="str">
        <x:v>No</x:v>
      </x:c>
      <x:c r="B223" s="2" t="str">
        <x:v>A</x:v>
      </x:c>
      <x:c r="C223" s="2" t="str">
        <x:v>Whitetail Deer</x:v>
      </x:c>
      <x:c r="D223" s="2" t="str">
        <x:v>San Angelo SP</x:v>
      </x:c>
      <x:c r="E223" s="2" t="str">
        <x:v>West-Central Texas</x:v>
      </x:c>
      <x:c r="F223" s="2" t="str">
        <x:v>Gun Deer - Antlerless/Spike</x:v>
      </x:c>
      <x:c r="G223" s="2" t="str">
        <x:v>Yes</x:v>
      </x:c>
      <x:c r="H223" s="2" t="str">
        <x:v>Yes</x:v>
      </x:c>
      <x:c r="I223" s="97" t="str">
        <x:v>2026-09-15</x:v>
      </x:c>
      <x:c r="J223" s="2" t="str">
        <x:v>See TPWD category page</x:v>
      </x:c>
      <x:c r="K223" s="2" t="n">
        <x:v>3</x:v>
      </x:c>
      <x:c r="L223" s="2"/>
      <x:c r="M223" s="2"/>
      <x:c r="N223" s="2"/>
      <x:c r="O223" s="2"/>
      <x:c r="P223" s="2" t="n">
        <x:v>300</x:v>
      </x:c>
      <x:c r="Q223" s="2" t="str">
        <x:v>Extended</x:v>
      </x:c>
      <x:c r="R223" s="2" t="str">
        <x:v>Research before draw; property brochure linked from TPWD</x:v>
      </x:c>
      <x:c r="S223" s="2" t="str">
        <x:v>Low</x:v>
      </x:c>
      <x:c r="T223" s="2" t="str">
        <x:v>No</x:v>
      </x:c>
      <x:c r="U223" s="2" t="str">
        <x:v>Verified in TPWD 2026-2027 statewide deer category catalog.</x:v>
      </x:c>
      <x:c r="V223" s="2" t="str">
        <x:v>https://tpwd.texas.gov/huntwild/hunt/public/public_hunt_drawing/hunt-category-details.phtml?OCat=GDA</x:v>
      </x:c>
      <x:c r="W223" s="2" t="n">
        <x:v>2</x:v>
      </x:c>
      <x:c r="X223" s="2" t="n">
        <x:v>4</x:v>
      </x:c>
      <x:c r="Y223" s="2" t="n">
        <x:v>4</x:v>
      </x:c>
      <x:c r="Z223" s="2" t="n">
        <x:v>3</x:v>
      </x:c>
      <x:c r="AA223" s="2" t="n">
        <x:v>2</x:v>
      </x:c>
      <x:c r="AB223" s="2" t="n">
        <x:v>0</x:v>
      </x:c>
      <x:c r="AC223" s="2" t="n">
        <x:v>2.6</x:v>
      </x:c>
      <x:c r="AD223" s="2"/>
      <x:c r="AE223" s="2" t="str">
        <x:v>2026-09-15</x:v>
      </x:c>
      <x:c r="AF223" s="2"/>
      <x:c r="AG223" s="2"/>
      <x:c r="AH223" s="2"/>
      <x:c r="AI223" s="2"/>
      <x:c r="AJ223" s="2"/>
      <x:c r="AK223" s="2"/>
      <x:c r="AL223" s="2"/>
      <x:c r="AM223" s="2" t="str">
        <x:v>https://tpwd.texas.gov/huntwild/hunt/public/public_hunt_drawing/hunt-category-details.phtml?OCat=GDA</x:v>
      </x:c>
      <x:c r="AN223" s="2" t="str">
        <x:v>https://tpwd.texas.gov/search/?q=San+Angelo+SP+public+hunting+brochure</x:v>
      </x:c>
      <x:c r="AO223" s="2" t="str">
        <x:v>https://apps.tpwd.state.tx.us/huntwild/hunt/public/public_hunt_drawing/</x:v>
      </x:c>
      <x:c r="AP223" s="2" t="str">
        <x:v>https://www.google.com/maps/search/?api=1&amp;query=San+Angelo+SP%2C+Texas</x:v>
      </x:c>
      <x:c r="AQ223" s="2" t="n">
        <x:v>0</x:v>
      </x:c>
      <x:c r="AR223" s="2" t="str">
        <x:v>Standard Hastings ranking</x:v>
      </x:c>
    </x:row>
    <x:row r="224">
      <x:c r="A224" s="2" t="str">
        <x:v>No</x:v>
      </x:c>
      <x:c r="B224" s="2" t="str">
        <x:v>A</x:v>
      </x:c>
      <x:c r="C224" s="2" t="str">
        <x:v>Whitetail Deer</x:v>
      </x:c>
      <x:c r="D224" s="2" t="str">
        <x:v>San Angelo SP</x:v>
      </x:c>
      <x:c r="E224" s="2" t="str">
        <x:v>West-Central Texas</x:v>
      </x:c>
      <x:c r="F224" s="2" t="str">
        <x:v>Gun Deer - Either Sex</x:v>
      </x:c>
      <x:c r="G224" s="2" t="str">
        <x:v>Yes</x:v>
      </x:c>
      <x:c r="H224" s="2" t="str">
        <x:v>Yes</x:v>
      </x:c>
      <x:c r="I224" s="97" t="str">
        <x:v>2026-09-15</x:v>
      </x:c>
      <x:c r="J224" s="2" t="str">
        <x:v>See TPWD category page</x:v>
      </x:c>
      <x:c r="K224" s="2" t="n">
        <x:v>3</x:v>
      </x:c>
      <x:c r="L224" s="2"/>
      <x:c r="M224" s="2"/>
      <x:c r="N224" s="2"/>
      <x:c r="O224" s="2"/>
      <x:c r="P224" s="2" t="n">
        <x:v>300</x:v>
      </x:c>
      <x:c r="Q224" s="2" t="str">
        <x:v>Extended</x:v>
      </x:c>
      <x:c r="R224" s="2" t="str">
        <x:v>Research before draw; property brochure linked from TPWD</x:v>
      </x:c>
      <x:c r="S224" s="2" t="str">
        <x:v>Low</x:v>
      </x:c>
      <x:c r="T224" s="2" t="str">
        <x:v>No</x:v>
      </x:c>
      <x:c r="U224" s="2" t="str">
        <x:v>Verified in TPWD 2026-2027 statewide deer category catalog.</x:v>
      </x:c>
      <x:c r="V224" s="2" t="str">
        <x:v>https://tpwd.texas.gov/huntwild/hunt/public/public_hunt_drawing/hunt-category-details.phtml?OCat=GDE</x:v>
      </x:c>
      <x:c r="W224" s="2" t="n">
        <x:v>2</x:v>
      </x:c>
      <x:c r="X224" s="2" t="n">
        <x:v>4</x:v>
      </x:c>
      <x:c r="Y224" s="2" t="n">
        <x:v>4</x:v>
      </x:c>
      <x:c r="Z224" s="2" t="n">
        <x:v>3</x:v>
      </x:c>
      <x:c r="AA224" s="2" t="n">
        <x:v>2</x:v>
      </x:c>
      <x:c r="AB224" s="2" t="n">
        <x:v>0</x:v>
      </x:c>
      <x:c r="AC224" s="2" t="n">
        <x:v>2.6</x:v>
      </x:c>
      <x:c r="AD224" s="2"/>
      <x:c r="AE224" s="2" t="str">
        <x:v>2026-09-15</x:v>
      </x:c>
      <x:c r="AF224" s="2"/>
      <x:c r="AG224" s="2"/>
      <x:c r="AH224" s="2"/>
      <x:c r="AI224" s="2"/>
      <x:c r="AJ224" s="2"/>
      <x:c r="AK224" s="2"/>
      <x:c r="AL224" s="2"/>
      <x:c r="AM224" s="2" t="str">
        <x:v>https://tpwd.texas.gov/huntwild/hunt/public/public_hunt_drawing/hunt-category-details.phtml?OCat=GDE</x:v>
      </x:c>
      <x:c r="AN224" s="2" t="str">
        <x:v>https://tpwd.texas.gov/search/?q=San+Angelo+SP+public+hunting+brochure</x:v>
      </x:c>
      <x:c r="AO224" s="2" t="str">
        <x:v>https://apps.tpwd.state.tx.us/huntwild/hunt/public/public_hunt_drawing/</x:v>
      </x:c>
      <x:c r="AP224" s="2" t="str">
        <x:v>https://www.google.com/maps/search/?api=1&amp;query=San+Angelo+SP%2C+Texas</x:v>
      </x:c>
      <x:c r="AQ224" s="2" t="n">
        <x:v>0</x:v>
      </x:c>
      <x:c r="AR224" s="2" t="str">
        <x:v>Standard Hastings ranking</x:v>
      </x:c>
    </x:row>
    <x:row r="225">
      <x:c r="A225" s="2" t="str">
        <x:v>No</x:v>
      </x:c>
      <x:c r="B225" s="2" t="str">
        <x:v>A</x:v>
      </x:c>
      <x:c r="C225" s="2" t="str">
        <x:v>Whitetail Deer</x:v>
      </x:c>
      <x:c r="D225" s="2" t="str">
        <x:v>Seminole Canyon SP / HS</x:v>
      </x:c>
      <x:c r="E225" s="2" t="str">
        <x:v>Trans-Pecos / West Texas</x:v>
      </x:c>
      <x:c r="F225" s="2" t="str">
        <x:v>Gun Deer - Antlerless/Spike</x:v>
      </x:c>
      <x:c r="G225" s="2" t="str">
        <x:v>Yes</x:v>
      </x:c>
      <x:c r="H225" s="2" t="str">
        <x:v>Yes</x:v>
      </x:c>
      <x:c r="I225" s="97" t="str">
        <x:v>2026-09-15</x:v>
      </x:c>
      <x:c r="J225" s="2" t="str">
        <x:v>See TPWD category page</x:v>
      </x:c>
      <x:c r="K225" s="2" t="n">
        <x:v>3</x:v>
      </x:c>
      <x:c r="L225" s="2"/>
      <x:c r="M225" s="2"/>
      <x:c r="N225" s="2"/>
      <x:c r="O225" s="2"/>
      <x:c r="P225" s="2" t="n">
        <x:v>520</x:v>
      </x:c>
      <x:c r="Q225" s="2" t="str">
        <x:v>Statewide</x:v>
      </x:c>
      <x:c r="R225" s="2" t="str">
        <x:v>Research before draw; property brochure linked from TPWD</x:v>
      </x:c>
      <x:c r="S225" s="2" t="str">
        <x:v>High</x:v>
      </x:c>
      <x:c r="T225" s="2" t="str">
        <x:v>No</x:v>
      </x:c>
      <x:c r="U225" s="2" t="str">
        <x:v>Verified in TPWD 2026-2027 statewide deer category catalog. West Texas/El Paso-region opportunity; prioritize for mule deer adventure value.</x:v>
      </x:c>
      <x:c r="V225" s="2" t="str">
        <x:v>https://tpwd.texas.gov/huntwild/hunt/public/public_hunt_drawing/hunt-category-details.phtml?OCat=GDA</x:v>
      </x:c>
      <x:c r="W225" s="2" t="n">
        <x:v>2</x:v>
      </x:c>
      <x:c r="X225" s="2" t="n">
        <x:v>2</x:v>
      </x:c>
      <x:c r="Y225" s="2" t="n">
        <x:v>4</x:v>
      </x:c>
      <x:c r="Z225" s="2" t="n">
        <x:v>3</x:v>
      </x:c>
      <x:c r="AA225" s="2" t="n">
        <x:v>4</x:v>
      </x:c>
      <x:c r="AB225" s="2" t="n">
        <x:v>0</x:v>
      </x:c>
      <x:c r="AC225" s="2" t="n">
        <x:v>2.5</x:v>
      </x:c>
      <x:c r="AD225" s="2"/>
      <x:c r="AE225" s="2" t="str">
        <x:v>2026-09-15</x:v>
      </x:c>
      <x:c r="AF225" s="2"/>
      <x:c r="AG225" s="2"/>
      <x:c r="AH225" s="2"/>
      <x:c r="AI225" s="2"/>
      <x:c r="AJ225" s="2"/>
      <x:c r="AK225" s="2"/>
      <x:c r="AL225" s="2"/>
      <x:c r="AM225" s="2" t="str">
        <x:v>https://tpwd.texas.gov/huntwild/hunt/public/public_hunt_drawing/hunt-category-details.phtml?OCat=GDA</x:v>
      </x:c>
      <x:c r="AN225" s="2" t="str">
        <x:v>https://tpwd.texas.gov/search/?q=Seminole+Canyon+SP+%2F+HS+public+hunting+brochure</x:v>
      </x:c>
      <x:c r="AO225" s="2" t="str">
        <x:v>https://apps.tpwd.state.tx.us/huntwild/hunt/public/public_hunt_drawing/</x:v>
      </x:c>
      <x:c r="AP225" s="2" t="str">
        <x:v>https://www.google.com/maps/search/?api=1&amp;query=Seminole+Canyon+SP+%2F+HS%2C+Texas</x:v>
      </x:c>
      <x:c r="AQ225" s="2" t="n">
        <x:v>0</x:v>
      </x:c>
      <x:c r="AR225" s="2" t="str">
        <x:v>Standard Hastings ranking</x:v>
      </x:c>
    </x:row>
    <x:row r="226">
      <x:c r="A226" s="2" t="str">
        <x:v>No</x:v>
      </x:c>
      <x:c r="B226" s="2" t="str">
        <x:v>A</x:v>
      </x:c>
      <x:c r="C226" s="2" t="str">
        <x:v>Whitetail Deer</x:v>
      </x:c>
      <x:c r="D226" s="2" t="str">
        <x:v>Seminole Canyon SP / HS</x:v>
      </x:c>
      <x:c r="E226" s="2" t="str">
        <x:v>Trans-Pecos / West Texas</x:v>
      </x:c>
      <x:c r="F226" s="2" t="str">
        <x:v>Gun Deer - Either Sex</x:v>
      </x:c>
      <x:c r="G226" s="2" t="str">
        <x:v>Yes</x:v>
      </x:c>
      <x:c r="H226" s="2" t="str">
        <x:v>Yes</x:v>
      </x:c>
      <x:c r="I226" s="97" t="str">
        <x:v>2026-09-15</x:v>
      </x:c>
      <x:c r="J226" s="2" t="str">
        <x:v>See TPWD category page</x:v>
      </x:c>
      <x:c r="K226" s="2" t="n">
        <x:v>3</x:v>
      </x:c>
      <x:c r="L226" s="2"/>
      <x:c r="M226" s="2"/>
      <x:c r="N226" s="2"/>
      <x:c r="O226" s="2"/>
      <x:c r="P226" s="2" t="n">
        <x:v>520</x:v>
      </x:c>
      <x:c r="Q226" s="2" t="str">
        <x:v>Statewide</x:v>
      </x:c>
      <x:c r="R226" s="2" t="str">
        <x:v>Research before draw; property brochure linked from TPWD</x:v>
      </x:c>
      <x:c r="S226" s="2" t="str">
        <x:v>High</x:v>
      </x:c>
      <x:c r="T226" s="2" t="str">
        <x:v>No</x:v>
      </x:c>
      <x:c r="U226" s="2" t="str">
        <x:v>Verified in TPWD 2026-2027 statewide deer category catalog. West Texas/El Paso-region opportunity; prioritize for mule deer adventure value.</x:v>
      </x:c>
      <x:c r="V226" s="2" t="str">
        <x:v>https://tpwd.texas.gov/huntwild/hunt/public/public_hunt_drawing/hunt-category-details.phtml?OCat=GDE</x:v>
      </x:c>
      <x:c r="W226" s="2" t="n">
        <x:v>2</x:v>
      </x:c>
      <x:c r="X226" s="2" t="n">
        <x:v>2</x:v>
      </x:c>
      <x:c r="Y226" s="2" t="n">
        <x:v>4</x:v>
      </x:c>
      <x:c r="Z226" s="2" t="n">
        <x:v>3</x:v>
      </x:c>
      <x:c r="AA226" s="2" t="n">
        <x:v>4</x:v>
      </x:c>
      <x:c r="AB226" s="2" t="n">
        <x:v>0</x:v>
      </x:c>
      <x:c r="AC226" s="2" t="n">
        <x:v>2.5</x:v>
      </x:c>
      <x:c r="AD226" s="2"/>
      <x:c r="AE226" s="2" t="str">
        <x:v>2026-09-15</x:v>
      </x:c>
      <x:c r="AF226" s="2"/>
      <x:c r="AG226" s="2"/>
      <x:c r="AH226" s="2"/>
      <x:c r="AI226" s="2"/>
      <x:c r="AJ226" s="2"/>
      <x:c r="AK226" s="2"/>
      <x:c r="AL226" s="2"/>
      <x:c r="AM226" s="2" t="str">
        <x:v>https://tpwd.texas.gov/huntwild/hunt/public/public_hunt_drawing/hunt-category-details.phtml?OCat=GDE</x:v>
      </x:c>
      <x:c r="AN226" s="2" t="str">
        <x:v>https://tpwd.texas.gov/search/?q=Seminole+Canyon+SP+%2F+HS+public+hunting+brochure</x:v>
      </x:c>
      <x:c r="AO226" s="2" t="str">
        <x:v>https://apps.tpwd.state.tx.us/huntwild/hunt/public/public_hunt_drawing/</x:v>
      </x:c>
      <x:c r="AP226" s="2" t="str">
        <x:v>https://www.google.com/maps/search/?api=1&amp;query=Seminole+Canyon+SP+%2F+HS%2C+Texas</x:v>
      </x:c>
      <x:c r="AQ226" s="2" t="n">
        <x:v>0</x:v>
      </x:c>
      <x:c r="AR226" s="2" t="str">
        <x:v>Standard Hastings ranking</x:v>
      </x:c>
    </x:row>
    <x:row r="227">
      <x:c r="A227" s="2" t="str">
        <x:v>No</x:v>
      </x:c>
      <x:c r="B227" s="2" t="str">
        <x:v>A</x:v>
      </x:c>
      <x:c r="C227" s="2" t="str">
        <x:v>Whitetail Deer</x:v>
      </x:c>
      <x:c r="D227" s="2" t="str">
        <x:v>Silver Lake State Park</x:v>
      </x:c>
      <x:c r="E227" s="2" t="str">
        <x:v>Statewide / Other</x:v>
      </x:c>
      <x:c r="F227" s="2" t="str">
        <x:v>Gun Deer - Either Sex</x:v>
      </x:c>
      <x:c r="G227" s="2" t="str">
        <x:v>Yes</x:v>
      </x:c>
      <x:c r="H227" s="2" t="str">
        <x:v>Yes</x:v>
      </x:c>
      <x:c r="I227" s="97" t="str">
        <x:v>2026-09-15</x:v>
      </x:c>
      <x:c r="J227" s="2" t="str">
        <x:v>See TPWD category page</x:v>
      </x:c>
      <x:c r="K227" s="2" t="n">
        <x:v>3</x:v>
      </x:c>
      <x:c r="L227" s="2"/>
      <x:c r="M227" s="2"/>
      <x:c r="N227" s="2"/>
      <x:c r="O227" s="2"/>
      <x:c r="P227" s="2" t="n">
        <x:v>500</x:v>
      </x:c>
      <x:c r="Q227" s="2" t="str">
        <x:v>Statewide</x:v>
      </x:c>
      <x:c r="R227" s="2" t="str">
        <x:v>Research before draw; property brochure linked from TPWD</x:v>
      </x:c>
      <x:c r="S227" s="2" t="str">
        <x:v>Low</x:v>
      </x:c>
      <x:c r="T227" s="2" t="str">
        <x:v>No</x:v>
      </x:c>
      <x:c r="U227" s="2" t="str">
        <x:v>Verified in TPWD 2026-2027 statewide deer category catalog.</x:v>
      </x:c>
      <x:c r="V227" s="2" t="str">
        <x:v>https://tpwd.texas.gov/huntwild/hunt/public/public_hunt_drawing/hunt-category-details.phtml?OCat=GDE</x:v>
      </x:c>
      <x:c r="W227" s="2" t="n">
        <x:v>2</x:v>
      </x:c>
      <x:c r="X227" s="2" t="n">
        <x:v>2</x:v>
      </x:c>
      <x:c r="Y227" s="2" t="n">
        <x:v>4</x:v>
      </x:c>
      <x:c r="Z227" s="2" t="n">
        <x:v>3</x:v>
      </x:c>
      <x:c r="AA227" s="2" t="n">
        <x:v>2</x:v>
      </x:c>
      <x:c r="AB227" s="2" t="n">
        <x:v>0</x:v>
      </x:c>
      <x:c r="AC227" s="2" t="n">
        <x:v>2.3</x:v>
      </x:c>
      <x:c r="AD227" s="2"/>
      <x:c r="AE227" s="2" t="str">
        <x:v>2026-09-15</x:v>
      </x:c>
      <x:c r="AF227" s="2"/>
      <x:c r="AG227" s="2"/>
      <x:c r="AH227" s="2"/>
      <x:c r="AI227" s="2"/>
      <x:c r="AJ227" s="2"/>
      <x:c r="AK227" s="2"/>
      <x:c r="AL227" s="2"/>
      <x:c r="AM227" s="2" t="str">
        <x:v>https://tpwd.texas.gov/huntwild/hunt/public/public_hunt_drawing/hunt-category-details.phtml?OCat=GDE</x:v>
      </x:c>
      <x:c r="AN227" s="2" t="str">
        <x:v>https://tpwd.texas.gov/search/?q=Silver+Lake+State+Park+public+hunting+brochure</x:v>
      </x:c>
      <x:c r="AO227" s="2" t="str">
        <x:v>https://apps.tpwd.state.tx.us/huntwild/hunt/public/public_hunt_drawing/</x:v>
      </x:c>
      <x:c r="AP227" s="2" t="str">
        <x:v>https://www.google.com/maps/search/?api=1&amp;query=Silver+Lake+State+Park%2C+Texas</x:v>
      </x:c>
      <x:c r="AQ227" s="2" t="n">
        <x:v>0</x:v>
      </x:c>
      <x:c r="AR227" s="2" t="str">
        <x:v>Standard Hastings ranking</x:v>
      </x:c>
    </x:row>
    <x:row r="228">
      <x:c r="A228" s="2" t="str">
        <x:v>No</x:v>
      </x:c>
      <x:c r="B228" s="2" t="str">
        <x:v>A</x:v>
      </x:c>
      <x:c r="C228" s="2" t="str">
        <x:v>Whitetail Deer</x:v>
      </x:c>
      <x:c r="D228" s="2" t="str">
        <x:v>South Llano River SP</x:v>
      </x:c>
      <x:c r="E228" s="2" t="str">
        <x:v>Hill Country / San Antonio</x:v>
      </x:c>
      <x:c r="F228" s="2" t="str">
        <x:v>Gun Deer - Antlerless/Spike</x:v>
      </x:c>
      <x:c r="G228" s="2" t="str">
        <x:v>Yes</x:v>
      </x:c>
      <x:c r="H228" s="2" t="str">
        <x:v>Yes</x:v>
      </x:c>
      <x:c r="I228" s="97" t="str">
        <x:v>2026-09-15</x:v>
      </x:c>
      <x:c r="J228" s="2" t="str">
        <x:v>See TPWD category page</x:v>
      </x:c>
      <x:c r="K228" s="2" t="n">
        <x:v>3</x:v>
      </x:c>
      <x:c r="L228" s="2"/>
      <x:c r="M228" s="2"/>
      <x:c r="N228" s="2"/>
      <x:c r="O228" s="2"/>
      <x:c r="P228" s="2" t="n">
        <x:v>520</x:v>
      </x:c>
      <x:c r="Q228" s="2" t="str">
        <x:v>Statewide</x:v>
      </x:c>
      <x:c r="R228" s="2" t="str">
        <x:v>Research before draw; property brochure linked from TPWD</x:v>
      </x:c>
      <x:c r="S228" s="2" t="str">
        <x:v>Low</x:v>
      </x:c>
      <x:c r="T228" s="2" t="str">
        <x:v>No</x:v>
      </x:c>
      <x:c r="U228" s="2" t="str">
        <x:v>Verified in TPWD 2026-2027 statewide deer category catalog.</x:v>
      </x:c>
      <x:c r="V228" s="2" t="str">
        <x:v>https://tpwd.texas.gov/huntwild/hunt/public/public_hunt_drawing/hunt-category-details.phtml?OCat=GDA</x:v>
      </x:c>
      <x:c r="W228" s="2" t="n">
        <x:v>2</x:v>
      </x:c>
      <x:c r="X228" s="2" t="n">
        <x:v>2</x:v>
      </x:c>
      <x:c r="Y228" s="2" t="n">
        <x:v>4</x:v>
      </x:c>
      <x:c r="Z228" s="2" t="n">
        <x:v>3</x:v>
      </x:c>
      <x:c r="AA228" s="2" t="n">
        <x:v>2</x:v>
      </x:c>
      <x:c r="AB228" s="2" t="n">
        <x:v>0</x:v>
      </x:c>
      <x:c r="AC228" s="2" t="n">
        <x:v>2.3</x:v>
      </x:c>
      <x:c r="AD228" s="2"/>
      <x:c r="AE228" s="2" t="str">
        <x:v>2026-09-15</x:v>
      </x:c>
      <x:c r="AF228" s="2"/>
      <x:c r="AG228" s="2"/>
      <x:c r="AH228" s="2"/>
      <x:c r="AI228" s="2"/>
      <x:c r="AJ228" s="2"/>
      <x:c r="AK228" s="2"/>
      <x:c r="AL228" s="2"/>
      <x:c r="AM228" s="2" t="str">
        <x:v>https://tpwd.texas.gov/huntwild/hunt/public/public_hunt_drawing/hunt-category-details.phtml?OCat=GDA</x:v>
      </x:c>
      <x:c r="AN228" s="2" t="str">
        <x:v>https://tpwd.texas.gov/search/?q=South+Llano+River+SP+public+hunting+brochure</x:v>
      </x:c>
      <x:c r="AO228" s="2" t="str">
        <x:v>https://apps.tpwd.state.tx.us/huntwild/hunt/public/public_hunt_drawing/</x:v>
      </x:c>
      <x:c r="AP228" s="2" t="str">
        <x:v>https://www.google.com/maps/search/?api=1&amp;query=South+Llano+River+SP%2C+Texas</x:v>
      </x:c>
      <x:c r="AQ228" s="2" t="n">
        <x:v>0</x:v>
      </x:c>
      <x:c r="AR228" s="2" t="str">
        <x:v>Standard Hastings ranking</x:v>
      </x:c>
    </x:row>
    <x:row r="229">
      <x:c r="A229" s="2" t="str">
        <x:v>No</x:v>
      </x:c>
      <x:c r="B229" s="2" t="str">
        <x:v>A</x:v>
      </x:c>
      <x:c r="C229" s="2" t="str">
        <x:v>Whitetail Deer</x:v>
      </x:c>
      <x:c r="D229" s="2" t="str">
        <x:v>Stephen F. Austin SP</x:v>
      </x:c>
      <x:c r="E229" s="2" t="str">
        <x:v>Central Texas / Austin</x:v>
      </x:c>
      <x:c r="F229" s="2" t="str">
        <x:v>Gun Deer - Management</x:v>
      </x:c>
      <x:c r="G229" s="2" t="str">
        <x:v>Yes</x:v>
      </x:c>
      <x:c r="H229" s="2" t="str">
        <x:v>Yes</x:v>
      </x:c>
      <x:c r="I229" s="97" t="str">
        <x:v>2026-09-15</x:v>
      </x:c>
      <x:c r="J229" s="2" t="str">
        <x:v>See TPWD category page</x:v>
      </x:c>
      <x:c r="K229" s="2" t="n">
        <x:v>3</x:v>
      </x:c>
      <x:c r="L229" s="2"/>
      <x:c r="M229" s="2"/>
      <x:c r="N229" s="2"/>
      <x:c r="O229" s="2"/>
      <x:c r="P229" s="2" t="n">
        <x:v>490</x:v>
      </x:c>
      <x:c r="Q229" s="2" t="str">
        <x:v>Statewide</x:v>
      </x:c>
      <x:c r="R229" s="2" t="str">
        <x:v>Research before draw; property brochure linked from TPWD</x:v>
      </x:c>
      <x:c r="S229" s="2" t="str">
        <x:v>Low</x:v>
      </x:c>
      <x:c r="T229" s="2" t="str">
        <x:v>No</x:v>
      </x:c>
      <x:c r="U229" s="2" t="str">
        <x:v>Verified in TPWD 2026-2027 statewide deer category catalog.</x:v>
      </x:c>
      <x:c r="V229" s="2" t="str">
        <x:v>https://tpwd.texas.gov/huntwild/hunt/public/public_hunt_drawing/hunt-category-details.phtml?OCat=GDM</x:v>
      </x:c>
      <x:c r="W229" s="2" t="n">
        <x:v>2</x:v>
      </x:c>
      <x:c r="X229" s="2" t="n">
        <x:v>2</x:v>
      </x:c>
      <x:c r="Y229" s="2" t="n">
        <x:v>4</x:v>
      </x:c>
      <x:c r="Z229" s="2" t="n">
        <x:v>3</x:v>
      </x:c>
      <x:c r="AA229" s="2" t="n">
        <x:v>2</x:v>
      </x:c>
      <x:c r="AB229" s="2" t="n">
        <x:v>0</x:v>
      </x:c>
      <x:c r="AC229" s="2" t="n">
        <x:v>2.3</x:v>
      </x:c>
      <x:c r="AD229" s="2"/>
      <x:c r="AE229" s="2" t="str">
        <x:v>2026-09-15</x:v>
      </x:c>
      <x:c r="AF229" s="2"/>
      <x:c r="AG229" s="2"/>
      <x:c r="AH229" s="2"/>
      <x:c r="AI229" s="2"/>
      <x:c r="AJ229" s="2"/>
      <x:c r="AK229" s="2"/>
      <x:c r="AL229" s="2"/>
      <x:c r="AM229" s="2" t="str">
        <x:v>https://tpwd.texas.gov/huntwild/hunt/public/public_hunt_drawing/hunt-category-details.phtml?OCat=GDM</x:v>
      </x:c>
      <x:c r="AN229" s="2" t="str">
        <x:v>https://tpwd.texas.gov/search/?q=Stephen+F.+Austin+SP+public+hunting+brochure</x:v>
      </x:c>
      <x:c r="AO229" s="2" t="str">
        <x:v>https://apps.tpwd.state.tx.us/huntwild/hunt/public/public_hunt_drawing/</x:v>
      </x:c>
      <x:c r="AP229" s="2" t="str">
        <x:v>https://www.google.com/maps/search/?api=1&amp;query=Stephen+F.+Austin+SP%2C+Texas</x:v>
      </x:c>
      <x:c r="AQ229" s="2" t="n">
        <x:v>0</x:v>
      </x:c>
      <x:c r="AR229" s="2" t="str">
        <x:v>Standard Hastings ranking</x:v>
      </x:c>
    </x:row>
    <x:row r="230">
      <x:c r="A230" s="2" t="str">
        <x:v>No</x:v>
      </x:c>
      <x:c r="B230" s="2" t="str">
        <x:v>A</x:v>
      </x:c>
      <x:c r="C230" s="2" t="str">
        <x:v>Whitetail Deer</x:v>
      </x:c>
      <x:c r="D230" s="2" t="str">
        <x:v>Teacup Mountain WMA</x:v>
      </x:c>
      <x:c r="E230" s="2" t="str">
        <x:v>Panhandle / Rolling Plains</x:v>
      </x:c>
      <x:c r="F230" s="2" t="str">
        <x:v>Gun Deer - Either Sex</x:v>
      </x:c>
      <x:c r="G230" s="2" t="str">
        <x:v>Yes</x:v>
      </x:c>
      <x:c r="H230" s="2" t="str">
        <x:v>Yes</x:v>
      </x:c>
      <x:c r="I230" s="97" t="str">
        <x:v>2026-09-15</x:v>
      </x:c>
      <x:c r="J230" s="2" t="str">
        <x:v>See TPWD category page</x:v>
      </x:c>
      <x:c r="K230" s="2" t="n">
        <x:v>3</x:v>
      </x:c>
      <x:c r="L230" s="2"/>
      <x:c r="M230" s="2"/>
      <x:c r="N230" s="2"/>
      <x:c r="O230" s="2"/>
      <x:c r="P230" s="2" t="n">
        <x:v>130</x:v>
      </x:c>
      <x:c r="Q230" s="2" t="str">
        <x:v>Core</x:v>
      </x:c>
      <x:c r="R230" s="2" t="str">
        <x:v>Research before draw; property brochure linked from TPWD</x:v>
      </x:c>
      <x:c r="S230" s="2" t="str">
        <x:v>High</x:v>
      </x:c>
      <x:c r="T230" s="2" t="str">
        <x:v>No</x:v>
      </x:c>
      <x:c r="U230" s="2" t="str">
        <x:v>Verified in TPWD 2026-2027 statewide deer category catalog.</x:v>
      </x:c>
      <x:c r="V230" s="2" t="str">
        <x:v>https://tpwd.texas.gov/huntwild/hunt/public/public_hunt_drawing/hunt-category-details.phtml?OCat=GDE</x:v>
      </x:c>
      <x:c r="W230" s="2" t="n">
        <x:v>2</x:v>
      </x:c>
      <x:c r="X230" s="2" t="n">
        <x:v>5</x:v>
      </x:c>
      <x:c r="Y230" s="2" t="n">
        <x:v>4</x:v>
      </x:c>
      <x:c r="Z230" s="2" t="n">
        <x:v>3</x:v>
      </x:c>
      <x:c r="AA230" s="2" t="n">
        <x:v>4</x:v>
      </x:c>
      <x:c r="AB230" s="2" t="n">
        <x:v>0</x:v>
      </x:c>
      <x:c r="AC230" s="2" t="n">
        <x:v>2.9</x:v>
      </x:c>
      <x:c r="AD230" s="2"/>
      <x:c r="AE230" s="2" t="str">
        <x:v>2026-09-15</x:v>
      </x:c>
      <x:c r="AF230" s="2"/>
      <x:c r="AG230" s="2"/>
      <x:c r="AH230" s="2"/>
      <x:c r="AI230" s="2"/>
      <x:c r="AJ230" s="2"/>
      <x:c r="AK230" s="2"/>
      <x:c r="AL230" s="2"/>
      <x:c r="AM230" s="2" t="str">
        <x:v>https://tpwd.texas.gov/huntwild/hunt/public/public_hunt_drawing/hunt-category-details.phtml?OCat=GDE</x:v>
      </x:c>
      <x:c r="AN230" s="2" t="str">
        <x:v>https://tpwd.texas.gov/search/?q=Teacup+Mountain+WMA+public+hunting+brochure</x:v>
      </x:c>
      <x:c r="AO230" s="2" t="str">
        <x:v>https://apps.tpwd.state.tx.us/huntwild/hunt/public/public_hunt_drawing/</x:v>
      </x:c>
      <x:c r="AP230" s="2" t="str">
        <x:v>https://www.google.com/maps/search/?api=1&amp;query=Teacup+Mountain+WMA%2C+Texas</x:v>
      </x:c>
      <x:c r="AQ230" s="2" t="n">
        <x:v>0</x:v>
      </x:c>
      <x:c r="AR230" s="2" t="str">
        <x:v>Standard Hastings ranking</x:v>
      </x:c>
    </x:row>
    <x:row r="231">
      <x:c r="A231" s="2" t="str">
        <x:v>No</x:v>
      </x:c>
      <x:c r="B231" s="2" t="str">
        <x:v>A</x:v>
      </x:c>
      <x:c r="C231" s="2" t="str">
        <x:v>Whitetail Deer</x:v>
      </x:c>
      <x:c r="D231" s="2" t="str">
        <x:v>Trinity River NWR - Boars Den</x:v>
      </x:c>
      <x:c r="E231" s="2" t="str">
        <x:v>East Texas / Pineywoods</x:v>
      </x:c>
      <x:c r="F231" s="2" t="str">
        <x:v>National Refuge General Deer</x:v>
      </x:c>
      <x:c r="G231" s="2" t="str">
        <x:v>Yes</x:v>
      </x:c>
      <x:c r="H231" s="2" t="str">
        <x:v>Yes</x:v>
      </x:c>
      <x:c r="I231" s="97" t="str">
        <x:v>2026-09-15</x:v>
      </x:c>
      <x:c r="J231" s="2" t="str">
        <x:v>See TPWD category page</x:v>
      </x:c>
      <x:c r="K231" s="2" t="n">
        <x:v>3</x:v>
      </x:c>
      <x:c r="L231" s="2"/>
      <x:c r="M231" s="2"/>
      <x:c r="N231" s="2"/>
      <x:c r="O231" s="2"/>
      <x:c r="P231" s="2" t="n">
        <x:v>570</x:v>
      </x:c>
      <x:c r="Q231" s="2" t="str">
        <x:v>Statewide</x:v>
      </x:c>
      <x:c r="R231" s="2" t="str">
        <x:v>Research before draw; property brochure linked from TPWD</x:v>
      </x:c>
      <x:c r="S231" s="2" t="str">
        <x:v>Low</x:v>
      </x:c>
      <x:c r="T231" s="2" t="str">
        <x:v>No</x:v>
      </x:c>
      <x:c r="U231" s="2" t="str">
        <x:v>Verified in TPWD 2026-2027 statewide deer category catalog. Refuge-specific rules and permit fees may apply.</x:v>
      </x:c>
      <x:c r="V231" s="2" t="str">
        <x:v>https://tpwd.texas.gov/huntwild/hunt/public/public_hunt_drawing/hunt-category-details.phtml?OCat=NGE</x:v>
      </x:c>
      <x:c r="W231" s="2" t="n">
        <x:v>2</x:v>
      </x:c>
      <x:c r="X231" s="2" t="n">
        <x:v>2</x:v>
      </x:c>
      <x:c r="Y231" s="2" t="n">
        <x:v>4</x:v>
      </x:c>
      <x:c r="Z231" s="2" t="n">
        <x:v>3</x:v>
      </x:c>
      <x:c r="AA231" s="2" t="n">
        <x:v>2</x:v>
      </x:c>
      <x:c r="AB231" s="2" t="n">
        <x:v>0</x:v>
      </x:c>
      <x:c r="AC231" s="2" t="n">
        <x:v>2.3</x:v>
      </x:c>
      <x:c r="AD231" s="2"/>
      <x:c r="AE231" s="2" t="str">
        <x:v>2026-09-15</x:v>
      </x:c>
      <x:c r="AF231" s="2"/>
      <x:c r="AG231" s="2"/>
      <x:c r="AH231" s="2"/>
      <x:c r="AI231" s="2"/>
      <x:c r="AJ231" s="2"/>
      <x:c r="AK231" s="2"/>
      <x:c r="AL231" s="2"/>
      <x:c r="AM231" s="2" t="str">
        <x:v>https://tpwd.texas.gov/huntwild/hunt/public/public_hunt_drawing/hunt-category-details.phtml?OCat=NGE</x:v>
      </x:c>
      <x:c r="AN231" s="2" t="str">
        <x:v>https://tpwd.texas.gov/search/?q=Trinity+River+NWR+-+Boars+Den+public+hunting+brochure</x:v>
      </x:c>
      <x:c r="AO231" s="2" t="str">
        <x:v>https://apps.tpwd.state.tx.us/huntwild/hunt/public/public_hunt_drawing/</x:v>
      </x:c>
      <x:c r="AP231" s="2" t="str">
        <x:v>https://www.google.com/maps/search/?api=1&amp;query=Trinity+River+NWR+-+Boars+Den%2C+Texas</x:v>
      </x:c>
      <x:c r="AQ231" s="2" t="n">
        <x:v>0</x:v>
      </x:c>
      <x:c r="AR231" s="2" t="str">
        <x:v>Standard Hastings ranking</x:v>
      </x:c>
    </x:row>
    <x:row r="232">
      <x:c r="A232" s="2" t="str">
        <x:v>No</x:v>
      </x:c>
      <x:c r="B232" s="2" t="str">
        <x:v>A</x:v>
      </x:c>
      <x:c r="C232" s="2" t="str">
        <x:v>Whitetail Deer</x:v>
      </x:c>
      <x:c r="D232" s="2" t="str">
        <x:v>Trinity River NWR - Brierwood</x:v>
      </x:c>
      <x:c r="E232" s="2" t="str">
        <x:v>East Texas / Pineywoods</x:v>
      </x:c>
      <x:c r="F232" s="2" t="str">
        <x:v>National Refuge General Deer</x:v>
      </x:c>
      <x:c r="G232" s="2" t="str">
        <x:v>Yes</x:v>
      </x:c>
      <x:c r="H232" s="2" t="str">
        <x:v>Yes</x:v>
      </x:c>
      <x:c r="I232" s="97" t="str">
        <x:v>2026-09-15</x:v>
      </x:c>
      <x:c r="J232" s="2" t="str">
        <x:v>See TPWD category page</x:v>
      </x:c>
      <x:c r="K232" s="2" t="n">
        <x:v>3</x:v>
      </x:c>
      <x:c r="L232" s="2"/>
      <x:c r="M232" s="2"/>
      <x:c r="N232" s="2"/>
      <x:c r="O232" s="2"/>
      <x:c r="P232" s="2" t="n">
        <x:v>570</x:v>
      </x:c>
      <x:c r="Q232" s="2" t="str">
        <x:v>Statewide</x:v>
      </x:c>
      <x:c r="R232" s="2" t="str">
        <x:v>Research before draw; property brochure linked from TPWD</x:v>
      </x:c>
      <x:c r="S232" s="2" t="str">
        <x:v>Low</x:v>
      </x:c>
      <x:c r="T232" s="2" t="str">
        <x:v>No</x:v>
      </x:c>
      <x:c r="U232" s="2" t="str">
        <x:v>Verified in TPWD 2026-2027 statewide deer category catalog. Refuge-specific rules and permit fees may apply.</x:v>
      </x:c>
      <x:c r="V232" s="2" t="str">
        <x:v>https://tpwd.texas.gov/huntwild/hunt/public/public_hunt_drawing/hunt-category-details.phtml?OCat=NGE</x:v>
      </x:c>
      <x:c r="W232" s="2" t="n">
        <x:v>2</x:v>
      </x:c>
      <x:c r="X232" s="2" t="n">
        <x:v>2</x:v>
      </x:c>
      <x:c r="Y232" s="2" t="n">
        <x:v>4</x:v>
      </x:c>
      <x:c r="Z232" s="2" t="n">
        <x:v>3</x:v>
      </x:c>
      <x:c r="AA232" s="2" t="n">
        <x:v>2</x:v>
      </x:c>
      <x:c r="AB232" s="2" t="n">
        <x:v>0</x:v>
      </x:c>
      <x:c r="AC232" s="2" t="n">
        <x:v>2.3</x:v>
      </x:c>
      <x:c r="AD232" s="2"/>
      <x:c r="AE232" s="2" t="str">
        <x:v>2026-09-15</x:v>
      </x:c>
      <x:c r="AF232" s="2"/>
      <x:c r="AG232" s="2"/>
      <x:c r="AH232" s="2"/>
      <x:c r="AI232" s="2"/>
      <x:c r="AJ232" s="2"/>
      <x:c r="AK232" s="2"/>
      <x:c r="AL232" s="2"/>
      <x:c r="AM232" s="2" t="str">
        <x:v>https://tpwd.texas.gov/huntwild/hunt/public/public_hunt_drawing/hunt-category-details.phtml?OCat=NGE</x:v>
      </x:c>
      <x:c r="AN232" s="2" t="str">
        <x:v>https://tpwd.texas.gov/search/?q=Trinity+River+NWR+-+Brierwood+public+hunting+brochure</x:v>
      </x:c>
      <x:c r="AO232" s="2" t="str">
        <x:v>https://apps.tpwd.state.tx.us/huntwild/hunt/public/public_hunt_drawing/</x:v>
      </x:c>
      <x:c r="AP232" s="2" t="str">
        <x:v>https://www.google.com/maps/search/?api=1&amp;query=Trinity+River+NWR+-+Brierwood%2C+Texas</x:v>
      </x:c>
      <x:c r="AQ232" s="2" t="n">
        <x:v>0</x:v>
      </x:c>
      <x:c r="AR232" s="2" t="str">
        <x:v>Standard Hastings ranking</x:v>
      </x:c>
    </x:row>
    <x:row r="233">
      <x:c r="A233" s="2" t="str">
        <x:v>No</x:v>
      </x:c>
      <x:c r="B233" s="2" t="str">
        <x:v>A</x:v>
      </x:c>
      <x:c r="C233" s="2" t="str">
        <x:v>Whitetail Deer</x:v>
      </x:c>
      <x:c r="D233" s="2" t="str">
        <x:v>Trinity River NWR - Butler</x:v>
      </x:c>
      <x:c r="E233" s="2" t="str">
        <x:v>East Texas / Pineywoods</x:v>
      </x:c>
      <x:c r="F233" s="2" t="str">
        <x:v>National Refuge General Deer</x:v>
      </x:c>
      <x:c r="G233" s="2" t="str">
        <x:v>Yes</x:v>
      </x:c>
      <x:c r="H233" s="2" t="str">
        <x:v>Yes</x:v>
      </x:c>
      <x:c r="I233" s="97" t="str">
        <x:v>2026-09-15</x:v>
      </x:c>
      <x:c r="J233" s="2" t="str">
        <x:v>See TPWD category page</x:v>
      </x:c>
      <x:c r="K233" s="2" t="n">
        <x:v>3</x:v>
      </x:c>
      <x:c r="L233" s="2"/>
      <x:c r="M233" s="2"/>
      <x:c r="N233" s="2"/>
      <x:c r="O233" s="2"/>
      <x:c r="P233" s="2" t="n">
        <x:v>570</x:v>
      </x:c>
      <x:c r="Q233" s="2" t="str">
        <x:v>Statewide</x:v>
      </x:c>
      <x:c r="R233" s="2" t="str">
        <x:v>Research before draw; property brochure linked from TPWD</x:v>
      </x:c>
      <x:c r="S233" s="2" t="str">
        <x:v>Low</x:v>
      </x:c>
      <x:c r="T233" s="2" t="str">
        <x:v>No</x:v>
      </x:c>
      <x:c r="U233" s="2" t="str">
        <x:v>Verified in TPWD 2026-2027 statewide deer category catalog. Refuge-specific rules and permit fees may apply.</x:v>
      </x:c>
      <x:c r="V233" s="2" t="str">
        <x:v>https://tpwd.texas.gov/huntwild/hunt/public/public_hunt_drawing/hunt-category-details.phtml?OCat=NGE</x:v>
      </x:c>
      <x:c r="W233" s="2" t="n">
        <x:v>2</x:v>
      </x:c>
      <x:c r="X233" s="2" t="n">
        <x:v>2</x:v>
      </x:c>
      <x:c r="Y233" s="2" t="n">
        <x:v>4</x:v>
      </x:c>
      <x:c r="Z233" s="2" t="n">
        <x:v>3</x:v>
      </x:c>
      <x:c r="AA233" s="2" t="n">
        <x:v>2</x:v>
      </x:c>
      <x:c r="AB233" s="2" t="n">
        <x:v>0</x:v>
      </x:c>
      <x:c r="AC233" s="2" t="n">
        <x:v>2.3</x:v>
      </x:c>
      <x:c r="AD233" s="2"/>
      <x:c r="AE233" s="2" t="str">
        <x:v>2026-09-15</x:v>
      </x:c>
      <x:c r="AF233" s="2"/>
      <x:c r="AG233" s="2"/>
      <x:c r="AH233" s="2"/>
      <x:c r="AI233" s="2"/>
      <x:c r="AJ233" s="2"/>
      <x:c r="AK233" s="2"/>
      <x:c r="AL233" s="2"/>
      <x:c r="AM233" s="2" t="str">
        <x:v>https://tpwd.texas.gov/huntwild/hunt/public/public_hunt_drawing/hunt-category-details.phtml?OCat=NGE</x:v>
      </x:c>
      <x:c r="AN233" s="2" t="str">
        <x:v>https://tpwd.texas.gov/search/?q=Trinity+River+NWR+-+Butler+public+hunting+brochure</x:v>
      </x:c>
      <x:c r="AO233" s="2" t="str">
        <x:v>https://apps.tpwd.state.tx.us/huntwild/hunt/public/public_hunt_drawing/</x:v>
      </x:c>
      <x:c r="AP233" s="2" t="str">
        <x:v>https://www.google.com/maps/search/?api=1&amp;query=Trinity+River+NWR+-+Butler%2C+Texas</x:v>
      </x:c>
      <x:c r="AQ233" s="2" t="n">
        <x:v>0</x:v>
      </x:c>
      <x:c r="AR233" s="2" t="str">
        <x:v>Standard Hastings ranking</x:v>
      </x:c>
    </x:row>
    <x:row r="234">
      <x:c r="A234" s="2" t="str">
        <x:v>No</x:v>
      </x:c>
      <x:c r="B234" s="2" t="str">
        <x:v>A</x:v>
      </x:c>
      <x:c r="C234" s="2" t="str">
        <x:v>Whitetail Deer</x:v>
      </x:c>
      <x:c r="D234" s="2" t="str">
        <x:v>Trinity River NWR - Hirsch</x:v>
      </x:c>
      <x:c r="E234" s="2" t="str">
        <x:v>East Texas / Pineywoods</x:v>
      </x:c>
      <x:c r="F234" s="2" t="str">
        <x:v>National Refuge General Deer</x:v>
      </x:c>
      <x:c r="G234" s="2" t="str">
        <x:v>Yes</x:v>
      </x:c>
      <x:c r="H234" s="2" t="str">
        <x:v>Yes</x:v>
      </x:c>
      <x:c r="I234" s="97" t="str">
        <x:v>2026-09-15</x:v>
      </x:c>
      <x:c r="J234" s="2" t="str">
        <x:v>See TPWD category page</x:v>
      </x:c>
      <x:c r="K234" s="2" t="n">
        <x:v>3</x:v>
      </x:c>
      <x:c r="L234" s="2"/>
      <x:c r="M234" s="2"/>
      <x:c r="N234" s="2"/>
      <x:c r="O234" s="2"/>
      <x:c r="P234" s="2" t="n">
        <x:v>570</x:v>
      </x:c>
      <x:c r="Q234" s="2" t="str">
        <x:v>Statewide</x:v>
      </x:c>
      <x:c r="R234" s="2" t="str">
        <x:v>Research before draw; property brochure linked from TPWD</x:v>
      </x:c>
      <x:c r="S234" s="2" t="str">
        <x:v>Low</x:v>
      </x:c>
      <x:c r="T234" s="2" t="str">
        <x:v>No</x:v>
      </x:c>
      <x:c r="U234" s="2" t="str">
        <x:v>Verified in TPWD 2026-2027 statewide deer category catalog. Refuge-specific rules and permit fees may apply.</x:v>
      </x:c>
      <x:c r="V234" s="2" t="str">
        <x:v>https://tpwd.texas.gov/huntwild/hunt/public/public_hunt_drawing/hunt-category-details.phtml?OCat=NGE</x:v>
      </x:c>
      <x:c r="W234" s="2" t="n">
        <x:v>2</x:v>
      </x:c>
      <x:c r="X234" s="2" t="n">
        <x:v>2</x:v>
      </x:c>
      <x:c r="Y234" s="2" t="n">
        <x:v>4</x:v>
      </x:c>
      <x:c r="Z234" s="2" t="n">
        <x:v>3</x:v>
      </x:c>
      <x:c r="AA234" s="2" t="n">
        <x:v>2</x:v>
      </x:c>
      <x:c r="AB234" s="2" t="n">
        <x:v>0</x:v>
      </x:c>
      <x:c r="AC234" s="2" t="n">
        <x:v>2.3</x:v>
      </x:c>
      <x:c r="AD234" s="2"/>
      <x:c r="AE234" s="2" t="str">
        <x:v>2026-09-15</x:v>
      </x:c>
      <x:c r="AF234" s="2"/>
      <x:c r="AG234" s="2"/>
      <x:c r="AH234" s="2"/>
      <x:c r="AI234" s="2"/>
      <x:c r="AJ234" s="2"/>
      <x:c r="AK234" s="2"/>
      <x:c r="AL234" s="2"/>
      <x:c r="AM234" s="2" t="str">
        <x:v>https://tpwd.texas.gov/huntwild/hunt/public/public_hunt_drawing/hunt-category-details.phtml?OCat=NGE</x:v>
      </x:c>
      <x:c r="AN234" s="2" t="str">
        <x:v>https://tpwd.texas.gov/search/?q=Trinity+River+NWR+-+Hirsch+public+hunting+brochure</x:v>
      </x:c>
      <x:c r="AO234" s="2" t="str">
        <x:v>https://apps.tpwd.state.tx.us/huntwild/hunt/public/public_hunt_drawing/</x:v>
      </x:c>
      <x:c r="AP234" s="2" t="str">
        <x:v>https://www.google.com/maps/search/?api=1&amp;query=Trinity+River+NWR+-+Hirsch%2C+Texas</x:v>
      </x:c>
      <x:c r="AQ234" s="2" t="n">
        <x:v>0</x:v>
      </x:c>
      <x:c r="AR234" s="2" t="str">
        <x:v>Standard Hastings ranking</x:v>
      </x:c>
    </x:row>
    <x:row r="235">
      <x:c r="A235" s="2" t="str">
        <x:v>No</x:v>
      </x:c>
      <x:c r="B235" s="2" t="str">
        <x:v>A</x:v>
      </x:c>
      <x:c r="C235" s="2" t="str">
        <x:v>Whitetail Deer</x:v>
      </x:c>
      <x:c r="D235" s="2" t="str">
        <x:v>Trinity River NWR - Mcguire</x:v>
      </x:c>
      <x:c r="E235" s="2" t="str">
        <x:v>East Texas / Pineywoods</x:v>
      </x:c>
      <x:c r="F235" s="2" t="str">
        <x:v>National Refuge General Deer</x:v>
      </x:c>
      <x:c r="G235" s="2" t="str">
        <x:v>Yes</x:v>
      </x:c>
      <x:c r="H235" s="2" t="str">
        <x:v>Yes</x:v>
      </x:c>
      <x:c r="I235" s="97" t="str">
        <x:v>2026-09-15</x:v>
      </x:c>
      <x:c r="J235" s="2" t="str">
        <x:v>See TPWD category page</x:v>
      </x:c>
      <x:c r="K235" s="2" t="n">
        <x:v>3</x:v>
      </x:c>
      <x:c r="L235" s="2"/>
      <x:c r="M235" s="2"/>
      <x:c r="N235" s="2"/>
      <x:c r="O235" s="2"/>
      <x:c r="P235" s="2" t="n">
        <x:v>570</x:v>
      </x:c>
      <x:c r="Q235" s="2" t="str">
        <x:v>Statewide</x:v>
      </x:c>
      <x:c r="R235" s="2" t="str">
        <x:v>Research before draw; property brochure linked from TPWD</x:v>
      </x:c>
      <x:c r="S235" s="2" t="str">
        <x:v>Low</x:v>
      </x:c>
      <x:c r="T235" s="2" t="str">
        <x:v>No</x:v>
      </x:c>
      <x:c r="U235" s="2" t="str">
        <x:v>Verified in TPWD 2026-2027 statewide deer category catalog. Refuge-specific rules and permit fees may apply.</x:v>
      </x:c>
      <x:c r="V235" s="2" t="str">
        <x:v>https://tpwd.texas.gov/huntwild/hunt/public/public_hunt_drawing/hunt-category-details.phtml?OCat=NGE</x:v>
      </x:c>
      <x:c r="W235" s="2" t="n">
        <x:v>2</x:v>
      </x:c>
      <x:c r="X235" s="2" t="n">
        <x:v>2</x:v>
      </x:c>
      <x:c r="Y235" s="2" t="n">
        <x:v>4</x:v>
      </x:c>
      <x:c r="Z235" s="2" t="n">
        <x:v>3</x:v>
      </x:c>
      <x:c r="AA235" s="2" t="n">
        <x:v>2</x:v>
      </x:c>
      <x:c r="AB235" s="2" t="n">
        <x:v>0</x:v>
      </x:c>
      <x:c r="AC235" s="2" t="n">
        <x:v>2.3</x:v>
      </x:c>
      <x:c r="AD235" s="2"/>
      <x:c r="AE235" s="2" t="str">
        <x:v>2026-09-15</x:v>
      </x:c>
      <x:c r="AF235" s="2"/>
      <x:c r="AG235" s="2"/>
      <x:c r="AH235" s="2"/>
      <x:c r="AI235" s="2"/>
      <x:c r="AJ235" s="2"/>
      <x:c r="AK235" s="2"/>
      <x:c r="AL235" s="2"/>
      <x:c r="AM235" s="2" t="str">
        <x:v>https://tpwd.texas.gov/huntwild/hunt/public/public_hunt_drawing/hunt-category-details.phtml?OCat=NGE</x:v>
      </x:c>
      <x:c r="AN235" s="2" t="str">
        <x:v>https://tpwd.texas.gov/search/?q=Trinity+River+NWR+-+Mcguire+public+hunting+brochure</x:v>
      </x:c>
      <x:c r="AO235" s="2" t="str">
        <x:v>https://apps.tpwd.state.tx.us/huntwild/hunt/public/public_hunt_drawing/</x:v>
      </x:c>
      <x:c r="AP235" s="2" t="str">
        <x:v>https://www.google.com/maps/search/?api=1&amp;query=Trinity+River+NWR+-+Mcguire%2C+Texas</x:v>
      </x:c>
      <x:c r="AQ235" s="2" t="n">
        <x:v>0</x:v>
      </x:c>
      <x:c r="AR235" s="2" t="str">
        <x:v>Standard Hastings ranking</x:v>
      </x:c>
    </x:row>
    <x:row r="236">
      <x:c r="A236" s="2" t="str">
        <x:v>No</x:v>
      </x:c>
      <x:c r="B236" s="2" t="str">
        <x:v>A</x:v>
      </x:c>
      <x:c r="C236" s="2" t="str">
        <x:v>Whitetail Deer</x:v>
      </x:c>
      <x:c r="D236" s="2" t="str">
        <x:v>Trinity River NWR - Page</x:v>
      </x:c>
      <x:c r="E236" s="2" t="str">
        <x:v>East Texas / Pineywoods</x:v>
      </x:c>
      <x:c r="F236" s="2" t="str">
        <x:v>National Refuge General Deer</x:v>
      </x:c>
      <x:c r="G236" s="2" t="str">
        <x:v>Yes</x:v>
      </x:c>
      <x:c r="H236" s="2" t="str">
        <x:v>Yes</x:v>
      </x:c>
      <x:c r="I236" s="97" t="str">
        <x:v>2026-09-15</x:v>
      </x:c>
      <x:c r="J236" s="2" t="str">
        <x:v>See TPWD category page</x:v>
      </x:c>
      <x:c r="K236" s="2" t="n">
        <x:v>3</x:v>
      </x:c>
      <x:c r="L236" s="2"/>
      <x:c r="M236" s="2"/>
      <x:c r="N236" s="2"/>
      <x:c r="O236" s="2"/>
      <x:c r="P236" s="2" t="n">
        <x:v>570</x:v>
      </x:c>
      <x:c r="Q236" s="2" t="str">
        <x:v>Statewide</x:v>
      </x:c>
      <x:c r="R236" s="2" t="str">
        <x:v>Research before draw; property brochure linked from TPWD</x:v>
      </x:c>
      <x:c r="S236" s="2" t="str">
        <x:v>Low</x:v>
      </x:c>
      <x:c r="T236" s="2" t="str">
        <x:v>No</x:v>
      </x:c>
      <x:c r="U236" s="2" t="str">
        <x:v>Verified in TPWD 2026-2027 statewide deer category catalog. Refuge-specific rules and permit fees may apply.</x:v>
      </x:c>
      <x:c r="V236" s="2" t="str">
        <x:v>https://tpwd.texas.gov/huntwild/hunt/public/public_hunt_drawing/hunt-category-details.phtml?OCat=NGE</x:v>
      </x:c>
      <x:c r="W236" s="2" t="n">
        <x:v>2</x:v>
      </x:c>
      <x:c r="X236" s="2" t="n">
        <x:v>2</x:v>
      </x:c>
      <x:c r="Y236" s="2" t="n">
        <x:v>4</x:v>
      </x:c>
      <x:c r="Z236" s="2" t="n">
        <x:v>3</x:v>
      </x:c>
      <x:c r="AA236" s="2" t="n">
        <x:v>2</x:v>
      </x:c>
      <x:c r="AB236" s="2" t="n">
        <x:v>0</x:v>
      </x:c>
      <x:c r="AC236" s="2" t="n">
        <x:v>2.3</x:v>
      </x:c>
      <x:c r="AD236" s="2"/>
      <x:c r="AE236" s="2" t="str">
        <x:v>2026-09-15</x:v>
      </x:c>
      <x:c r="AF236" s="2"/>
      <x:c r="AG236" s="2"/>
      <x:c r="AH236" s="2"/>
      <x:c r="AI236" s="2"/>
      <x:c r="AJ236" s="2"/>
      <x:c r="AK236" s="2"/>
      <x:c r="AL236" s="2"/>
      <x:c r="AM236" s="2" t="str">
        <x:v>https://tpwd.texas.gov/huntwild/hunt/public/public_hunt_drawing/hunt-category-details.phtml?OCat=NGE</x:v>
      </x:c>
      <x:c r="AN236" s="2" t="str">
        <x:v>https://tpwd.texas.gov/search/?q=Trinity+River+NWR+-+Page+public+hunting+brochure</x:v>
      </x:c>
      <x:c r="AO236" s="2" t="str">
        <x:v>https://apps.tpwd.state.tx.us/huntwild/hunt/public/public_hunt_drawing/</x:v>
      </x:c>
      <x:c r="AP236" s="2" t="str">
        <x:v>https://www.google.com/maps/search/?api=1&amp;query=Trinity+River+NWR+-+Page%2C+Texas</x:v>
      </x:c>
      <x:c r="AQ236" s="2" t="n">
        <x:v>0</x:v>
      </x:c>
      <x:c r="AR236" s="2" t="str">
        <x:v>Standard Hastings ranking</x:v>
      </x:c>
    </x:row>
    <x:row r="237">
      <x:c r="A237" s="2" t="str">
        <x:v>No</x:v>
      </x:c>
      <x:c r="B237" s="2" t="str">
        <x:v>A</x:v>
      </x:c>
      <x:c r="C237" s="2" t="str">
        <x:v>Whitetail Deer</x:v>
      </x:c>
      <x:c r="D237" s="2" t="str">
        <x:v>Trinity River WMA</x:v>
      </x:c>
      <x:c r="E237" s="2" t="str">
        <x:v>East Texas / Pineywoods</x:v>
      </x:c>
      <x:c r="F237" s="2" t="str">
        <x:v>Gun Deer - Antlerless/Spike</x:v>
      </x:c>
      <x:c r="G237" s="2" t="str">
        <x:v>Yes</x:v>
      </x:c>
      <x:c r="H237" s="2" t="str">
        <x:v>Yes</x:v>
      </x:c>
      <x:c r="I237" s="97" t="str">
        <x:v>2026-09-15</x:v>
      </x:c>
      <x:c r="J237" s="2" t="str">
        <x:v>See TPWD category page</x:v>
      </x:c>
      <x:c r="K237" s="2" t="n">
        <x:v>3</x:v>
      </x:c>
      <x:c r="L237" s="2"/>
      <x:c r="M237" s="2"/>
      <x:c r="N237" s="2"/>
      <x:c r="O237" s="2"/>
      <x:c r="P237" s="2" t="n">
        <x:v>570</x:v>
      </x:c>
      <x:c r="Q237" s="2" t="str">
        <x:v>Statewide</x:v>
      </x:c>
      <x:c r="R237" s="2" t="str">
        <x:v>Research before draw; property brochure linked from TPWD</x:v>
      </x:c>
      <x:c r="S237" s="2" t="str">
        <x:v>Low</x:v>
      </x:c>
      <x:c r="T237" s="2" t="str">
        <x:v>No</x:v>
      </x:c>
      <x:c r="U237" s="2" t="str">
        <x:v>Verified in TPWD 2026-2027 statewide deer category catalog.</x:v>
      </x:c>
      <x:c r="V237" s="2" t="str">
        <x:v>https://tpwd.texas.gov/huntwild/hunt/public/public_hunt_drawing/hunt-category-details.phtml?OCat=GDA</x:v>
      </x:c>
      <x:c r="W237" s="2" t="n">
        <x:v>2</x:v>
      </x:c>
      <x:c r="X237" s="2" t="n">
        <x:v>2</x:v>
      </x:c>
      <x:c r="Y237" s="2" t="n">
        <x:v>4</x:v>
      </x:c>
      <x:c r="Z237" s="2" t="n">
        <x:v>3</x:v>
      </x:c>
      <x:c r="AA237" s="2" t="n">
        <x:v>2</x:v>
      </x:c>
      <x:c r="AB237" s="2" t="n">
        <x:v>0</x:v>
      </x:c>
      <x:c r="AC237" s="2" t="n">
        <x:v>2.3</x:v>
      </x:c>
      <x:c r="AD237" s="2"/>
      <x:c r="AE237" s="2" t="str">
        <x:v>2026-09-15</x:v>
      </x:c>
      <x:c r="AF237" s="2"/>
      <x:c r="AG237" s="2"/>
      <x:c r="AH237" s="2"/>
      <x:c r="AI237" s="2"/>
      <x:c r="AJ237" s="2"/>
      <x:c r="AK237" s="2"/>
      <x:c r="AL237" s="2"/>
      <x:c r="AM237" s="2" t="str">
        <x:v>https://tpwd.texas.gov/huntwild/hunt/public/public_hunt_drawing/hunt-category-details.phtml?OCat=GDA</x:v>
      </x:c>
      <x:c r="AN237" s="2" t="str">
        <x:v>https://tpwd.texas.gov/search/?q=Trinity+River+WMA+public+hunting+brochure</x:v>
      </x:c>
      <x:c r="AO237" s="2" t="str">
        <x:v>https://apps.tpwd.state.tx.us/huntwild/hunt/public/public_hunt_drawing/</x:v>
      </x:c>
      <x:c r="AP237" s="2" t="str">
        <x:v>https://www.google.com/maps/search/?api=1&amp;query=Trinity+River+WMA%2C+Texas</x:v>
      </x:c>
      <x:c r="AQ237" s="2" t="n">
        <x:v>0</x:v>
      </x:c>
      <x:c r="AR237" s="2" t="str">
        <x:v>Standard Hastings ranking</x:v>
      </x:c>
    </x:row>
    <x:row r="238">
      <x:c r="A238" s="2" t="str">
        <x:v>No</x:v>
      </x:c>
      <x:c r="B238" s="2" t="str">
        <x:v>A</x:v>
      </x:c>
      <x:c r="C238" s="2" t="str">
        <x:v>Whitetail Deer</x:v>
      </x:c>
      <x:c r="D238" s="2" t="str">
        <x:v>Village Creek SP</x:v>
      </x:c>
      <x:c r="E238" s="2" t="str">
        <x:v>East Texas / Pineywoods</x:v>
      </x:c>
      <x:c r="F238" s="2" t="str">
        <x:v>Gun Deer - Either Sex</x:v>
      </x:c>
      <x:c r="G238" s="2" t="str">
        <x:v>Yes</x:v>
      </x:c>
      <x:c r="H238" s="2" t="str">
        <x:v>Yes</x:v>
      </x:c>
      <x:c r="I238" s="97" t="str">
        <x:v>2026-09-15</x:v>
      </x:c>
      <x:c r="J238" s="2" t="str">
        <x:v>See TPWD category page</x:v>
      </x:c>
      <x:c r="K238" s="2" t="n">
        <x:v>3</x:v>
      </x:c>
      <x:c r="L238" s="2"/>
      <x:c r="M238" s="2"/>
      <x:c r="N238" s="2"/>
      <x:c r="O238" s="2"/>
      <x:c r="P238" s="2" t="n">
        <x:v>570</x:v>
      </x:c>
      <x:c r="Q238" s="2" t="str">
        <x:v>Statewide</x:v>
      </x:c>
      <x:c r="R238" s="2" t="str">
        <x:v>Research before draw; property brochure linked from TPWD</x:v>
      </x:c>
      <x:c r="S238" s="2" t="str">
        <x:v>Low</x:v>
      </x:c>
      <x:c r="T238" s="2" t="str">
        <x:v>No</x:v>
      </x:c>
      <x:c r="U238" s="2" t="str">
        <x:v>Verified in TPWD 2026-2027 statewide deer category catalog.</x:v>
      </x:c>
      <x:c r="V238" s="2" t="str">
        <x:v>https://tpwd.texas.gov/huntwild/hunt/public/public_hunt_drawing/hunt-category-details.phtml?OCat=GDE</x:v>
      </x:c>
      <x:c r="W238" s="2" t="n">
        <x:v>2</x:v>
      </x:c>
      <x:c r="X238" s="2" t="n">
        <x:v>2</x:v>
      </x:c>
      <x:c r="Y238" s="2" t="n">
        <x:v>4</x:v>
      </x:c>
      <x:c r="Z238" s="2" t="n">
        <x:v>3</x:v>
      </x:c>
      <x:c r="AA238" s="2" t="n">
        <x:v>2</x:v>
      </x:c>
      <x:c r="AB238" s="2" t="n">
        <x:v>0</x:v>
      </x:c>
      <x:c r="AC238" s="2" t="n">
        <x:v>2.3</x:v>
      </x:c>
      <x:c r="AD238" s="2"/>
      <x:c r="AE238" s="2" t="str">
        <x:v>2026-09-15</x:v>
      </x:c>
      <x:c r="AF238" s="2"/>
      <x:c r="AG238" s="2"/>
      <x:c r="AH238" s="2"/>
      <x:c r="AI238" s="2"/>
      <x:c r="AJ238" s="2"/>
      <x:c r="AK238" s="2"/>
      <x:c r="AL238" s="2"/>
      <x:c r="AM238" s="2" t="str">
        <x:v>https://tpwd.texas.gov/huntwild/hunt/public/public_hunt_drawing/hunt-category-details.phtml?OCat=GDE</x:v>
      </x:c>
      <x:c r="AN238" s="2" t="str">
        <x:v>https://tpwd.texas.gov/search/?q=Village+Creek+SP+public+hunting+brochure</x:v>
      </x:c>
      <x:c r="AO238" s="2" t="str">
        <x:v>https://apps.tpwd.state.tx.us/huntwild/hunt/public/public_hunt_drawing/</x:v>
      </x:c>
      <x:c r="AP238" s="2" t="str">
        <x:v>https://www.google.com/maps/search/?api=1&amp;query=Village+Creek+SP%2C+Texas</x:v>
      </x:c>
      <x:c r="AQ238" s="2" t="n">
        <x:v>0</x:v>
      </x:c>
      <x:c r="AR238" s="2" t="str">
        <x:v>Standard Hastings ranking</x:v>
      </x:c>
    </x:row>
    <x:row r="239">
      <x:c r="A239" s="2" t="str">
        <x:v>No</x:v>
      </x:c>
      <x:c r="B239" s="2" t="str">
        <x:v>A</x:v>
      </x:c>
      <x:c r="C239" s="2" t="str">
        <x:v>Whitetail Deer</x:v>
      </x:c>
      <x:c r="D239" s="2" t="str">
        <x:v>White Oak Creek WMA</x:v>
      </x:c>
      <x:c r="E239" s="2" t="str">
        <x:v>East Texas / Pineywoods</x:v>
      </x:c>
      <x:c r="F239" s="2" t="str">
        <x:v>Gun Deer - Either Sex</x:v>
      </x:c>
      <x:c r="G239" s="2" t="str">
        <x:v>Yes</x:v>
      </x:c>
      <x:c r="H239" s="2" t="str">
        <x:v>Yes</x:v>
      </x:c>
      <x:c r="I239" s="97" t="str">
        <x:v>2026-09-15</x:v>
      </x:c>
      <x:c r="J239" s="2" t="str">
        <x:v>See TPWD category page</x:v>
      </x:c>
      <x:c r="K239" s="2" t="n">
        <x:v>3</x:v>
      </x:c>
      <x:c r="L239" s="2"/>
      <x:c r="M239" s="2"/>
      <x:c r="N239" s="2"/>
      <x:c r="O239" s="2"/>
      <x:c r="P239" s="2" t="n">
        <x:v>570</x:v>
      </x:c>
      <x:c r="Q239" s="2" t="str">
        <x:v>Statewide</x:v>
      </x:c>
      <x:c r="R239" s="2" t="str">
        <x:v>Research before draw; property brochure linked from TPWD</x:v>
      </x:c>
      <x:c r="S239" s="2" t="str">
        <x:v>Low</x:v>
      </x:c>
      <x:c r="T239" s="2" t="str">
        <x:v>No</x:v>
      </x:c>
      <x:c r="U239" s="2" t="str">
        <x:v>Verified in TPWD 2026-2027 statewide deer category catalog.</x:v>
      </x:c>
      <x:c r="V239" s="2" t="str">
        <x:v>https://tpwd.texas.gov/huntwild/hunt/public/public_hunt_drawing/hunt-category-details.phtml?OCat=GDE</x:v>
      </x:c>
      <x:c r="W239" s="2" t="n">
        <x:v>2</x:v>
      </x:c>
      <x:c r="X239" s="2" t="n">
        <x:v>2</x:v>
      </x:c>
      <x:c r="Y239" s="2" t="n">
        <x:v>4</x:v>
      </x:c>
      <x:c r="Z239" s="2" t="n">
        <x:v>3</x:v>
      </x:c>
      <x:c r="AA239" s="2" t="n">
        <x:v>2</x:v>
      </x:c>
      <x:c r="AB239" s="2" t="n">
        <x:v>0</x:v>
      </x:c>
      <x:c r="AC239" s="2" t="n">
        <x:v>2.3</x:v>
      </x:c>
      <x:c r="AD239" s="2"/>
      <x:c r="AE239" s="2" t="str">
        <x:v>2026-09-15</x:v>
      </x:c>
      <x:c r="AF239" s="2"/>
      <x:c r="AG239" s="2"/>
      <x:c r="AH239" s="2"/>
      <x:c r="AI239" s="2"/>
      <x:c r="AJ239" s="2"/>
      <x:c r="AK239" s="2"/>
      <x:c r="AL239" s="2"/>
      <x:c r="AM239" s="2" t="str">
        <x:v>https://tpwd.texas.gov/huntwild/hunt/public/public_hunt_drawing/hunt-category-details.phtml?OCat=GDE</x:v>
      </x:c>
      <x:c r="AN239" s="2" t="str">
        <x:v>https://tpwd.texas.gov/search/?q=White+Oak+Creek+WMA+public+hunting+brochure</x:v>
      </x:c>
      <x:c r="AO239" s="2" t="str">
        <x:v>https://apps.tpwd.state.tx.us/huntwild/hunt/public/public_hunt_drawing/</x:v>
      </x:c>
      <x:c r="AP239" s="2" t="str">
        <x:v>https://www.google.com/maps/search/?api=1&amp;query=White+Oak+Creek+WMA%2C+Texas</x:v>
      </x:c>
      <x:c r="AQ239" s="2" t="n">
        <x:v>0</x:v>
      </x:c>
      <x:c r="AR239" s="2" t="str">
        <x:v>Standard Hastings ranking</x:v>
      </x:c>
    </x:row>
    <x:row r="240">
      <x:c r="A240" s="2" t="str">
        <x:v>No</x:v>
      </x:c>
      <x:c r="B240" s="2" t="str">
        <x:v>A</x:v>
      </x:c>
      <x:c r="C240" s="2" t="str">
        <x:v>Whitetail Deer</x:v>
      </x:c>
      <x:c r="D240" s="2" t="str">
        <x:v>Balcones Canyonlands NWR</x:v>
      </x:c>
      <x:c r="E240" s="2" t="str">
        <x:v>Statewide / Other</x:v>
      </x:c>
      <x:c r="F240" s="2" t="str">
        <x:v>National Refuge Youth Deer</x:v>
      </x:c>
      <x:c r="G240" s="2" t="str">
        <x:v>No</x:v>
      </x:c>
      <x:c r="H240" s="2" t="str">
        <x:v>Yes</x:v>
      </x:c>
      <x:c r="I240" s="97" t="str">
        <x:v>2026-10-01</x:v>
      </x:c>
      <x:c r="J240" s="2" t="str">
        <x:v>See TPWD category page</x:v>
      </x:c>
      <x:c r="K240" s="2" t="n">
        <x:v>0</x:v>
      </x:c>
      <x:c r="L240" s="2" t="n">
        <x:v>0</x:v>
      </x:c>
      <x:c r="M240" s="2"/>
      <x:c r="N240" s="2"/>
      <x:c r="O240" s="2"/>
      <x:c r="P240" s="2" t="n">
        <x:v>500</x:v>
      </x:c>
      <x:c r="Q240" s="2" t="str">
        <x:v>Statewide</x:v>
      </x:c>
      <x:c r="R240" s="2" t="str">
        <x:v>Research before draw; property brochure linked from TPWD</x:v>
      </x:c>
      <x:c r="S240" s="2" t="str">
        <x:v>Low</x:v>
      </x:c>
      <x:c r="T240" s="2" t="str">
        <x:v>No</x:v>
      </x:c>
      <x:c r="U240" s="2" t="str">
        <x:v>Verified in TPWD 2026-2027 statewide deer category catalog. Refuge-specific rules and permit fees may apply.</x:v>
      </x:c>
      <x:c r="V240" s="2" t="str">
        <x:v>https://tpwd.texas.gov/huntwild/hunt/public/public_hunt_drawing/hunt-category-details.phtml?OCat=NYD</x:v>
      </x:c>
      <x:c r="W240" s="2" t="n">
        <x:v>2</x:v>
      </x:c>
      <x:c r="X240" s="2" t="n">
        <x:v>2</x:v>
      </x:c>
      <x:c r="Y240" s="2" t="n">
        <x:v>5</x:v>
      </x:c>
      <x:c r="Z240" s="2" t="n">
        <x:v>3</x:v>
      </x:c>
      <x:c r="AA240" s="2" t="n">
        <x:v>2</x:v>
      </x:c>
      <x:c r="AB240" s="2" t="n">
        <x:v>0</x:v>
      </x:c>
      <x:c r="AC240" s="2" t="n">
        <x:v>2.5</x:v>
      </x:c>
      <x:c r="AD240" s="2" t="n">
        <x:v>0</x:v>
      </x:c>
      <x:c r="AE240" s="2" t="str">
        <x:v>2026-10-01</x:v>
      </x:c>
      <x:c r="AF240" s="2"/>
      <x:c r="AG240" s="2"/>
      <x:c r="AH240" s="2"/>
      <x:c r="AI240" s="2"/>
      <x:c r="AJ240" s="2"/>
      <x:c r="AK240" s="2"/>
      <x:c r="AL240" s="2"/>
      <x:c r="AM240" s="2" t="str">
        <x:v>https://tpwd.texas.gov/huntwild/hunt/public/public_hunt_drawing/hunt-category-details.phtml?OCat=NYD</x:v>
      </x:c>
      <x:c r="AN240" s="2" t="str">
        <x:v>https://tpwd.texas.gov/search/?q=Balcones+Canyonlands+NWR+public+hunting+brochure</x:v>
      </x:c>
      <x:c r="AO240" s="2" t="str">
        <x:v>https://apps.tpwd.state.tx.us/huntwild/hunt/public/public_hunt_drawing/</x:v>
      </x:c>
      <x:c r="AP240" s="2" t="str">
        <x:v>https://www.google.com/maps/search/?api=1&amp;query=Balcones+Canyonlands+NWR%2C+Texas</x:v>
      </x:c>
      <x:c r="AQ240" s="2" t="n">
        <x:v>0</x:v>
      </x:c>
      <x:c r="AR240" s="2" t="str">
        <x:v>Standard Hastings ranking</x:v>
      </x:c>
    </x:row>
    <x:row r="241">
      <x:c r="A241" s="2" t="str">
        <x:v>No</x:v>
      </x:c>
      <x:c r="B241" s="2" t="str">
        <x:v>A</x:v>
      </x:c>
      <x:c r="C241" s="2" t="str">
        <x:v>Whitetail Deer</x:v>
      </x:c>
      <x:c r="D241" s="2" t="str">
        <x:v>Buffalo Lake NWR</x:v>
      </x:c>
      <x:c r="E241" s="2" t="str">
        <x:v>Panhandle / Rolling Plains</x:v>
      </x:c>
      <x:c r="F241" s="2" t="str">
        <x:v>National Refuge Youth Deer</x:v>
      </x:c>
      <x:c r="G241" s="2" t="str">
        <x:v>No</x:v>
      </x:c>
      <x:c r="H241" s="2" t="str">
        <x:v>Yes</x:v>
      </x:c>
      <x:c r="I241" s="97" t="str">
        <x:v>2026-10-01</x:v>
      </x:c>
      <x:c r="J241" s="2" t="str">
        <x:v>See TPWD category page</x:v>
      </x:c>
      <x:c r="K241" s="2" t="n">
        <x:v>0</x:v>
      </x:c>
      <x:c r="L241" s="2" t="n">
        <x:v>0</x:v>
      </x:c>
      <x:c r="M241" s="2"/>
      <x:c r="N241" s="2"/>
      <x:c r="O241" s="2"/>
      <x:c r="P241" s="2" t="n">
        <x:v>130</x:v>
      </x:c>
      <x:c r="Q241" s="2" t="str">
        <x:v>Core</x:v>
      </x:c>
      <x:c r="R241" s="2" t="str">
        <x:v>Research before draw; property brochure linked from TPWD</x:v>
      </x:c>
      <x:c r="S241" s="2" t="str">
        <x:v>High</x:v>
      </x:c>
      <x:c r="T241" s="2" t="str">
        <x:v>No</x:v>
      </x:c>
      <x:c r="U241" s="2" t="str">
        <x:v>Verified in TPWD 2026-2027 statewide deer category catalog. Refuge-specific rules and permit fees may apply.</x:v>
      </x:c>
      <x:c r="V241" s="2" t="str">
        <x:v>https://tpwd.texas.gov/huntwild/hunt/public/public_hunt_drawing/hunt-category-details.phtml?OCat=NYD</x:v>
      </x:c>
      <x:c r="W241" s="2" t="n">
        <x:v>2</x:v>
      </x:c>
      <x:c r="X241" s="2" t="n">
        <x:v>5</x:v>
      </x:c>
      <x:c r="Y241" s="2" t="n">
        <x:v>5</x:v>
      </x:c>
      <x:c r="Z241" s="2" t="n">
        <x:v>3</x:v>
      </x:c>
      <x:c r="AA241" s="2" t="n">
        <x:v>4</x:v>
      </x:c>
      <x:c r="AB241" s="2" t="n">
        <x:v>0</x:v>
      </x:c>
      <x:c r="AC241" s="2" t="n">
        <x:v>3.2</x:v>
      </x:c>
      <x:c r="AD241" s="2" t="n">
        <x:v>0</x:v>
      </x:c>
      <x:c r="AE241" s="2" t="str">
        <x:v>2026-10-01</x:v>
      </x:c>
      <x:c r="AF241" s="2"/>
      <x:c r="AG241" s="2"/>
      <x:c r="AH241" s="2"/>
      <x:c r="AI241" s="2"/>
      <x:c r="AJ241" s="2"/>
      <x:c r="AK241" s="2"/>
      <x:c r="AL241" s="2"/>
      <x:c r="AM241" s="2" t="str">
        <x:v>https://tpwd.texas.gov/huntwild/hunt/public/public_hunt_drawing/hunt-category-details.phtml?OCat=NYD</x:v>
      </x:c>
      <x:c r="AN241" s="2" t="str">
        <x:v>https://tpwd.texas.gov/search/?q=Buffalo+Lake+NWR+public+hunting+brochure</x:v>
      </x:c>
      <x:c r="AO241" s="2" t="str">
        <x:v>https://apps.tpwd.state.tx.us/huntwild/hunt/public/public_hunt_drawing/</x:v>
      </x:c>
      <x:c r="AP241" s="2" t="str">
        <x:v>https://www.google.com/maps/search/?api=1&amp;query=Buffalo+Lake+NWR%2C+Texas</x:v>
      </x:c>
      <x:c r="AQ241" s="2" t="n">
        <x:v>0</x:v>
      </x:c>
      <x:c r="AR241" s="2" t="str">
        <x:v>Standard Hastings ranking</x:v>
      </x:c>
    </x:row>
    <x:row r="242">
      <x:c r="A242" s="2" t="str">
        <x:v>No</x:v>
      </x:c>
      <x:c r="B242" s="2" t="str">
        <x:v>A</x:v>
      </x:c>
      <x:c r="C242" s="2" t="str">
        <x:v>Whitetail Deer</x:v>
      </x:c>
      <x:c r="D242" s="2" t="str">
        <x:v>Caddo Lake NWR</x:v>
      </x:c>
      <x:c r="E242" s="2" t="str">
        <x:v>East Texas / Pineywoods</x:v>
      </x:c>
      <x:c r="F242" s="2" t="str">
        <x:v>National Refuge Youth Deer</x:v>
      </x:c>
      <x:c r="G242" s="2" t="str">
        <x:v>No</x:v>
      </x:c>
      <x:c r="H242" s="2" t="str">
        <x:v>Yes</x:v>
      </x:c>
      <x:c r="I242" s="97" t="str">
        <x:v>2026-10-01</x:v>
      </x:c>
      <x:c r="J242" s="2" t="str">
        <x:v>See TPWD category page</x:v>
      </x:c>
      <x:c r="K242" s="2" t="n">
        <x:v>0</x:v>
      </x:c>
      <x:c r="L242" s="2" t="n">
        <x:v>0</x:v>
      </x:c>
      <x:c r="M242" s="2"/>
      <x:c r="N242" s="2"/>
      <x:c r="O242" s="2"/>
      <x:c r="P242" s="2" t="n">
        <x:v>570</x:v>
      </x:c>
      <x:c r="Q242" s="2" t="str">
        <x:v>Statewide</x:v>
      </x:c>
      <x:c r="R242" s="2" t="str">
        <x:v>Research before draw; property brochure linked from TPWD</x:v>
      </x:c>
      <x:c r="S242" s="2" t="str">
        <x:v>Low</x:v>
      </x:c>
      <x:c r="T242" s="2" t="str">
        <x:v>No</x:v>
      </x:c>
      <x:c r="U242" s="2" t="str">
        <x:v>Verified in TPWD 2026-2027 statewide deer category catalog. Refuge-specific rules and permit fees may apply.</x:v>
      </x:c>
      <x:c r="V242" s="2" t="str">
        <x:v>https://tpwd.texas.gov/huntwild/hunt/public/public_hunt_drawing/hunt-category-details.phtml?OCat=NYD</x:v>
      </x:c>
      <x:c r="W242" s="2" t="n">
        <x:v>2</x:v>
      </x:c>
      <x:c r="X242" s="2" t="n">
        <x:v>2</x:v>
      </x:c>
      <x:c r="Y242" s="2" t="n">
        <x:v>5</x:v>
      </x:c>
      <x:c r="Z242" s="2" t="n">
        <x:v>3</x:v>
      </x:c>
      <x:c r="AA242" s="2" t="n">
        <x:v>2</x:v>
      </x:c>
      <x:c r="AB242" s="2" t="n">
        <x:v>0</x:v>
      </x:c>
      <x:c r="AC242" s="2" t="n">
        <x:v>2.5</x:v>
      </x:c>
      <x:c r="AD242" s="2" t="n">
        <x:v>0</x:v>
      </x:c>
      <x:c r="AE242" s="2" t="str">
        <x:v>2026-10-01</x:v>
      </x:c>
      <x:c r="AF242" s="2"/>
      <x:c r="AG242" s="2"/>
      <x:c r="AH242" s="2"/>
      <x:c r="AI242" s="2"/>
      <x:c r="AJ242" s="2"/>
      <x:c r="AK242" s="2"/>
      <x:c r="AL242" s="2"/>
      <x:c r="AM242" s="2" t="str">
        <x:v>https://tpwd.texas.gov/huntwild/hunt/public/public_hunt_drawing/hunt-category-details.phtml?OCat=NYD</x:v>
      </x:c>
      <x:c r="AN242" s="2" t="str">
        <x:v>https://tpwd.texas.gov/search/?q=Caddo+Lake+NWR+public+hunting+brochure</x:v>
      </x:c>
      <x:c r="AO242" s="2" t="str">
        <x:v>https://apps.tpwd.state.tx.us/huntwild/hunt/public/public_hunt_drawing/</x:v>
      </x:c>
      <x:c r="AP242" s="2" t="str">
        <x:v>https://www.google.com/maps/search/?api=1&amp;query=Caddo+Lake+NWR%2C+Texas</x:v>
      </x:c>
      <x:c r="AQ242" s="2" t="n">
        <x:v>0</x:v>
      </x:c>
      <x:c r="AR242" s="2" t="str">
        <x:v>Standard Hastings ranking</x:v>
      </x:c>
    </x:row>
    <x:row r="243">
      <x:c r="A243" s="2" t="str">
        <x:v>No</x:v>
      </x:c>
      <x:c r="B243" s="2" t="str">
        <x:v>A</x:v>
      </x:c>
      <x:c r="C243" s="2" t="str">
        <x:v>Whitetail Deer</x:v>
      </x:c>
      <x:c r="D243" s="2" t="str">
        <x:v>Laguna Atascosa NWR</x:v>
      </x:c>
      <x:c r="E243" s="2" t="str">
        <x:v>South Texas / Rio Grande Valley</x:v>
      </x:c>
      <x:c r="F243" s="2" t="str">
        <x:v>National Refuge Youth Deer</x:v>
      </x:c>
      <x:c r="G243" s="2" t="str">
        <x:v>No</x:v>
      </x:c>
      <x:c r="H243" s="2" t="str">
        <x:v>Yes</x:v>
      </x:c>
      <x:c r="I243" s="97" t="str">
        <x:v>2026-10-01</x:v>
      </x:c>
      <x:c r="J243" s="2" t="str">
        <x:v>See TPWD category page</x:v>
      </x:c>
      <x:c r="K243" s="2" t="n">
        <x:v>0</x:v>
      </x:c>
      <x:c r="L243" s="2" t="n">
        <x:v>0</x:v>
      </x:c>
      <x:c r="M243" s="2"/>
      <x:c r="N243" s="2"/>
      <x:c r="O243" s="2"/>
      <x:c r="P243" s="2" t="n">
        <x:v>700</x:v>
      </x:c>
      <x:c r="Q243" s="2" t="str">
        <x:v>Long Haul</x:v>
      </x:c>
      <x:c r="R243" s="2" t="str">
        <x:v>Research before draw; property brochure linked from TPWD</x:v>
      </x:c>
      <x:c r="S243" s="2" t="str">
        <x:v>Low</x:v>
      </x:c>
      <x:c r="T243" s="2" t="str">
        <x:v>No</x:v>
      </x:c>
      <x:c r="U243" s="2" t="str">
        <x:v>Verified in TPWD 2026-2027 statewide deer category catalog. Refuge-specific rules and permit fees may apply.</x:v>
      </x:c>
      <x:c r="V243" s="2" t="str">
        <x:v>https://tpwd.texas.gov/huntwild/hunt/public/public_hunt_drawing/hunt-category-details.phtml?OCat=NYD</x:v>
      </x:c>
      <x:c r="W243" s="2" t="n">
        <x:v>2</x:v>
      </x:c>
      <x:c r="X243" s="2" t="n">
        <x:v>1</x:v>
      </x:c>
      <x:c r="Y243" s="2" t="n">
        <x:v>5</x:v>
      </x:c>
      <x:c r="Z243" s="2" t="n">
        <x:v>3</x:v>
      </x:c>
      <x:c r="AA243" s="2" t="n">
        <x:v>2</x:v>
      </x:c>
      <x:c r="AB243" s="2" t="n">
        <x:v>0</x:v>
      </x:c>
      <x:c r="AC243" s="2" t="n">
        <x:v>2.4</x:v>
      </x:c>
      <x:c r="AD243" s="2" t="n">
        <x:v>0</x:v>
      </x:c>
      <x:c r="AE243" s="2" t="str">
        <x:v>2026-10-01</x:v>
      </x:c>
      <x:c r="AF243" s="2"/>
      <x:c r="AG243" s="2"/>
      <x:c r="AH243" s="2"/>
      <x:c r="AI243" s="2"/>
      <x:c r="AJ243" s="2"/>
      <x:c r="AK243" s="2"/>
      <x:c r="AL243" s="2"/>
      <x:c r="AM243" s="2" t="str">
        <x:v>https://tpwd.texas.gov/huntwild/hunt/public/public_hunt_drawing/hunt-category-details.phtml?OCat=NYD</x:v>
      </x:c>
      <x:c r="AN243" s="2" t="str">
        <x:v>https://tpwd.texas.gov/search/?q=Laguna+Atascosa+NWR+public+hunting+brochure</x:v>
      </x:c>
      <x:c r="AO243" s="2" t="str">
        <x:v>https://apps.tpwd.state.tx.us/huntwild/hunt/public/public_hunt_drawing/</x:v>
      </x:c>
      <x:c r="AP243" s="2" t="str">
        <x:v>https://www.google.com/maps/search/?api=1&amp;query=Laguna+Atascosa+NWR%2C+Texas</x:v>
      </x:c>
      <x:c r="AQ243" s="2" t="n">
        <x:v>0</x:v>
      </x:c>
      <x:c r="AR243" s="2" t="str">
        <x:v>Standard Hastings ranking</x:v>
      </x:c>
    </x:row>
    <x:row r="244">
      <x:c r="A244" s="2" t="str">
        <x:v>No</x:v>
      </x:c>
      <x:c r="B244" s="2" t="str">
        <x:v>A</x:v>
      </x:c>
      <x:c r="C244" s="2" t="str">
        <x:v>Whitetail Deer</x:v>
      </x:c>
      <x:c r="D244" s="2" t="str">
        <x:v>Lower Rio Grande Valley NWR - Teniente</x:v>
      </x:c>
      <x:c r="E244" s="2" t="str">
        <x:v>South Texas / Rio Grande Valley</x:v>
      </x:c>
      <x:c r="F244" s="2" t="str">
        <x:v>National Refuge Youth Deer</x:v>
      </x:c>
      <x:c r="G244" s="2" t="str">
        <x:v>No</x:v>
      </x:c>
      <x:c r="H244" s="2" t="str">
        <x:v>Yes</x:v>
      </x:c>
      <x:c r="I244" s="97" t="str">
        <x:v>2026-10-01</x:v>
      </x:c>
      <x:c r="J244" s="2" t="str">
        <x:v>See TPWD category page</x:v>
      </x:c>
      <x:c r="K244" s="2" t="n">
        <x:v>0</x:v>
      </x:c>
      <x:c r="L244" s="2" t="n">
        <x:v>0</x:v>
      </x:c>
      <x:c r="M244" s="2"/>
      <x:c r="N244" s="2"/>
      <x:c r="O244" s="2"/>
      <x:c r="P244" s="2" t="n">
        <x:v>700</x:v>
      </x:c>
      <x:c r="Q244" s="2" t="str">
        <x:v>Long Haul</x:v>
      </x:c>
      <x:c r="R244" s="2" t="str">
        <x:v>Research before draw; property brochure linked from TPWD</x:v>
      </x:c>
      <x:c r="S244" s="2" t="str">
        <x:v>Low</x:v>
      </x:c>
      <x:c r="T244" s="2" t="str">
        <x:v>No</x:v>
      </x:c>
      <x:c r="U244" s="2" t="str">
        <x:v>Verified in TPWD 2026-2027 statewide deer category catalog. Refuge-specific rules and permit fees may apply.</x:v>
      </x:c>
      <x:c r="V244" s="2" t="str">
        <x:v>https://tpwd.texas.gov/huntwild/hunt/public/public_hunt_drawing/hunt-category-details.phtml?OCat=NYD</x:v>
      </x:c>
      <x:c r="W244" s="2" t="n">
        <x:v>2</x:v>
      </x:c>
      <x:c r="X244" s="2" t="n">
        <x:v>1</x:v>
      </x:c>
      <x:c r="Y244" s="2" t="n">
        <x:v>5</x:v>
      </x:c>
      <x:c r="Z244" s="2" t="n">
        <x:v>3</x:v>
      </x:c>
      <x:c r="AA244" s="2" t="n">
        <x:v>2</x:v>
      </x:c>
      <x:c r="AB244" s="2" t="n">
        <x:v>0</x:v>
      </x:c>
      <x:c r="AC244" s="2" t="n">
        <x:v>2.4</x:v>
      </x:c>
      <x:c r="AD244" s="2" t="n">
        <x:v>0</x:v>
      </x:c>
      <x:c r="AE244" s="2" t="str">
        <x:v>2026-10-01</x:v>
      </x:c>
      <x:c r="AF244" s="2"/>
      <x:c r="AG244" s="2"/>
      <x:c r="AH244" s="2"/>
      <x:c r="AI244" s="2"/>
      <x:c r="AJ244" s="2"/>
      <x:c r="AK244" s="2"/>
      <x:c r="AL244" s="2"/>
      <x:c r="AM244" s="2" t="str">
        <x:v>https://tpwd.texas.gov/huntwild/hunt/public/public_hunt_drawing/hunt-category-details.phtml?OCat=NYD</x:v>
      </x:c>
      <x:c r="AN244" s="2" t="str">
        <x:v>https://tpwd.texas.gov/search/?q=Lower+Rio+Grande+Valley+NWR+-+Teniente+public+hunting+brochure</x:v>
      </x:c>
      <x:c r="AO244" s="2" t="str">
        <x:v>https://apps.tpwd.state.tx.us/huntwild/hunt/public/public_hunt_drawing/</x:v>
      </x:c>
      <x:c r="AP244" s="2" t="str">
        <x:v>https://www.google.com/maps/search/?api=1&amp;query=Lower+Rio+Grande+Valley+NWR+-+Teniente%2C+Texas</x:v>
      </x:c>
      <x:c r="AQ244" s="2" t="n">
        <x:v>0</x:v>
      </x:c>
      <x:c r="AR244" s="2" t="str">
        <x:v>Standard Hastings ranking</x:v>
      </x:c>
    </x:row>
    <x:row r="245">
      <x:c r="A245" s="2" t="str">
        <x:v>No</x:v>
      </x:c>
      <x:c r="B245" s="2" t="str">
        <x:v>A</x:v>
      </x:c>
      <x:c r="C245" s="2" t="str">
        <x:v>Whitetail Deer</x:v>
      </x:c>
      <x:c r="D245" s="2" t="str">
        <x:v>Neches River NWR - Dead Water Unit</x:v>
      </x:c>
      <x:c r="E245" s="2" t="str">
        <x:v>East Texas / Pineywoods</x:v>
      </x:c>
      <x:c r="F245" s="2" t="str">
        <x:v>National Refuge Deer Antlerless/Spike</x:v>
      </x:c>
      <x:c r="G245" s="2" t="str">
        <x:v>Yes</x:v>
      </x:c>
      <x:c r="H245" s="2" t="str">
        <x:v>Yes</x:v>
      </x:c>
      <x:c r="I245" s="97" t="str">
        <x:v>2026-10-01</x:v>
      </x:c>
      <x:c r="J245" s="2" t="str">
        <x:v>See TPWD category page</x:v>
      </x:c>
      <x:c r="K245" s="2" t="n">
        <x:v>3</x:v>
      </x:c>
      <x:c r="L245" s="2"/>
      <x:c r="M245" s="2"/>
      <x:c r="N245" s="2"/>
      <x:c r="O245" s="2"/>
      <x:c r="P245" s="2" t="n">
        <x:v>570</x:v>
      </x:c>
      <x:c r="Q245" s="2" t="str">
        <x:v>Statewide</x:v>
      </x:c>
      <x:c r="R245" s="2" t="str">
        <x:v>Research before draw; property brochure linked from TPWD</x:v>
      </x:c>
      <x:c r="S245" s="2" t="str">
        <x:v>Low</x:v>
      </x:c>
      <x:c r="T245" s="2" t="str">
        <x:v>No</x:v>
      </x:c>
      <x:c r="U245" s="2" t="str">
        <x:v>Verified in TPWD 2026-2027 statewide deer category catalog. Refuge-specific rules and permit fees may apply.</x:v>
      </x:c>
      <x:c r="V245" s="2" t="str">
        <x:v>https://tpwd.texas.gov/huntwild/hunt/public/public_hunt_drawing/hunt-category-details.phtml?OCat=NGA</x:v>
      </x:c>
      <x:c r="W245" s="2" t="n">
        <x:v>2</x:v>
      </x:c>
      <x:c r="X245" s="2" t="n">
        <x:v>2</x:v>
      </x:c>
      <x:c r="Y245" s="2" t="n">
        <x:v>4</x:v>
      </x:c>
      <x:c r="Z245" s="2" t="n">
        <x:v>3</x:v>
      </x:c>
      <x:c r="AA245" s="2" t="n">
        <x:v>2</x:v>
      </x:c>
      <x:c r="AB245" s="2" t="n">
        <x:v>0</x:v>
      </x:c>
      <x:c r="AC245" s="2" t="n">
        <x:v>2.3</x:v>
      </x:c>
      <x:c r="AD245" s="2"/>
      <x:c r="AE245" s="2" t="str">
        <x:v>2026-10-01</x:v>
      </x:c>
      <x:c r="AF245" s="2"/>
      <x:c r="AG245" s="2"/>
      <x:c r="AH245" s="2"/>
      <x:c r="AI245" s="2"/>
      <x:c r="AJ245" s="2"/>
      <x:c r="AK245" s="2"/>
      <x:c r="AL245" s="2"/>
      <x:c r="AM245" s="2" t="str">
        <x:v>https://tpwd.texas.gov/huntwild/hunt/public/public_hunt_drawing/hunt-category-details.phtml?OCat=NGA</x:v>
      </x:c>
      <x:c r="AN245" s="2" t="str">
        <x:v>https://tpwd.texas.gov/search/?q=Neches+River+NWR+-+Dead+Water+Unit+public+hunting+brochure</x:v>
      </x:c>
      <x:c r="AO245" s="2" t="str">
        <x:v>https://apps.tpwd.state.tx.us/huntwild/hunt/public/public_hunt_drawing/</x:v>
      </x:c>
      <x:c r="AP245" s="2" t="str">
        <x:v>https://www.google.com/maps/search/?api=1&amp;query=Neches+River+NWR+-+Dead+Water+Unit%2C+Texas</x:v>
      </x:c>
      <x:c r="AQ245" s="2" t="n">
        <x:v>0</x:v>
      </x:c>
      <x:c r="AR245" s="2" t="str">
        <x:v>Standard Hastings ranking</x:v>
      </x:c>
    </x:row>
    <x:row r="246">
      <x:c r="A246" s="2" t="str">
        <x:v>No</x:v>
      </x:c>
      <x:c r="B246" s="2" t="str">
        <x:v>A</x:v>
      </x:c>
      <x:c r="C246" s="2" t="str">
        <x:v>Whitetail Deer</x:v>
      </x:c>
      <x:c r="D246" s="2" t="str">
        <x:v>Neches River NWR - Rocky Point Unit</x:v>
      </x:c>
      <x:c r="E246" s="2" t="str">
        <x:v>East Texas / Pineywoods</x:v>
      </x:c>
      <x:c r="F246" s="2" t="str">
        <x:v>National Refuge Deer Antlerless/Spike</x:v>
      </x:c>
      <x:c r="G246" s="2" t="str">
        <x:v>Yes</x:v>
      </x:c>
      <x:c r="H246" s="2" t="str">
        <x:v>Yes</x:v>
      </x:c>
      <x:c r="I246" s="97" t="str">
        <x:v>2026-10-01</x:v>
      </x:c>
      <x:c r="J246" s="2" t="str">
        <x:v>See TPWD category page</x:v>
      </x:c>
      <x:c r="K246" s="2" t="n">
        <x:v>3</x:v>
      </x:c>
      <x:c r="L246" s="2"/>
      <x:c r="M246" s="2"/>
      <x:c r="N246" s="2"/>
      <x:c r="O246" s="2"/>
      <x:c r="P246" s="2" t="n">
        <x:v>570</x:v>
      </x:c>
      <x:c r="Q246" s="2" t="str">
        <x:v>Statewide</x:v>
      </x:c>
      <x:c r="R246" s="2" t="str">
        <x:v>Research before draw; property brochure linked from TPWD</x:v>
      </x:c>
      <x:c r="S246" s="2" t="str">
        <x:v>Low</x:v>
      </x:c>
      <x:c r="T246" s="2" t="str">
        <x:v>No</x:v>
      </x:c>
      <x:c r="U246" s="2" t="str">
        <x:v>Verified in TPWD 2026-2027 statewide deer category catalog. Refuge-specific rules and permit fees may apply.</x:v>
      </x:c>
      <x:c r="V246" s="2" t="str">
        <x:v>https://tpwd.texas.gov/huntwild/hunt/public/public_hunt_drawing/hunt-category-details.phtml?OCat=NGA</x:v>
      </x:c>
      <x:c r="W246" s="2" t="n">
        <x:v>2</x:v>
      </x:c>
      <x:c r="X246" s="2" t="n">
        <x:v>2</x:v>
      </x:c>
      <x:c r="Y246" s="2" t="n">
        <x:v>4</x:v>
      </x:c>
      <x:c r="Z246" s="2" t="n">
        <x:v>3</x:v>
      </x:c>
      <x:c r="AA246" s="2" t="n">
        <x:v>2</x:v>
      </x:c>
      <x:c r="AB246" s="2" t="n">
        <x:v>0</x:v>
      </x:c>
      <x:c r="AC246" s="2" t="n">
        <x:v>2.3</x:v>
      </x:c>
      <x:c r="AD246" s="2"/>
      <x:c r="AE246" s="2" t="str">
        <x:v>2026-10-01</x:v>
      </x:c>
      <x:c r="AF246" s="2"/>
      <x:c r="AG246" s="2"/>
      <x:c r="AH246" s="2"/>
      <x:c r="AI246" s="2"/>
      <x:c r="AJ246" s="2"/>
      <x:c r="AK246" s="2"/>
      <x:c r="AL246" s="2"/>
      <x:c r="AM246" s="2" t="str">
        <x:v>https://tpwd.texas.gov/huntwild/hunt/public/public_hunt_drawing/hunt-category-details.phtml?OCat=NGA</x:v>
      </x:c>
      <x:c r="AN246" s="2" t="str">
        <x:v>https://tpwd.texas.gov/search/?q=Neches+River+NWR+-+Rocky+Point+Unit+public+hunting+brochure</x:v>
      </x:c>
      <x:c r="AO246" s="2" t="str">
        <x:v>https://apps.tpwd.state.tx.us/huntwild/hunt/public/public_hunt_drawing/</x:v>
      </x:c>
      <x:c r="AP246" s="2" t="str">
        <x:v>https://www.google.com/maps/search/?api=1&amp;query=Neches+River+NWR+-+Rocky+Point+Unit%2C+Texas</x:v>
      </x:c>
      <x:c r="AQ246" s="2" t="n">
        <x:v>0</x:v>
      </x:c>
      <x:c r="AR246" s="2" t="str">
        <x:v>Standard Hastings ranking</x:v>
      </x:c>
    </x:row>
    <x:row r="247">
      <x:c r="A247" s="2" t="str">
        <x:v>No</x:v>
      </x:c>
      <x:c r="B247" s="2" t="str">
        <x:v>A</x:v>
      </x:c>
      <x:c r="C247" s="2" t="str">
        <x:v>Whitetail Deer</x:v>
      </x:c>
      <x:c r="D247" s="2" t="str">
        <x:v>Neches River NWR - Sandy Bluff Unit</x:v>
      </x:c>
      <x:c r="E247" s="2" t="str">
        <x:v>East Texas / Pineywoods</x:v>
      </x:c>
      <x:c r="F247" s="2" t="str">
        <x:v>National Refuge Deer Antlerless/Spike</x:v>
      </x:c>
      <x:c r="G247" s="2" t="str">
        <x:v>Yes</x:v>
      </x:c>
      <x:c r="H247" s="2" t="str">
        <x:v>Yes</x:v>
      </x:c>
      <x:c r="I247" s="97" t="str">
        <x:v>2026-10-01</x:v>
      </x:c>
      <x:c r="J247" s="2" t="str">
        <x:v>See TPWD category page</x:v>
      </x:c>
      <x:c r="K247" s="2" t="n">
        <x:v>3</x:v>
      </x:c>
      <x:c r="L247" s="2"/>
      <x:c r="M247" s="2"/>
      <x:c r="N247" s="2"/>
      <x:c r="O247" s="2"/>
      <x:c r="P247" s="2" t="n">
        <x:v>570</x:v>
      </x:c>
      <x:c r="Q247" s="2" t="str">
        <x:v>Statewide</x:v>
      </x:c>
      <x:c r="R247" s="2" t="str">
        <x:v>Research before draw; property brochure linked from TPWD</x:v>
      </x:c>
      <x:c r="S247" s="2" t="str">
        <x:v>Low</x:v>
      </x:c>
      <x:c r="T247" s="2" t="str">
        <x:v>No</x:v>
      </x:c>
      <x:c r="U247" s="2" t="str">
        <x:v>Verified in TPWD 2026-2027 statewide deer category catalog. Refuge-specific rules and permit fees may apply.</x:v>
      </x:c>
      <x:c r="V247" s="2" t="str">
        <x:v>https://tpwd.texas.gov/huntwild/hunt/public/public_hunt_drawing/hunt-category-details.phtml?OCat=NGA</x:v>
      </x:c>
      <x:c r="W247" s="2" t="n">
        <x:v>2</x:v>
      </x:c>
      <x:c r="X247" s="2" t="n">
        <x:v>2</x:v>
      </x:c>
      <x:c r="Y247" s="2" t="n">
        <x:v>4</x:v>
      </x:c>
      <x:c r="Z247" s="2" t="n">
        <x:v>3</x:v>
      </x:c>
      <x:c r="AA247" s="2" t="n">
        <x:v>2</x:v>
      </x:c>
      <x:c r="AB247" s="2" t="n">
        <x:v>0</x:v>
      </x:c>
      <x:c r="AC247" s="2" t="n">
        <x:v>2.3</x:v>
      </x:c>
      <x:c r="AD247" s="2"/>
      <x:c r="AE247" s="2" t="str">
        <x:v>2026-10-01</x:v>
      </x:c>
      <x:c r="AF247" s="2"/>
      <x:c r="AG247" s="2"/>
      <x:c r="AH247" s="2"/>
      <x:c r="AI247" s="2"/>
      <x:c r="AJ247" s="2"/>
      <x:c r="AK247" s="2"/>
      <x:c r="AL247" s="2"/>
      <x:c r="AM247" s="2" t="str">
        <x:v>https://tpwd.texas.gov/huntwild/hunt/public/public_hunt_drawing/hunt-category-details.phtml?OCat=NGA</x:v>
      </x:c>
      <x:c r="AN247" s="2" t="str">
        <x:v>https://tpwd.texas.gov/search/?q=Neches+River+NWR+-+Sandy+Bluff+Unit+public+hunting+brochure</x:v>
      </x:c>
      <x:c r="AO247" s="2" t="str">
        <x:v>https://apps.tpwd.state.tx.us/huntwild/hunt/public/public_hunt_drawing/</x:v>
      </x:c>
      <x:c r="AP247" s="2" t="str">
        <x:v>https://www.google.com/maps/search/?api=1&amp;query=Neches+River+NWR+-+Sandy+Bluff+Unit%2C+Texas</x:v>
      </x:c>
      <x:c r="AQ247" s="2" t="n">
        <x:v>0</x:v>
      </x:c>
      <x:c r="AR247" s="2" t="str">
        <x:v>Standard Hastings ranking</x:v>
      </x:c>
    </x:row>
    <x:row r="248">
      <x:c r="A248" s="2" t="str">
        <x:v>No</x:v>
      </x:c>
      <x:c r="B248" s="2" t="str">
        <x:v>A</x:v>
      </x:c>
      <x:c r="C248" s="2" t="str">
        <x:v>Whitetail Deer</x:v>
      </x:c>
      <x:c r="D248" s="2" t="str">
        <x:v>Neches River NWR - Walnut Branch Unit</x:v>
      </x:c>
      <x:c r="E248" s="2" t="str">
        <x:v>East Texas / Pineywoods</x:v>
      </x:c>
      <x:c r="F248" s="2" t="str">
        <x:v>National Refuge Deer Antlerless/Spike</x:v>
      </x:c>
      <x:c r="G248" s="2" t="str">
        <x:v>Yes</x:v>
      </x:c>
      <x:c r="H248" s="2" t="str">
        <x:v>Yes</x:v>
      </x:c>
      <x:c r="I248" s="97" t="str">
        <x:v>2026-10-01</x:v>
      </x:c>
      <x:c r="J248" s="2" t="str">
        <x:v>See TPWD category page</x:v>
      </x:c>
      <x:c r="K248" s="2" t="n">
        <x:v>3</x:v>
      </x:c>
      <x:c r="L248" s="2"/>
      <x:c r="M248" s="2"/>
      <x:c r="N248" s="2"/>
      <x:c r="O248" s="2"/>
      <x:c r="P248" s="2" t="n">
        <x:v>570</x:v>
      </x:c>
      <x:c r="Q248" s="2" t="str">
        <x:v>Statewide</x:v>
      </x:c>
      <x:c r="R248" s="2" t="str">
        <x:v>Research before draw; property brochure linked from TPWD</x:v>
      </x:c>
      <x:c r="S248" s="2" t="str">
        <x:v>Low</x:v>
      </x:c>
      <x:c r="T248" s="2" t="str">
        <x:v>No</x:v>
      </x:c>
      <x:c r="U248" s="2" t="str">
        <x:v>Verified in TPWD 2026-2027 statewide deer category catalog. Refuge-specific rules and permit fees may apply.</x:v>
      </x:c>
      <x:c r="V248" s="2" t="str">
        <x:v>https://tpwd.texas.gov/huntwild/hunt/public/public_hunt_drawing/hunt-category-details.phtml?OCat=NGA</x:v>
      </x:c>
      <x:c r="W248" s="2" t="n">
        <x:v>2</x:v>
      </x:c>
      <x:c r="X248" s="2" t="n">
        <x:v>2</x:v>
      </x:c>
      <x:c r="Y248" s="2" t="n">
        <x:v>4</x:v>
      </x:c>
      <x:c r="Z248" s="2" t="n">
        <x:v>3</x:v>
      </x:c>
      <x:c r="AA248" s="2" t="n">
        <x:v>2</x:v>
      </x:c>
      <x:c r="AB248" s="2" t="n">
        <x:v>0</x:v>
      </x:c>
      <x:c r="AC248" s="2" t="n">
        <x:v>2.3</x:v>
      </x:c>
      <x:c r="AD248" s="2"/>
      <x:c r="AE248" s="2" t="str">
        <x:v>2026-10-01</x:v>
      </x:c>
      <x:c r="AF248" s="2"/>
      <x:c r="AG248" s="2"/>
      <x:c r="AH248" s="2"/>
      <x:c r="AI248" s="2"/>
      <x:c r="AJ248" s="2"/>
      <x:c r="AK248" s="2"/>
      <x:c r="AL248" s="2"/>
      <x:c r="AM248" s="2" t="str">
        <x:v>https://tpwd.texas.gov/huntwild/hunt/public/public_hunt_drawing/hunt-category-details.phtml?OCat=NGA</x:v>
      </x:c>
      <x:c r="AN248" s="2" t="str">
        <x:v>https://tpwd.texas.gov/search/?q=Neches+River+NWR+-+Walnut+Branch+Unit+public+hunting+brochure</x:v>
      </x:c>
      <x:c r="AO248" s="2" t="str">
        <x:v>https://apps.tpwd.state.tx.us/huntwild/hunt/public/public_hunt_drawing/</x:v>
      </x:c>
      <x:c r="AP248" s="2" t="str">
        <x:v>https://www.google.com/maps/search/?api=1&amp;query=Neches+River+NWR+-+Walnut+Branch+Unit%2C+Texas</x:v>
      </x:c>
      <x:c r="AQ248" s="2" t="n">
        <x:v>0</x:v>
      </x:c>
      <x:c r="AR248" s="2" t="str">
        <x:v>Standard Hastings ranking</x:v>
      </x:c>
    </x:row>
    <x:row r="249">
      <x:c r="A249" s="2" t="str">
        <x:v>No</x:v>
      </x:c>
      <x:c r="B249" s="2" t="str">
        <x:v>A</x:v>
      </x:c>
      <x:c r="C249" s="2" t="str">
        <x:v>Whitetail Deer</x:v>
      </x:c>
      <x:c r="D249" s="2" t="str">
        <x:v>Trinity River NWR - Boars Den</x:v>
      </x:c>
      <x:c r="E249" s="2" t="str">
        <x:v>East Texas / Pineywoods</x:v>
      </x:c>
      <x:c r="F249" s="2" t="str">
        <x:v>National Refuge Muzzleloader Deer</x:v>
      </x:c>
      <x:c r="G249" s="2" t="str">
        <x:v>Yes</x:v>
      </x:c>
      <x:c r="H249" s="2" t="str">
        <x:v>Yes</x:v>
      </x:c>
      <x:c r="I249" s="97" t="str">
        <x:v>2026-10-15</x:v>
      </x:c>
      <x:c r="J249" s="2" t="str">
        <x:v>See TPWD category page</x:v>
      </x:c>
      <x:c r="K249" s="2" t="n">
        <x:v>3</x:v>
      </x:c>
      <x:c r="L249" s="2"/>
      <x:c r="M249" s="2"/>
      <x:c r="N249" s="2"/>
      <x:c r="O249" s="2"/>
      <x:c r="P249" s="2" t="n">
        <x:v>570</x:v>
      </x:c>
      <x:c r="Q249" s="2" t="str">
        <x:v>Statewide</x:v>
      </x:c>
      <x:c r="R249" s="2" t="str">
        <x:v>Research before draw; property brochure linked from TPWD</x:v>
      </x:c>
      <x:c r="S249" s="2" t="str">
        <x:v>Low</x:v>
      </x:c>
      <x:c r="T249" s="2" t="str">
        <x:v>No</x:v>
      </x:c>
      <x:c r="U249" s="2" t="str">
        <x:v>Verified in TPWD 2026-2027 statewide deer category catalog. Refuge-specific rules and permit fees may apply.</x:v>
      </x:c>
      <x:c r="V249" s="2" t="str">
        <x:v>https://tpwd.texas.gov/huntwild/hunt/public/public_hunt_drawing/hunt-category-details.phtml?OCat=NMD</x:v>
      </x:c>
      <x:c r="W249" s="2" t="n">
        <x:v>2</x:v>
      </x:c>
      <x:c r="X249" s="2" t="n">
        <x:v>2</x:v>
      </x:c>
      <x:c r="Y249" s="2" t="n">
        <x:v>4</x:v>
      </x:c>
      <x:c r="Z249" s="2" t="n">
        <x:v>3</x:v>
      </x:c>
      <x:c r="AA249" s="2" t="n">
        <x:v>2</x:v>
      </x:c>
      <x:c r="AB249" s="2" t="n">
        <x:v>0</x:v>
      </x:c>
      <x:c r="AC249" s="2" t="n">
        <x:v>2.3</x:v>
      </x:c>
      <x:c r="AD249" s="2"/>
      <x:c r="AE249" s="2" t="str">
        <x:v>2026-10-15</x:v>
      </x:c>
      <x:c r="AF249" s="2"/>
      <x:c r="AG249" s="2"/>
      <x:c r="AH249" s="2"/>
      <x:c r="AI249" s="2"/>
      <x:c r="AJ249" s="2"/>
      <x:c r="AK249" s="2"/>
      <x:c r="AL249" s="2"/>
      <x:c r="AM249" s="2" t="str">
        <x:v>https://tpwd.texas.gov/huntwild/hunt/public/public_hunt_drawing/hunt-category-details.phtml?OCat=NMD</x:v>
      </x:c>
      <x:c r="AN249" s="2" t="str">
        <x:v>https://tpwd.texas.gov/search/?q=Trinity+River+NWR+-+Boars+Den+public+hunting+brochure</x:v>
      </x:c>
      <x:c r="AO249" s="2" t="str">
        <x:v>https://apps.tpwd.state.tx.us/huntwild/hunt/public/public_hunt_drawing/</x:v>
      </x:c>
      <x:c r="AP249" s="2" t="str">
        <x:v>https://www.google.com/maps/search/?api=1&amp;query=Trinity+River+NWR+-+Boars+Den%2C+Texas</x:v>
      </x:c>
      <x:c r="AQ249" s="2" t="n">
        <x:v>0</x:v>
      </x:c>
      <x:c r="AR249" s="2" t="str">
        <x:v>Standard Hastings ranking</x:v>
      </x:c>
    </x:row>
    <x:row r="250">
      <x:c r="A250" s="2" t="str">
        <x:v>No</x:v>
      </x:c>
      <x:c r="B250" s="2" t="str">
        <x:v>A</x:v>
      </x:c>
      <x:c r="C250" s="2" t="str">
        <x:v>Whitetail Deer</x:v>
      </x:c>
      <x:c r="D250" s="2" t="str">
        <x:v>Trinity River NWR - Brierwood</x:v>
      </x:c>
      <x:c r="E250" s="2" t="str">
        <x:v>East Texas / Pineywoods</x:v>
      </x:c>
      <x:c r="F250" s="2" t="str">
        <x:v>National Refuge Muzzleloader Deer</x:v>
      </x:c>
      <x:c r="G250" s="2" t="str">
        <x:v>Yes</x:v>
      </x:c>
      <x:c r="H250" s="2" t="str">
        <x:v>Yes</x:v>
      </x:c>
      <x:c r="I250" s="97" t="str">
        <x:v>2026-10-15</x:v>
      </x:c>
      <x:c r="J250" s="2" t="str">
        <x:v>See TPWD category page</x:v>
      </x:c>
      <x:c r="K250" s="2" t="n">
        <x:v>3</x:v>
      </x:c>
      <x:c r="L250" s="2"/>
      <x:c r="M250" s="2"/>
      <x:c r="N250" s="2"/>
      <x:c r="O250" s="2"/>
      <x:c r="P250" s="2" t="n">
        <x:v>570</x:v>
      </x:c>
      <x:c r="Q250" s="2" t="str">
        <x:v>Statewide</x:v>
      </x:c>
      <x:c r="R250" s="2" t="str">
        <x:v>Research before draw; property brochure linked from TPWD</x:v>
      </x:c>
      <x:c r="S250" s="2" t="str">
        <x:v>Low</x:v>
      </x:c>
      <x:c r="T250" s="2" t="str">
        <x:v>No</x:v>
      </x:c>
      <x:c r="U250" s="2" t="str">
        <x:v>Verified in TPWD 2026-2027 statewide deer category catalog. Refuge-specific rules and permit fees may apply.</x:v>
      </x:c>
      <x:c r="V250" s="2" t="str">
        <x:v>https://tpwd.texas.gov/huntwild/hunt/public/public_hunt_drawing/hunt-category-details.phtml?OCat=NMD</x:v>
      </x:c>
      <x:c r="W250" s="2" t="n">
        <x:v>2</x:v>
      </x:c>
      <x:c r="X250" s="2" t="n">
        <x:v>2</x:v>
      </x:c>
      <x:c r="Y250" s="2" t="n">
        <x:v>4</x:v>
      </x:c>
      <x:c r="Z250" s="2" t="n">
        <x:v>3</x:v>
      </x:c>
      <x:c r="AA250" s="2" t="n">
        <x:v>2</x:v>
      </x:c>
      <x:c r="AB250" s="2" t="n">
        <x:v>0</x:v>
      </x:c>
      <x:c r="AC250" s="2" t="n">
        <x:v>2.3</x:v>
      </x:c>
      <x:c r="AD250" s="2"/>
      <x:c r="AE250" s="2" t="str">
        <x:v>2026-10-15</x:v>
      </x:c>
      <x:c r="AF250" s="2"/>
      <x:c r="AG250" s="2"/>
      <x:c r="AH250" s="2"/>
      <x:c r="AI250" s="2"/>
      <x:c r="AJ250" s="2"/>
      <x:c r="AK250" s="2"/>
      <x:c r="AL250" s="2"/>
      <x:c r="AM250" s="2" t="str">
        <x:v>https://tpwd.texas.gov/huntwild/hunt/public/public_hunt_drawing/hunt-category-details.phtml?OCat=NMD</x:v>
      </x:c>
      <x:c r="AN250" s="2" t="str">
        <x:v>https://tpwd.texas.gov/search/?q=Trinity+River+NWR+-+Brierwood+public+hunting+brochure</x:v>
      </x:c>
      <x:c r="AO250" s="2" t="str">
        <x:v>https://apps.tpwd.state.tx.us/huntwild/hunt/public/public_hunt_drawing/</x:v>
      </x:c>
      <x:c r="AP250" s="2" t="str">
        <x:v>https://www.google.com/maps/search/?api=1&amp;query=Trinity+River+NWR+-+Brierwood%2C+Texas</x:v>
      </x:c>
      <x:c r="AQ250" s="2" t="n">
        <x:v>0</x:v>
      </x:c>
      <x:c r="AR250" s="2" t="str">
        <x:v>Standard Hastings ranking</x:v>
      </x:c>
    </x:row>
    <x:row r="251">
      <x:c r="A251" s="2" t="str">
        <x:v>No</x:v>
      </x:c>
      <x:c r="B251" s="2" t="str">
        <x:v>A</x:v>
      </x:c>
      <x:c r="C251" s="2" t="str">
        <x:v>Whitetail Deer</x:v>
      </x:c>
      <x:c r="D251" s="2" t="str">
        <x:v>Trinity River NWR - Butler</x:v>
      </x:c>
      <x:c r="E251" s="2" t="str">
        <x:v>East Texas / Pineywoods</x:v>
      </x:c>
      <x:c r="F251" s="2" t="str">
        <x:v>National Refuge Muzzleloader Deer</x:v>
      </x:c>
      <x:c r="G251" s="2" t="str">
        <x:v>Yes</x:v>
      </x:c>
      <x:c r="H251" s="2" t="str">
        <x:v>Yes</x:v>
      </x:c>
      <x:c r="I251" s="97" t="str">
        <x:v>2026-10-15</x:v>
      </x:c>
      <x:c r="J251" s="2" t="str">
        <x:v>See TPWD category page</x:v>
      </x:c>
      <x:c r="K251" s="2" t="n">
        <x:v>3</x:v>
      </x:c>
      <x:c r="L251" s="2"/>
      <x:c r="M251" s="2"/>
      <x:c r="N251" s="2"/>
      <x:c r="O251" s="2"/>
      <x:c r="P251" s="2" t="n">
        <x:v>570</x:v>
      </x:c>
      <x:c r="Q251" s="2" t="str">
        <x:v>Statewide</x:v>
      </x:c>
      <x:c r="R251" s="2" t="str">
        <x:v>Research before draw; property brochure linked from TPWD</x:v>
      </x:c>
      <x:c r="S251" s="2" t="str">
        <x:v>Low</x:v>
      </x:c>
      <x:c r="T251" s="2" t="str">
        <x:v>No</x:v>
      </x:c>
      <x:c r="U251" s="2" t="str">
        <x:v>Verified in TPWD 2026-2027 statewide deer category catalog. Refuge-specific rules and permit fees may apply.</x:v>
      </x:c>
      <x:c r="V251" s="2" t="str">
        <x:v>https://tpwd.texas.gov/huntwild/hunt/public/public_hunt_drawing/hunt-category-details.phtml?OCat=NMD</x:v>
      </x:c>
      <x:c r="W251" s="2" t="n">
        <x:v>2</x:v>
      </x:c>
      <x:c r="X251" s="2" t="n">
        <x:v>2</x:v>
      </x:c>
      <x:c r="Y251" s="2" t="n">
        <x:v>4</x:v>
      </x:c>
      <x:c r="Z251" s="2" t="n">
        <x:v>3</x:v>
      </x:c>
      <x:c r="AA251" s="2" t="n">
        <x:v>2</x:v>
      </x:c>
      <x:c r="AB251" s="2" t="n">
        <x:v>0</x:v>
      </x:c>
      <x:c r="AC251" s="2" t="n">
        <x:v>2.3</x:v>
      </x:c>
      <x:c r="AD251" s="2"/>
      <x:c r="AE251" s="2" t="str">
        <x:v>2026-10-15</x:v>
      </x:c>
      <x:c r="AF251" s="2"/>
      <x:c r="AG251" s="2"/>
      <x:c r="AH251" s="2"/>
      <x:c r="AI251" s="2"/>
      <x:c r="AJ251" s="2"/>
      <x:c r="AK251" s="2"/>
      <x:c r="AL251" s="2"/>
      <x:c r="AM251" s="2" t="str">
        <x:v>https://tpwd.texas.gov/huntwild/hunt/public/public_hunt_drawing/hunt-category-details.phtml?OCat=NMD</x:v>
      </x:c>
      <x:c r="AN251" s="2" t="str">
        <x:v>https://tpwd.texas.gov/search/?q=Trinity+River+NWR+-+Butler+public+hunting+brochure</x:v>
      </x:c>
      <x:c r="AO251" s="2" t="str">
        <x:v>https://apps.tpwd.state.tx.us/huntwild/hunt/public/public_hunt_drawing/</x:v>
      </x:c>
      <x:c r="AP251" s="2" t="str">
        <x:v>https://www.google.com/maps/search/?api=1&amp;query=Trinity+River+NWR+-+Butler%2C+Texas</x:v>
      </x:c>
      <x:c r="AQ251" s="2" t="n">
        <x:v>0</x:v>
      </x:c>
      <x:c r="AR251" s="2" t="str">
        <x:v>Standard Hastings ranking</x:v>
      </x:c>
    </x:row>
    <x:row r="252">
      <x:c r="A252" s="2" t="str">
        <x:v>No</x:v>
      </x:c>
      <x:c r="B252" s="2" t="str">
        <x:v>A</x:v>
      </x:c>
      <x:c r="C252" s="2" t="str">
        <x:v>Whitetail Deer</x:v>
      </x:c>
      <x:c r="D252" s="2" t="str">
        <x:v>Trinity River NWR - Hirsch</x:v>
      </x:c>
      <x:c r="E252" s="2" t="str">
        <x:v>East Texas / Pineywoods</x:v>
      </x:c>
      <x:c r="F252" s="2" t="str">
        <x:v>National Refuge Muzzleloader Deer</x:v>
      </x:c>
      <x:c r="G252" s="2" t="str">
        <x:v>Yes</x:v>
      </x:c>
      <x:c r="H252" s="2" t="str">
        <x:v>Yes</x:v>
      </x:c>
      <x:c r="I252" s="97" t="str">
        <x:v>2026-10-15</x:v>
      </x:c>
      <x:c r="J252" s="2" t="str">
        <x:v>See TPWD category page</x:v>
      </x:c>
      <x:c r="K252" s="2" t="n">
        <x:v>3</x:v>
      </x:c>
      <x:c r="L252" s="2"/>
      <x:c r="M252" s="2"/>
      <x:c r="N252" s="2"/>
      <x:c r="O252" s="2"/>
      <x:c r="P252" s="2" t="n">
        <x:v>570</x:v>
      </x:c>
      <x:c r="Q252" s="2" t="str">
        <x:v>Statewide</x:v>
      </x:c>
      <x:c r="R252" s="2" t="str">
        <x:v>Research before draw; property brochure linked from TPWD</x:v>
      </x:c>
      <x:c r="S252" s="2" t="str">
        <x:v>Low</x:v>
      </x:c>
      <x:c r="T252" s="2" t="str">
        <x:v>No</x:v>
      </x:c>
      <x:c r="U252" s="2" t="str">
        <x:v>Verified in TPWD 2026-2027 statewide deer category catalog. Refuge-specific rules and permit fees may apply.</x:v>
      </x:c>
      <x:c r="V252" s="2" t="str">
        <x:v>https://tpwd.texas.gov/huntwild/hunt/public/public_hunt_drawing/hunt-category-details.phtml?OCat=NMD</x:v>
      </x:c>
      <x:c r="W252" s="2" t="n">
        <x:v>2</x:v>
      </x:c>
      <x:c r="X252" s="2" t="n">
        <x:v>2</x:v>
      </x:c>
      <x:c r="Y252" s="2" t="n">
        <x:v>4</x:v>
      </x:c>
      <x:c r="Z252" s="2" t="n">
        <x:v>3</x:v>
      </x:c>
      <x:c r="AA252" s="2" t="n">
        <x:v>2</x:v>
      </x:c>
      <x:c r="AB252" s="2" t="n">
        <x:v>0</x:v>
      </x:c>
      <x:c r="AC252" s="2" t="n">
        <x:v>2.3</x:v>
      </x:c>
      <x:c r="AD252" s="2"/>
      <x:c r="AE252" s="2" t="str">
        <x:v>2026-10-15</x:v>
      </x:c>
      <x:c r="AF252" s="2"/>
      <x:c r="AG252" s="2"/>
      <x:c r="AH252" s="2"/>
      <x:c r="AI252" s="2"/>
      <x:c r="AJ252" s="2"/>
      <x:c r="AK252" s="2"/>
      <x:c r="AL252" s="2"/>
      <x:c r="AM252" s="2" t="str">
        <x:v>https://tpwd.texas.gov/huntwild/hunt/public/public_hunt_drawing/hunt-category-details.phtml?OCat=NMD</x:v>
      </x:c>
      <x:c r="AN252" s="2" t="str">
        <x:v>https://tpwd.texas.gov/search/?q=Trinity+River+NWR+-+Hirsch+public+hunting+brochure</x:v>
      </x:c>
      <x:c r="AO252" s="2" t="str">
        <x:v>https://apps.tpwd.state.tx.us/huntwild/hunt/public/public_hunt_drawing/</x:v>
      </x:c>
      <x:c r="AP252" s="2" t="str">
        <x:v>https://www.google.com/maps/search/?api=1&amp;query=Trinity+River+NWR+-+Hirsch%2C+Texas</x:v>
      </x:c>
      <x:c r="AQ252" s="2" t="n">
        <x:v>0</x:v>
      </x:c>
      <x:c r="AR252" s="2" t="str">
        <x:v>Standard Hastings ranking</x:v>
      </x:c>
    </x:row>
    <x:row r="253">
      <x:c r="A253" s="2" t="str">
        <x:v>No</x:v>
      </x:c>
      <x:c r="B253" s="2" t="str">
        <x:v>A</x:v>
      </x:c>
      <x:c r="C253" s="2" t="str">
        <x:v>Whitetail Deer</x:v>
      </x:c>
      <x:c r="D253" s="2" t="str">
        <x:v>Trinity River NWR - Mcguire</x:v>
      </x:c>
      <x:c r="E253" s="2" t="str">
        <x:v>East Texas / Pineywoods</x:v>
      </x:c>
      <x:c r="F253" s="2" t="str">
        <x:v>National Refuge Muzzleloader Deer</x:v>
      </x:c>
      <x:c r="G253" s="2" t="str">
        <x:v>Yes</x:v>
      </x:c>
      <x:c r="H253" s="2" t="str">
        <x:v>Yes</x:v>
      </x:c>
      <x:c r="I253" s="97" t="str">
        <x:v>2026-10-15</x:v>
      </x:c>
      <x:c r="J253" s="2" t="str">
        <x:v>See TPWD category page</x:v>
      </x:c>
      <x:c r="K253" s="2" t="n">
        <x:v>3</x:v>
      </x:c>
      <x:c r="L253" s="2"/>
      <x:c r="M253" s="2"/>
      <x:c r="N253" s="2"/>
      <x:c r="O253" s="2"/>
      <x:c r="P253" s="2" t="n">
        <x:v>570</x:v>
      </x:c>
      <x:c r="Q253" s="2" t="str">
        <x:v>Statewide</x:v>
      </x:c>
      <x:c r="R253" s="2" t="str">
        <x:v>Research before draw; property brochure linked from TPWD</x:v>
      </x:c>
      <x:c r="S253" s="2" t="str">
        <x:v>Low</x:v>
      </x:c>
      <x:c r="T253" s="2" t="str">
        <x:v>No</x:v>
      </x:c>
      <x:c r="U253" s="2" t="str">
        <x:v>Verified in TPWD 2026-2027 statewide deer category catalog. Refuge-specific rules and permit fees may apply.</x:v>
      </x:c>
      <x:c r="V253" s="2" t="str">
        <x:v>https://tpwd.texas.gov/huntwild/hunt/public/public_hunt_drawing/hunt-category-details.phtml?OCat=NMD</x:v>
      </x:c>
      <x:c r="W253" s="2" t="n">
        <x:v>2</x:v>
      </x:c>
      <x:c r="X253" s="2" t="n">
        <x:v>2</x:v>
      </x:c>
      <x:c r="Y253" s="2" t="n">
        <x:v>4</x:v>
      </x:c>
      <x:c r="Z253" s="2" t="n">
        <x:v>3</x:v>
      </x:c>
      <x:c r="AA253" s="2" t="n">
        <x:v>2</x:v>
      </x:c>
      <x:c r="AB253" s="2" t="n">
        <x:v>0</x:v>
      </x:c>
      <x:c r="AC253" s="2" t="n">
        <x:v>2.3</x:v>
      </x:c>
      <x:c r="AD253" s="2"/>
      <x:c r="AE253" s="2" t="str">
        <x:v>2026-10-15</x:v>
      </x:c>
      <x:c r="AF253" s="2"/>
      <x:c r="AG253" s="2"/>
      <x:c r="AH253" s="2"/>
      <x:c r="AI253" s="2"/>
      <x:c r="AJ253" s="2"/>
      <x:c r="AK253" s="2"/>
      <x:c r="AL253" s="2"/>
      <x:c r="AM253" s="2" t="str">
        <x:v>https://tpwd.texas.gov/huntwild/hunt/public/public_hunt_drawing/hunt-category-details.phtml?OCat=NMD</x:v>
      </x:c>
      <x:c r="AN253" s="2" t="str">
        <x:v>https://tpwd.texas.gov/search/?q=Trinity+River+NWR+-+Mcguire+public+hunting+brochure</x:v>
      </x:c>
      <x:c r="AO253" s="2" t="str">
        <x:v>https://apps.tpwd.state.tx.us/huntwild/hunt/public/public_hunt_drawing/</x:v>
      </x:c>
      <x:c r="AP253" s="2" t="str">
        <x:v>https://www.google.com/maps/search/?api=1&amp;query=Trinity+River+NWR+-+Mcguire%2C+Texas</x:v>
      </x:c>
      <x:c r="AQ253" s="2" t="n">
        <x:v>0</x:v>
      </x:c>
      <x:c r="AR253" s="2" t="str">
        <x:v>Standard Hastings ranking</x:v>
      </x:c>
    </x:row>
    <x:row r="254">
      <x:c r="A254" s="2" t="str">
        <x:v>No</x:v>
      </x:c>
      <x:c r="B254" s="2" t="str">
        <x:v>A</x:v>
      </x:c>
      <x:c r="C254" s="2" t="str">
        <x:v>Whitetail Deer</x:v>
      </x:c>
      <x:c r="D254" s="2" t="str">
        <x:v>Trinity River NWR - Page</x:v>
      </x:c>
      <x:c r="E254" s="2" t="str">
        <x:v>East Texas / Pineywoods</x:v>
      </x:c>
      <x:c r="F254" s="2" t="str">
        <x:v>National Refuge Muzzleloader Deer</x:v>
      </x:c>
      <x:c r="G254" s="2" t="str">
        <x:v>Yes</x:v>
      </x:c>
      <x:c r="H254" s="2" t="str">
        <x:v>Yes</x:v>
      </x:c>
      <x:c r="I254" s="97" t="str">
        <x:v>2026-10-15</x:v>
      </x:c>
      <x:c r="J254" s="2" t="str">
        <x:v>See TPWD category page</x:v>
      </x:c>
      <x:c r="K254" s="2" t="n">
        <x:v>3</x:v>
      </x:c>
      <x:c r="L254" s="2"/>
      <x:c r="M254" s="2"/>
      <x:c r="N254" s="2"/>
      <x:c r="O254" s="2"/>
      <x:c r="P254" s="2" t="n">
        <x:v>570</x:v>
      </x:c>
      <x:c r="Q254" s="2" t="str">
        <x:v>Statewide</x:v>
      </x:c>
      <x:c r="R254" s="2" t="str">
        <x:v>Research before draw; property brochure linked from TPWD</x:v>
      </x:c>
      <x:c r="S254" s="2" t="str">
        <x:v>Low</x:v>
      </x:c>
      <x:c r="T254" s="2" t="str">
        <x:v>No</x:v>
      </x:c>
      <x:c r="U254" s="2" t="str">
        <x:v>Verified in TPWD 2026-2027 statewide deer category catalog. Refuge-specific rules and permit fees may apply.</x:v>
      </x:c>
      <x:c r="V254" s="2" t="str">
        <x:v>https://tpwd.texas.gov/huntwild/hunt/public/public_hunt_drawing/hunt-category-details.phtml?OCat=NMD</x:v>
      </x:c>
      <x:c r="W254" s="2" t="n">
        <x:v>2</x:v>
      </x:c>
      <x:c r="X254" s="2" t="n">
        <x:v>2</x:v>
      </x:c>
      <x:c r="Y254" s="2" t="n">
        <x:v>4</x:v>
      </x:c>
      <x:c r="Z254" s="2" t="n">
        <x:v>3</x:v>
      </x:c>
      <x:c r="AA254" s="2" t="n">
        <x:v>2</x:v>
      </x:c>
      <x:c r="AB254" s="2" t="n">
        <x:v>0</x:v>
      </x:c>
      <x:c r="AC254" s="2" t="n">
        <x:v>2.3</x:v>
      </x:c>
      <x:c r="AD254" s="2"/>
      <x:c r="AE254" s="2" t="str">
        <x:v>2026-10-15</x:v>
      </x:c>
      <x:c r="AF254" s="2"/>
      <x:c r="AG254" s="2"/>
      <x:c r="AH254" s="2"/>
      <x:c r="AI254" s="2"/>
      <x:c r="AJ254" s="2"/>
      <x:c r="AK254" s="2"/>
      <x:c r="AL254" s="2"/>
      <x:c r="AM254" s="2" t="str">
        <x:v>https://tpwd.texas.gov/huntwild/hunt/public/public_hunt_drawing/hunt-category-details.phtml?OCat=NMD</x:v>
      </x:c>
      <x:c r="AN254" s="2" t="str">
        <x:v>https://tpwd.texas.gov/search/?q=Trinity+River+NWR+-+Page+public+hunting+brochure</x:v>
      </x:c>
      <x:c r="AO254" s="2" t="str">
        <x:v>https://apps.tpwd.state.tx.us/huntwild/hunt/public/public_hunt_drawing/</x:v>
      </x:c>
      <x:c r="AP254" s="2" t="str">
        <x:v>https://www.google.com/maps/search/?api=1&amp;query=Trinity+River+NWR+-+Page%2C+Texas</x:v>
      </x:c>
      <x:c r="AQ254" s="2" t="n">
        <x:v>0</x:v>
      </x:c>
      <x:c r="AR254" s="2" t="str">
        <x:v>Standard Hastings ranking</x:v>
      </x:c>
    </x:row>
  </x:sheetData>
  <x:pageMargins left="0.7" right="0.7" top="0.75" bottom="0.75" header="0.3" footer="0.3"/>
  <x:tableParts count="1">
    <x:tablePart xmlns:r="http://schemas.openxmlformats.org/officeDocument/2006/relationships" r:id="Rd08aae1cac2e4938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" hidden="0" customWidth="1"/>
    <x:col min="3" max="3" width="16" hidden="0" customWidth="1"/>
    <x:col min="4" max="4" width="32" hidden="0" customWidth="1"/>
    <x:col min="5" max="5" width="24" hidden="0" customWidth="1"/>
    <x:col min="6" max="6" width="34" hidden="0" customWidth="1"/>
    <x:col min="7" max="7" width="9" hidden="0" customWidth="1"/>
    <x:col min="8" max="8" width="9" hidden="0" customWidth="1"/>
    <x:col min="9" max="9" width="14" hidden="0" customWidth="1"/>
    <x:col min="10" max="10" width="20" hidden="0" customWidth="1"/>
    <x:col min="11" max="11" width="12" hidden="0" customWidth="1"/>
    <x:col min="12" max="12" width="14" hidden="0" customWidth="1"/>
    <x:col min="13" max="13" width="13" hidden="0" customWidth="1"/>
    <x:col min="14" max="14" width="15" hidden="0" customWidth="1"/>
    <x:col min="15" max="15" width="11" hidden="0" customWidth="1"/>
    <x:col min="16" max="16" width="14" hidden="0" customWidth="1"/>
    <x:col min="17" max="17" width="12" hidden="0" customWidth="1"/>
    <x:col min="18" max="18" width="28" hidden="0" customWidth="1"/>
    <x:col min="19" max="19" width="12" hidden="0" customWidth="1"/>
    <x:col min="20" max="20" width="13" hidden="0" customWidth="1"/>
    <x:col min="21" max="21" width="42" hidden="0" customWidth="1"/>
    <x:col min="22" max="22" width="42" hidden="0" customWidth="1"/>
    <x:col min="23" max="23" width="11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4" hidden="0" customWidth="1"/>
    <x:col min="30" max="30" width="16" hidden="0" customWidth="1"/>
    <x:col min="31" max="31" width="14" hidden="0" customWidth="1"/>
    <x:col min="39" max="39" width="27" hidden="0" customWidth="1"/>
    <x:col min="40" max="40" width="27" hidden="0" customWidth="1"/>
    <x:col min="41" max="41" width="27" hidden="0" customWidth="1"/>
    <x:col min="42" max="42" width="27" hidden="0" customWidth="1"/>
    <x:col min="43" max="43" width="14" hidden="0" customWidth="1"/>
    <x:col min="44" max="44" width="42" hidden="0" customWidth="1"/>
  </x:cols>
  <x:sheetData>
    <x:row r="1" ht="28" customHeight="1">
      <x:c r="A1" s="150" t="str">
        <x:v>Applied</x:v>
      </x:c>
      <x:c r="B1" s="150" t="str">
        <x:v>Priority</x:v>
      </x:c>
      <x:c r="C1" s="150" t="str">
        <x:v>Species Group</x:v>
      </x:c>
      <x:c r="D1" s="150" t="str">
        <x:v>Hunt Area</x:v>
      </x:c>
      <x:c r="E1" s="150" t="str">
        <x:v>Region</x:v>
      </x:c>
      <x:c r="F1" s="150" t="str">
        <x:v>Hunt Category</x:v>
      </x:c>
      <x:c r="G1" s="150" t="str">
        <x:v>Adult</x:v>
      </x:c>
      <x:c r="H1" s="150" t="str">
        <x:v>Youth</x:v>
      </x:c>
      <x:c r="I1" s="150" t="str">
        <x:v>Application Deadline</x:v>
      </x:c>
      <x:c r="J1" s="150" t="str">
        <x:v>Hunt Window</x:v>
      </x:c>
      <x:c r="K1" s="150" t="str">
        <x:v>Application Fee</x:v>
      </x:c>
      <x:c r="L1" s="150" t="str">
        <x:v>Estimated Permit Fee</x:v>
      </x:c>
      <x:c r="M1" s="150" t="str">
        <x:v>Permits/Groups</x:v>
      </x:c>
      <x:c r="N1" s="150" t="str">
        <x:v>Applicants Last Year</x:v>
      </x:c>
      <x:c r="O1" s="150" t="str">
        <x:v>Draw Odds</x:v>
      </x:c>
      <x:c r="P1" s="150" t="str">
        <x:v>Approx Miles from Amarillo</x:v>
      </x:c>
      <x:c r="Q1" s="150" t="str">
        <x:v>Drive Zone</x:v>
      </x:c>
      <x:c r="R1" s="150" t="str">
        <x:v>Camping Notes</x:v>
      </x:c>
      <x:c r="S1" s="150" t="str">
        <x:v>Backpack Rating</x:v>
      </x:c>
      <x:c r="T1" s="150" t="str">
        <x:v>Past Drawn by Hastings</x:v>
      </x:c>
      <x:c r="U1" s="150" t="str">
        <x:v>Notes</x:v>
      </x:c>
      <x:c r="V1" s="150" t="str">
        <x:v>Source URL</x:v>
      </x:c>
      <x:c r="W1" s="150" t="str">
        <x:v>Odds Score</x:v>
      </x:c>
      <x:c r="X1" s="150" t="str">
        <x:v>Distance Score</x:v>
      </x:c>
      <x:c r="Y1" s="150" t="str">
        <x:v>Youth Fit Score</x:v>
      </x:c>
      <x:c r="Z1" s="150" t="str">
        <x:v>Camping Score</x:v>
      </x:c>
      <x:c r="AA1" s="150" t="str">
        <x:v>Backpack Score</x:v>
      </x:c>
      <x:c r="AB1" s="150" t="str">
        <x:v>Past Draw Bonus</x:v>
      </x:c>
      <x:c r="AC1" s="150" t="str">
        <x:v>Hastings Score</x:v>
      </x:c>
      <x:c r="AD1" s="150" t="str">
        <x:v>Estimated Total If Drawn</x:v>
      </x:c>
      <x:c r="AE1" s="150" t="str">
        <x:v>Deadline Month</x:v>
      </x:c>
      <x:c r="AF1" s="150" t="str">
        <x:v>Applicant(s)</x:v>
      </x:c>
      <x:c r="AG1" s="150" t="str">
        <x:v>Date Applied</x:v>
      </x:c>
      <x:c r="AH1" s="150" t="str">
        <x:v>TPWD Confirmation #</x:v>
      </x:c>
      <x:c r="AI1" s="150" t="str">
        <x:v>Draw Status</x:v>
      </x:c>
      <x:c r="AJ1" s="150" t="str">
        <x:v>Draw Result Date</x:v>
      </x:c>
      <x:c r="AK1" s="150" t="str">
        <x:v>Harvest/Outcome</x:v>
      </x:c>
      <x:c r="AL1" s="150" t="str">
        <x:v>Post-Hunt Notes</x:v>
      </x:c>
      <x:c r="AM1" s="150" t="str">
        <x:v>Official Category Link</x:v>
      </x:c>
      <x:c r="AN1" s="150" t="str">
        <x:v>TPWD Area / Brochure Search</x:v>
      </x:c>
      <x:c r="AO1" s="150" t="str">
        <x:v>TPWD Apply Portal</x:v>
      </x:c>
      <x:c r="AP1" s="150" t="str">
        <x:v>Google Maps</x:v>
      </x:c>
      <x:c r="AQ1" s="150" t="str">
        <x:v>Preference Adjustment</x:v>
      </x:c>
      <x:c r="AR1" s="150" t="str">
        <x:v>Priority Reason</x:v>
      </x:c>
    </x:row>
    <x:row r="2">
      <x:c r="A2" s="4" t="str">
        <x:v>No</x:v>
      </x:c>
      <x:c r="B2" s="4" t="str">
        <x:v>A</x:v>
      </x:c>
      <x:c r="C2" s="4" t="str">
        <x:v>Mule Deer</x:v>
      </x:c>
      <x:c r="D2" s="4" t="str">
        <x:v>Big Bend Ranch SP</x:v>
      </x:c>
      <x:c r="E2" s="4" t="str">
        <x:v>Trans-Pecos / West Texas</x:v>
      </x:c>
      <x:c r="F2" s="4" t="str">
        <x:v>Archery Mule Deer</x:v>
      </x:c>
      <x:c r="G2" s="4" t="str">
        <x:v>Yes</x:v>
      </x:c>
      <x:c r="H2" s="4" t="str">
        <x:v>Yes</x:v>
      </x:c>
      <x:c r="I2" s="24" t="str">
        <x:v>2026-08-15</x:v>
      </x:c>
      <x:c r="J2" s="4" t="str">
        <x:v>See TPWD category page</x:v>
      </x:c>
      <x:c r="K2" s="4" t="n">
        <x:v>3</x:v>
      </x:c>
      <x:c r="L2" s="4"/>
      <x:c r="M2" s="4"/>
      <x:c r="N2" s="4"/>
      <x:c r="O2" s="4"/>
      <x:c r="P2" s="4" t="n">
        <x:v>520</x:v>
      </x:c>
      <x:c r="Q2" s="4" t="str">
        <x:v>Statewide</x:v>
      </x:c>
      <x:c r="R2" s="4" t="str">
        <x:v>Research before draw; property brochure linked from TPWD</x:v>
      </x:c>
      <x:c r="S2" s="4" t="str">
        <x:v>High</x:v>
      </x:c>
      <x:c r="T2" s="4" t="str">
        <x:v>No</x:v>
      </x:c>
      <x:c r="U2" s="4" t="str">
        <x:v>Verified in TPWD 2026-2027 statewide deer category catalog. West Texas/El Paso-region opportunity; prioritize for mule deer adventure value. V5 preference rule: High priority: public-land archery mule deer fits spot-and-stalk preference.</x:v>
      </x:c>
      <x:c r="V2" s="4" t="str">
        <x:v>https://tpwd.texas.gov/huntwild/hunt/public/public_hunt_drawing/hunt-category-details.phtml?OCat=AMD</x:v>
      </x:c>
      <x:c r="W2" s="4" t="n">
        <x:v>2</x:v>
      </x:c>
      <x:c r="X2" s="4" t="n">
        <x:v>2</x:v>
      </x:c>
      <x:c r="Y2" s="4" t="n">
        <x:v>4</x:v>
      </x:c>
      <x:c r="Z2" s="4" t="n">
        <x:v>3</x:v>
      </x:c>
      <x:c r="AA2" s="4" t="n">
        <x:v>4</x:v>
      </x:c>
      <x:c r="AB2" s="4" t="n">
        <x:v>0</x:v>
      </x:c>
      <x:c r="AC2" s="4" t="n">
        <x:v>4.5</x:v>
      </x:c>
      <x:c r="AD2" s="4"/>
      <x:c r="AE2" s="4" t="str">
        <x:v>2026-08-15</x:v>
      </x:c>
      <x:c r="AF2" s="2"/>
      <x:c r="AG2" s="2"/>
      <x:c r="AH2" s="2"/>
      <x:c r="AI2" s="2"/>
      <x:c r="AJ2" s="2"/>
      <x:c r="AK2" s="2"/>
      <x:c r="AL2" s="2"/>
      <x:c r="AM2" s="2" t="str">
        <x:v>https://tpwd.texas.gov/huntwild/hunt/public/public_hunt_drawing/hunt-category-details.phtml?OCat=AMD</x:v>
      </x:c>
      <x:c r="AN2" s="2" t="str">
        <x:v>https://tpwd.texas.gov/search/?q=Big+Bend+Ranch+SP+public+hunting+brochure</x:v>
      </x:c>
      <x:c r="AO2" s="2" t="str">
        <x:v>https://apps.tpwd.state.tx.us/huntwild/hunt/public/public_hunt_drawing/</x:v>
      </x:c>
      <x:c r="AP2" s="2" t="str">
        <x:v>https://www.google.com/maps/search/?api=1&amp;query=Big+Bend+Ranch+SP%2C+Texas</x:v>
      </x:c>
      <x:c r="AQ2" s="2" t="n">
        <x:v>1</x:v>
      </x:c>
      <x:c r="AR2" s="2" t="str">
        <x:v>High priority: public-land archery mule deer fits spot-and-stalk preference</x:v>
      </x:c>
    </x:row>
    <x:row r="3">
      <x:c r="A3" s="4" t="str">
        <x:v>No</x:v>
      </x:c>
      <x:c r="B3" s="4" t="str">
        <x:v>A</x:v>
      </x:c>
      <x:c r="C3" s="4" t="str">
        <x:v>Mule Deer</x:v>
      </x:c>
      <x:c r="D3" s="4" t="str">
        <x:v>Black Gap WMA</x:v>
      </x:c>
      <x:c r="E3" s="4" t="str">
        <x:v>Trans-Pecos / West Texas</x:v>
      </x:c>
      <x:c r="F3" s="4" t="str">
        <x:v>Archery Mule Deer</x:v>
      </x:c>
      <x:c r="G3" s="4" t="str">
        <x:v>Yes</x:v>
      </x:c>
      <x:c r="H3" s="4" t="str">
        <x:v>Yes</x:v>
      </x:c>
      <x:c r="I3" s="24" t="str">
        <x:v>2026-08-15</x:v>
      </x:c>
      <x:c r="J3" s="4" t="str">
        <x:v>See TPWD category page</x:v>
      </x:c>
      <x:c r="K3" s="4" t="n">
        <x:v>3</x:v>
      </x:c>
      <x:c r="L3" s="4"/>
      <x:c r="M3" s="4"/>
      <x:c r="N3" s="4"/>
      <x:c r="O3" s="4"/>
      <x:c r="P3" s="4" t="n">
        <x:v>520</x:v>
      </x:c>
      <x:c r="Q3" s="4" t="str">
        <x:v>Statewide</x:v>
      </x:c>
      <x:c r="R3" s="4" t="str">
        <x:v>Research before draw; property brochure linked from TPWD</x:v>
      </x:c>
      <x:c r="S3" s="4" t="str">
        <x:v>High</x:v>
      </x:c>
      <x:c r="T3" s="4" t="str">
        <x:v>No</x:v>
      </x:c>
      <x:c r="U3" s="4" t="str">
        <x:v>Verified in TPWD 2026-2027 statewide deer category catalog. West Texas/El Paso-region opportunity; prioritize for mule deer adventure value. V5 preference rule: High priority: public-land archery mule deer fits spot-and-stalk preference.</x:v>
      </x:c>
      <x:c r="V3" s="4" t="str">
        <x:v>https://tpwd.texas.gov/huntwild/hunt/public/public_hunt_drawing/hunt-category-details.phtml?OCat=AMD</x:v>
      </x:c>
      <x:c r="W3" s="4" t="n">
        <x:v>2</x:v>
      </x:c>
      <x:c r="X3" s="4" t="n">
        <x:v>2</x:v>
      </x:c>
      <x:c r="Y3" s="4" t="n">
        <x:v>4</x:v>
      </x:c>
      <x:c r="Z3" s="4" t="n">
        <x:v>3</x:v>
      </x:c>
      <x:c r="AA3" s="4" t="n">
        <x:v>4</x:v>
      </x:c>
      <x:c r="AB3" s="4" t="n">
        <x:v>0</x:v>
      </x:c>
      <x:c r="AC3" s="4" t="n">
        <x:v>4.5</x:v>
      </x:c>
      <x:c r="AD3" s="4"/>
      <x:c r="AE3" s="4" t="str">
        <x:v>2026-08-15</x:v>
      </x:c>
      <x:c r="AF3" s="2"/>
      <x:c r="AG3" s="2"/>
      <x:c r="AH3" s="2"/>
      <x:c r="AI3" s="2"/>
      <x:c r="AJ3" s="2"/>
      <x:c r="AK3" s="2"/>
      <x:c r="AL3" s="2"/>
      <x:c r="AM3" s="2" t="str">
        <x:v>https://tpwd.texas.gov/huntwild/hunt/public/public_hunt_drawing/hunt-category-details.phtml?OCat=AMD</x:v>
      </x:c>
      <x:c r="AN3" s="2" t="str">
        <x:v>https://tpwd.texas.gov/search/?q=Black+Gap+WMA+public+hunting+brochure</x:v>
      </x:c>
      <x:c r="AO3" s="2" t="str">
        <x:v>https://apps.tpwd.state.tx.us/huntwild/hunt/public/public_hunt_drawing/</x:v>
      </x:c>
      <x:c r="AP3" s="2" t="str">
        <x:v>https://www.google.com/maps/search/?api=1&amp;query=Black+Gap+WMA%2C+Texas</x:v>
      </x:c>
      <x:c r="AQ3" s="2" t="n">
        <x:v>1</x:v>
      </x:c>
      <x:c r="AR3" s="2" t="str">
        <x:v>High priority: public-land archery mule deer fits spot-and-stalk preference</x:v>
      </x:c>
    </x:row>
    <x:row r="4">
      <x:c r="A4" s="4" t="str">
        <x:v>No</x:v>
      </x:c>
      <x:c r="B4" s="4" t="str">
        <x:v>A</x:v>
      </x:c>
      <x:c r="C4" s="4" t="str">
        <x:v>Mule Deer</x:v>
      </x:c>
      <x:c r="D4" s="4" t="str">
        <x:v>Elephant Mountain WMA</x:v>
      </x:c>
      <x:c r="E4" s="4" t="str">
        <x:v>Trans-Pecos / West Texas</x:v>
      </x:c>
      <x:c r="F4" s="4" t="str">
        <x:v>Archery Mule Deer</x:v>
      </x:c>
      <x:c r="G4" s="4" t="str">
        <x:v>Yes</x:v>
      </x:c>
      <x:c r="H4" s="4" t="str">
        <x:v>Yes</x:v>
      </x:c>
      <x:c r="I4" s="24" t="str">
        <x:v>2026-08-15</x:v>
      </x:c>
      <x:c r="J4" s="4" t="str">
        <x:v>See TPWD category page</x:v>
      </x:c>
      <x:c r="K4" s="4" t="n">
        <x:v>3</x:v>
      </x:c>
      <x:c r="L4" s="4"/>
      <x:c r="M4" s="4"/>
      <x:c r="N4" s="4"/>
      <x:c r="O4" s="4"/>
      <x:c r="P4" s="4" t="n">
        <x:v>520</x:v>
      </x:c>
      <x:c r="Q4" s="4" t="str">
        <x:v>Statewide</x:v>
      </x:c>
      <x:c r="R4" s="4" t="str">
        <x:v>Research before draw; property brochure linked from TPWD</x:v>
      </x:c>
      <x:c r="S4" s="4" t="str">
        <x:v>High</x:v>
      </x:c>
      <x:c r="T4" s="4" t="str">
        <x:v>No</x:v>
      </x:c>
      <x:c r="U4" s="4" t="str">
        <x:v>Verified in TPWD 2026-2027 statewide deer category catalog. West Texas/El Paso-region opportunity; prioritize for mule deer adventure value. V5 preference rule: High priority: public-land archery mule deer fits spot-and-stalk preference.</x:v>
      </x:c>
      <x:c r="V4" s="4" t="str">
        <x:v>https://tpwd.texas.gov/huntwild/hunt/public/public_hunt_drawing/hunt-category-details.phtml?OCat=AMD</x:v>
      </x:c>
      <x:c r="W4" s="4" t="n">
        <x:v>2</x:v>
      </x:c>
      <x:c r="X4" s="4" t="n">
        <x:v>2</x:v>
      </x:c>
      <x:c r="Y4" s="4" t="n">
        <x:v>4</x:v>
      </x:c>
      <x:c r="Z4" s="4" t="n">
        <x:v>3</x:v>
      </x:c>
      <x:c r="AA4" s="4" t="n">
        <x:v>4</x:v>
      </x:c>
      <x:c r="AB4" s="4" t="n">
        <x:v>0</x:v>
      </x:c>
      <x:c r="AC4" s="4" t="n">
        <x:v>4.5</x:v>
      </x:c>
      <x:c r="AD4" s="4"/>
      <x:c r="AE4" s="4" t="str">
        <x:v>2026-08-15</x:v>
      </x:c>
      <x:c r="AF4" s="2"/>
      <x:c r="AG4" s="2"/>
      <x:c r="AH4" s="2"/>
      <x:c r="AI4" s="2"/>
      <x:c r="AJ4" s="2"/>
      <x:c r="AK4" s="2"/>
      <x:c r="AL4" s="2"/>
      <x:c r="AM4" s="2" t="str">
        <x:v>https://tpwd.texas.gov/huntwild/hunt/public/public_hunt_drawing/hunt-category-details.phtml?OCat=AMD</x:v>
      </x:c>
      <x:c r="AN4" s="2" t="str">
        <x:v>https://tpwd.texas.gov/search/?q=Elephant+Mountain+WMA+public+hunting+brochure</x:v>
      </x:c>
      <x:c r="AO4" s="2" t="str">
        <x:v>https://apps.tpwd.state.tx.us/huntwild/hunt/public/public_hunt_drawing/</x:v>
      </x:c>
      <x:c r="AP4" s="2" t="str">
        <x:v>https://www.google.com/maps/search/?api=1&amp;query=Elephant+Mountain+WMA%2C+Texas</x:v>
      </x:c>
      <x:c r="AQ4" s="2" t="n">
        <x:v>1</x:v>
      </x:c>
      <x:c r="AR4" s="2" t="str">
        <x:v>High priority: public-land archery mule deer fits spot-and-stalk preference</x:v>
      </x:c>
    </x:row>
    <x:row r="5">
      <x:c r="A5" s="4" t="str">
        <x:v>No</x:v>
      </x:c>
      <x:c r="B5" s="4" t="str">
        <x:v>A</x:v>
      </x:c>
      <x:c r="C5" s="4" t="str">
        <x:v>Mule Deer</x:v>
      </x:c>
      <x:c r="D5" s="4" t="str">
        <x:v>Matador WMA</x:v>
      </x:c>
      <x:c r="E5" s="4" t="str">
        <x:v>Panhandle / Rolling Plains</x:v>
      </x:c>
      <x:c r="F5" s="4" t="str">
        <x:v>Archery Mule Deer</x:v>
      </x:c>
      <x:c r="G5" s="4" t="str">
        <x:v>Yes</x:v>
      </x:c>
      <x:c r="H5" s="4" t="str">
        <x:v>Yes</x:v>
      </x:c>
      <x:c r="I5" s="24" t="str">
        <x:v>2026-08-15</x:v>
      </x:c>
      <x:c r="J5" s="4" t="str">
        <x:v>See TPWD category page</x:v>
      </x:c>
      <x:c r="K5" s="4" t="n">
        <x:v>3</x:v>
      </x:c>
      <x:c r="L5" s="4"/>
      <x:c r="M5" s="4"/>
      <x:c r="N5" s="4"/>
      <x:c r="O5" s="4"/>
      <x:c r="P5" s="4" t="n">
        <x:v>130</x:v>
      </x:c>
      <x:c r="Q5" s="4" t="str">
        <x:v>Core</x:v>
      </x:c>
      <x:c r="R5" s="4" t="str">
        <x:v>Research before draw; property brochure linked from TPWD</x:v>
      </x:c>
      <x:c r="S5" s="4" t="str">
        <x:v>High</x:v>
      </x:c>
      <x:c r="T5" s="4" t="str">
        <x:v>No</x:v>
      </x:c>
      <x:c r="U5" s="4" t="str">
        <x:v>Verified in TPWD 2026-2027 statewide deer category catalog. V5 preference rule: High priority: public-land archery mule deer fits spot-and-stalk preference.</x:v>
      </x:c>
      <x:c r="V5" s="4" t="str">
        <x:v>https://tpwd.texas.gov/huntwild/hunt/public/public_hunt_drawing/hunt-category-details.phtml?OCat=AMD</x:v>
      </x:c>
      <x:c r="W5" s="4" t="n">
        <x:v>2</x:v>
      </x:c>
      <x:c r="X5" s="4" t="n">
        <x:v>5</x:v>
      </x:c>
      <x:c r="Y5" s="4" t="n">
        <x:v>4</x:v>
      </x:c>
      <x:c r="Z5" s="4" t="n">
        <x:v>3</x:v>
      </x:c>
      <x:c r="AA5" s="4" t="n">
        <x:v>4</x:v>
      </x:c>
      <x:c r="AB5" s="4" t="n">
        <x:v>0</x:v>
      </x:c>
      <x:c r="AC5" s="4" t="n">
        <x:v>4.5</x:v>
      </x:c>
      <x:c r="AD5" s="4"/>
      <x:c r="AE5" s="4" t="str">
        <x:v>2026-08-15</x:v>
      </x:c>
      <x:c r="AF5" s="2"/>
      <x:c r="AG5" s="2"/>
      <x:c r="AH5" s="2"/>
      <x:c r="AI5" s="2"/>
      <x:c r="AJ5" s="2"/>
      <x:c r="AK5" s="2"/>
      <x:c r="AL5" s="2"/>
      <x:c r="AM5" s="2" t="str">
        <x:v>https://tpwd.texas.gov/huntwild/hunt/public/public_hunt_drawing/hunt-category-details.phtml?OCat=AMD</x:v>
      </x:c>
      <x:c r="AN5" s="2" t="str">
        <x:v>https://tpwd.texas.gov/search/?q=Matador+WMA+public+hunting+brochure</x:v>
      </x:c>
      <x:c r="AO5" s="2" t="str">
        <x:v>https://apps.tpwd.state.tx.us/huntwild/hunt/public/public_hunt_drawing/</x:v>
      </x:c>
      <x:c r="AP5" s="2" t="str">
        <x:v>https://www.google.com/maps/search/?api=1&amp;query=Matador+WMA%2C+Texas</x:v>
      </x:c>
      <x:c r="AQ5" s="2" t="n">
        <x:v>1</x:v>
      </x:c>
      <x:c r="AR5" s="2" t="str">
        <x:v>High priority: public-land archery mule deer fits spot-and-stalk preference</x:v>
      </x:c>
    </x:row>
    <x:row r="6">
      <x:c r="A6" s="4" t="str">
        <x:v>No</x:v>
      </x:c>
      <x:c r="B6" s="4" t="str">
        <x:v>A</x:v>
      </x:c>
      <x:c r="C6" s="4" t="str">
        <x:v>Mule Deer</x:v>
      </x:c>
      <x:c r="D6" s="4" t="str">
        <x:v>Potter County - Cross Bar Mgt. Area</x:v>
      </x:c>
      <x:c r="E6" s="4" t="str">
        <x:v>Panhandle / Rolling Plains</x:v>
      </x:c>
      <x:c r="F6" s="4" t="str">
        <x:v>Archery Mule Deer</x:v>
      </x:c>
      <x:c r="G6" s="4" t="str">
        <x:v>Yes</x:v>
      </x:c>
      <x:c r="H6" s="4" t="str">
        <x:v>Yes</x:v>
      </x:c>
      <x:c r="I6" s="24" t="str">
        <x:v>2026-08-15</x:v>
      </x:c>
      <x:c r="J6" s="4" t="str">
        <x:v>See TPWD category page</x:v>
      </x:c>
      <x:c r="K6" s="4" t="n">
        <x:v>3</x:v>
      </x:c>
      <x:c r="L6" s="4"/>
      <x:c r="M6" s="4"/>
      <x:c r="N6" s="4"/>
      <x:c r="O6" s="4"/>
      <x:c r="P6" s="4" t="n">
        <x:v>130</x:v>
      </x:c>
      <x:c r="Q6" s="4" t="str">
        <x:v>Core</x:v>
      </x:c>
      <x:c r="R6" s="4" t="str">
        <x:v>Research before draw; property brochure linked from TPWD</x:v>
      </x:c>
      <x:c r="S6" s="4" t="str">
        <x:v>High</x:v>
      </x:c>
      <x:c r="T6" s="4" t="str">
        <x:v>No</x:v>
      </x:c>
      <x:c r="U6" s="4" t="str">
        <x:v>Verified in TPWD 2026-2027 statewide deer category catalog. V5 preference rule: High priority: public-land archery mule deer fits spot-and-stalk preference.</x:v>
      </x:c>
      <x:c r="V6" s="4" t="str">
        <x:v>https://tpwd.texas.gov/huntwild/hunt/public/public_hunt_drawing/hunt-category-details.phtml?OCat=AMD</x:v>
      </x:c>
      <x:c r="W6" s="4" t="n">
        <x:v>2</x:v>
      </x:c>
      <x:c r="X6" s="4" t="n">
        <x:v>5</x:v>
      </x:c>
      <x:c r="Y6" s="4" t="n">
        <x:v>4</x:v>
      </x:c>
      <x:c r="Z6" s="4" t="n">
        <x:v>3</x:v>
      </x:c>
      <x:c r="AA6" s="4" t="n">
        <x:v>4</x:v>
      </x:c>
      <x:c r="AB6" s="4" t="n">
        <x:v>0</x:v>
      </x:c>
      <x:c r="AC6" s="4" t="n">
        <x:v>4.5</x:v>
      </x:c>
      <x:c r="AD6" s="4"/>
      <x:c r="AE6" s="4" t="str">
        <x:v>2026-08-15</x:v>
      </x:c>
      <x:c r="AF6" s="2"/>
      <x:c r="AG6" s="2"/>
      <x:c r="AH6" s="2"/>
      <x:c r="AI6" s="2"/>
      <x:c r="AJ6" s="2"/>
      <x:c r="AK6" s="2"/>
      <x:c r="AL6" s="2"/>
      <x:c r="AM6" s="2" t="str">
        <x:v>https://tpwd.texas.gov/huntwild/hunt/public/public_hunt_drawing/hunt-category-details.phtml?OCat=AMD</x:v>
      </x:c>
      <x:c r="AN6" s="2" t="str">
        <x:v>https://tpwd.texas.gov/search/?q=Potter+County+-+Cross+Bar+Mgt.+Area+public+hunting+brochure</x:v>
      </x:c>
      <x:c r="AO6" s="2" t="str">
        <x:v>https://apps.tpwd.state.tx.us/huntwild/hunt/public/public_hunt_drawing/</x:v>
      </x:c>
      <x:c r="AP6" s="2" t="str">
        <x:v>https://www.google.com/maps/search/?api=1&amp;query=Potter+County+-+Cross+Bar+Mgt.+Area%2C+Texas</x:v>
      </x:c>
      <x:c r="AQ6" s="2" t="n">
        <x:v>1</x:v>
      </x:c>
      <x:c r="AR6" s="2" t="str">
        <x:v>High priority: public-land archery mule deer fits spot-and-stalk preference</x:v>
      </x:c>
    </x:row>
    <x:row r="7">
      <x:c r="A7" s="4" t="str">
        <x:v>No</x:v>
      </x:c>
      <x:c r="B7" s="4" t="str">
        <x:v>A</x:v>
      </x:c>
      <x:c r="C7" s="4" t="str">
        <x:v>Mule Deer</x:v>
      </x:c>
      <x:c r="D7" s="4" t="str">
        <x:v>Big Bend Ranch SP</x:v>
      </x:c>
      <x:c r="E7" s="4" t="str">
        <x:v>Trans-Pecos / West Texas</x:v>
      </x:c>
      <x:c r="F7" s="4" t="str">
        <x:v>Youth Gun Deer - Either Sex</x:v>
      </x:c>
      <x:c r="G7" s="4" t="str">
        <x:v>No</x:v>
      </x:c>
      <x:c r="H7" s="4" t="str">
        <x:v>Yes</x:v>
      </x:c>
      <x:c r="I7" s="24" t="str">
        <x:v>2026-09-01</x:v>
      </x:c>
      <x:c r="J7" s="4" t="str">
        <x:v>See TPWD category page</x:v>
      </x:c>
      <x:c r="K7" s="4" t="n">
        <x:v>0</x:v>
      </x:c>
      <x:c r="L7" s="4" t="n">
        <x:v>0</x:v>
      </x:c>
      <x:c r="M7" s="4"/>
      <x:c r="N7" s="4"/>
      <x:c r="O7" s="4"/>
      <x:c r="P7" s="4" t="n">
        <x:v>520</x:v>
      </x:c>
      <x:c r="Q7" s="4" t="str">
        <x:v>Statewide</x:v>
      </x:c>
      <x:c r="R7" s="4" t="str">
        <x:v>Research before draw; property brochure linked from TPWD</x:v>
      </x:c>
      <x:c r="S7" s="4" t="str">
        <x:v>High</x:v>
      </x:c>
      <x:c r="T7" s="4" t="str">
        <x:v>No</x:v>
      </x:c>
      <x:c r="U7" s="4" t="str">
        <x:v>Verified in TPWD 2026-2027 statewide deer category catalog. West Texas/El Paso-region opportunity; prioritize for mule deer adventure value.</x:v>
      </x:c>
      <x:c r="V7" s="4" t="str">
        <x:v>https://tpwd.texas.gov/huntwild/hunt/public/public_hunt_drawing/hunt-category-details.phtml?OCat=YDE</x:v>
      </x:c>
      <x:c r="W7" s="4" t="n">
        <x:v>2</x:v>
      </x:c>
      <x:c r="X7" s="4" t="n">
        <x:v>2</x:v>
      </x:c>
      <x:c r="Y7" s="4" t="n">
        <x:v>5</x:v>
      </x:c>
      <x:c r="Z7" s="4" t="n">
        <x:v>3</x:v>
      </x:c>
      <x:c r="AA7" s="4" t="n">
        <x:v>4</x:v>
      </x:c>
      <x:c r="AB7" s="4" t="n">
        <x:v>0</x:v>
      </x:c>
      <x:c r="AC7" s="4" t="n">
        <x:v>2.7</x:v>
      </x:c>
      <x:c r="AD7" s="4" t="n">
        <x:v>0</x:v>
      </x:c>
      <x:c r="AE7" s="4" t="str">
        <x:v>2026-09-01</x:v>
      </x:c>
      <x:c r="AF7" s="2"/>
      <x:c r="AG7" s="2"/>
      <x:c r="AH7" s="2"/>
      <x:c r="AI7" s="2"/>
      <x:c r="AJ7" s="2"/>
      <x:c r="AK7" s="2"/>
      <x:c r="AL7" s="2"/>
      <x:c r="AM7" s="2" t="str">
        <x:v>https://tpwd.texas.gov/huntwild/hunt/public/public_hunt_drawing/hunt-category-details.phtml?OCat=YDE</x:v>
      </x:c>
      <x:c r="AN7" s="2" t="str">
        <x:v>https://tpwd.texas.gov/search/?q=Big+Bend+Ranch+SP+public+hunting+brochure</x:v>
      </x:c>
      <x:c r="AO7" s="2" t="str">
        <x:v>https://apps.tpwd.state.tx.us/huntwild/hunt/public/public_hunt_drawing/</x:v>
      </x:c>
      <x:c r="AP7" s="2" t="str">
        <x:v>https://www.google.com/maps/search/?api=1&amp;query=Big+Bend+Ranch+SP%2C+Texas</x:v>
      </x:c>
      <x:c r="AQ7" s="2" t="n">
        <x:v>0</x:v>
      </x:c>
      <x:c r="AR7" s="2" t="str">
        <x:v>Standard Hastings ranking</x:v>
      </x:c>
    </x:row>
    <x:row r="8">
      <x:c r="A8" s="4" t="str">
        <x:v>No</x:v>
      </x:c>
      <x:c r="B8" s="4" t="str">
        <x:v>A</x:v>
      </x:c>
      <x:c r="C8" s="4" t="str">
        <x:v>Mule Deer</x:v>
      </x:c>
      <x:c r="D8" s="4" t="str">
        <x:v>Caprock Canyons SP</x:v>
      </x:c>
      <x:c r="E8" s="4" t="str">
        <x:v>Panhandle / Rolling Plains</x:v>
      </x:c>
      <x:c r="F8" s="4" t="str">
        <x:v>Youth Gun Deer - Either Sex</x:v>
      </x:c>
      <x:c r="G8" s="4" t="str">
        <x:v>No</x:v>
      </x:c>
      <x:c r="H8" s="4" t="str">
        <x:v>Yes</x:v>
      </x:c>
      <x:c r="I8" s="24" t="str">
        <x:v>2026-09-01</x:v>
      </x:c>
      <x:c r="J8" s="4" t="str">
        <x:v>See TPWD category page</x:v>
      </x:c>
      <x:c r="K8" s="4" t="n">
        <x:v>0</x:v>
      </x:c>
      <x:c r="L8" s="4" t="n">
        <x:v>0</x:v>
      </x:c>
      <x:c r="M8" s="4"/>
      <x:c r="N8" s="4"/>
      <x:c r="O8" s="4"/>
      <x:c r="P8" s="4" t="n">
        <x:v>130</x:v>
      </x:c>
      <x:c r="Q8" s="4" t="str">
        <x:v>Core</x:v>
      </x:c>
      <x:c r="R8" s="4" t="str">
        <x:v>Research before draw; property brochure linked from TPWD</x:v>
      </x:c>
      <x:c r="S8" s="4" t="str">
        <x:v>High</x:v>
      </x:c>
      <x:c r="T8" s="4" t="str">
        <x:v>Yes</x:v>
      </x:c>
      <x:c r="U8" s="4" t="str">
        <x:v>Verified in TPWD 2026-2027 statewide deer category catalog.</x:v>
      </x:c>
      <x:c r="V8" s="4" t="str">
        <x:v>https://tpwd.texas.gov/huntwild/hunt/public/public_hunt_drawing/hunt-category-details.phtml?OCat=YDE</x:v>
      </x:c>
      <x:c r="W8" s="4" t="n">
        <x:v>2</x:v>
      </x:c>
      <x:c r="X8" s="4" t="n">
        <x:v>5</x:v>
      </x:c>
      <x:c r="Y8" s="4" t="n">
        <x:v>5</x:v>
      </x:c>
      <x:c r="Z8" s="4" t="n">
        <x:v>3</x:v>
      </x:c>
      <x:c r="AA8" s="4" t="n">
        <x:v>4</x:v>
      </x:c>
      <x:c r="AB8" s="4" t="n">
        <x:v>5</x:v>
      </x:c>
      <x:c r="AC8" s="4" t="n">
        <x:v>3.9</x:v>
      </x:c>
      <x:c r="AD8" s="4" t="n">
        <x:v>0</x:v>
      </x:c>
      <x:c r="AE8" s="4" t="str">
        <x:v>2026-09-01</x:v>
      </x:c>
      <x:c r="AF8" s="2"/>
      <x:c r="AG8" s="2"/>
      <x:c r="AH8" s="2"/>
      <x:c r="AI8" s="2"/>
      <x:c r="AJ8" s="2"/>
      <x:c r="AK8" s="2"/>
      <x:c r="AL8" s="2"/>
      <x:c r="AM8" s="2" t="str">
        <x:v>https://tpwd.texas.gov/huntwild/hunt/public/public_hunt_drawing/hunt-category-details.phtml?OCat=YDE</x:v>
      </x:c>
      <x:c r="AN8" s="2" t="str">
        <x:v>https://tpwd.texas.gov/search/?q=Caprock+Canyons+SP+public+hunting+brochure</x:v>
      </x:c>
      <x:c r="AO8" s="2" t="str">
        <x:v>https://apps.tpwd.state.tx.us/huntwild/hunt/public/public_hunt_drawing/</x:v>
      </x:c>
      <x:c r="AP8" s="2" t="str">
        <x:v>https://www.google.com/maps/search/?api=1&amp;query=Caprock+Canyons+SP%2C+Texas</x:v>
      </x:c>
      <x:c r="AQ8" s="2" t="n">
        <x:v>0</x:v>
      </x:c>
      <x:c r="AR8" s="2" t="str">
        <x:v>Standard Hastings ranking</x:v>
      </x:c>
    </x:row>
    <x:row r="9">
      <x:c r="A9" s="4" t="str">
        <x:v>No</x:v>
      </x:c>
      <x:c r="B9" s="4" t="str">
        <x:v>A</x:v>
      </x:c>
      <x:c r="C9" s="4" t="str">
        <x:v>Mule Deer</x:v>
      </x:c>
      <x:c r="D9" s="4" t="str">
        <x:v>Elephant Mountain WMA</x:v>
      </x:c>
      <x:c r="E9" s="4" t="str">
        <x:v>Trans-Pecos / West Texas</x:v>
      </x:c>
      <x:c r="F9" s="4" t="str">
        <x:v>Youth Gun Deer - Management</x:v>
      </x:c>
      <x:c r="G9" s="4" t="str">
        <x:v>No</x:v>
      </x:c>
      <x:c r="H9" s="4" t="str">
        <x:v>Yes</x:v>
      </x:c>
      <x:c r="I9" s="24" t="str">
        <x:v>2026-09-15</x:v>
      </x:c>
      <x:c r="J9" s="4" t="str">
        <x:v>See TPWD category page</x:v>
      </x:c>
      <x:c r="K9" s="4" t="n">
        <x:v>0</x:v>
      </x:c>
      <x:c r="L9" s="4" t="n">
        <x:v>0</x:v>
      </x:c>
      <x:c r="M9" s="4"/>
      <x:c r="N9" s="4"/>
      <x:c r="O9" s="4"/>
      <x:c r="P9" s="4" t="n">
        <x:v>520</x:v>
      </x:c>
      <x:c r="Q9" s="4" t="str">
        <x:v>Statewide</x:v>
      </x:c>
      <x:c r="R9" s="4" t="str">
        <x:v>Research before draw; property brochure linked from TPWD</x:v>
      </x:c>
      <x:c r="S9" s="4" t="str">
        <x:v>High</x:v>
      </x:c>
      <x:c r="T9" s="4" t="str">
        <x:v>No</x:v>
      </x:c>
      <x:c r="U9" s="4" t="str">
        <x:v>Verified in TPWD 2026-2027 statewide deer category catalog. West Texas/El Paso-region opportunity; prioritize for mule deer adventure value.</x:v>
      </x:c>
      <x:c r="V9" s="4" t="str">
        <x:v>https://tpwd.texas.gov/huntwild/hunt/public/public_hunt_drawing/hunt-category-details.phtml?OCat=YDM</x:v>
      </x:c>
      <x:c r="W9" s="4" t="n">
        <x:v>2</x:v>
      </x:c>
      <x:c r="X9" s="4" t="n">
        <x:v>2</x:v>
      </x:c>
      <x:c r="Y9" s="4" t="n">
        <x:v>5</x:v>
      </x:c>
      <x:c r="Z9" s="4" t="n">
        <x:v>3</x:v>
      </x:c>
      <x:c r="AA9" s="4" t="n">
        <x:v>4</x:v>
      </x:c>
      <x:c r="AB9" s="4" t="n">
        <x:v>0</x:v>
      </x:c>
      <x:c r="AC9" s="4" t="n">
        <x:v>2.7</x:v>
      </x:c>
      <x:c r="AD9" s="4" t="n">
        <x:v>0</x:v>
      </x:c>
      <x:c r="AE9" s="4" t="str">
        <x:v>2026-09-15</x:v>
      </x:c>
      <x:c r="AF9" s="2"/>
      <x:c r="AG9" s="2"/>
      <x:c r="AH9" s="2"/>
      <x:c r="AI9" s="2"/>
      <x:c r="AJ9" s="2"/>
      <x:c r="AK9" s="2"/>
      <x:c r="AL9" s="2"/>
      <x:c r="AM9" s="2" t="str">
        <x:v>https://tpwd.texas.gov/huntwild/hunt/public/public_hunt_drawing/hunt-category-details.phtml?OCat=YDM</x:v>
      </x:c>
      <x:c r="AN9" s="2" t="str">
        <x:v>https://tpwd.texas.gov/search/?q=Elephant+Mountain+WMA+public+hunting+brochure</x:v>
      </x:c>
      <x:c r="AO9" s="2" t="str">
        <x:v>https://apps.tpwd.state.tx.us/huntwild/hunt/public/public_hunt_drawing/</x:v>
      </x:c>
      <x:c r="AP9" s="2" t="str">
        <x:v>https://www.google.com/maps/search/?api=1&amp;query=Elephant+Mountain+WMA%2C+Texas</x:v>
      </x:c>
      <x:c r="AQ9" s="2" t="n">
        <x:v>0</x:v>
      </x:c>
      <x:c r="AR9" s="2" t="str">
        <x:v>Standard Hastings ranking</x:v>
      </x:c>
    </x:row>
    <x:row r="10">
      <x:c r="A10" s="4" t="str">
        <x:v>No</x:v>
      </x:c>
      <x:c r="B10" s="4" t="str">
        <x:v>A</x:v>
      </x:c>
      <x:c r="C10" s="4" t="str">
        <x:v>Mule Deer</x:v>
      </x:c>
      <x:c r="D10" s="4" t="str">
        <x:v>Sierra Diablo WMA</x:v>
      </x:c>
      <x:c r="E10" s="4" t="str">
        <x:v>Trans-Pecos / West Texas</x:v>
      </x:c>
      <x:c r="F10" s="4" t="str">
        <x:v>Youth Gun Deer - Management</x:v>
      </x:c>
      <x:c r="G10" s="4" t="str">
        <x:v>No</x:v>
      </x:c>
      <x:c r="H10" s="4" t="str">
        <x:v>Yes</x:v>
      </x:c>
      <x:c r="I10" s="24" t="str">
        <x:v>2026-09-15</x:v>
      </x:c>
      <x:c r="J10" s="4" t="str">
        <x:v>See TPWD category page</x:v>
      </x:c>
      <x:c r="K10" s="4" t="n">
        <x:v>0</x:v>
      </x:c>
      <x:c r="L10" s="4" t="n">
        <x:v>0</x:v>
      </x:c>
      <x:c r="M10" s="4"/>
      <x:c r="N10" s="4"/>
      <x:c r="O10" s="4"/>
      <x:c r="P10" s="4" t="n">
        <x:v>520</x:v>
      </x:c>
      <x:c r="Q10" s="4" t="str">
        <x:v>Statewide</x:v>
      </x:c>
      <x:c r="R10" s="4" t="str">
        <x:v>Research before draw; property brochure linked from TPWD</x:v>
      </x:c>
      <x:c r="S10" s="4" t="str">
        <x:v>High</x:v>
      </x:c>
      <x:c r="T10" s="4" t="str">
        <x:v>No</x:v>
      </x:c>
      <x:c r="U10" s="4" t="str">
        <x:v>Verified in TPWD 2026-2027 statewide deer category catalog. West Texas/El Paso-region opportunity; prioritize for mule deer adventure value.</x:v>
      </x:c>
      <x:c r="V10" s="4" t="str">
        <x:v>https://tpwd.texas.gov/huntwild/hunt/public/public_hunt_drawing/hunt-category-details.phtml?OCat=YDM</x:v>
      </x:c>
      <x:c r="W10" s="4" t="n">
        <x:v>2</x:v>
      </x:c>
      <x:c r="X10" s="4" t="n">
        <x:v>2</x:v>
      </x:c>
      <x:c r="Y10" s="4" t="n">
        <x:v>5</x:v>
      </x:c>
      <x:c r="Z10" s="4" t="n">
        <x:v>3</x:v>
      </x:c>
      <x:c r="AA10" s="4" t="n">
        <x:v>4</x:v>
      </x:c>
      <x:c r="AB10" s="4" t="n">
        <x:v>0</x:v>
      </x:c>
      <x:c r="AC10" s="4" t="n">
        <x:v>2.7</x:v>
      </x:c>
      <x:c r="AD10" s="4" t="n">
        <x:v>0</x:v>
      </x:c>
      <x:c r="AE10" s="4" t="str">
        <x:v>2026-09-15</x:v>
      </x:c>
      <x:c r="AF10" s="2"/>
      <x:c r="AG10" s="2"/>
      <x:c r="AH10" s="2"/>
      <x:c r="AI10" s="2"/>
      <x:c r="AJ10" s="2"/>
      <x:c r="AK10" s="2"/>
      <x:c r="AL10" s="2"/>
      <x:c r="AM10" s="2" t="str">
        <x:v>https://tpwd.texas.gov/huntwild/hunt/public/public_hunt_drawing/hunt-category-details.phtml?OCat=YDM</x:v>
      </x:c>
      <x:c r="AN10" s="2" t="str">
        <x:v>https://tpwd.texas.gov/search/?q=Sierra+Diablo+WMA+public+hunting+brochure</x:v>
      </x:c>
      <x:c r="AO10" s="2" t="str">
        <x:v>https://apps.tpwd.state.tx.us/huntwild/hunt/public/public_hunt_drawing/</x:v>
      </x:c>
      <x:c r="AP10" s="2" t="str">
        <x:v>https://www.google.com/maps/search/?api=1&amp;query=Sierra+Diablo+WMA%2C+Texas</x:v>
      </x:c>
      <x:c r="AQ10" s="2" t="n">
        <x:v>0</x:v>
      </x:c>
      <x:c r="AR10" s="2" t="str">
        <x:v>Standard Hastings ranking</x:v>
      </x:c>
    </x:row>
    <x:row r="11">
      <x:c r="A11" s="4" t="str">
        <x:v>No</x:v>
      </x:c>
      <x:c r="B11" s="4" t="str">
        <x:v>A</x:v>
      </x:c>
      <x:c r="C11" s="4" t="str">
        <x:v>Mule Deer</x:v>
      </x:c>
      <x:c r="D11" s="4" t="str">
        <x:v>Yoakum Dunes WMA</x:v>
      </x:c>
      <x:c r="E11" s="4" t="str">
        <x:v>Panhandle / Rolling Plains</x:v>
      </x:c>
      <x:c r="F11" s="4" t="str">
        <x:v>Youth Gun Deer - Management</x:v>
      </x:c>
      <x:c r="G11" s="4" t="str">
        <x:v>No</x:v>
      </x:c>
      <x:c r="H11" s="4" t="str">
        <x:v>Yes</x:v>
      </x:c>
      <x:c r="I11" s="24" t="str">
        <x:v>2026-09-15</x:v>
      </x:c>
      <x:c r="J11" s="4" t="str">
        <x:v>See TPWD category page</x:v>
      </x:c>
      <x:c r="K11" s="4" t="n">
        <x:v>0</x:v>
      </x:c>
      <x:c r="L11" s="4" t="n">
        <x:v>0</x:v>
      </x:c>
      <x:c r="M11" s="4"/>
      <x:c r="N11" s="4"/>
      <x:c r="O11" s="4"/>
      <x:c r="P11" s="4" t="n">
        <x:v>130</x:v>
      </x:c>
      <x:c r="Q11" s="4" t="str">
        <x:v>Core</x:v>
      </x:c>
      <x:c r="R11" s="4" t="str">
        <x:v>Research before draw; property brochure linked from TPWD</x:v>
      </x:c>
      <x:c r="S11" s="4" t="str">
        <x:v>High</x:v>
      </x:c>
      <x:c r="T11" s="4" t="str">
        <x:v>No</x:v>
      </x:c>
      <x:c r="U11" s="4" t="str">
        <x:v>Verified in TPWD 2026-2027 statewide deer category catalog.</x:v>
      </x:c>
      <x:c r="V11" s="4" t="str">
        <x:v>https://tpwd.texas.gov/huntwild/hunt/public/public_hunt_drawing/hunt-category-details.phtml?OCat=YDM</x:v>
      </x:c>
      <x:c r="W11" s="4" t="n">
        <x:v>2</x:v>
      </x:c>
      <x:c r="X11" s="4" t="n">
        <x:v>5</x:v>
      </x:c>
      <x:c r="Y11" s="4" t="n">
        <x:v>5</x:v>
      </x:c>
      <x:c r="Z11" s="4" t="n">
        <x:v>3</x:v>
      </x:c>
      <x:c r="AA11" s="4" t="n">
        <x:v>4</x:v>
      </x:c>
      <x:c r="AB11" s="4" t="n">
        <x:v>0</x:v>
      </x:c>
      <x:c r="AC11" s="4" t="n">
        <x:v>3.2</x:v>
      </x:c>
      <x:c r="AD11" s="4" t="n">
        <x:v>0</x:v>
      </x:c>
      <x:c r="AE11" s="4" t="str">
        <x:v>2026-09-15</x:v>
      </x:c>
      <x:c r="AF11" s="2"/>
      <x:c r="AG11" s="2"/>
      <x:c r="AH11" s="2"/>
      <x:c r="AI11" s="2"/>
      <x:c r="AJ11" s="2"/>
      <x:c r="AK11" s="2"/>
      <x:c r="AL11" s="2"/>
      <x:c r="AM11" s="2" t="str">
        <x:v>https://tpwd.texas.gov/huntwild/hunt/public/public_hunt_drawing/hunt-category-details.phtml?OCat=YDM</x:v>
      </x:c>
      <x:c r="AN11" s="2" t="str">
        <x:v>https://tpwd.texas.gov/search/?q=Yoakum+Dunes+WMA+public+hunting+brochure</x:v>
      </x:c>
      <x:c r="AO11" s="2" t="str">
        <x:v>https://apps.tpwd.state.tx.us/huntwild/hunt/public/public_hunt_drawing/</x:v>
      </x:c>
      <x:c r="AP11" s="2" t="str">
        <x:v>https://www.google.com/maps/search/?api=1&amp;query=Yoakum+Dunes+WMA%2C+Texas</x:v>
      </x:c>
      <x:c r="AQ11" s="2" t="n">
        <x:v>0</x:v>
      </x:c>
      <x:c r="AR11" s="2" t="str">
        <x:v>Standard Hastings ranking</x:v>
      </x:c>
    </x:row>
    <x:row r="12">
      <x:c r="A12" s="4" t="str">
        <x:v>No</x:v>
      </x:c>
      <x:c r="B12" s="4" t="str">
        <x:v>A</x:v>
      </x:c>
      <x:c r="C12" s="4" t="str">
        <x:v>Mule Deer</x:v>
      </x:c>
      <x:c r="D12" s="4" t="str">
        <x:v>Big Bend Ranch SP</x:v>
      </x:c>
      <x:c r="E12" s="4" t="str">
        <x:v>Trans-Pecos / West Texas</x:v>
      </x:c>
      <x:c r="F12" s="4" t="str">
        <x:v>Gun Mule Deer</x:v>
      </x:c>
      <x:c r="G12" s="4" t="str">
        <x:v>Yes</x:v>
      </x:c>
      <x:c r="H12" s="4" t="str">
        <x:v>Yes</x:v>
      </x:c>
      <x:c r="I12" s="24" t="str">
        <x:v>2026-10-01</x:v>
      </x:c>
      <x:c r="J12" s="4" t="str">
        <x:v>See TPWD category page</x:v>
      </x:c>
      <x:c r="K12" s="4" t="n">
        <x:v>3</x:v>
      </x:c>
      <x:c r="L12" s="4"/>
      <x:c r="M12" s="4"/>
      <x:c r="N12" s="4"/>
      <x:c r="O12" s="4"/>
      <x:c r="P12" s="4" t="n">
        <x:v>520</x:v>
      </x:c>
      <x:c r="Q12" s="4" t="str">
        <x:v>Statewide</x:v>
      </x:c>
      <x:c r="R12" s="4" t="str">
        <x:v>Research before draw; property brochure linked from TPWD</x:v>
      </x:c>
      <x:c r="S12" s="4" t="str">
        <x:v>High</x:v>
      </x:c>
      <x:c r="T12" s="4" t="str">
        <x:v>No</x:v>
      </x:c>
      <x:c r="U12" s="4" t="str">
        <x:v>Verified in TPWD 2026-2027 statewide deer category catalog. West Texas/El Paso-region opportunity; prioritize for mule deer adventure value.</x:v>
      </x:c>
      <x:c r="V12" s="4" t="str">
        <x:v>https://tpwd.texas.gov/huntwild/hunt/public/public_hunt_drawing/hunt-category-details.phtml?OCat=MDG</x:v>
      </x:c>
      <x:c r="W12" s="4" t="n">
        <x:v>2</x:v>
      </x:c>
      <x:c r="X12" s="4" t="n">
        <x:v>2</x:v>
      </x:c>
      <x:c r="Y12" s="4" t="n">
        <x:v>4</x:v>
      </x:c>
      <x:c r="Z12" s="4" t="n">
        <x:v>3</x:v>
      </x:c>
      <x:c r="AA12" s="4" t="n">
        <x:v>4</x:v>
      </x:c>
      <x:c r="AB12" s="4" t="n">
        <x:v>0</x:v>
      </x:c>
      <x:c r="AC12" s="4" t="n">
        <x:v>2.5</x:v>
      </x:c>
      <x:c r="AD12" s="4"/>
      <x:c r="AE12" s="4" t="str">
        <x:v>2026-10-01</x:v>
      </x:c>
      <x:c r="AF12" s="2"/>
      <x:c r="AG12" s="2"/>
      <x:c r="AH12" s="2"/>
      <x:c r="AI12" s="2"/>
      <x:c r="AJ12" s="2"/>
      <x:c r="AK12" s="2"/>
      <x:c r="AL12" s="2"/>
      <x:c r="AM12" s="2" t="str">
        <x:v>https://tpwd.texas.gov/huntwild/hunt/public/public_hunt_drawing/hunt-category-details.phtml?OCat=MDG</x:v>
      </x:c>
      <x:c r="AN12" s="2" t="str">
        <x:v>https://tpwd.texas.gov/search/?q=Big+Bend+Ranch+SP+public+hunting+brochure</x:v>
      </x:c>
      <x:c r="AO12" s="2" t="str">
        <x:v>https://apps.tpwd.state.tx.us/huntwild/hunt/public/public_hunt_drawing/</x:v>
      </x:c>
      <x:c r="AP12" s="2" t="str">
        <x:v>https://www.google.com/maps/search/?api=1&amp;query=Big+Bend+Ranch+SP%2C+Texas</x:v>
      </x:c>
      <x:c r="AQ12" s="2" t="n">
        <x:v>0</x:v>
      </x:c>
      <x:c r="AR12" s="2" t="str">
        <x:v>Standard Hastings ranking</x:v>
      </x:c>
    </x:row>
    <x:row r="13">
      <x:c r="A13" s="4" t="str">
        <x:v>No</x:v>
      </x:c>
      <x:c r="B13" s="4" t="str">
        <x:v>A</x:v>
      </x:c>
      <x:c r="C13" s="4" t="str">
        <x:v>Mule Deer</x:v>
      </x:c>
      <x:c r="D13" s="4" t="str">
        <x:v>Black Gap WMA</x:v>
      </x:c>
      <x:c r="E13" s="4" t="str">
        <x:v>Trans-Pecos / West Texas</x:v>
      </x:c>
      <x:c r="F13" s="4" t="str">
        <x:v>Gun Mule Deer</x:v>
      </x:c>
      <x:c r="G13" s="4" t="str">
        <x:v>Yes</x:v>
      </x:c>
      <x:c r="H13" s="4" t="str">
        <x:v>Yes</x:v>
      </x:c>
      <x:c r="I13" s="24" t="str">
        <x:v>2026-10-01</x:v>
      </x:c>
      <x:c r="J13" s="4" t="str">
        <x:v>See TPWD category page</x:v>
      </x:c>
      <x:c r="K13" s="4" t="n">
        <x:v>3</x:v>
      </x:c>
      <x:c r="L13" s="4"/>
      <x:c r="M13" s="4"/>
      <x:c r="N13" s="4"/>
      <x:c r="O13" s="4"/>
      <x:c r="P13" s="4" t="n">
        <x:v>520</x:v>
      </x:c>
      <x:c r="Q13" s="4" t="str">
        <x:v>Statewide</x:v>
      </x:c>
      <x:c r="R13" s="4" t="str">
        <x:v>Research before draw; property brochure linked from TPWD</x:v>
      </x:c>
      <x:c r="S13" s="4" t="str">
        <x:v>High</x:v>
      </x:c>
      <x:c r="T13" s="4" t="str">
        <x:v>No</x:v>
      </x:c>
      <x:c r="U13" s="4" t="str">
        <x:v>Verified in TPWD 2026-2027 statewide deer category catalog. West Texas/El Paso-region opportunity; prioritize for mule deer adventure value.</x:v>
      </x:c>
      <x:c r="V13" s="4" t="str">
        <x:v>https://tpwd.texas.gov/huntwild/hunt/public/public_hunt_drawing/hunt-category-details.phtml?OCat=MDG</x:v>
      </x:c>
      <x:c r="W13" s="4" t="n">
        <x:v>2</x:v>
      </x:c>
      <x:c r="X13" s="4" t="n">
        <x:v>2</x:v>
      </x:c>
      <x:c r="Y13" s="4" t="n">
        <x:v>4</x:v>
      </x:c>
      <x:c r="Z13" s="4" t="n">
        <x:v>3</x:v>
      </x:c>
      <x:c r="AA13" s="4" t="n">
        <x:v>4</x:v>
      </x:c>
      <x:c r="AB13" s="4" t="n">
        <x:v>0</x:v>
      </x:c>
      <x:c r="AC13" s="4" t="n">
        <x:v>2.5</x:v>
      </x:c>
      <x:c r="AD13" s="4"/>
      <x:c r="AE13" s="4" t="str">
        <x:v>2026-10-01</x:v>
      </x:c>
      <x:c r="AF13" s="2"/>
      <x:c r="AG13" s="2"/>
      <x:c r="AH13" s="2"/>
      <x:c r="AI13" s="2"/>
      <x:c r="AJ13" s="2"/>
      <x:c r="AK13" s="2"/>
      <x:c r="AL13" s="2"/>
      <x:c r="AM13" s="2" t="str">
        <x:v>https://tpwd.texas.gov/huntwild/hunt/public/public_hunt_drawing/hunt-category-details.phtml?OCat=MDG</x:v>
      </x:c>
      <x:c r="AN13" s="2" t="str">
        <x:v>https://tpwd.texas.gov/search/?q=Black+Gap+WMA+public+hunting+brochure</x:v>
      </x:c>
      <x:c r="AO13" s="2" t="str">
        <x:v>https://apps.tpwd.state.tx.us/huntwild/hunt/public/public_hunt_drawing/</x:v>
      </x:c>
      <x:c r="AP13" s="2" t="str">
        <x:v>https://www.google.com/maps/search/?api=1&amp;query=Black+Gap+WMA%2C+Texas</x:v>
      </x:c>
      <x:c r="AQ13" s="2" t="n">
        <x:v>0</x:v>
      </x:c>
      <x:c r="AR13" s="2" t="str">
        <x:v>Standard Hastings ranking</x:v>
      </x:c>
    </x:row>
    <x:row r="14">
      <x:c r="A14" s="4" t="str">
        <x:v>No</x:v>
      </x:c>
      <x:c r="B14" s="4" t="str">
        <x:v>A</x:v>
      </x:c>
      <x:c r="C14" s="4" t="str">
        <x:v>Mule Deer</x:v>
      </x:c>
      <x:c r="D14" s="4" t="str">
        <x:v>Caprock Canyons SP</x:v>
      </x:c>
      <x:c r="E14" s="4" t="str">
        <x:v>Panhandle / Rolling Plains</x:v>
      </x:c>
      <x:c r="F14" s="4" t="str">
        <x:v>Gun Mule Deer</x:v>
      </x:c>
      <x:c r="G14" s="4" t="str">
        <x:v>Yes</x:v>
      </x:c>
      <x:c r="H14" s="4" t="str">
        <x:v>Yes</x:v>
      </x:c>
      <x:c r="I14" s="24" t="str">
        <x:v>2026-10-01</x:v>
      </x:c>
      <x:c r="J14" s="4" t="str">
        <x:v>See TPWD category page</x:v>
      </x:c>
      <x:c r="K14" s="4" t="n">
        <x:v>3</x:v>
      </x:c>
      <x:c r="L14" s="4"/>
      <x:c r="M14" s="4"/>
      <x:c r="N14" s="4"/>
      <x:c r="O14" s="4"/>
      <x:c r="P14" s="4" t="n">
        <x:v>130</x:v>
      </x:c>
      <x:c r="Q14" s="4" t="str">
        <x:v>Core</x:v>
      </x:c>
      <x:c r="R14" s="4" t="str">
        <x:v>Research before draw; property brochure linked from TPWD</x:v>
      </x:c>
      <x:c r="S14" s="4" t="str">
        <x:v>High</x:v>
      </x:c>
      <x:c r="T14" s="4" t="str">
        <x:v>No</x:v>
      </x:c>
      <x:c r="U14" s="4" t="str">
        <x:v>Verified in TPWD 2026-2027 statewide deer category catalog.</x:v>
      </x:c>
      <x:c r="V14" s="4" t="str">
        <x:v>https://tpwd.texas.gov/huntwild/hunt/public/public_hunt_drawing/hunt-category-details.phtml?OCat=MDG</x:v>
      </x:c>
      <x:c r="W14" s="4" t="n">
        <x:v>2</x:v>
      </x:c>
      <x:c r="X14" s="4" t="n">
        <x:v>5</x:v>
      </x:c>
      <x:c r="Y14" s="4" t="n">
        <x:v>4</x:v>
      </x:c>
      <x:c r="Z14" s="4" t="n">
        <x:v>3</x:v>
      </x:c>
      <x:c r="AA14" s="4" t="n">
        <x:v>4</x:v>
      </x:c>
      <x:c r="AB14" s="4" t="n">
        <x:v>0</x:v>
      </x:c>
      <x:c r="AC14" s="4" t="n">
        <x:v>2.9</x:v>
      </x:c>
      <x:c r="AD14" s="4"/>
      <x:c r="AE14" s="4" t="str">
        <x:v>2026-10-01</x:v>
      </x:c>
      <x:c r="AF14" s="2"/>
      <x:c r="AG14" s="2"/>
      <x:c r="AH14" s="2"/>
      <x:c r="AI14" s="2"/>
      <x:c r="AJ14" s="2"/>
      <x:c r="AK14" s="2"/>
      <x:c r="AL14" s="2"/>
      <x:c r="AM14" s="2" t="str">
        <x:v>https://tpwd.texas.gov/huntwild/hunt/public/public_hunt_drawing/hunt-category-details.phtml?OCat=MDG</x:v>
      </x:c>
      <x:c r="AN14" s="2" t="str">
        <x:v>https://tpwd.texas.gov/search/?q=Caprock+Canyons+SP+public+hunting+brochure</x:v>
      </x:c>
      <x:c r="AO14" s="2" t="str">
        <x:v>https://apps.tpwd.state.tx.us/huntwild/hunt/public/public_hunt_drawing/</x:v>
      </x:c>
      <x:c r="AP14" s="2" t="str">
        <x:v>https://www.google.com/maps/search/?api=1&amp;query=Caprock+Canyons+SP%2C+Texas</x:v>
      </x:c>
      <x:c r="AQ14" s="2" t="n">
        <x:v>0</x:v>
      </x:c>
      <x:c r="AR14" s="2" t="str">
        <x:v>Standard Hastings ranking</x:v>
      </x:c>
    </x:row>
    <x:row r="15">
      <x:c r="A15" s="4" t="str">
        <x:v>No</x:v>
      </x:c>
      <x:c r="B15" s="4" t="str">
        <x:v>A</x:v>
      </x:c>
      <x:c r="C15" s="4" t="str">
        <x:v>Mule Deer</x:v>
      </x:c>
      <x:c r="D15" s="4" t="str">
        <x:v>Elephant Mountain WMA</x:v>
      </x:c>
      <x:c r="E15" s="4" t="str">
        <x:v>Trans-Pecos / West Texas</x:v>
      </x:c>
      <x:c r="F15" s="4" t="str">
        <x:v>Gun Mule Deer</x:v>
      </x:c>
      <x:c r="G15" s="4" t="str">
        <x:v>Yes</x:v>
      </x:c>
      <x:c r="H15" s="4" t="str">
        <x:v>Yes</x:v>
      </x:c>
      <x:c r="I15" s="24" t="str">
        <x:v>2026-10-01</x:v>
      </x:c>
      <x:c r="J15" s="4" t="str">
        <x:v>See TPWD category page</x:v>
      </x:c>
      <x:c r="K15" s="4" t="n">
        <x:v>3</x:v>
      </x:c>
      <x:c r="L15" s="4"/>
      <x:c r="M15" s="4"/>
      <x:c r="N15" s="4"/>
      <x:c r="O15" s="4"/>
      <x:c r="P15" s="4" t="n">
        <x:v>520</x:v>
      </x:c>
      <x:c r="Q15" s="4" t="str">
        <x:v>Statewide</x:v>
      </x:c>
      <x:c r="R15" s="4" t="str">
        <x:v>Research before draw; property brochure linked from TPWD</x:v>
      </x:c>
      <x:c r="S15" s="4" t="str">
        <x:v>High</x:v>
      </x:c>
      <x:c r="T15" s="4" t="str">
        <x:v>No</x:v>
      </x:c>
      <x:c r="U15" s="4" t="str">
        <x:v>Verified in TPWD 2026-2027 statewide deer category catalog. West Texas/El Paso-region opportunity; prioritize for mule deer adventure value.</x:v>
      </x:c>
      <x:c r="V15" s="4" t="str">
        <x:v>https://tpwd.texas.gov/huntwild/hunt/public/public_hunt_drawing/hunt-category-details.phtml?OCat=MDG</x:v>
      </x:c>
      <x:c r="W15" s="4" t="n">
        <x:v>2</x:v>
      </x:c>
      <x:c r="X15" s="4" t="n">
        <x:v>2</x:v>
      </x:c>
      <x:c r="Y15" s="4" t="n">
        <x:v>4</x:v>
      </x:c>
      <x:c r="Z15" s="4" t="n">
        <x:v>3</x:v>
      </x:c>
      <x:c r="AA15" s="4" t="n">
        <x:v>4</x:v>
      </x:c>
      <x:c r="AB15" s="4" t="n">
        <x:v>0</x:v>
      </x:c>
      <x:c r="AC15" s="4" t="n">
        <x:v>2.5</x:v>
      </x:c>
      <x:c r="AD15" s="4"/>
      <x:c r="AE15" s="4" t="str">
        <x:v>2026-10-01</x:v>
      </x:c>
      <x:c r="AF15" s="2"/>
      <x:c r="AG15" s="2"/>
      <x:c r="AH15" s="2"/>
      <x:c r="AI15" s="2"/>
      <x:c r="AJ15" s="2"/>
      <x:c r="AK15" s="2"/>
      <x:c r="AL15" s="2"/>
      <x:c r="AM15" s="2" t="str">
        <x:v>https://tpwd.texas.gov/huntwild/hunt/public/public_hunt_drawing/hunt-category-details.phtml?OCat=MDG</x:v>
      </x:c>
      <x:c r="AN15" s="2" t="str">
        <x:v>https://tpwd.texas.gov/search/?q=Elephant+Mountain+WMA+public+hunting+brochure</x:v>
      </x:c>
      <x:c r="AO15" s="2" t="str">
        <x:v>https://apps.tpwd.state.tx.us/huntwild/hunt/public/public_hunt_drawing/</x:v>
      </x:c>
      <x:c r="AP15" s="2" t="str">
        <x:v>https://www.google.com/maps/search/?api=1&amp;query=Elephant+Mountain+WMA%2C+Texas</x:v>
      </x:c>
      <x:c r="AQ15" s="2" t="n">
        <x:v>0</x:v>
      </x:c>
      <x:c r="AR15" s="2" t="str">
        <x:v>Standard Hastings ranking</x:v>
      </x:c>
    </x:row>
    <x:row r="16">
      <x:c r="A16" s="4" t="str">
        <x:v>No</x:v>
      </x:c>
      <x:c r="B16" s="4" t="str">
        <x:v>A</x:v>
      </x:c>
      <x:c r="C16" s="4" t="str">
        <x:v>Mule Deer</x:v>
      </x:c>
      <x:c r="D16" s="4" t="str">
        <x:v>Gene Howe WMA</x:v>
      </x:c>
      <x:c r="E16" s="4" t="str">
        <x:v>Panhandle / Rolling Plains</x:v>
      </x:c>
      <x:c r="F16" s="4" t="str">
        <x:v>Gun Mule Deer</x:v>
      </x:c>
      <x:c r="G16" s="4" t="str">
        <x:v>Yes</x:v>
      </x:c>
      <x:c r="H16" s="4" t="str">
        <x:v>Yes</x:v>
      </x:c>
      <x:c r="I16" s="24" t="str">
        <x:v>2026-10-01</x:v>
      </x:c>
      <x:c r="J16" s="4" t="str">
        <x:v>See TPWD category page</x:v>
      </x:c>
      <x:c r="K16" s="4" t="n">
        <x:v>3</x:v>
      </x:c>
      <x:c r="L16" s="4"/>
      <x:c r="M16" s="4"/>
      <x:c r="N16" s="4"/>
      <x:c r="O16" s="4"/>
      <x:c r="P16" s="4" t="n">
        <x:v>130</x:v>
      </x:c>
      <x:c r="Q16" s="4" t="str">
        <x:v>Core</x:v>
      </x:c>
      <x:c r="R16" s="4" t="str">
        <x:v>Research before draw; property brochure linked from TPWD</x:v>
      </x:c>
      <x:c r="S16" s="4" t="str">
        <x:v>High</x:v>
      </x:c>
      <x:c r="T16" s="4" t="str">
        <x:v>No</x:v>
      </x:c>
      <x:c r="U16" s="4" t="str">
        <x:v>Verified in TPWD 2026-2027 statewide deer category catalog.</x:v>
      </x:c>
      <x:c r="V16" s="4" t="str">
        <x:v>https://tpwd.texas.gov/huntwild/hunt/public/public_hunt_drawing/hunt-category-details.phtml?OCat=MDG</x:v>
      </x:c>
      <x:c r="W16" s="4" t="n">
        <x:v>2</x:v>
      </x:c>
      <x:c r="X16" s="4" t="n">
        <x:v>5</x:v>
      </x:c>
      <x:c r="Y16" s="4" t="n">
        <x:v>4</x:v>
      </x:c>
      <x:c r="Z16" s="4" t="n">
        <x:v>3</x:v>
      </x:c>
      <x:c r="AA16" s="4" t="n">
        <x:v>4</x:v>
      </x:c>
      <x:c r="AB16" s="4" t="n">
        <x:v>0</x:v>
      </x:c>
      <x:c r="AC16" s="4" t="n">
        <x:v>2.9</x:v>
      </x:c>
      <x:c r="AD16" s="4"/>
      <x:c r="AE16" s="4" t="str">
        <x:v>2026-10-01</x:v>
      </x:c>
      <x:c r="AF16" s="2"/>
      <x:c r="AG16" s="2"/>
      <x:c r="AH16" s="2"/>
      <x:c r="AI16" s="2"/>
      <x:c r="AJ16" s="2"/>
      <x:c r="AK16" s="2"/>
      <x:c r="AL16" s="2"/>
      <x:c r="AM16" s="2" t="str">
        <x:v>https://tpwd.texas.gov/huntwild/hunt/public/public_hunt_drawing/hunt-category-details.phtml?OCat=MDG</x:v>
      </x:c>
      <x:c r="AN16" s="2" t="str">
        <x:v>https://tpwd.texas.gov/search/?q=Gene+Howe+WMA+public+hunting+brochure</x:v>
      </x:c>
      <x:c r="AO16" s="2" t="str">
        <x:v>https://apps.tpwd.state.tx.us/huntwild/hunt/public/public_hunt_drawing/</x:v>
      </x:c>
      <x:c r="AP16" s="2" t="str">
        <x:v>https://www.google.com/maps/search/?api=1&amp;query=Gene+Howe+WMA%2C+Texas</x:v>
      </x:c>
      <x:c r="AQ16" s="2" t="n">
        <x:v>0</x:v>
      </x:c>
      <x:c r="AR16" s="2" t="str">
        <x:v>Standard Hastings ranking</x:v>
      </x:c>
    </x:row>
    <x:row r="17">
      <x:c r="A17" s="4" t="str">
        <x:v>No</x:v>
      </x:c>
      <x:c r="B17" s="4" t="str">
        <x:v>A</x:v>
      </x:c>
      <x:c r="C17" s="4" t="str">
        <x:v>Mule Deer</x:v>
      </x:c>
      <x:c r="D17" s="4" t="str">
        <x:v>Matador WMA</x:v>
      </x:c>
      <x:c r="E17" s="4" t="str">
        <x:v>Panhandle / Rolling Plains</x:v>
      </x:c>
      <x:c r="F17" s="4" t="str">
        <x:v>Gun Mule Deer</x:v>
      </x:c>
      <x:c r="G17" s="4" t="str">
        <x:v>Yes</x:v>
      </x:c>
      <x:c r="H17" s="4" t="str">
        <x:v>Yes</x:v>
      </x:c>
      <x:c r="I17" s="24" t="str">
        <x:v>2026-10-01</x:v>
      </x:c>
      <x:c r="J17" s="4" t="str">
        <x:v>See TPWD category page</x:v>
      </x:c>
      <x:c r="K17" s="4" t="n">
        <x:v>3</x:v>
      </x:c>
      <x:c r="L17" s="4"/>
      <x:c r="M17" s="4"/>
      <x:c r="N17" s="4"/>
      <x:c r="O17" s="4"/>
      <x:c r="P17" s="4" t="n">
        <x:v>130</x:v>
      </x:c>
      <x:c r="Q17" s="4" t="str">
        <x:v>Core</x:v>
      </x:c>
      <x:c r="R17" s="4" t="str">
        <x:v>Research before draw; property brochure linked from TPWD</x:v>
      </x:c>
      <x:c r="S17" s="4" t="str">
        <x:v>High</x:v>
      </x:c>
      <x:c r="T17" s="4" t="str">
        <x:v>No</x:v>
      </x:c>
      <x:c r="U17" s="4" t="str">
        <x:v>Verified in TPWD 2026-2027 statewide deer category catalog.</x:v>
      </x:c>
      <x:c r="V17" s="4" t="str">
        <x:v>https://tpwd.texas.gov/huntwild/hunt/public/public_hunt_drawing/hunt-category-details.phtml?OCat=MDG</x:v>
      </x:c>
      <x:c r="W17" s="4" t="n">
        <x:v>2</x:v>
      </x:c>
      <x:c r="X17" s="4" t="n">
        <x:v>5</x:v>
      </x:c>
      <x:c r="Y17" s="4" t="n">
        <x:v>4</x:v>
      </x:c>
      <x:c r="Z17" s="4" t="n">
        <x:v>3</x:v>
      </x:c>
      <x:c r="AA17" s="4" t="n">
        <x:v>4</x:v>
      </x:c>
      <x:c r="AB17" s="4" t="n">
        <x:v>0</x:v>
      </x:c>
      <x:c r="AC17" s="4" t="n">
        <x:v>2.9</x:v>
      </x:c>
      <x:c r="AD17" s="4"/>
      <x:c r="AE17" s="4" t="str">
        <x:v>2026-10-01</x:v>
      </x:c>
      <x:c r="AF17" s="2"/>
      <x:c r="AG17" s="2"/>
      <x:c r="AH17" s="2"/>
      <x:c r="AI17" s="2"/>
      <x:c r="AJ17" s="2"/>
      <x:c r="AK17" s="2"/>
      <x:c r="AL17" s="2"/>
      <x:c r="AM17" s="2" t="str">
        <x:v>https://tpwd.texas.gov/huntwild/hunt/public/public_hunt_drawing/hunt-category-details.phtml?OCat=MDG</x:v>
      </x:c>
      <x:c r="AN17" s="2" t="str">
        <x:v>https://tpwd.texas.gov/search/?q=Matador+WMA+public+hunting+brochure</x:v>
      </x:c>
      <x:c r="AO17" s="2" t="str">
        <x:v>https://apps.tpwd.state.tx.us/huntwild/hunt/public/public_hunt_drawing/</x:v>
      </x:c>
      <x:c r="AP17" s="2" t="str">
        <x:v>https://www.google.com/maps/search/?api=1&amp;query=Matador+WMA%2C+Texas</x:v>
      </x:c>
      <x:c r="AQ17" s="2" t="n">
        <x:v>0</x:v>
      </x:c>
      <x:c r="AR17" s="2" t="str">
        <x:v>Standard Hastings ranking</x:v>
      </x:c>
    </x:row>
    <x:row r="18">
      <x:c r="A18" s="4" t="str">
        <x:v>No</x:v>
      </x:c>
      <x:c r="B18" s="4" t="str">
        <x:v>A</x:v>
      </x:c>
      <x:c r="C18" s="4" t="str">
        <x:v>Mule Deer</x:v>
      </x:c>
      <x:c r="D18" s="4" t="str">
        <x:v>Sierra Diablo WMA</x:v>
      </x:c>
      <x:c r="E18" s="4" t="str">
        <x:v>Trans-Pecos / West Texas</x:v>
      </x:c>
      <x:c r="F18" s="4" t="str">
        <x:v>Gun Mule Deer</x:v>
      </x:c>
      <x:c r="G18" s="4" t="str">
        <x:v>Yes</x:v>
      </x:c>
      <x:c r="H18" s="4" t="str">
        <x:v>Yes</x:v>
      </x:c>
      <x:c r="I18" s="24" t="str">
        <x:v>2026-10-01</x:v>
      </x:c>
      <x:c r="J18" s="4" t="str">
        <x:v>See TPWD category page</x:v>
      </x:c>
      <x:c r="K18" s="4" t="n">
        <x:v>3</x:v>
      </x:c>
      <x:c r="L18" s="4"/>
      <x:c r="M18" s="4"/>
      <x:c r="N18" s="4"/>
      <x:c r="O18" s="4"/>
      <x:c r="P18" s="4" t="n">
        <x:v>520</x:v>
      </x:c>
      <x:c r="Q18" s="4" t="str">
        <x:v>Statewide</x:v>
      </x:c>
      <x:c r="R18" s="4" t="str">
        <x:v>Research before draw; property brochure linked from TPWD</x:v>
      </x:c>
      <x:c r="S18" s="4" t="str">
        <x:v>High</x:v>
      </x:c>
      <x:c r="T18" s="4" t="str">
        <x:v>No</x:v>
      </x:c>
      <x:c r="U18" s="4" t="str">
        <x:v>Verified in TPWD 2026-2027 statewide deer category catalog. West Texas/El Paso-region opportunity; prioritize for mule deer adventure value.</x:v>
      </x:c>
      <x:c r="V18" s="4" t="str">
        <x:v>https://tpwd.texas.gov/huntwild/hunt/public/public_hunt_drawing/hunt-category-details.phtml?OCat=MDG</x:v>
      </x:c>
      <x:c r="W18" s="4" t="n">
        <x:v>2</x:v>
      </x:c>
      <x:c r="X18" s="4" t="n">
        <x:v>2</x:v>
      </x:c>
      <x:c r="Y18" s="4" t="n">
        <x:v>4</x:v>
      </x:c>
      <x:c r="Z18" s="4" t="n">
        <x:v>3</x:v>
      </x:c>
      <x:c r="AA18" s="4" t="n">
        <x:v>4</x:v>
      </x:c>
      <x:c r="AB18" s="4" t="n">
        <x:v>0</x:v>
      </x:c>
      <x:c r="AC18" s="4" t="n">
        <x:v>2.5</x:v>
      </x:c>
      <x:c r="AD18" s="4"/>
      <x:c r="AE18" s="4" t="str">
        <x:v>2026-10-01</x:v>
      </x:c>
      <x:c r="AF18" s="2"/>
      <x:c r="AG18" s="2"/>
      <x:c r="AH18" s="2"/>
      <x:c r="AI18" s="2"/>
      <x:c r="AJ18" s="2"/>
      <x:c r="AK18" s="2"/>
      <x:c r="AL18" s="2"/>
      <x:c r="AM18" s="2" t="str">
        <x:v>https://tpwd.texas.gov/huntwild/hunt/public/public_hunt_drawing/hunt-category-details.phtml?OCat=MDG</x:v>
      </x:c>
      <x:c r="AN18" s="2" t="str">
        <x:v>https://tpwd.texas.gov/search/?q=Sierra+Diablo+WMA+public+hunting+brochure</x:v>
      </x:c>
      <x:c r="AO18" s="2" t="str">
        <x:v>https://apps.tpwd.state.tx.us/huntwild/hunt/public/public_hunt_drawing/</x:v>
      </x:c>
      <x:c r="AP18" s="2" t="str">
        <x:v>https://www.google.com/maps/search/?api=1&amp;query=Sierra+Diablo+WMA%2C+Texas</x:v>
      </x:c>
      <x:c r="AQ18" s="2" t="n">
        <x:v>0</x:v>
      </x:c>
      <x:c r="AR18" s="2" t="str">
        <x:v>Standard Hastings ranking</x:v>
      </x:c>
    </x:row>
    <x:row r="19">
      <x:c r="A19" s="4" t="str">
        <x:v>No</x:v>
      </x:c>
      <x:c r="B19" s="4" t="str">
        <x:v>A</x:v>
      </x:c>
      <x:c r="C19" s="4" t="str">
        <x:v>Mule Deer</x:v>
      </x:c>
      <x:c r="D19" s="4" t="str">
        <x:v>Yoakum Dunes WMA</x:v>
      </x:c>
      <x:c r="E19" s="4" t="str">
        <x:v>Panhandle / Rolling Plains</x:v>
      </x:c>
      <x:c r="F19" s="4" t="str">
        <x:v>Gun Mule Deer</x:v>
      </x:c>
      <x:c r="G19" s="4" t="str">
        <x:v>Yes</x:v>
      </x:c>
      <x:c r="H19" s="4" t="str">
        <x:v>Yes</x:v>
      </x:c>
      <x:c r="I19" s="24" t="str">
        <x:v>2026-10-01</x:v>
      </x:c>
      <x:c r="J19" s="4" t="str">
        <x:v>See TPWD category page</x:v>
      </x:c>
      <x:c r="K19" s="4" t="n">
        <x:v>3</x:v>
      </x:c>
      <x:c r="L19" s="4"/>
      <x:c r="M19" s="4"/>
      <x:c r="N19" s="4"/>
      <x:c r="O19" s="4"/>
      <x:c r="P19" s="4" t="n">
        <x:v>130</x:v>
      </x:c>
      <x:c r="Q19" s="4" t="str">
        <x:v>Core</x:v>
      </x:c>
      <x:c r="R19" s="4" t="str">
        <x:v>Research before draw; property brochure linked from TPWD</x:v>
      </x:c>
      <x:c r="S19" s="4" t="str">
        <x:v>High</x:v>
      </x:c>
      <x:c r="T19" s="4" t="str">
        <x:v>No</x:v>
      </x:c>
      <x:c r="U19" s="4" t="str">
        <x:v>Verified in TPWD 2026-2027 statewide deer category catalog.</x:v>
      </x:c>
      <x:c r="V19" s="4" t="str">
        <x:v>https://tpwd.texas.gov/huntwild/hunt/public/public_hunt_drawing/hunt-category-details.phtml?OCat=MDG</x:v>
      </x:c>
      <x:c r="W19" s="4" t="n">
        <x:v>2</x:v>
      </x:c>
      <x:c r="X19" s="4" t="n">
        <x:v>5</x:v>
      </x:c>
      <x:c r="Y19" s="4" t="n">
        <x:v>4</x:v>
      </x:c>
      <x:c r="Z19" s="4" t="n">
        <x:v>3</x:v>
      </x:c>
      <x:c r="AA19" s="4" t="n">
        <x:v>4</x:v>
      </x:c>
      <x:c r="AB19" s="4" t="n">
        <x:v>0</x:v>
      </x:c>
      <x:c r="AC19" s="4" t="n">
        <x:v>2.9</x:v>
      </x:c>
      <x:c r="AD19" s="4"/>
      <x:c r="AE19" s="4" t="str">
        <x:v>2026-10-01</x:v>
      </x:c>
      <x:c r="AF19" s="2"/>
      <x:c r="AG19" s="2"/>
      <x:c r="AH19" s="2"/>
      <x:c r="AI19" s="2"/>
      <x:c r="AJ19" s="2"/>
      <x:c r="AK19" s="2"/>
      <x:c r="AL19" s="2"/>
      <x:c r="AM19" s="2" t="str">
        <x:v>https://tpwd.texas.gov/huntwild/hunt/public/public_hunt_drawing/hunt-category-details.phtml?OCat=MDG</x:v>
      </x:c>
      <x:c r="AN19" s="2" t="str">
        <x:v>https://tpwd.texas.gov/search/?q=Yoakum+Dunes+WMA+public+hunting+brochure</x:v>
      </x:c>
      <x:c r="AO19" s="2" t="str">
        <x:v>https://apps.tpwd.state.tx.us/huntwild/hunt/public/public_hunt_drawing/</x:v>
      </x:c>
      <x:c r="AP19" s="2" t="str">
        <x:v>https://www.google.com/maps/search/?api=1&amp;query=Yoakum+Dunes+WMA%2C+Texas</x:v>
      </x:c>
      <x:c r="AQ19" s="2" t="n">
        <x:v>0</x:v>
      </x:c>
      <x:c r="AR19" s="2" t="str">
        <x:v>Standard Hastings ranking</x:v>
      </x:c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  <x:c r="AA20" s="4"/>
      <x:c r="AB20" s="4"/>
      <x:c r="AC20" s="4"/>
      <x:c r="AD20" s="4"/>
      <x:c r="AE20" s="4"/>
    </x:row>
    <x:row r="2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  <x:c r="AA21" s="4"/>
      <x:c r="AB21" s="4"/>
      <x:c r="AC21" s="4"/>
      <x:c r="AD21" s="4"/>
      <x:c r="AE21" s="4"/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  <x:c r="AA22" s="4"/>
      <x:c r="AB22" s="4"/>
      <x:c r="AC22" s="4"/>
      <x:c r="AD22" s="4"/>
      <x:c r="AE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  <x:c r="AA23" s="4"/>
      <x:c r="AB23" s="4"/>
      <x:c r="AC23" s="4"/>
      <x:c r="AD23" s="4"/>
      <x:c r="AE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  <x:c r="AA24" s="4"/>
      <x:c r="AB24" s="4"/>
      <x:c r="AC24" s="4"/>
      <x:c r="AD24" s="4"/>
      <x:c r="AE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  <x:c r="AA25" s="4"/>
      <x:c r="AB25" s="4"/>
      <x:c r="AC25" s="4"/>
      <x:c r="AD25" s="4"/>
      <x:c r="AE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  <x:c r="AA26" s="4"/>
      <x:c r="AB26" s="4"/>
      <x:c r="AC26" s="4"/>
      <x:c r="AD26" s="4"/>
      <x:c r="AE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  <x:c r="AA27" s="4"/>
      <x:c r="AB27" s="4"/>
      <x:c r="AC27" s="4"/>
      <x:c r="AD27" s="4"/>
      <x:c r="AE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  <x:c r="AA28" s="4"/>
      <x:c r="AB28" s="4"/>
      <x:c r="AC28" s="4"/>
      <x:c r="AD28" s="4"/>
      <x:c r="AE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  <x:c r="AA29" s="4"/>
      <x:c r="AB29" s="4"/>
      <x:c r="AC29" s="4"/>
      <x:c r="AD29" s="4"/>
      <x:c r="AE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  <x:c r="AA30" s="4"/>
      <x:c r="AB30" s="4"/>
      <x:c r="AC30" s="4"/>
      <x:c r="AD30" s="4"/>
      <x:c r="AE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  <x:c r="AA31" s="4"/>
      <x:c r="AB31" s="4"/>
      <x:c r="AC31" s="4"/>
      <x:c r="AD31" s="4"/>
      <x:c r="AE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  <x:c r="AA32" s="4"/>
      <x:c r="AB32" s="4"/>
      <x:c r="AC32" s="4"/>
      <x:c r="AD32" s="4"/>
      <x:c r="AE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  <x:c r="AA33" s="4"/>
      <x:c r="AB33" s="4"/>
      <x:c r="AC33" s="4"/>
      <x:c r="AD33" s="4"/>
      <x:c r="AE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  <x:c r="AA34" s="4"/>
      <x:c r="AB34" s="4"/>
      <x:c r="AC34" s="4"/>
      <x:c r="AD34" s="4"/>
      <x:c r="AE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  <x:c r="AA35" s="4"/>
      <x:c r="AB35" s="4"/>
      <x:c r="AC35" s="4"/>
      <x:c r="AD35" s="4"/>
      <x:c r="AE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  <x:c r="AA36" s="4"/>
      <x:c r="AB36" s="4"/>
      <x:c r="AC36" s="4"/>
      <x:c r="AD36" s="4"/>
      <x:c r="AE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  <x:c r="AA37" s="4"/>
      <x:c r="AB37" s="4"/>
      <x:c r="AC37" s="4"/>
      <x:c r="AD37" s="4"/>
      <x:c r="AE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  <x:c r="AA39" s="4"/>
      <x:c r="AB39" s="4"/>
      <x:c r="AC39" s="4"/>
      <x:c r="AD39" s="4"/>
      <x:c r="AE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  <x:c r="AA40" s="4"/>
      <x:c r="AB40" s="4"/>
      <x:c r="AC40" s="4"/>
      <x:c r="AD40" s="4"/>
      <x:c r="AE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  <x:c r="AA41" s="4"/>
      <x:c r="AB41" s="4"/>
      <x:c r="AC41" s="4"/>
      <x:c r="AD41" s="4"/>
      <x:c r="AE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  <x:c r="AA42" s="4"/>
      <x:c r="AB42" s="4"/>
      <x:c r="AC42" s="4"/>
      <x:c r="AD42" s="4"/>
      <x:c r="AE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  <x:c r="AA43" s="4"/>
      <x:c r="AB43" s="4"/>
      <x:c r="AC43" s="4"/>
      <x:c r="AD43" s="4"/>
      <x:c r="AE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  <x:c r="AA44" s="4"/>
      <x:c r="AB44" s="4"/>
      <x:c r="AC44" s="4"/>
      <x:c r="AD44" s="4"/>
      <x:c r="AE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  <x:c r="AA45" s="4"/>
      <x:c r="AB45" s="4"/>
      <x:c r="AC45" s="4"/>
      <x:c r="AD45" s="4"/>
      <x:c r="AE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  <x:c r="AA46" s="4"/>
      <x:c r="AB46" s="4"/>
      <x:c r="AC46" s="4"/>
      <x:c r="AD46" s="4"/>
      <x:c r="AE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  <x:c r="AA47" s="4"/>
      <x:c r="AB47" s="4"/>
      <x:c r="AC47" s="4"/>
      <x:c r="AD47" s="4"/>
      <x:c r="AE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  <x:c r="AA48" s="4"/>
      <x:c r="AB48" s="4"/>
      <x:c r="AC48" s="4"/>
      <x:c r="AD48" s="4"/>
      <x:c r="AE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  <x:c r="AA49" s="4"/>
      <x:c r="AB49" s="4"/>
      <x:c r="AC49" s="4"/>
      <x:c r="AD49" s="4"/>
      <x:c r="AE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  <x:c r="AA50" s="4"/>
      <x:c r="AB50" s="4"/>
      <x:c r="AC50" s="4"/>
      <x:c r="AD50" s="4"/>
      <x:c r="AE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  <x:c r="AA51" s="4"/>
      <x:c r="AB51" s="4"/>
      <x:c r="AC51" s="4"/>
      <x:c r="AD51" s="4"/>
      <x:c r="AE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  <x:c r="AA52" s="4"/>
      <x:c r="AB52" s="4"/>
      <x:c r="AC52" s="4"/>
      <x:c r="AD52" s="4"/>
      <x:c r="AE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  <x:c r="AA53" s="4"/>
      <x:c r="AB53" s="4"/>
      <x:c r="AC53" s="4"/>
      <x:c r="AD53" s="4"/>
      <x:c r="AE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  <x:c r="AA54" s="4"/>
      <x:c r="AB54" s="4"/>
      <x:c r="AC54" s="4"/>
      <x:c r="AD54" s="4"/>
      <x:c r="AE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  <x:c r="AA55" s="4"/>
      <x:c r="AB55" s="4"/>
      <x:c r="AC55" s="4"/>
      <x:c r="AD55" s="4"/>
      <x:c r="AE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  <x:c r="AA56" s="4"/>
      <x:c r="AB56" s="4"/>
      <x:c r="AC56" s="4"/>
      <x:c r="AD56" s="4"/>
      <x:c r="AE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  <x:c r="AA58" s="4"/>
      <x:c r="AB58" s="4"/>
      <x:c r="AC58" s="4"/>
      <x:c r="AD58" s="4"/>
      <x:c r="AE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  <x:c r="AA59" s="4"/>
      <x:c r="AB59" s="4"/>
      <x:c r="AC59" s="4"/>
      <x:c r="AD59" s="4"/>
      <x:c r="AE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  <x:c r="AA60" s="4"/>
      <x:c r="AB60" s="4"/>
      <x:c r="AC60" s="4"/>
      <x:c r="AD60" s="4"/>
      <x:c r="AE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  <x:c r="AA61" s="4"/>
      <x:c r="AB61" s="4"/>
      <x:c r="AC61" s="4"/>
      <x:c r="AD61" s="4"/>
      <x:c r="AE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  <x:c r="AA62" s="4"/>
      <x:c r="AB62" s="4"/>
      <x:c r="AC62" s="4"/>
      <x:c r="AD62" s="4"/>
      <x:c r="AE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  <x:c r="AA63" s="4"/>
      <x:c r="AB63" s="4"/>
      <x:c r="AC63" s="4"/>
      <x:c r="AD63" s="4"/>
      <x:c r="AE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  <x:c r="AA64" s="4"/>
      <x:c r="AB64" s="4"/>
      <x:c r="AC64" s="4"/>
      <x:c r="AD64" s="4"/>
      <x:c r="AE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  <x:c r="AA65" s="4"/>
      <x:c r="AB65" s="4"/>
      <x:c r="AC65" s="4"/>
      <x:c r="AD65" s="4"/>
      <x:c r="AE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  <x:c r="AA66" s="4"/>
      <x:c r="AB66" s="4"/>
      <x:c r="AC66" s="4"/>
      <x:c r="AD66" s="4"/>
      <x:c r="AE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  <x:c r="AA67" s="4"/>
      <x:c r="AB67" s="4"/>
      <x:c r="AC67" s="4"/>
      <x:c r="AD67" s="4"/>
      <x:c r="AE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s="4"/>
      <x:c r="AB68" s="4"/>
      <x:c r="AC68" s="4"/>
      <x:c r="AD68" s="4"/>
      <x:c r="AE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  <x:c r="AA69" s="4"/>
      <x:c r="AB69" s="4"/>
      <x:c r="AC69" s="4"/>
      <x:c r="AD69" s="4"/>
      <x:c r="AE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  <x:c r="AA70" s="4"/>
      <x:c r="AB70" s="4"/>
      <x:c r="AC70" s="4"/>
      <x:c r="AD70" s="4"/>
      <x:c r="AE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  <x:c r="AA71" s="4"/>
      <x:c r="AB71" s="4"/>
      <x:c r="AC71" s="4"/>
      <x:c r="AD71" s="4"/>
      <x:c r="AE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  <x:c r="AA72" s="4"/>
      <x:c r="AB72" s="4"/>
      <x:c r="AC72" s="4"/>
      <x:c r="AD72" s="4"/>
      <x:c r="AE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  <x:c r="AA73" s="4"/>
      <x:c r="AB73" s="4"/>
      <x:c r="AC73" s="4"/>
      <x:c r="AD73" s="4"/>
      <x:c r="AE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  <x:c r="AA74" s="4"/>
      <x:c r="AB74" s="4"/>
      <x:c r="AC74" s="4"/>
      <x:c r="AD74" s="4"/>
      <x:c r="AE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  <x:c r="AA75" s="4"/>
      <x:c r="AB75" s="4"/>
      <x:c r="AC75" s="4"/>
      <x:c r="AD75" s="4"/>
      <x:c r="AE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  <x:c r="AA77" s="4"/>
      <x:c r="AB77" s="4"/>
      <x:c r="AC77" s="4"/>
      <x:c r="AD77" s="4"/>
      <x:c r="AE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  <x:c r="AA78" s="4"/>
      <x:c r="AB78" s="4"/>
      <x:c r="AC78" s="4"/>
      <x:c r="AD78" s="4"/>
      <x:c r="AE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  <x:c r="AA79" s="4"/>
      <x:c r="AB79" s="4"/>
      <x:c r="AC79" s="4"/>
      <x:c r="AD79" s="4"/>
      <x:c r="AE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  <x:c r="AA80" s="4"/>
      <x:c r="AB80" s="4"/>
      <x:c r="AC80" s="4"/>
      <x:c r="AD80" s="4"/>
      <x:c r="AE80" s="4"/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  <x:c r="AA81" s="4"/>
      <x:c r="AB81" s="4"/>
      <x:c r="AC81" s="4"/>
      <x:c r="AD81" s="4"/>
      <x:c r="AE81" s="4"/>
    </x:row>
    <x:row r="82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  <x:c r="AA82" s="4"/>
      <x:c r="AB82" s="4"/>
      <x:c r="AC82" s="4"/>
      <x:c r="AD82" s="4"/>
      <x:c r="AE82" s="4"/>
    </x:row>
    <x:row r="83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  <x:c r="AA83" s="4"/>
      <x:c r="AB83" s="4"/>
      <x:c r="AC83" s="4"/>
      <x:c r="AD83" s="4"/>
      <x:c r="AE83" s="4"/>
    </x:row>
    <x:row r="84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  <x:c r="AA84" s="4"/>
      <x:c r="AB84" s="4"/>
      <x:c r="AC84" s="4"/>
      <x:c r="AD84" s="4"/>
      <x:c r="AE84" s="4"/>
    </x:row>
    <x:row r="85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  <x:c r="AA85" s="4"/>
      <x:c r="AB85" s="4"/>
      <x:c r="AC85" s="4"/>
      <x:c r="AD85" s="4"/>
      <x:c r="AE85" s="4"/>
    </x:row>
    <x:row r="86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  <x:c r="AA86" s="4"/>
      <x:c r="AB86" s="4"/>
      <x:c r="AC86" s="4"/>
      <x:c r="AD86" s="4"/>
      <x:c r="AE86" s="4"/>
    </x:row>
    <x:row r="87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  <x:c r="AA87" s="4"/>
      <x:c r="AB87" s="4"/>
      <x:c r="AC87" s="4"/>
      <x:c r="AD87" s="4"/>
      <x:c r="AE87" s="4"/>
    </x:row>
    <x:row r="88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  <x:c r="AA88" s="4"/>
      <x:c r="AB88" s="4"/>
      <x:c r="AC88" s="4"/>
      <x:c r="AD88" s="4"/>
      <x:c r="AE88" s="4"/>
    </x:row>
    <x:row r="89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  <x:c r="AA89" s="4"/>
      <x:c r="AB89" s="4"/>
      <x:c r="AC89" s="4"/>
      <x:c r="AD89" s="4"/>
      <x:c r="AE89" s="4"/>
    </x:row>
    <x:row r="90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  <x:c r="AA90" s="4"/>
      <x:c r="AB90" s="4"/>
      <x:c r="AC90" s="4"/>
      <x:c r="AD90" s="4"/>
      <x:c r="AE90" s="4"/>
    </x:row>
    <x:row r="9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  <x:c r="AA91" s="4"/>
      <x:c r="AB91" s="4"/>
      <x:c r="AC91" s="4"/>
      <x:c r="AD91" s="4"/>
      <x:c r="AE91" s="4"/>
    </x:row>
    <x:row r="92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  <x:c r="AA92" s="4"/>
      <x:c r="AB92" s="4"/>
      <x:c r="AC92" s="4"/>
      <x:c r="AD92" s="4"/>
      <x:c r="AE92" s="4"/>
    </x:row>
    <x:row r="93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  <x:c r="AA93" s="4"/>
      <x:c r="AB93" s="4"/>
      <x:c r="AC93" s="4"/>
      <x:c r="AD93" s="4"/>
      <x:c r="AE93" s="4"/>
    </x:row>
    <x:row r="94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  <x:c r="AA94" s="4"/>
      <x:c r="AB94" s="4"/>
      <x:c r="AC94" s="4"/>
      <x:c r="AD94" s="4"/>
      <x:c r="AE94" s="4"/>
    </x:row>
    <x:row r="95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  <x:c r="AA96" s="4"/>
      <x:c r="AB96" s="4"/>
      <x:c r="AC96" s="4"/>
      <x:c r="AD96" s="4"/>
      <x:c r="AE96" s="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  <x:c r="AA97" s="4"/>
      <x:c r="AB97" s="4"/>
      <x:c r="AC97" s="4"/>
      <x:c r="AD97" s="4"/>
      <x:c r="AE97" s="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  <x:c r="AA98" s="4"/>
      <x:c r="AB98" s="4"/>
      <x:c r="AC98" s="4"/>
      <x:c r="AD98" s="4"/>
      <x:c r="AE98" s="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  <x:c r="AA99" s="4"/>
      <x:c r="AB99" s="4"/>
      <x:c r="AC99" s="4"/>
      <x:c r="AD99" s="4"/>
      <x:c r="AE99" s="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  <x:c r="AA100" s="4"/>
      <x:c r="AB100" s="4"/>
      <x:c r="AC100" s="4"/>
      <x:c r="AD100" s="4"/>
      <x:c r="AE100" s="4"/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  <x:c r="AA101" s="4"/>
      <x:c r="AB101" s="4"/>
      <x:c r="AC101" s="4"/>
      <x:c r="AD101" s="4"/>
      <x:c r="AE101" s="4"/>
    </x:row>
    <x:row r="102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  <x:c r="AA102" s="4"/>
      <x:c r="AB102" s="4"/>
      <x:c r="AC102" s="4"/>
      <x:c r="AD102" s="4"/>
      <x:c r="AE102" s="4"/>
    </x:row>
    <x:row r="103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  <x:c r="AA103" s="4"/>
      <x:c r="AB103" s="4"/>
      <x:c r="AC103" s="4"/>
      <x:c r="AD103" s="4"/>
      <x:c r="AE103" s="4"/>
    </x:row>
    <x:row r="104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  <x:c r="AA104" s="4"/>
      <x:c r="AB104" s="4"/>
      <x:c r="AC104" s="4"/>
      <x:c r="AD104" s="4"/>
      <x:c r="AE104" s="4"/>
    </x:row>
    <x:row r="105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  <x:c r="AA105" s="4"/>
      <x:c r="AB105" s="4"/>
      <x:c r="AC105" s="4"/>
      <x:c r="AD105" s="4"/>
      <x:c r="AE105" s="4"/>
    </x:row>
    <x:row r="106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  <x:c r="AA106" s="4"/>
      <x:c r="AB106" s="4"/>
      <x:c r="AC106" s="4"/>
      <x:c r="AD106" s="4"/>
      <x:c r="AE106" s="4"/>
    </x:row>
    <x:row r="107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  <x:c r="AA107" s="4"/>
      <x:c r="AB107" s="4"/>
      <x:c r="AC107" s="4"/>
      <x:c r="AD107" s="4"/>
      <x:c r="AE107" s="4"/>
    </x:row>
    <x:row r="108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  <x:c r="AA108" s="4"/>
      <x:c r="AB108" s="4"/>
      <x:c r="AC108" s="4"/>
      <x:c r="AD108" s="4"/>
      <x:c r="AE108" s="4"/>
    </x:row>
    <x:row r="109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  <x:c r="AA109" s="4"/>
      <x:c r="AB109" s="4"/>
      <x:c r="AC109" s="4"/>
      <x:c r="AD109" s="4"/>
      <x:c r="AE109" s="4"/>
    </x:row>
    <x:row r="110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  <x:c r="AA110" s="4"/>
      <x:c r="AB110" s="4"/>
      <x:c r="AC110" s="4"/>
      <x:c r="AD110" s="4"/>
      <x:c r="AE110" s="4"/>
    </x:row>
    <x:row r="11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  <x:c r="AA111" s="4"/>
      <x:c r="AB111" s="4"/>
      <x:c r="AC111" s="4"/>
      <x:c r="AD111" s="4"/>
      <x:c r="AE111" s="4"/>
    </x:row>
    <x:row r="112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  <x:c r="AA112" s="4"/>
      <x:c r="AB112" s="4"/>
      <x:c r="AC112" s="4"/>
      <x:c r="AD112" s="4"/>
      <x:c r="AE112" s="4"/>
    </x:row>
    <x:row r="113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  <x:c r="AA113" s="4"/>
      <x:c r="AB113" s="4"/>
      <x:c r="AC113" s="4"/>
      <x:c r="AD113" s="4"/>
      <x:c r="AE113" s="4"/>
    </x:row>
    <x:row r="114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  <x:c r="AA114" s="4"/>
      <x:c r="AB114" s="4"/>
      <x:c r="AC114" s="4"/>
      <x:c r="AD114" s="4"/>
      <x:c r="AE114" s="4"/>
    </x:row>
    <x:row r="115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  <x:c r="AA115" s="4"/>
      <x:c r="AB115" s="4"/>
      <x:c r="AC115" s="4"/>
      <x:c r="AD115" s="4"/>
      <x:c r="AE115" s="4"/>
    </x:row>
    <x:row r="116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  <x:c r="AA116" s="4"/>
      <x:c r="AB116" s="4"/>
      <x:c r="AC116" s="4"/>
      <x:c r="AD116" s="4"/>
      <x:c r="AE116" s="4"/>
    </x:row>
    <x:row r="117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  <x:c r="AA117" s="4"/>
      <x:c r="AB117" s="4"/>
      <x:c r="AC117" s="4"/>
      <x:c r="AD117" s="4"/>
      <x:c r="AE117" s="4"/>
    </x:row>
    <x:row r="118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  <x:c r="AA118" s="4"/>
      <x:c r="AB118" s="4"/>
      <x:c r="AC118" s="4"/>
      <x:c r="AD118" s="4"/>
      <x:c r="AE118" s="4"/>
    </x:row>
    <x:row r="119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  <x:c r="AA119" s="4"/>
      <x:c r="AB119" s="4"/>
      <x:c r="AC119" s="4"/>
      <x:c r="AD119" s="4"/>
      <x:c r="AE119" s="4"/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  <x:c r="AA120" s="4"/>
      <x:c r="AB120" s="4"/>
      <x:c r="AC120" s="4"/>
      <x:c r="AD120" s="4"/>
      <x:c r="AE120" s="4"/>
    </x:row>
    <x:row r="12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  <x:c r="AA121" s="4"/>
      <x:c r="AB121" s="4"/>
      <x:c r="AC121" s="4"/>
      <x:c r="AD121" s="4"/>
      <x:c r="AE121" s="4"/>
    </x:row>
    <x:row r="122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  <x:c r="AA122" s="4"/>
      <x:c r="AB122" s="4"/>
      <x:c r="AC122" s="4"/>
      <x:c r="AD122" s="4"/>
      <x:c r="AE122" s="4"/>
    </x:row>
    <x:row r="123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  <x:c r="AA123" s="4"/>
      <x:c r="AB123" s="4"/>
      <x:c r="AC123" s="4"/>
      <x:c r="AD123" s="4"/>
      <x:c r="AE123" s="4"/>
    </x:row>
    <x:row r="124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  <x:c r="AA124" s="4"/>
      <x:c r="AB124" s="4"/>
      <x:c r="AC124" s="4"/>
      <x:c r="AD124" s="4"/>
      <x:c r="AE124" s="4"/>
    </x:row>
    <x:row r="125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  <x:c r="AA125" s="4"/>
      <x:c r="AB125" s="4"/>
      <x:c r="AC125" s="4"/>
      <x:c r="AD125" s="4"/>
      <x:c r="AE125" s="4"/>
    </x:row>
    <x:row r="126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  <x:c r="AA126" s="4"/>
      <x:c r="AB126" s="4"/>
      <x:c r="AC126" s="4"/>
      <x:c r="AD126" s="4"/>
      <x:c r="AE126" s="4"/>
    </x:row>
    <x:row r="127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  <x:c r="AA127" s="4"/>
      <x:c r="AB127" s="4"/>
      <x:c r="AC127" s="4"/>
      <x:c r="AD127" s="4"/>
      <x:c r="AE127" s="4"/>
    </x:row>
    <x:row r="128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  <x:c r="AA128" s="4"/>
      <x:c r="AB128" s="4"/>
      <x:c r="AC128" s="4"/>
      <x:c r="AD128" s="4"/>
      <x:c r="AE128" s="4"/>
    </x:row>
    <x:row r="129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  <x:c r="AA129" s="4"/>
      <x:c r="AB129" s="4"/>
      <x:c r="AC129" s="4"/>
      <x:c r="AD129" s="4"/>
      <x:c r="AE129" s="4"/>
    </x:row>
    <x:row r="130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  <x:c r="AA130" s="4"/>
      <x:c r="AB130" s="4"/>
      <x:c r="AC130" s="4"/>
      <x:c r="AD130" s="4"/>
      <x:c r="AE130" s="4"/>
    </x:row>
    <x:row r="13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  <x:c r="AA131" s="4"/>
      <x:c r="AB131" s="4"/>
      <x:c r="AC131" s="4"/>
      <x:c r="AD131" s="4"/>
      <x:c r="AE131" s="4"/>
    </x:row>
    <x:row r="132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  <x:c r="AA132" s="4"/>
      <x:c r="AB132" s="4"/>
      <x:c r="AC132" s="4"/>
      <x:c r="AD132" s="4"/>
      <x:c r="AE132" s="4"/>
    </x:row>
    <x:row r="133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  <x:c r="AA133" s="4"/>
      <x:c r="AB133" s="4"/>
      <x:c r="AC133" s="4"/>
      <x:c r="AD133" s="4"/>
      <x:c r="AE133" s="4"/>
    </x:row>
    <x:row r="134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  <x:c r="AA134" s="4"/>
      <x:c r="AB134" s="4"/>
      <x:c r="AC134" s="4"/>
      <x:c r="AD134" s="4"/>
      <x:c r="AE134" s="4"/>
    </x:row>
    <x:row r="135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  <x:c r="AA135" s="4"/>
      <x:c r="AB135" s="4"/>
      <x:c r="AC135" s="4"/>
      <x:c r="AD135" s="4"/>
      <x:c r="AE135" s="4"/>
    </x:row>
    <x:row r="136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  <x:c r="AA136" s="4"/>
      <x:c r="AB136" s="4"/>
      <x:c r="AC136" s="4"/>
      <x:c r="AD136" s="4"/>
      <x:c r="AE136" s="4"/>
    </x:row>
    <x:row r="137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  <x:c r="AA137" s="4"/>
      <x:c r="AB137" s="4"/>
      <x:c r="AC137" s="4"/>
      <x:c r="AD137" s="4"/>
      <x:c r="AE137" s="4"/>
    </x:row>
    <x:row r="138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  <x:c r="AA138" s="4"/>
      <x:c r="AB138" s="4"/>
      <x:c r="AC138" s="4"/>
      <x:c r="AD138" s="4"/>
      <x:c r="AE138" s="4"/>
    </x:row>
    <x:row r="139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  <x:c r="AA139" s="4"/>
      <x:c r="AB139" s="4"/>
      <x:c r="AC139" s="4"/>
      <x:c r="AD139" s="4"/>
      <x:c r="AE139" s="4"/>
    </x:row>
    <x:row r="140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  <x:c r="AA140" s="4"/>
      <x:c r="AB140" s="4"/>
      <x:c r="AC140" s="4"/>
      <x:c r="AD140" s="4"/>
      <x:c r="AE140" s="4"/>
    </x:row>
    <x:row r="14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  <x:c r="AA141" s="4"/>
      <x:c r="AB141" s="4"/>
      <x:c r="AC141" s="4"/>
      <x:c r="AD141" s="4"/>
      <x:c r="AE141" s="4"/>
    </x:row>
    <x:row r="142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  <x:c r="AA142" s="4"/>
      <x:c r="AB142" s="4"/>
      <x:c r="AC142" s="4"/>
      <x:c r="AD142" s="4"/>
      <x:c r="AE142" s="4"/>
    </x:row>
    <x:row r="143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  <x:c r="AA143" s="4"/>
      <x:c r="AB143" s="4"/>
      <x:c r="AC143" s="4"/>
      <x:c r="AD143" s="4"/>
      <x:c r="AE143" s="4"/>
    </x:row>
    <x:row r="144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  <x:c r="AA144" s="4"/>
      <x:c r="AB144" s="4"/>
      <x:c r="AC144" s="4"/>
      <x:c r="AD144" s="4"/>
      <x:c r="AE144" s="4"/>
    </x:row>
    <x:row r="145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  <x:c r="AA145" s="4"/>
      <x:c r="AB145" s="4"/>
      <x:c r="AC145" s="4"/>
      <x:c r="AD145" s="4"/>
      <x:c r="AE145" s="4"/>
    </x:row>
    <x:row r="146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  <x:c r="AA146" s="4"/>
      <x:c r="AB146" s="4"/>
      <x:c r="AC146" s="4"/>
      <x:c r="AD146" s="4"/>
      <x:c r="AE146" s="4"/>
    </x:row>
    <x:row r="147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  <x:c r="AA147" s="4"/>
      <x:c r="AB147" s="4"/>
      <x:c r="AC147" s="4"/>
      <x:c r="AD147" s="4"/>
      <x:c r="AE147" s="4"/>
    </x:row>
    <x:row r="148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  <x:c r="AA148" s="4"/>
      <x:c r="AB148" s="4"/>
      <x:c r="AC148" s="4"/>
      <x:c r="AD148" s="4"/>
      <x:c r="AE148" s="4"/>
    </x:row>
    <x:row r="149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  <x:c r="AA149" s="4"/>
      <x:c r="AB149" s="4"/>
      <x:c r="AC149" s="4"/>
      <x:c r="AD149" s="4"/>
      <x:c r="AE149" s="4"/>
    </x:row>
    <x:row r="150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  <x:c r="AA150" s="4"/>
      <x:c r="AB150" s="4"/>
      <x:c r="AC150" s="4"/>
      <x:c r="AD150" s="4"/>
      <x:c r="AE150" s="4"/>
    </x:row>
    <x:row r="15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  <x:c r="AA151" s="4"/>
      <x:c r="AB151" s="4"/>
      <x:c r="AC151" s="4"/>
      <x:c r="AD151" s="4"/>
      <x:c r="AE151" s="4"/>
    </x:row>
    <x:row r="152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  <x:c r="AA152" s="4"/>
      <x:c r="AB152" s="4"/>
      <x:c r="AC152" s="4"/>
      <x:c r="AD152" s="4"/>
      <x:c r="AE152" s="4"/>
    </x:row>
    <x:row r="153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  <x:c r="AA153" s="4"/>
      <x:c r="AB153" s="4"/>
      <x:c r="AC153" s="4"/>
      <x:c r="AD153" s="4"/>
      <x:c r="AE153" s="4"/>
    </x:row>
    <x:row r="154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  <x:c r="AA154" s="4"/>
      <x:c r="AB154" s="4"/>
      <x:c r="AC154" s="4"/>
      <x:c r="AD154" s="4"/>
      <x:c r="AE154" s="4"/>
    </x:row>
    <x:row r="155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  <x:c r="AA155" s="4"/>
      <x:c r="AB155" s="4"/>
      <x:c r="AC155" s="4"/>
      <x:c r="AD155" s="4"/>
      <x:c r="AE155" s="4"/>
    </x:row>
    <x:row r="156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  <x:c r="AA156" s="4"/>
      <x:c r="AB156" s="4"/>
      <x:c r="AC156" s="4"/>
      <x:c r="AD156" s="4"/>
      <x:c r="AE156" s="4"/>
    </x:row>
    <x:row r="157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  <x:c r="AA157" s="4"/>
      <x:c r="AB157" s="4"/>
      <x:c r="AC157" s="4"/>
      <x:c r="AD157" s="4"/>
      <x:c r="AE157" s="4"/>
    </x:row>
    <x:row r="158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  <x:c r="AA158" s="4"/>
      <x:c r="AB158" s="4"/>
      <x:c r="AC158" s="4"/>
      <x:c r="AD158" s="4"/>
      <x:c r="AE158" s="4"/>
    </x:row>
    <x:row r="159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  <x:c r="AA159" s="4"/>
      <x:c r="AB159" s="4"/>
      <x:c r="AC159" s="4"/>
      <x:c r="AD159" s="4"/>
      <x:c r="AE159" s="4"/>
    </x:row>
    <x:row r="160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  <x:c r="AA160" s="4"/>
      <x:c r="AB160" s="4"/>
      <x:c r="AC160" s="4"/>
      <x:c r="AD160" s="4"/>
      <x:c r="AE160" s="4"/>
    </x:row>
    <x:row r="16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  <x:c r="AA161" s="4"/>
      <x:c r="AB161" s="4"/>
      <x:c r="AC161" s="4"/>
      <x:c r="AD161" s="4"/>
      <x:c r="AE161" s="4"/>
    </x:row>
    <x:row r="162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  <x:c r="AA162" s="4"/>
      <x:c r="AB162" s="4"/>
      <x:c r="AC162" s="4"/>
      <x:c r="AD162" s="4"/>
      <x:c r="AE162" s="4"/>
    </x:row>
    <x:row r="163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  <x:c r="AA163" s="4"/>
      <x:c r="AB163" s="4"/>
      <x:c r="AC163" s="4"/>
      <x:c r="AD163" s="4"/>
      <x:c r="AE163" s="4"/>
    </x:row>
    <x:row r="164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  <x:c r="AA164" s="4"/>
      <x:c r="AB164" s="4"/>
      <x:c r="AC164" s="4"/>
      <x:c r="AD164" s="4"/>
      <x:c r="AE164" s="4"/>
    </x:row>
    <x:row r="165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  <x:c r="AA165" s="4"/>
      <x:c r="AB165" s="4"/>
      <x:c r="AC165" s="4"/>
      <x:c r="AD165" s="4"/>
      <x:c r="AE165" s="4"/>
    </x:row>
    <x:row r="166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  <x:c r="AA166" s="4"/>
      <x:c r="AB166" s="4"/>
      <x:c r="AC166" s="4"/>
      <x:c r="AD166" s="4"/>
      <x:c r="AE166" s="4"/>
    </x:row>
    <x:row r="167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  <x:c r="AA167" s="4"/>
      <x:c r="AB167" s="4"/>
      <x:c r="AC167" s="4"/>
      <x:c r="AD167" s="4"/>
      <x:c r="AE167" s="4"/>
    </x:row>
    <x:row r="168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  <x:c r="AA168" s="4"/>
      <x:c r="AB168" s="4"/>
      <x:c r="AC168" s="4"/>
      <x:c r="AD168" s="4"/>
      <x:c r="AE168" s="4"/>
    </x:row>
    <x:row r="169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  <x:c r="AA169" s="4"/>
      <x:c r="AB169" s="4"/>
      <x:c r="AC169" s="4"/>
      <x:c r="AD169" s="4"/>
      <x:c r="AE169" s="4"/>
    </x:row>
    <x:row r="170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  <x:c r="AA170" s="4"/>
      <x:c r="AB170" s="4"/>
      <x:c r="AC170" s="4"/>
      <x:c r="AD170" s="4"/>
      <x:c r="AE170" s="4"/>
    </x:row>
    <x:row r="17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  <x:c r="AA171" s="4"/>
      <x:c r="AB171" s="4"/>
      <x:c r="AC171" s="4"/>
      <x:c r="AD171" s="4"/>
      <x:c r="AE171" s="4"/>
    </x:row>
    <x:row r="172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  <x:c r="AA172" s="4"/>
      <x:c r="AB172" s="4"/>
      <x:c r="AC172" s="4"/>
      <x:c r="AD172" s="4"/>
      <x:c r="AE172" s="4"/>
    </x:row>
    <x:row r="173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  <x:c r="AA173" s="4"/>
      <x:c r="AB173" s="4"/>
      <x:c r="AC173" s="4"/>
      <x:c r="AD173" s="4"/>
      <x:c r="AE173" s="4"/>
    </x:row>
    <x:row r="174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  <x:c r="AA174" s="4"/>
      <x:c r="AB174" s="4"/>
      <x:c r="AC174" s="4"/>
      <x:c r="AD174" s="4"/>
      <x:c r="AE174" s="4"/>
    </x:row>
    <x:row r="175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  <x:c r="AA175" s="4"/>
      <x:c r="AB175" s="4"/>
      <x:c r="AC175" s="4"/>
      <x:c r="AD175" s="4"/>
      <x:c r="AE175" s="4"/>
    </x:row>
    <x:row r="176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  <x:c r="AA176" s="4"/>
      <x:c r="AB176" s="4"/>
      <x:c r="AC176" s="4"/>
      <x:c r="AD176" s="4"/>
      <x:c r="AE176" s="4"/>
    </x:row>
    <x:row r="177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  <x:c r="AA177" s="4"/>
      <x:c r="AB177" s="4"/>
      <x:c r="AC177" s="4"/>
      <x:c r="AD177" s="4"/>
      <x:c r="AE177" s="4"/>
    </x:row>
    <x:row r="178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  <x:c r="AA178" s="4"/>
      <x:c r="AB178" s="4"/>
      <x:c r="AC178" s="4"/>
      <x:c r="AD178" s="4"/>
      <x:c r="AE178" s="4"/>
    </x:row>
    <x:row r="179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  <x:c r="AA179" s="4"/>
      <x:c r="AB179" s="4"/>
      <x:c r="AC179" s="4"/>
      <x:c r="AD179" s="4"/>
      <x:c r="AE179" s="4"/>
    </x:row>
    <x:row r="180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  <x:c r="AA180" s="4"/>
      <x:c r="AB180" s="4"/>
      <x:c r="AC180" s="4"/>
      <x:c r="AD180" s="4"/>
      <x:c r="AE180" s="4"/>
    </x:row>
    <x:row r="18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  <x:c r="AA181" s="4"/>
      <x:c r="AB181" s="4"/>
      <x:c r="AC181" s="4"/>
      <x:c r="AD181" s="4"/>
      <x:c r="AE181" s="4"/>
    </x:row>
    <x:row r="182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  <x:c r="AA182" s="4"/>
      <x:c r="AB182" s="4"/>
      <x:c r="AC182" s="4"/>
      <x:c r="AD182" s="4"/>
      <x:c r="AE182" s="4"/>
    </x:row>
    <x:row r="183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  <x:c r="AA183" s="4"/>
      <x:c r="AB183" s="4"/>
      <x:c r="AC183" s="4"/>
      <x:c r="AD183" s="4"/>
      <x:c r="AE183" s="4"/>
    </x:row>
    <x:row r="184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  <x:c r="AA184" s="4"/>
      <x:c r="AB184" s="4"/>
      <x:c r="AC184" s="4"/>
      <x:c r="AD184" s="4"/>
      <x:c r="AE184" s="4"/>
    </x:row>
    <x:row r="185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  <x:c r="AA185" s="4"/>
      <x:c r="AB185" s="4"/>
      <x:c r="AC185" s="4"/>
      <x:c r="AD185" s="4"/>
      <x:c r="AE185" s="4"/>
    </x:row>
    <x:row r="186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  <x:c r="AA186" s="4"/>
      <x:c r="AB186" s="4"/>
      <x:c r="AC186" s="4"/>
      <x:c r="AD186" s="4"/>
      <x:c r="AE186" s="4"/>
    </x:row>
    <x:row r="187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  <x:c r="AA187" s="4"/>
      <x:c r="AB187" s="4"/>
      <x:c r="AC187" s="4"/>
      <x:c r="AD187" s="4"/>
      <x:c r="AE187" s="4"/>
    </x:row>
    <x:row r="188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  <x:c r="AA188" s="4"/>
      <x:c r="AB188" s="4"/>
      <x:c r="AC188" s="4"/>
      <x:c r="AD188" s="4"/>
      <x:c r="AE188" s="4"/>
    </x:row>
    <x:row r="189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  <x:c r="AA189" s="4"/>
      <x:c r="AB189" s="4"/>
      <x:c r="AC189" s="4"/>
      <x:c r="AD189" s="4"/>
      <x:c r="AE189" s="4"/>
    </x:row>
    <x:row r="190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  <x:c r="AA190" s="4"/>
      <x:c r="AB190" s="4"/>
      <x:c r="AC190" s="4"/>
      <x:c r="AD190" s="4"/>
      <x:c r="AE190" s="4"/>
    </x:row>
    <x:row r="19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  <x:c r="AA191" s="4"/>
      <x:c r="AB191" s="4"/>
      <x:c r="AC191" s="4"/>
      <x:c r="AD191" s="4"/>
      <x:c r="AE191" s="4"/>
    </x:row>
    <x:row r="192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  <x:c r="AA192" s="4"/>
      <x:c r="AB192" s="4"/>
      <x:c r="AC192" s="4"/>
      <x:c r="AD192" s="4"/>
      <x:c r="AE192" s="4"/>
    </x:row>
    <x:row r="193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  <x:c r="AA193" s="4"/>
      <x:c r="AB193" s="4"/>
      <x:c r="AC193" s="4"/>
      <x:c r="AD193" s="4"/>
      <x:c r="AE193" s="4"/>
    </x:row>
    <x:row r="194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  <x:c r="AA194" s="4"/>
      <x:c r="AB194" s="4"/>
      <x:c r="AC194" s="4"/>
      <x:c r="AD194" s="4"/>
      <x:c r="AE194" s="4"/>
    </x:row>
    <x:row r="195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  <x:c r="AA195" s="4"/>
      <x:c r="AB195" s="4"/>
      <x:c r="AC195" s="4"/>
      <x:c r="AD195" s="4"/>
      <x:c r="AE195" s="4"/>
    </x:row>
    <x:row r="196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  <x:c r="AA196" s="4"/>
      <x:c r="AB196" s="4"/>
      <x:c r="AC196" s="4"/>
      <x:c r="AD196" s="4"/>
      <x:c r="AE196" s="4"/>
    </x:row>
    <x:row r="197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  <x:c r="AA197" s="4"/>
      <x:c r="AB197" s="4"/>
      <x:c r="AC197" s="4"/>
      <x:c r="AD197" s="4"/>
      <x:c r="AE197" s="4"/>
    </x:row>
    <x:row r="198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  <x:c r="AA198" s="4"/>
      <x:c r="AB198" s="4"/>
      <x:c r="AC198" s="4"/>
      <x:c r="AD198" s="4"/>
      <x:c r="AE198" s="4"/>
    </x:row>
    <x:row r="199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  <x:c r="AA199" s="4"/>
      <x:c r="AB199" s="4"/>
      <x:c r="AC199" s="4"/>
      <x:c r="AD199" s="4"/>
      <x:c r="AE199" s="4"/>
    </x:row>
    <x:row r="200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  <x:c r="AA200" s="4"/>
      <x:c r="AB200" s="4"/>
      <x:c r="AC200" s="4"/>
      <x:c r="AD200" s="4"/>
      <x:c r="AE200" s="4"/>
    </x:row>
  </x:sheetData>
  <x:pageMargins left="0.7" right="0.7" top="0.75" bottom="0.75" header="0.3" footer="0.3"/>
  <x:tableParts count="1">
    <x:tablePart xmlns:r="http://schemas.openxmlformats.org/officeDocument/2006/relationships" r:id="R6d133d949b17479b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8" hidden="0" customWidth="1"/>
    <x:col min="4" max="4" width="26" hidden="0" customWidth="1"/>
    <x:col min="5" max="5" width="18" hidden="0" customWidth="1"/>
    <x:col min="6" max="6" width="28" hidden="0" customWidth="1"/>
    <x:col min="7" max="7" width="9" hidden="0" customWidth="1"/>
    <x:col min="8" max="8" width="9" hidden="0" customWidth="1"/>
    <x:col min="9" max="9" width="14" hidden="0" customWidth="1"/>
    <x:col min="10" max="10" width="22" hidden="0" customWidth="1"/>
    <x:col min="11" max="11" width="14" hidden="0" customWidth="1"/>
    <x:col min="12" max="12" width="16" hidden="0" customWidth="1"/>
    <x:col min="13" max="13" width="13" hidden="0" customWidth="1"/>
    <x:col min="14" max="14" width="16" hidden="0" customWidth="1"/>
    <x:col min="15" max="15" width="12" hidden="0" customWidth="1"/>
    <x:col min="16" max="16" width="16" hidden="0" customWidth="1"/>
    <x:col min="17" max="17" width="12" hidden="0" customWidth="1"/>
    <x:col min="18" max="18" width="24" hidden="0" customWidth="1"/>
    <x:col min="19" max="19" width="14" hidden="0" customWidth="1"/>
    <x:col min="20" max="20" width="16" hidden="0" customWidth="1"/>
    <x:col min="21" max="21" width="42" hidden="0" customWidth="1"/>
    <x:col min="22" max="22" width="44" hidden="0" customWidth="1"/>
    <x:col min="23" max="23" width="11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4" hidden="0" customWidth="1"/>
    <x:col min="30" max="30" width="16" hidden="0" customWidth="1"/>
    <x:col min="31" max="31" width="14" hidden="0" customWidth="1"/>
  </x:cols>
  <x:sheetData>
    <x:row r="1" ht="28" customHeight="1">
      <x:c r="A1" s="9" t="str">
        <x:v>Applied</x:v>
      </x:c>
      <x:c r="B1" s="9" t="str">
        <x:v>Priority</x:v>
      </x:c>
      <x:c r="C1" s="9" t="str">
        <x:v>Species Group</x:v>
      </x:c>
      <x:c r="D1" s="9" t="str">
        <x:v>Hunt Area</x:v>
      </x:c>
      <x:c r="E1" s="9" t="str">
        <x:v>Region</x:v>
      </x:c>
      <x:c r="F1" s="9" t="str">
        <x:v>Hunt Category</x:v>
      </x:c>
      <x:c r="G1" s="9" t="str">
        <x:v>Adult</x:v>
      </x:c>
      <x:c r="H1" s="9" t="str">
        <x:v>Youth</x:v>
      </x:c>
      <x:c r="I1" s="9" t="str">
        <x:v>Application Deadline</x:v>
      </x:c>
      <x:c r="J1" s="9" t="str">
        <x:v>Hunt Window</x:v>
      </x:c>
      <x:c r="K1" s="9" t="str">
        <x:v>Application Fee</x:v>
      </x:c>
      <x:c r="L1" s="9" t="str">
        <x:v>Estimated Permit Fee</x:v>
      </x:c>
      <x:c r="M1" s="9" t="str">
        <x:v>Permits/Groups</x:v>
      </x:c>
      <x:c r="N1" s="9" t="str">
        <x:v>Applicants Last Year</x:v>
      </x:c>
      <x:c r="O1" s="9" t="str">
        <x:v>Draw Odds</x:v>
      </x:c>
      <x:c r="P1" s="9" t="str">
        <x:v>Approx Miles from Amarillo</x:v>
      </x:c>
      <x:c r="Q1" s="9" t="str">
        <x:v>Drive Zone</x:v>
      </x:c>
      <x:c r="R1" s="9" t="str">
        <x:v>Camping Notes</x:v>
      </x:c>
      <x:c r="S1" s="9" t="str">
        <x:v>Backpack Rating</x:v>
      </x:c>
      <x:c r="T1" s="9" t="str">
        <x:v>Past Drawn by Hastings</x:v>
      </x:c>
      <x:c r="U1" s="9" t="str">
        <x:v>Notes</x:v>
      </x:c>
      <x:c r="V1" s="9" t="str">
        <x:v>Source URL</x:v>
      </x:c>
      <x:c r="W1" s="9" t="str">
        <x:v>Odds Score</x:v>
      </x:c>
      <x:c r="X1" s="9" t="str">
        <x:v>Distance Score</x:v>
      </x:c>
      <x:c r="Y1" s="9" t="str">
        <x:v>Youth Fit Score</x:v>
      </x:c>
      <x:c r="Z1" s="9" t="str">
        <x:v>Camping Score</x:v>
      </x:c>
      <x:c r="AA1" s="9" t="str">
        <x:v>Backpack Score</x:v>
      </x:c>
      <x:c r="AB1" s="9" t="str">
        <x:v>Past Draw Bonus</x:v>
      </x:c>
      <x:c r="AC1" s="9" t="str">
        <x:v>Hastings Score</x:v>
      </x:c>
      <x:c r="AD1" s="9" t="str">
        <x:v>Estimated Total If Drawn</x:v>
      </x:c>
      <x:c r="AE1" s="9" t="str">
        <x:v>Deadline Month</x:v>
      </x:c>
    </x:row>
    <x:row r="2">
      <x:c r="A2" s="4" t="str">
        <x:v>No</x:v>
      </x:c>
      <x:c r="B2" s="4" t="str">
        <x:v>A</x:v>
      </x:c>
      <x:c r="C2" s="4" t="str">
        <x:v>Feral Hog</x:v>
      </x:c>
      <x:c r="D2" s="4" t="str">
        <x:v>Gene Howe WMA</x:v>
      </x:c>
      <x:c r="E2" s="4" t="str">
        <x:v>Panhandle/Rolling Plains</x:v>
      </x:c>
      <x:c r="F2" s="4" t="str">
        <x:v>Feral Hog</x:v>
      </x:c>
      <x:c r="G2" s="4" t="str">
        <x:v>Yes</x:v>
      </x:c>
      <x:c r="H2" s="4" t="str">
        <x:v>Yes</x:v>
      </x:c>
      <x:c r="I2" s="4" t="str">
        <x:v>2026-11-01</x:v>
      </x:c>
      <x:c r="J2" s="4" t="str">
        <x:v>Feb 20-24, 2027</x:v>
      </x:c>
      <x:c r="K2" s="4" t="n">
        <x:v>3</x:v>
      </x:c>
      <x:c r="L2" s="4" t="n">
        <x:v>130</x:v>
      </x:c>
      <x:c r="M2" s="4" t="n">
        <x:v>6</x:v>
      </x:c>
      <x:c r="N2" s="4" t="n">
        <x:v>344</x:v>
      </x:c>
      <x:c r="O2" s="4" t="n">
        <x:v>0.33</x:v>
      </x:c>
      <x:c r="P2" s="4" t="n">
        <x:v>132</x:v>
      </x:c>
      <x:c r="Q2" s="4" t="str">
        <x:v>Core</x:v>
      </x:c>
      <x:c r="R2" s="4" t="str">
        <x:v>Primitive camping nearby</x:v>
      </x:c>
      <x:c r="S2" s="4" t="str">
        <x:v>Medium</x:v>
      </x:c>
      <x:c r="T2" s="4" t="str">
        <x:v>No</x:v>
      </x:c>
      <x:c r="U2" s="4" t="str">
        <x:v>TPWD listed 344 applicants, 6 groups, 33% success rate last year.</x:v>
      </x:c>
      <x:c r="V2" s="4" t="str">
        <x:v>https://tpwd.texas.gov/huntwild/hunt/public/public_hunt_drawing/hunt-category-details.phtml?OCat=GFH</x:v>
      </x:c>
      <x:c r="W2" s="4" t="n">
        <x:v>4</x:v>
      </x:c>
      <x:c r="X2" s="4" t="n">
        <x:v>4</x:v>
      </x:c>
      <x:c r="Y2" s="4" t="n">
        <x:v>5</x:v>
      </x:c>
      <x:c r="Z2" s="4" t="n">
        <x:v>4</x:v>
      </x:c>
      <x:c r="AA2" s="4" t="n">
        <x:v>3</x:v>
      </x:c>
      <x:c r="AB2" s="4" t="n">
        <x:v>0</x:v>
      </x:c>
      <x:c r="AC2" s="4" t="n">
        <x:v>3.7</x:v>
      </x:c>
      <x:c r="AD2" s="4" t="n">
        <x:v>133</x:v>
      </x:c>
      <x:c r="AE2" s="4" t="str">
        <x:v>11</x:v>
      </x:c>
    </x:row>
    <x:row r="3">
      <x:c r="A3" s="4" t="str">
        <x:v>No</x:v>
      </x:c>
      <x:c r="B3" s="4" t="str">
        <x:v>A</x:v>
      </x:c>
      <x:c r="C3" s="4" t="str">
        <x:v>Feral Hog</x:v>
      </x:c>
      <x:c r="D3" s="4" t="str">
        <x:v>Matador WMA</x:v>
      </x:c>
      <x:c r="E3" s="4" t="str">
        <x:v>Rolling Plains</x:v>
      </x:c>
      <x:c r="F3" s="4" t="str">
        <x:v>Youth Only Feral Hog</x:v>
      </x:c>
      <x:c r="G3" s="4" t="str">
        <x:v>No</x:v>
      </x:c>
      <x:c r="H3" s="4" t="str">
        <x:v>Yes</x:v>
      </x:c>
      <x:c r="I3" s="4" t="str">
        <x:v>2026-11-01</x:v>
      </x:c>
      <x:c r="J3" s="4" t="str">
        <x:v>Mar 6-7, 2027</x:v>
      </x:c>
      <x:c r="K3" s="4" t="n">
        <x:v>0</x:v>
      </x:c>
      <x:c r="L3" s="4" t="n">
        <x:v>0</x:v>
      </x:c>
      <x:c r="M3" s="4" t="n">
        <x:v>26</x:v>
      </x:c>
      <x:c r="N3" s="4" t="n">
        <x:v>347</x:v>
      </x:c>
      <x:c r="O3" s="4" t="n">
        <x:v>0.18</x:v>
      </x:c>
      <x:c r="P3" s="4" t="n">
        <x:v>105</x:v>
      </x:c>
      <x:c r="Q3" s="4" t="str">
        <x:v>Core</x:v>
      </x:c>
      <x:c r="R3" s="4" t="str">
        <x:v>Primitive camping</x:v>
      </x:c>
      <x:c r="S3" s="4" t="str">
        <x:v>High</x:v>
      </x:c>
      <x:c r="T3" s="4" t="str">
        <x:v>No</x:v>
      </x:c>
      <x:c r="U3" s="4" t="str">
        <x:v>TPWD youth hog page listed 18% last-year success for Matador.</x:v>
      </x:c>
      <x:c r="V3" s="4" t="str">
        <x:v>https://tpwd.texas.gov/huntwild/hunt/public/public_hunt_drawing/hunt-category-details.phtml?OCat=YFH</x:v>
      </x:c>
      <x:c r="W3" s="4" t="n">
        <x:v>3</x:v>
      </x:c>
      <x:c r="X3" s="4" t="n">
        <x:v>4</x:v>
      </x:c>
      <x:c r="Y3" s="4" t="n">
        <x:v>5</x:v>
      </x:c>
      <x:c r="Z3" s="4" t="n">
        <x:v>4</x:v>
      </x:c>
      <x:c r="AA3" s="4" t="n">
        <x:v>5</x:v>
      </x:c>
      <x:c r="AB3" s="4" t="n">
        <x:v>0</x:v>
      </x:c>
      <x:c r="AC3" s="4" t="n">
        <x:v>3.5</x:v>
      </x:c>
      <x:c r="AD3" s="4" t="n">
        <x:v>0</x:v>
      </x:c>
      <x:c r="AE3" s="4" t="str">
        <x:v>11</x:v>
      </x:c>
    </x:row>
    <x:row r="4">
      <x:c r="A4" s="4" t="str">
        <x:v>No</x:v>
      </x:c>
      <x:c r="B4" s="4" t="str">
        <x:v>A</x:v>
      </x:c>
      <x:c r="C4" s="4" t="str">
        <x:v>Feral Hog</x:v>
      </x:c>
      <x:c r="D4" s="4" t="str">
        <x:v>Matador WMA</x:v>
      </x:c>
      <x:c r="E4" s="4" t="str">
        <x:v>Rolling Plains</x:v>
      </x:c>
      <x:c r="F4" s="4" t="str">
        <x:v>Feral Hog</x:v>
      </x:c>
      <x:c r="G4" s="4" t="str">
        <x:v>Yes</x:v>
      </x:c>
      <x:c r="H4" s="4" t="str">
        <x:v>Yes</x:v>
      </x:c>
      <x:c r="I4" s="4" t="str">
        <x:v>2026-11-01</x:v>
      </x:c>
      <x:c r="J4" s="4" t="str">
        <x:v>Mar 8-12, 2027</x:v>
      </x:c>
      <x:c r="K4" s="4" t="n">
        <x:v>3</x:v>
      </x:c>
      <x:c r="L4" s="4" t="n">
        <x:v>130</x:v>
      </x:c>
      <x:c r="M4" s="4" t="n">
        <x:v>21</x:v>
      </x:c>
      <x:c r="N4" s="4"/>
      <x:c r="O4" s="4"/>
      <x:c r="P4" s="4" t="n">
        <x:v>105</x:v>
      </x:c>
      <x:c r="Q4" s="4" t="str">
        <x:v>Core</x:v>
      </x:c>
      <x:c r="R4" s="4" t="str">
        <x:v>Primitive camping</x:v>
      </x:c>
      <x:c r="S4" s="4" t="str">
        <x:v>High</x:v>
      </x:c>
      <x:c r="T4" s="4" t="str">
        <x:v>No</x:v>
      </x:c>
      <x:c r="U4" s="4" t="str">
        <x:v>Good off-season opportunity; unlimited hogs/coyotes.</x:v>
      </x:c>
      <x:c r="V4" s="4" t="str">
        <x:v>https://tpwd.texas.gov/huntwild/hunt/public/public_hunt_drawing/hunt-category-details.phtml?OCat=GFH</x:v>
      </x:c>
      <x:c r="W4" s="4" t="n">
        <x:v>2</x:v>
      </x:c>
      <x:c r="X4" s="4" t="n">
        <x:v>4</x:v>
      </x:c>
      <x:c r="Y4" s="4" t="n">
        <x:v>5</x:v>
      </x:c>
      <x:c r="Z4" s="4" t="n">
        <x:v>4</x:v>
      </x:c>
      <x:c r="AA4" s="4" t="n">
        <x:v>5</x:v>
      </x:c>
      <x:c r="AB4" s="4" t="n">
        <x:v>0</x:v>
      </x:c>
      <x:c r="AC4" s="4" t="n">
        <x:v>3.2</x:v>
      </x:c>
      <x:c r="AD4" s="4" t="n">
        <x:v>133</x:v>
      </x:c>
      <x:c r="AE4" s="4" t="str">
        <x:v>11</x:v>
      </x:c>
    </x:row>
    <x:row r="5">
      <x:c r="A5" s="4" t="str">
        <x:v>No</x:v>
      </x:c>
      <x:c r="B5" s="4" t="str">
        <x:v>A</x:v>
      </x:c>
      <x:c r="C5" s="4" t="str">
        <x:v>Feral Hog</x:v>
      </x:c>
      <x:c r="D5" s="4" t="str">
        <x:v>Teacup Mountain WMA</x:v>
      </x:c>
      <x:c r="E5" s="4" t="str">
        <x:v>Rolling Plains</x:v>
      </x:c>
      <x:c r="F5" s="4" t="str">
        <x:v>Youth Only Feral Hog</x:v>
      </x:c>
      <x:c r="G5" s="4" t="str">
        <x:v>No</x:v>
      </x:c>
      <x:c r="H5" s="4" t="str">
        <x:v>Yes</x:v>
      </x:c>
      <x:c r="I5" s="4" t="str">
        <x:v>2026-11-01</x:v>
      </x:c>
      <x:c r="J5" s="4" t="str">
        <x:v>Mar 13-14, 2027</x:v>
      </x:c>
      <x:c r="K5" s="4" t="n">
        <x:v>0</x:v>
      </x:c>
      <x:c r="L5" s="4" t="n">
        <x:v>0</x:v>
      </x:c>
      <x:c r="M5" s="4" t="n">
        <x:v>8</x:v>
      </x:c>
      <x:c r="N5" s="4"/>
      <x:c r="O5" s="4"/>
      <x:c r="P5" s="4" t="n">
        <x:v>145</x:v>
      </x:c>
      <x:c r="Q5" s="4" t="str">
        <x:v>Core</x:v>
      </x:c>
      <x:c r="R5" s="4" t="str">
        <x:v>Primitive camping</x:v>
      </x:c>
      <x:c r="S5" s="4" t="str">
        <x:v>High</x:v>
      </x:c>
      <x:c r="T5" s="4" t="str">
        <x:v>No</x:v>
      </x:c>
      <x:c r="U5" s="4" t="str">
        <x:v>Free youth application; close enough to be worth it.</x:v>
      </x:c>
      <x:c r="V5" s="4" t="str">
        <x:v>https://tpwd.texas.gov/huntwild/hunt/public/public_hunt_drawing/hunt-category-details.phtml?OCat=YFH</x:v>
      </x:c>
      <x:c r="W5" s="4" t="n">
        <x:v>2</x:v>
      </x:c>
      <x:c r="X5" s="4" t="n">
        <x:v>4</x:v>
      </x:c>
      <x:c r="Y5" s="4" t="n">
        <x:v>5</x:v>
      </x:c>
      <x:c r="Z5" s="4" t="n">
        <x:v>4</x:v>
      </x:c>
      <x:c r="AA5" s="4" t="n">
        <x:v>5</x:v>
      </x:c>
      <x:c r="AB5" s="4" t="n">
        <x:v>0</x:v>
      </x:c>
      <x:c r="AC5" s="4" t="n">
        <x:v>3.2</x:v>
      </x:c>
      <x:c r="AD5" s="4" t="n">
        <x:v>0</x:v>
      </x:c>
      <x:c r="AE5" s="4" t="str">
        <x:v>11</x:v>
      </x:c>
    </x:row>
    <x:row r="6">
      <x:c r="A6" s="4" t="str">
        <x:v>No</x:v>
      </x:c>
      <x:c r="B6" s="4" t="str">
        <x:v>A</x:v>
      </x:c>
      <x:c r="C6" s="4" t="str">
        <x:v>Feral Hog</x:v>
      </x:c>
      <x:c r="D6" s="4" t="str">
        <x:v>Teacup Mountain WMA</x:v>
      </x:c>
      <x:c r="E6" s="4" t="str">
        <x:v>Rolling Plains</x:v>
      </x:c>
      <x:c r="F6" s="4" t="str">
        <x:v>Feral Hog</x:v>
      </x:c>
      <x:c r="G6" s="4" t="str">
        <x:v>Yes</x:v>
      </x:c>
      <x:c r="H6" s="4" t="str">
        <x:v>Yes</x:v>
      </x:c>
      <x:c r="I6" s="4" t="str">
        <x:v>2026-11-01</x:v>
      </x:c>
      <x:c r="J6" s="4" t="str">
        <x:v>Mar 1-5 / Mar 8-12, 2027</x:v>
      </x:c>
      <x:c r="K6" s="4" t="n">
        <x:v>3</x:v>
      </x:c>
      <x:c r="L6" s="4" t="n">
        <x:v>0</x:v>
      </x:c>
      <x:c r="M6" s="4" t="n">
        <x:v>16</x:v>
      </x:c>
      <x:c r="N6" s="4"/>
      <x:c r="O6" s="4"/>
      <x:c r="P6" s="4" t="n">
        <x:v>145</x:v>
      </x:c>
      <x:c r="Q6" s="4" t="str">
        <x:v>Core</x:v>
      </x:c>
      <x:c r="R6" s="4" t="str">
        <x:v>Primitive camping</x:v>
      </x:c>
      <x:c r="S6" s="4" t="str">
        <x:v>High</x:v>
      </x:c>
      <x:c r="T6" s="4" t="str">
        <x:v>No</x:v>
      </x:c>
      <x:c r="U6" s="4" t="str">
        <x:v>Adult permit fee listed as $0 on TPWD hog category page.</x:v>
      </x:c>
      <x:c r="V6" s="4" t="str">
        <x:v>https://tpwd.texas.gov/huntwild/hunt/public/public_hunt_drawing/hunt-category-details.phtml?OCat=GFH</x:v>
      </x:c>
      <x:c r="W6" s="4" t="n">
        <x:v>2</x:v>
      </x:c>
      <x:c r="X6" s="4" t="n">
        <x:v>4</x:v>
      </x:c>
      <x:c r="Y6" s="4" t="n">
        <x:v>5</x:v>
      </x:c>
      <x:c r="Z6" s="4" t="n">
        <x:v>4</x:v>
      </x:c>
      <x:c r="AA6" s="4" t="n">
        <x:v>5</x:v>
      </x:c>
      <x:c r="AB6" s="4" t="n">
        <x:v>0</x:v>
      </x:c>
      <x:c r="AC6" s="4" t="n">
        <x:v>3.2</x:v>
      </x:c>
      <x:c r="AD6" s="4" t="n">
        <x:v>3</x:v>
      </x:c>
      <x:c r="AE6" s="4" t="str">
        <x:v>11</x:v>
      </x:c>
    </x:row>
    <x:row r="7">
      <x:c r="A7" s="4" t="str">
        <x:v>No</x:v>
      </x:c>
      <x:c r="B7" s="4" t="str">
        <x:v>B</x:v>
      </x:c>
      <x:c r="C7" s="4" t="str">
        <x:v>Feral Hog</x:v>
      </x:c>
      <x:c r="D7" s="4" t="str">
        <x:v>Cooper WMA</x:v>
      </x:c>
      <x:c r="E7" s="4" t="str">
        <x:v>DFW/North Texas</x:v>
      </x:c>
      <x:c r="F7" s="4" t="str">
        <x:v>Feral Hog / E-Postcard Hog if offered</x:v>
      </x:c>
      <x:c r="G7" s="4" t="str">
        <x:v>Yes</x:v>
      </x:c>
      <x:c r="H7" s="4" t="str">
        <x:v>Yes</x:v>
      </x:c>
      <x:c r="I7" s="4" t="str">
        <x:v>2026-11-01</x:v>
      </x:c>
      <x:c r="J7" s="4" t="str">
        <x:v>Winter 2027 varies</x:v>
      </x:c>
      <x:c r="K7" s="4" t="n">
        <x:v>3</x:v>
      </x:c>
      <x:c r="L7" s="4" t="n">
        <x:v>80</x:v>
      </x:c>
      <x:c r="M7" s="4"/>
      <x:c r="N7" s="4"/>
      <x:c r="O7" s="4"/>
      <x:c r="P7" s="4" t="n">
        <x:v>355</x:v>
      </x:c>
      <x:c r="Q7" s="4" t="str">
        <x:v>DFW</x:v>
      </x:c>
      <x:c r="R7" s="4" t="str">
        <x:v>Nearby state park/lake camping</x:v>
      </x:c>
      <x:c r="S7" s="4" t="str">
        <x:v>Low</x:v>
      </x:c>
      <x:c r="T7" s="4" t="str">
        <x:v>No</x:v>
      </x:c>
      <x:c r="U7" s="4" t="str">
        <x:v>DFW expansion opportunity; verify exact hunt category before applying.</x:v>
      </x:c>
      <x:c r="V7" s="4" t="str">
        <x:v>https://tpwd.texas.gov/huntwild/hunt/public/public_hunt_drawing/hunt-area-details.phtml?OArea=CP</x:v>
      </x:c>
      <x:c r="W7" s="4" t="n">
        <x:v>2</x:v>
      </x:c>
      <x:c r="X7" s="4" t="n">
        <x:v>2</x:v>
      </x:c>
      <x:c r="Y7" s="4" t="n">
        <x:v>5</x:v>
      </x:c>
      <x:c r="Z7" s="4" t="n">
        <x:v>3</x:v>
      </x:c>
      <x:c r="AA7" s="4" t="n">
        <x:v>1</x:v>
      </x:c>
      <x:c r="AB7" s="4" t="n">
        <x:v>0</x:v>
      </x:c>
      <x:c r="AC7" s="4" t="n">
        <x:v>2.4</x:v>
      </x:c>
      <x:c r="AD7" s="4" t="n">
        <x:v>83</x:v>
      </x:c>
      <x:c r="AE7" s="4" t="str">
        <x:v>11</x:v>
      </x:c>
    </x:row>
    <x:row r="8">
      <x:c r="A8" s="4" t="str">
        <x:v>No</x:v>
      </x:c>
      <x:c r="B8" s="4" t="str">
        <x:v>C</x:v>
      </x:c>
      <x:c r="C8" s="4" t="str">
        <x:v>Feral Hog</x:v>
      </x:c>
      <x:c r="D8" s="4" t="str">
        <x:v>Gus Engeling WMA</x:v>
      </x:c>
      <x:c r="E8" s="4" t="str">
        <x:v>East TX Stretch</x:v>
      </x:c>
      <x:c r="F8" s="4" t="str">
        <x:v>Feral Hog / Deer</x:v>
      </x:c>
      <x:c r="G8" s="4" t="str">
        <x:v>Yes</x:v>
      </x:c>
      <x:c r="H8" s="4" t="str">
        <x:v>Yes</x:v>
      </x:c>
      <x:c r="I8" s="4" t="str">
        <x:v>2026-09-15</x:v>
      </x:c>
      <x:c r="J8" s="4" t="str">
        <x:v>Winter 2027 varies</x:v>
      </x:c>
      <x:c r="K8" s="4" t="n">
        <x:v>3</x:v>
      </x:c>
      <x:c r="L8" s="4" t="n">
        <x:v>80</x:v>
      </x:c>
      <x:c r="M8" s="4"/>
      <x:c r="N8" s="4"/>
      <x:c r="O8" s="4"/>
      <x:c r="P8" s="4" t="n">
        <x:v>470</x:v>
      </x:c>
      <x:c r="Q8" s="4" t="str">
        <x:v>Stretch</x:v>
      </x:c>
      <x:c r="R8" s="4" t="str">
        <x:v>Primitive/nearby camping</x:v>
      </x:c>
      <x:c r="S8" s="4" t="str">
        <x:v>Medium</x:v>
      </x:c>
      <x:c r="T8" s="4" t="str">
        <x:v>No</x:v>
      </x:c>
      <x:c r="U8" s="4" t="str">
        <x:v>Farther stretch; potentially good hog/deer diversity.</x:v>
      </x:c>
      <x:c r="V8" s="4" t="str">
        <x:v>https://tpwd.texas.gov/huntwild/hunt/public/public_hunt_drawing/hunt-area-details.phtml?OArea=GU</x:v>
      </x:c>
      <x:c r="W8" s="4" t="n">
        <x:v>2</x:v>
      </x:c>
      <x:c r="X8" s="4" t="n">
        <x:v>1</x:v>
      </x:c>
      <x:c r="Y8" s="4" t="n">
        <x:v>5</x:v>
      </x:c>
      <x:c r="Z8" s="4" t="n">
        <x:v>4</x:v>
      </x:c>
      <x:c r="AA8" s="4" t="n">
        <x:v>3</x:v>
      </x:c>
      <x:c r="AB8" s="4" t="n">
        <x:v>0</x:v>
      </x:c>
      <x:c r="AC8" s="4" t="n">
        <x:v>2.5</x:v>
      </x:c>
      <x:c r="AD8" s="4" t="n">
        <x:v>83</x:v>
      </x:c>
      <x:c r="AE8" s="4" t="str">
        <x:v>09</x:v>
      </x:c>
    </x:row>
    <x:row r="9">
      <x:c r="A9" s="4" t="str">
        <x:v>No</x:v>
      </x:c>
      <x:c r="B9" s="4" t="str">
        <x:v>C</x:v>
      </x:c>
      <x:c r="C9" s="4" t="str">
        <x:v>Feral Hog</x:v>
      </x:c>
      <x:c r="D9" s="4" t="str">
        <x:v>Fort Boggy SP</x:v>
      </x:c>
      <x:c r="E9" s="4" t="str">
        <x:v>East TX Stretch</x:v>
      </x:c>
      <x:c r="F9" s="4" t="str">
        <x:v>Feral Hog</x:v>
      </x:c>
      <x:c r="G9" s="4" t="str">
        <x:v>Yes</x:v>
      </x:c>
      <x:c r="H9" s="4" t="str">
        <x:v>Yes</x:v>
      </x:c>
      <x:c r="I9" s="4" t="str">
        <x:v>2026-11-01</x:v>
      </x:c>
      <x:c r="J9" s="4" t="str">
        <x:v>Jan 18-22, 2027</x:v>
      </x:c>
      <x:c r="K9" s="4" t="n">
        <x:v>3</x:v>
      </x:c>
      <x:c r="L9" s="4" t="n">
        <x:v>130</x:v>
      </x:c>
      <x:c r="M9" s="4" t="n">
        <x:v>5</x:v>
      </x:c>
      <x:c r="N9" s="4" t="n">
        <x:v>296</x:v>
      </x:c>
      <x:c r="O9" s="4" t="n">
        <x:v>0.2</x:v>
      </x:c>
      <x:c r="P9" s="4" t="n">
        <x:v>465</x:v>
      </x:c>
      <x:c r="Q9" s="4" t="str">
        <x:v>Stretch</x:v>
      </x:c>
      <x:c r="R9" s="4" t="str">
        <x:v>State park camping</x:v>
      </x:c>
      <x:c r="S9" s="4" t="str">
        <x:v>Low</x:v>
      </x:c>
      <x:c r="T9" s="4" t="str">
        <x:v>No</x:v>
      </x:c>
      <x:c r="U9" s="4" t="str">
        <x:v>TPWD listed 296 applicants, 5 permits, 20% success rate last year.</x:v>
      </x:c>
      <x:c r="V9" s="4" t="str">
        <x:v>https://tpwd.texas.gov/huntwild/hunt/public/public_hunt_drawing/hunt-category-details.phtml?OCat=GFH</x:v>
      </x:c>
      <x:c r="W9" s="4" t="n">
        <x:v>3</x:v>
      </x:c>
      <x:c r="X9" s="4" t="n">
        <x:v>1</x:v>
      </x:c>
      <x:c r="Y9" s="4" t="n">
        <x:v>5</x:v>
      </x:c>
      <x:c r="Z9" s="4" t="n">
        <x:v>5</x:v>
      </x:c>
      <x:c r="AA9" s="4" t="n">
        <x:v>1</x:v>
      </x:c>
      <x:c r="AB9" s="4" t="n">
        <x:v>0</x:v>
      </x:c>
      <x:c r="AC9" s="4" t="n">
        <x:v>2.8</x:v>
      </x:c>
      <x:c r="AD9" s="4" t="n">
        <x:v>133</x:v>
      </x:c>
      <x:c r="AE9" s="4" t="str">
        <x:v>11</x:v>
      </x:c>
    </x:row>
    <x:row r="10">
      <x:c r="A10" s="4" t="str">
        <x:v>No</x:v>
      </x:c>
      <x:c r="B10" s="4" t="str">
        <x:v>C</x:v>
      </x:c>
      <x:c r="C10" s="4" t="str">
        <x:v>Feral Hog</x:v>
      </x:c>
      <x:c r="D10" s="4" t="str">
        <x:v>Justin Hurst WMA</x:v>
      </x:c>
      <x:c r="E10" s="4" t="str">
        <x:v>Far Stretch</x:v>
      </x:c>
      <x:c r="F10" s="4" t="str">
        <x:v>Youth Only Feral Hog</x:v>
      </x:c>
      <x:c r="G10" s="4" t="str">
        <x:v>No</x:v>
      </x:c>
      <x:c r="H10" s="4" t="str">
        <x:v>Yes</x:v>
      </x:c>
      <x:c r="I10" s="4" t="str">
        <x:v>2026-11-01</x:v>
      </x:c>
      <x:c r="J10" s="4" t="str">
        <x:v>Feb 6-7, 2027</x:v>
      </x:c>
      <x:c r="K10" s="4" t="n">
        <x:v>0</x:v>
      </x:c>
      <x:c r="L10" s="4" t="n">
        <x:v>0</x:v>
      </x:c>
      <x:c r="M10" s="4" t="n">
        <x:v>30</x:v>
      </x:c>
      <x:c r="N10" s="4" t="n">
        <x:v>529</x:v>
      </x:c>
      <x:c r="O10" s="4" t="n">
        <x:v>0.62</x:v>
      </x:c>
      <x:c r="P10" s="4" t="n">
        <x:v>630</x:v>
      </x:c>
      <x:c r="Q10" s="4" t="str">
        <x:v>Dream/Long</x:v>
      </x:c>
      <x:c r="R10" s="4" t="str">
        <x:v>Primitive/nearby lodging</x:v>
      </x:c>
      <x:c r="S10" s="4" t="str">
        <x:v>Medium</x:v>
      </x:c>
      <x:c r="T10" s="4" t="str">
        <x:v>No</x:v>
      </x:c>
      <x:c r="U10" s="4" t="str">
        <x:v>Not near DFW, but high youth hog draw odds from TPWD make it a dream/long option.</x:v>
      </x:c>
      <x:c r="V10" s="4" t="str">
        <x:v>https://tpwd.texas.gov/huntwild/hunt/public/public_hunt_drawing/hunt-category-details.phtml?OCat=YFH</x:v>
      </x:c>
      <x:c r="W10" s="4" t="n">
        <x:v>5</x:v>
      </x:c>
      <x:c r="X10" s="4" t="n">
        <x:v>1</x:v>
      </x:c>
      <x:c r="Y10" s="4" t="n">
        <x:v>5</x:v>
      </x:c>
      <x:c r="Z10" s="4" t="n">
        <x:v>4</x:v>
      </x:c>
      <x:c r="AA10" s="4" t="n">
        <x:v>3</x:v>
      </x:c>
      <x:c r="AB10" s="4" t="n">
        <x:v>0</x:v>
      </x:c>
      <x:c r="AC10" s="4" t="n">
        <x:v>3.6</x:v>
      </x:c>
      <x:c r="AD10" s="4" t="n">
        <x:v>0</x:v>
      </x:c>
      <x:c r="AE10" s="4" t="str">
        <x:v>11</x:v>
      </x:c>
    </x:row>
    <x:row r="11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  <x:c r="AA11" s="4"/>
      <x:c r="AB11" s="4"/>
      <x:c r="AC11" s="4"/>
      <x:c r="AD11" s="4"/>
      <x:c r="AE11" s="4"/>
    </x:row>
    <x:row r="12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  <x:c r="AA12" s="4"/>
      <x:c r="AB12" s="4"/>
      <x:c r="AC12" s="4"/>
      <x:c r="AD12" s="4"/>
      <x:c r="AE12" s="4"/>
    </x:row>
    <x:row r="13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  <x:c r="AA13" s="4"/>
      <x:c r="AB13" s="4"/>
      <x:c r="AC13" s="4"/>
      <x:c r="AD13" s="4"/>
      <x:c r="AE13" s="4"/>
    </x:row>
    <x:row r="14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  <x:c r="AA14" s="4"/>
      <x:c r="AB14" s="4"/>
      <x:c r="AC14" s="4"/>
      <x:c r="AD14" s="4"/>
      <x:c r="AE14" s="4"/>
    </x:row>
    <x:row r="15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  <x:c r="AA15" s="4"/>
      <x:c r="AB15" s="4"/>
      <x:c r="AC15" s="4"/>
      <x:c r="AD15" s="4"/>
      <x:c r="AE15" s="4"/>
    </x:row>
    <x:row r="16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  <x:c r="AA16" s="4"/>
      <x:c r="AB16" s="4"/>
      <x:c r="AC16" s="4"/>
      <x:c r="AD16" s="4"/>
      <x:c r="AE16" s="4"/>
    </x:row>
    <x:row r="17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/>
      <x:c r="AB17" s="4"/>
      <x:c r="AC17" s="4"/>
      <x:c r="AD17" s="4"/>
      <x:c r="AE17" s="4"/>
    </x:row>
    <x:row r="18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  <x:c r="AA18" s="4"/>
      <x:c r="AB18" s="4"/>
      <x:c r="AC18" s="4"/>
      <x:c r="AD18" s="4"/>
      <x:c r="AE18" s="4"/>
    </x:row>
    <x:row r="19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  <x:c r="AA20" s="4"/>
      <x:c r="AB20" s="4"/>
      <x:c r="AC20" s="4"/>
      <x:c r="AD20" s="4"/>
      <x:c r="AE20" s="4"/>
    </x:row>
    <x:row r="2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  <x:c r="AA21" s="4"/>
      <x:c r="AB21" s="4"/>
      <x:c r="AC21" s="4"/>
      <x:c r="AD21" s="4"/>
      <x:c r="AE21" s="4"/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  <x:c r="AA22" s="4"/>
      <x:c r="AB22" s="4"/>
      <x:c r="AC22" s="4"/>
      <x:c r="AD22" s="4"/>
      <x:c r="AE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  <x:c r="AA23" s="4"/>
      <x:c r="AB23" s="4"/>
      <x:c r="AC23" s="4"/>
      <x:c r="AD23" s="4"/>
      <x:c r="AE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  <x:c r="AA24" s="4"/>
      <x:c r="AB24" s="4"/>
      <x:c r="AC24" s="4"/>
      <x:c r="AD24" s="4"/>
      <x:c r="AE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  <x:c r="AA25" s="4"/>
      <x:c r="AB25" s="4"/>
      <x:c r="AC25" s="4"/>
      <x:c r="AD25" s="4"/>
      <x:c r="AE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  <x:c r="AA26" s="4"/>
      <x:c r="AB26" s="4"/>
      <x:c r="AC26" s="4"/>
      <x:c r="AD26" s="4"/>
      <x:c r="AE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  <x:c r="AA27" s="4"/>
      <x:c r="AB27" s="4"/>
      <x:c r="AC27" s="4"/>
      <x:c r="AD27" s="4"/>
      <x:c r="AE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  <x:c r="AA28" s="4"/>
      <x:c r="AB28" s="4"/>
      <x:c r="AC28" s="4"/>
      <x:c r="AD28" s="4"/>
      <x:c r="AE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  <x:c r="AA29" s="4"/>
      <x:c r="AB29" s="4"/>
      <x:c r="AC29" s="4"/>
      <x:c r="AD29" s="4"/>
      <x:c r="AE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  <x:c r="AA30" s="4"/>
      <x:c r="AB30" s="4"/>
      <x:c r="AC30" s="4"/>
      <x:c r="AD30" s="4"/>
      <x:c r="AE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  <x:c r="AA31" s="4"/>
      <x:c r="AB31" s="4"/>
      <x:c r="AC31" s="4"/>
      <x:c r="AD31" s="4"/>
      <x:c r="AE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  <x:c r="AA32" s="4"/>
      <x:c r="AB32" s="4"/>
      <x:c r="AC32" s="4"/>
      <x:c r="AD32" s="4"/>
      <x:c r="AE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  <x:c r="AA33" s="4"/>
      <x:c r="AB33" s="4"/>
      <x:c r="AC33" s="4"/>
      <x:c r="AD33" s="4"/>
      <x:c r="AE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  <x:c r="AA34" s="4"/>
      <x:c r="AB34" s="4"/>
      <x:c r="AC34" s="4"/>
      <x:c r="AD34" s="4"/>
      <x:c r="AE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  <x:c r="AA35" s="4"/>
      <x:c r="AB35" s="4"/>
      <x:c r="AC35" s="4"/>
      <x:c r="AD35" s="4"/>
      <x:c r="AE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  <x:c r="AA36" s="4"/>
      <x:c r="AB36" s="4"/>
      <x:c r="AC36" s="4"/>
      <x:c r="AD36" s="4"/>
      <x:c r="AE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  <x:c r="AA37" s="4"/>
      <x:c r="AB37" s="4"/>
      <x:c r="AC37" s="4"/>
      <x:c r="AD37" s="4"/>
      <x:c r="AE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  <x:c r="AA39" s="4"/>
      <x:c r="AB39" s="4"/>
      <x:c r="AC39" s="4"/>
      <x:c r="AD39" s="4"/>
      <x:c r="AE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  <x:c r="AA40" s="4"/>
      <x:c r="AB40" s="4"/>
      <x:c r="AC40" s="4"/>
      <x:c r="AD40" s="4"/>
      <x:c r="AE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  <x:c r="AA41" s="4"/>
      <x:c r="AB41" s="4"/>
      <x:c r="AC41" s="4"/>
      <x:c r="AD41" s="4"/>
      <x:c r="AE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  <x:c r="AA42" s="4"/>
      <x:c r="AB42" s="4"/>
      <x:c r="AC42" s="4"/>
      <x:c r="AD42" s="4"/>
      <x:c r="AE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  <x:c r="AA43" s="4"/>
      <x:c r="AB43" s="4"/>
      <x:c r="AC43" s="4"/>
      <x:c r="AD43" s="4"/>
      <x:c r="AE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  <x:c r="AA44" s="4"/>
      <x:c r="AB44" s="4"/>
      <x:c r="AC44" s="4"/>
      <x:c r="AD44" s="4"/>
      <x:c r="AE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  <x:c r="AA45" s="4"/>
      <x:c r="AB45" s="4"/>
      <x:c r="AC45" s="4"/>
      <x:c r="AD45" s="4"/>
      <x:c r="AE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  <x:c r="AA46" s="4"/>
      <x:c r="AB46" s="4"/>
      <x:c r="AC46" s="4"/>
      <x:c r="AD46" s="4"/>
      <x:c r="AE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  <x:c r="AA47" s="4"/>
      <x:c r="AB47" s="4"/>
      <x:c r="AC47" s="4"/>
      <x:c r="AD47" s="4"/>
      <x:c r="AE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  <x:c r="AA48" s="4"/>
      <x:c r="AB48" s="4"/>
      <x:c r="AC48" s="4"/>
      <x:c r="AD48" s="4"/>
      <x:c r="AE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  <x:c r="AA49" s="4"/>
      <x:c r="AB49" s="4"/>
      <x:c r="AC49" s="4"/>
      <x:c r="AD49" s="4"/>
      <x:c r="AE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  <x:c r="AA50" s="4"/>
      <x:c r="AB50" s="4"/>
      <x:c r="AC50" s="4"/>
      <x:c r="AD50" s="4"/>
      <x:c r="AE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  <x:c r="AA51" s="4"/>
      <x:c r="AB51" s="4"/>
      <x:c r="AC51" s="4"/>
      <x:c r="AD51" s="4"/>
      <x:c r="AE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  <x:c r="AA52" s="4"/>
      <x:c r="AB52" s="4"/>
      <x:c r="AC52" s="4"/>
      <x:c r="AD52" s="4"/>
      <x:c r="AE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  <x:c r="AA53" s="4"/>
      <x:c r="AB53" s="4"/>
      <x:c r="AC53" s="4"/>
      <x:c r="AD53" s="4"/>
      <x:c r="AE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  <x:c r="AA54" s="4"/>
      <x:c r="AB54" s="4"/>
      <x:c r="AC54" s="4"/>
      <x:c r="AD54" s="4"/>
      <x:c r="AE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  <x:c r="AA55" s="4"/>
      <x:c r="AB55" s="4"/>
      <x:c r="AC55" s="4"/>
      <x:c r="AD55" s="4"/>
      <x:c r="AE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  <x:c r="AA56" s="4"/>
      <x:c r="AB56" s="4"/>
      <x:c r="AC56" s="4"/>
      <x:c r="AD56" s="4"/>
      <x:c r="AE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  <x:c r="AA58" s="4"/>
      <x:c r="AB58" s="4"/>
      <x:c r="AC58" s="4"/>
      <x:c r="AD58" s="4"/>
      <x:c r="AE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  <x:c r="AA59" s="4"/>
      <x:c r="AB59" s="4"/>
      <x:c r="AC59" s="4"/>
      <x:c r="AD59" s="4"/>
      <x:c r="AE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  <x:c r="AA60" s="4"/>
      <x:c r="AB60" s="4"/>
      <x:c r="AC60" s="4"/>
      <x:c r="AD60" s="4"/>
      <x:c r="AE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  <x:c r="AA61" s="4"/>
      <x:c r="AB61" s="4"/>
      <x:c r="AC61" s="4"/>
      <x:c r="AD61" s="4"/>
      <x:c r="AE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  <x:c r="AA62" s="4"/>
      <x:c r="AB62" s="4"/>
      <x:c r="AC62" s="4"/>
      <x:c r="AD62" s="4"/>
      <x:c r="AE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  <x:c r="AA63" s="4"/>
      <x:c r="AB63" s="4"/>
      <x:c r="AC63" s="4"/>
      <x:c r="AD63" s="4"/>
      <x:c r="AE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  <x:c r="AA64" s="4"/>
      <x:c r="AB64" s="4"/>
      <x:c r="AC64" s="4"/>
      <x:c r="AD64" s="4"/>
      <x:c r="AE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  <x:c r="AA65" s="4"/>
      <x:c r="AB65" s="4"/>
      <x:c r="AC65" s="4"/>
      <x:c r="AD65" s="4"/>
      <x:c r="AE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  <x:c r="AA66" s="4"/>
      <x:c r="AB66" s="4"/>
      <x:c r="AC66" s="4"/>
      <x:c r="AD66" s="4"/>
      <x:c r="AE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  <x:c r="AA67" s="4"/>
      <x:c r="AB67" s="4"/>
      <x:c r="AC67" s="4"/>
      <x:c r="AD67" s="4"/>
      <x:c r="AE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s="4"/>
      <x:c r="AB68" s="4"/>
      <x:c r="AC68" s="4"/>
      <x:c r="AD68" s="4"/>
      <x:c r="AE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  <x:c r="AA69" s="4"/>
      <x:c r="AB69" s="4"/>
      <x:c r="AC69" s="4"/>
      <x:c r="AD69" s="4"/>
      <x:c r="AE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  <x:c r="AA70" s="4"/>
      <x:c r="AB70" s="4"/>
      <x:c r="AC70" s="4"/>
      <x:c r="AD70" s="4"/>
      <x:c r="AE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  <x:c r="AA71" s="4"/>
      <x:c r="AB71" s="4"/>
      <x:c r="AC71" s="4"/>
      <x:c r="AD71" s="4"/>
      <x:c r="AE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  <x:c r="AA72" s="4"/>
      <x:c r="AB72" s="4"/>
      <x:c r="AC72" s="4"/>
      <x:c r="AD72" s="4"/>
      <x:c r="AE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  <x:c r="AA73" s="4"/>
      <x:c r="AB73" s="4"/>
      <x:c r="AC73" s="4"/>
      <x:c r="AD73" s="4"/>
      <x:c r="AE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  <x:c r="AA74" s="4"/>
      <x:c r="AB74" s="4"/>
      <x:c r="AC74" s="4"/>
      <x:c r="AD74" s="4"/>
      <x:c r="AE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  <x:c r="AA75" s="4"/>
      <x:c r="AB75" s="4"/>
      <x:c r="AC75" s="4"/>
      <x:c r="AD75" s="4"/>
      <x:c r="AE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  <x:c r="AA77" s="4"/>
      <x:c r="AB77" s="4"/>
      <x:c r="AC77" s="4"/>
      <x:c r="AD77" s="4"/>
      <x:c r="AE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  <x:c r="AA78" s="4"/>
      <x:c r="AB78" s="4"/>
      <x:c r="AC78" s="4"/>
      <x:c r="AD78" s="4"/>
      <x:c r="AE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  <x:c r="AA79" s="4"/>
      <x:c r="AB79" s="4"/>
      <x:c r="AC79" s="4"/>
      <x:c r="AD79" s="4"/>
      <x:c r="AE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  <x:c r="AA80" s="4"/>
      <x:c r="AB80" s="4"/>
      <x:c r="AC80" s="4"/>
      <x:c r="AD80" s="4"/>
      <x:c r="AE80" s="4"/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  <x:c r="AA81" s="4"/>
      <x:c r="AB81" s="4"/>
      <x:c r="AC81" s="4"/>
      <x:c r="AD81" s="4"/>
      <x:c r="AE81" s="4"/>
    </x:row>
    <x:row r="82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  <x:c r="AA82" s="4"/>
      <x:c r="AB82" s="4"/>
      <x:c r="AC82" s="4"/>
      <x:c r="AD82" s="4"/>
      <x:c r="AE82" s="4"/>
    </x:row>
    <x:row r="83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  <x:c r="AA83" s="4"/>
      <x:c r="AB83" s="4"/>
      <x:c r="AC83" s="4"/>
      <x:c r="AD83" s="4"/>
      <x:c r="AE83" s="4"/>
    </x:row>
    <x:row r="84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  <x:c r="AA84" s="4"/>
      <x:c r="AB84" s="4"/>
      <x:c r="AC84" s="4"/>
      <x:c r="AD84" s="4"/>
      <x:c r="AE84" s="4"/>
    </x:row>
    <x:row r="85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  <x:c r="AA85" s="4"/>
      <x:c r="AB85" s="4"/>
      <x:c r="AC85" s="4"/>
      <x:c r="AD85" s="4"/>
      <x:c r="AE85" s="4"/>
    </x:row>
    <x:row r="86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  <x:c r="AA86" s="4"/>
      <x:c r="AB86" s="4"/>
      <x:c r="AC86" s="4"/>
      <x:c r="AD86" s="4"/>
      <x:c r="AE86" s="4"/>
    </x:row>
    <x:row r="87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  <x:c r="AA87" s="4"/>
      <x:c r="AB87" s="4"/>
      <x:c r="AC87" s="4"/>
      <x:c r="AD87" s="4"/>
      <x:c r="AE87" s="4"/>
    </x:row>
    <x:row r="88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  <x:c r="AA88" s="4"/>
      <x:c r="AB88" s="4"/>
      <x:c r="AC88" s="4"/>
      <x:c r="AD88" s="4"/>
      <x:c r="AE88" s="4"/>
    </x:row>
    <x:row r="89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  <x:c r="AA89" s="4"/>
      <x:c r="AB89" s="4"/>
      <x:c r="AC89" s="4"/>
      <x:c r="AD89" s="4"/>
      <x:c r="AE89" s="4"/>
    </x:row>
    <x:row r="90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  <x:c r="AA90" s="4"/>
      <x:c r="AB90" s="4"/>
      <x:c r="AC90" s="4"/>
      <x:c r="AD90" s="4"/>
      <x:c r="AE90" s="4"/>
    </x:row>
    <x:row r="9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  <x:c r="AA91" s="4"/>
      <x:c r="AB91" s="4"/>
      <x:c r="AC91" s="4"/>
      <x:c r="AD91" s="4"/>
      <x:c r="AE91" s="4"/>
    </x:row>
    <x:row r="92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  <x:c r="AA92" s="4"/>
      <x:c r="AB92" s="4"/>
      <x:c r="AC92" s="4"/>
      <x:c r="AD92" s="4"/>
      <x:c r="AE92" s="4"/>
    </x:row>
    <x:row r="93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  <x:c r="AA93" s="4"/>
      <x:c r="AB93" s="4"/>
      <x:c r="AC93" s="4"/>
      <x:c r="AD93" s="4"/>
      <x:c r="AE93" s="4"/>
    </x:row>
    <x:row r="94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  <x:c r="AA94" s="4"/>
      <x:c r="AB94" s="4"/>
      <x:c r="AC94" s="4"/>
      <x:c r="AD94" s="4"/>
      <x:c r="AE94" s="4"/>
    </x:row>
    <x:row r="95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  <x:c r="AA96" s="4"/>
      <x:c r="AB96" s="4"/>
      <x:c r="AC96" s="4"/>
      <x:c r="AD96" s="4"/>
      <x:c r="AE96" s="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  <x:c r="AA97" s="4"/>
      <x:c r="AB97" s="4"/>
      <x:c r="AC97" s="4"/>
      <x:c r="AD97" s="4"/>
      <x:c r="AE97" s="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  <x:c r="AA98" s="4"/>
      <x:c r="AB98" s="4"/>
      <x:c r="AC98" s="4"/>
      <x:c r="AD98" s="4"/>
      <x:c r="AE98" s="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  <x:c r="AA99" s="4"/>
      <x:c r="AB99" s="4"/>
      <x:c r="AC99" s="4"/>
      <x:c r="AD99" s="4"/>
      <x:c r="AE99" s="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  <x:c r="AA100" s="4"/>
      <x:c r="AB100" s="4"/>
      <x:c r="AC100" s="4"/>
      <x:c r="AD100" s="4"/>
      <x:c r="AE100" s="4"/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  <x:c r="AA101" s="4"/>
      <x:c r="AB101" s="4"/>
      <x:c r="AC101" s="4"/>
      <x:c r="AD101" s="4"/>
      <x:c r="AE101" s="4"/>
    </x:row>
    <x:row r="102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  <x:c r="AA102" s="4"/>
      <x:c r="AB102" s="4"/>
      <x:c r="AC102" s="4"/>
      <x:c r="AD102" s="4"/>
      <x:c r="AE102" s="4"/>
    </x:row>
    <x:row r="103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  <x:c r="AA103" s="4"/>
      <x:c r="AB103" s="4"/>
      <x:c r="AC103" s="4"/>
      <x:c r="AD103" s="4"/>
      <x:c r="AE103" s="4"/>
    </x:row>
    <x:row r="104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  <x:c r="AA104" s="4"/>
      <x:c r="AB104" s="4"/>
      <x:c r="AC104" s="4"/>
      <x:c r="AD104" s="4"/>
      <x:c r="AE104" s="4"/>
    </x:row>
    <x:row r="105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  <x:c r="AA105" s="4"/>
      <x:c r="AB105" s="4"/>
      <x:c r="AC105" s="4"/>
      <x:c r="AD105" s="4"/>
      <x:c r="AE105" s="4"/>
    </x:row>
    <x:row r="106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  <x:c r="AA106" s="4"/>
      <x:c r="AB106" s="4"/>
      <x:c r="AC106" s="4"/>
      <x:c r="AD106" s="4"/>
      <x:c r="AE106" s="4"/>
    </x:row>
    <x:row r="107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  <x:c r="AA107" s="4"/>
      <x:c r="AB107" s="4"/>
      <x:c r="AC107" s="4"/>
      <x:c r="AD107" s="4"/>
      <x:c r="AE107" s="4"/>
    </x:row>
    <x:row r="108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  <x:c r="AA108" s="4"/>
      <x:c r="AB108" s="4"/>
      <x:c r="AC108" s="4"/>
      <x:c r="AD108" s="4"/>
      <x:c r="AE108" s="4"/>
    </x:row>
    <x:row r="109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  <x:c r="AA109" s="4"/>
      <x:c r="AB109" s="4"/>
      <x:c r="AC109" s="4"/>
      <x:c r="AD109" s="4"/>
      <x:c r="AE109" s="4"/>
    </x:row>
    <x:row r="110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  <x:c r="AA110" s="4"/>
      <x:c r="AB110" s="4"/>
      <x:c r="AC110" s="4"/>
      <x:c r="AD110" s="4"/>
      <x:c r="AE110" s="4"/>
    </x:row>
    <x:row r="11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  <x:c r="AA111" s="4"/>
      <x:c r="AB111" s="4"/>
      <x:c r="AC111" s="4"/>
      <x:c r="AD111" s="4"/>
      <x:c r="AE111" s="4"/>
    </x:row>
    <x:row r="112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  <x:c r="AA112" s="4"/>
      <x:c r="AB112" s="4"/>
      <x:c r="AC112" s="4"/>
      <x:c r="AD112" s="4"/>
      <x:c r="AE112" s="4"/>
    </x:row>
    <x:row r="113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  <x:c r="AA113" s="4"/>
      <x:c r="AB113" s="4"/>
      <x:c r="AC113" s="4"/>
      <x:c r="AD113" s="4"/>
      <x:c r="AE113" s="4"/>
    </x:row>
    <x:row r="114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  <x:c r="AA114" s="4"/>
      <x:c r="AB114" s="4"/>
      <x:c r="AC114" s="4"/>
      <x:c r="AD114" s="4"/>
      <x:c r="AE114" s="4"/>
    </x:row>
    <x:row r="115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  <x:c r="AA115" s="4"/>
      <x:c r="AB115" s="4"/>
      <x:c r="AC115" s="4"/>
      <x:c r="AD115" s="4"/>
      <x:c r="AE115" s="4"/>
    </x:row>
    <x:row r="116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  <x:c r="AA116" s="4"/>
      <x:c r="AB116" s="4"/>
      <x:c r="AC116" s="4"/>
      <x:c r="AD116" s="4"/>
      <x:c r="AE116" s="4"/>
    </x:row>
    <x:row r="117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  <x:c r="AA117" s="4"/>
      <x:c r="AB117" s="4"/>
      <x:c r="AC117" s="4"/>
      <x:c r="AD117" s="4"/>
      <x:c r="AE117" s="4"/>
    </x:row>
    <x:row r="118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  <x:c r="AA118" s="4"/>
      <x:c r="AB118" s="4"/>
      <x:c r="AC118" s="4"/>
      <x:c r="AD118" s="4"/>
      <x:c r="AE118" s="4"/>
    </x:row>
    <x:row r="119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  <x:c r="AA119" s="4"/>
      <x:c r="AB119" s="4"/>
      <x:c r="AC119" s="4"/>
      <x:c r="AD119" s="4"/>
      <x:c r="AE119" s="4"/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  <x:c r="AA120" s="4"/>
      <x:c r="AB120" s="4"/>
      <x:c r="AC120" s="4"/>
      <x:c r="AD120" s="4"/>
      <x:c r="AE120" s="4"/>
    </x:row>
    <x:row r="12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  <x:c r="AA121" s="4"/>
      <x:c r="AB121" s="4"/>
      <x:c r="AC121" s="4"/>
      <x:c r="AD121" s="4"/>
      <x:c r="AE121" s="4"/>
    </x:row>
    <x:row r="122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  <x:c r="AA122" s="4"/>
      <x:c r="AB122" s="4"/>
      <x:c r="AC122" s="4"/>
      <x:c r="AD122" s="4"/>
      <x:c r="AE122" s="4"/>
    </x:row>
    <x:row r="123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  <x:c r="AA123" s="4"/>
      <x:c r="AB123" s="4"/>
      <x:c r="AC123" s="4"/>
      <x:c r="AD123" s="4"/>
      <x:c r="AE123" s="4"/>
    </x:row>
    <x:row r="124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  <x:c r="AA124" s="4"/>
      <x:c r="AB124" s="4"/>
      <x:c r="AC124" s="4"/>
      <x:c r="AD124" s="4"/>
      <x:c r="AE124" s="4"/>
    </x:row>
    <x:row r="125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  <x:c r="AA125" s="4"/>
      <x:c r="AB125" s="4"/>
      <x:c r="AC125" s="4"/>
      <x:c r="AD125" s="4"/>
      <x:c r="AE125" s="4"/>
    </x:row>
    <x:row r="126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  <x:c r="AA126" s="4"/>
      <x:c r="AB126" s="4"/>
      <x:c r="AC126" s="4"/>
      <x:c r="AD126" s="4"/>
      <x:c r="AE126" s="4"/>
    </x:row>
    <x:row r="127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  <x:c r="AA127" s="4"/>
      <x:c r="AB127" s="4"/>
      <x:c r="AC127" s="4"/>
      <x:c r="AD127" s="4"/>
      <x:c r="AE127" s="4"/>
    </x:row>
    <x:row r="128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  <x:c r="AA128" s="4"/>
      <x:c r="AB128" s="4"/>
      <x:c r="AC128" s="4"/>
      <x:c r="AD128" s="4"/>
      <x:c r="AE128" s="4"/>
    </x:row>
    <x:row r="129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  <x:c r="AA129" s="4"/>
      <x:c r="AB129" s="4"/>
      <x:c r="AC129" s="4"/>
      <x:c r="AD129" s="4"/>
      <x:c r="AE129" s="4"/>
    </x:row>
    <x:row r="130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  <x:c r="AA130" s="4"/>
      <x:c r="AB130" s="4"/>
      <x:c r="AC130" s="4"/>
      <x:c r="AD130" s="4"/>
      <x:c r="AE130" s="4"/>
    </x:row>
    <x:row r="13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  <x:c r="AA131" s="4"/>
      <x:c r="AB131" s="4"/>
      <x:c r="AC131" s="4"/>
      <x:c r="AD131" s="4"/>
      <x:c r="AE131" s="4"/>
    </x:row>
    <x:row r="132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  <x:c r="AA132" s="4"/>
      <x:c r="AB132" s="4"/>
      <x:c r="AC132" s="4"/>
      <x:c r="AD132" s="4"/>
      <x:c r="AE132" s="4"/>
    </x:row>
    <x:row r="133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  <x:c r="AA133" s="4"/>
      <x:c r="AB133" s="4"/>
      <x:c r="AC133" s="4"/>
      <x:c r="AD133" s="4"/>
      <x:c r="AE133" s="4"/>
    </x:row>
    <x:row r="134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  <x:c r="AA134" s="4"/>
      <x:c r="AB134" s="4"/>
      <x:c r="AC134" s="4"/>
      <x:c r="AD134" s="4"/>
      <x:c r="AE134" s="4"/>
    </x:row>
    <x:row r="135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  <x:c r="AA135" s="4"/>
      <x:c r="AB135" s="4"/>
      <x:c r="AC135" s="4"/>
      <x:c r="AD135" s="4"/>
      <x:c r="AE135" s="4"/>
    </x:row>
    <x:row r="136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  <x:c r="AA136" s="4"/>
      <x:c r="AB136" s="4"/>
      <x:c r="AC136" s="4"/>
      <x:c r="AD136" s="4"/>
      <x:c r="AE136" s="4"/>
    </x:row>
    <x:row r="137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  <x:c r="AA137" s="4"/>
      <x:c r="AB137" s="4"/>
      <x:c r="AC137" s="4"/>
      <x:c r="AD137" s="4"/>
      <x:c r="AE137" s="4"/>
    </x:row>
    <x:row r="138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  <x:c r="AA138" s="4"/>
      <x:c r="AB138" s="4"/>
      <x:c r="AC138" s="4"/>
      <x:c r="AD138" s="4"/>
      <x:c r="AE138" s="4"/>
    </x:row>
    <x:row r="139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  <x:c r="AA139" s="4"/>
      <x:c r="AB139" s="4"/>
      <x:c r="AC139" s="4"/>
      <x:c r="AD139" s="4"/>
      <x:c r="AE139" s="4"/>
    </x:row>
    <x:row r="140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  <x:c r="AA140" s="4"/>
      <x:c r="AB140" s="4"/>
      <x:c r="AC140" s="4"/>
      <x:c r="AD140" s="4"/>
      <x:c r="AE140" s="4"/>
    </x:row>
    <x:row r="14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  <x:c r="AA141" s="4"/>
      <x:c r="AB141" s="4"/>
      <x:c r="AC141" s="4"/>
      <x:c r="AD141" s="4"/>
      <x:c r="AE141" s="4"/>
    </x:row>
    <x:row r="142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  <x:c r="AA142" s="4"/>
      <x:c r="AB142" s="4"/>
      <x:c r="AC142" s="4"/>
      <x:c r="AD142" s="4"/>
      <x:c r="AE142" s="4"/>
    </x:row>
    <x:row r="143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  <x:c r="AA143" s="4"/>
      <x:c r="AB143" s="4"/>
      <x:c r="AC143" s="4"/>
      <x:c r="AD143" s="4"/>
      <x:c r="AE143" s="4"/>
    </x:row>
    <x:row r="144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  <x:c r="AA144" s="4"/>
      <x:c r="AB144" s="4"/>
      <x:c r="AC144" s="4"/>
      <x:c r="AD144" s="4"/>
      <x:c r="AE144" s="4"/>
    </x:row>
    <x:row r="145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  <x:c r="AA145" s="4"/>
      <x:c r="AB145" s="4"/>
      <x:c r="AC145" s="4"/>
      <x:c r="AD145" s="4"/>
      <x:c r="AE145" s="4"/>
    </x:row>
    <x:row r="146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  <x:c r="AA146" s="4"/>
      <x:c r="AB146" s="4"/>
      <x:c r="AC146" s="4"/>
      <x:c r="AD146" s="4"/>
      <x:c r="AE146" s="4"/>
    </x:row>
    <x:row r="147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  <x:c r="AA147" s="4"/>
      <x:c r="AB147" s="4"/>
      <x:c r="AC147" s="4"/>
      <x:c r="AD147" s="4"/>
      <x:c r="AE147" s="4"/>
    </x:row>
    <x:row r="148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  <x:c r="AA148" s="4"/>
      <x:c r="AB148" s="4"/>
      <x:c r="AC148" s="4"/>
      <x:c r="AD148" s="4"/>
      <x:c r="AE148" s="4"/>
    </x:row>
    <x:row r="149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  <x:c r="AA149" s="4"/>
      <x:c r="AB149" s="4"/>
      <x:c r="AC149" s="4"/>
      <x:c r="AD149" s="4"/>
      <x:c r="AE149" s="4"/>
    </x:row>
    <x:row r="150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  <x:c r="AA150" s="4"/>
      <x:c r="AB150" s="4"/>
      <x:c r="AC150" s="4"/>
      <x:c r="AD150" s="4"/>
      <x:c r="AE150" s="4"/>
    </x:row>
    <x:row r="15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  <x:c r="AA151" s="4"/>
      <x:c r="AB151" s="4"/>
      <x:c r="AC151" s="4"/>
      <x:c r="AD151" s="4"/>
      <x:c r="AE151" s="4"/>
    </x:row>
    <x:row r="152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  <x:c r="AA152" s="4"/>
      <x:c r="AB152" s="4"/>
      <x:c r="AC152" s="4"/>
      <x:c r="AD152" s="4"/>
      <x:c r="AE152" s="4"/>
    </x:row>
    <x:row r="153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  <x:c r="AA153" s="4"/>
      <x:c r="AB153" s="4"/>
      <x:c r="AC153" s="4"/>
      <x:c r="AD153" s="4"/>
      <x:c r="AE153" s="4"/>
    </x:row>
    <x:row r="154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  <x:c r="AA154" s="4"/>
      <x:c r="AB154" s="4"/>
      <x:c r="AC154" s="4"/>
      <x:c r="AD154" s="4"/>
      <x:c r="AE154" s="4"/>
    </x:row>
    <x:row r="155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  <x:c r="AA155" s="4"/>
      <x:c r="AB155" s="4"/>
      <x:c r="AC155" s="4"/>
      <x:c r="AD155" s="4"/>
      <x:c r="AE155" s="4"/>
    </x:row>
    <x:row r="156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  <x:c r="AA156" s="4"/>
      <x:c r="AB156" s="4"/>
      <x:c r="AC156" s="4"/>
      <x:c r="AD156" s="4"/>
      <x:c r="AE156" s="4"/>
    </x:row>
    <x:row r="157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  <x:c r="AA157" s="4"/>
      <x:c r="AB157" s="4"/>
      <x:c r="AC157" s="4"/>
      <x:c r="AD157" s="4"/>
      <x:c r="AE157" s="4"/>
    </x:row>
    <x:row r="158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  <x:c r="AA158" s="4"/>
      <x:c r="AB158" s="4"/>
      <x:c r="AC158" s="4"/>
      <x:c r="AD158" s="4"/>
      <x:c r="AE158" s="4"/>
    </x:row>
    <x:row r="159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  <x:c r="AA159" s="4"/>
      <x:c r="AB159" s="4"/>
      <x:c r="AC159" s="4"/>
      <x:c r="AD159" s="4"/>
      <x:c r="AE159" s="4"/>
    </x:row>
    <x:row r="160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  <x:c r="AA160" s="4"/>
      <x:c r="AB160" s="4"/>
      <x:c r="AC160" s="4"/>
      <x:c r="AD160" s="4"/>
      <x:c r="AE160" s="4"/>
    </x:row>
    <x:row r="16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  <x:c r="AA161" s="4"/>
      <x:c r="AB161" s="4"/>
      <x:c r="AC161" s="4"/>
      <x:c r="AD161" s="4"/>
      <x:c r="AE161" s="4"/>
    </x:row>
    <x:row r="162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  <x:c r="AA162" s="4"/>
      <x:c r="AB162" s="4"/>
      <x:c r="AC162" s="4"/>
      <x:c r="AD162" s="4"/>
      <x:c r="AE162" s="4"/>
    </x:row>
    <x:row r="163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  <x:c r="AA163" s="4"/>
      <x:c r="AB163" s="4"/>
      <x:c r="AC163" s="4"/>
      <x:c r="AD163" s="4"/>
      <x:c r="AE163" s="4"/>
    </x:row>
    <x:row r="164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  <x:c r="AA164" s="4"/>
      <x:c r="AB164" s="4"/>
      <x:c r="AC164" s="4"/>
      <x:c r="AD164" s="4"/>
      <x:c r="AE164" s="4"/>
    </x:row>
    <x:row r="165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  <x:c r="AA165" s="4"/>
      <x:c r="AB165" s="4"/>
      <x:c r="AC165" s="4"/>
      <x:c r="AD165" s="4"/>
      <x:c r="AE165" s="4"/>
    </x:row>
    <x:row r="166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  <x:c r="AA166" s="4"/>
      <x:c r="AB166" s="4"/>
      <x:c r="AC166" s="4"/>
      <x:c r="AD166" s="4"/>
      <x:c r="AE166" s="4"/>
    </x:row>
    <x:row r="167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  <x:c r="AA167" s="4"/>
      <x:c r="AB167" s="4"/>
      <x:c r="AC167" s="4"/>
      <x:c r="AD167" s="4"/>
      <x:c r="AE167" s="4"/>
    </x:row>
    <x:row r="168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  <x:c r="AA168" s="4"/>
      <x:c r="AB168" s="4"/>
      <x:c r="AC168" s="4"/>
      <x:c r="AD168" s="4"/>
      <x:c r="AE168" s="4"/>
    </x:row>
    <x:row r="169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  <x:c r="AA169" s="4"/>
      <x:c r="AB169" s="4"/>
      <x:c r="AC169" s="4"/>
      <x:c r="AD169" s="4"/>
      <x:c r="AE169" s="4"/>
    </x:row>
    <x:row r="170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  <x:c r="AA170" s="4"/>
      <x:c r="AB170" s="4"/>
      <x:c r="AC170" s="4"/>
      <x:c r="AD170" s="4"/>
      <x:c r="AE170" s="4"/>
    </x:row>
    <x:row r="17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  <x:c r="AA171" s="4"/>
      <x:c r="AB171" s="4"/>
      <x:c r="AC171" s="4"/>
      <x:c r="AD171" s="4"/>
      <x:c r="AE171" s="4"/>
    </x:row>
    <x:row r="172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  <x:c r="AA172" s="4"/>
      <x:c r="AB172" s="4"/>
      <x:c r="AC172" s="4"/>
      <x:c r="AD172" s="4"/>
      <x:c r="AE172" s="4"/>
    </x:row>
    <x:row r="173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  <x:c r="AA173" s="4"/>
      <x:c r="AB173" s="4"/>
      <x:c r="AC173" s="4"/>
      <x:c r="AD173" s="4"/>
      <x:c r="AE173" s="4"/>
    </x:row>
    <x:row r="174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  <x:c r="AA174" s="4"/>
      <x:c r="AB174" s="4"/>
      <x:c r="AC174" s="4"/>
      <x:c r="AD174" s="4"/>
      <x:c r="AE174" s="4"/>
    </x:row>
    <x:row r="175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  <x:c r="AA175" s="4"/>
      <x:c r="AB175" s="4"/>
      <x:c r="AC175" s="4"/>
      <x:c r="AD175" s="4"/>
      <x:c r="AE175" s="4"/>
    </x:row>
    <x:row r="176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  <x:c r="AA176" s="4"/>
      <x:c r="AB176" s="4"/>
      <x:c r="AC176" s="4"/>
      <x:c r="AD176" s="4"/>
      <x:c r="AE176" s="4"/>
    </x:row>
    <x:row r="177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  <x:c r="AA177" s="4"/>
      <x:c r="AB177" s="4"/>
      <x:c r="AC177" s="4"/>
      <x:c r="AD177" s="4"/>
      <x:c r="AE177" s="4"/>
    </x:row>
    <x:row r="178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  <x:c r="AA178" s="4"/>
      <x:c r="AB178" s="4"/>
      <x:c r="AC178" s="4"/>
      <x:c r="AD178" s="4"/>
      <x:c r="AE178" s="4"/>
    </x:row>
    <x:row r="179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  <x:c r="AA179" s="4"/>
      <x:c r="AB179" s="4"/>
      <x:c r="AC179" s="4"/>
      <x:c r="AD179" s="4"/>
      <x:c r="AE179" s="4"/>
    </x:row>
    <x:row r="180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  <x:c r="AA180" s="4"/>
      <x:c r="AB180" s="4"/>
      <x:c r="AC180" s="4"/>
      <x:c r="AD180" s="4"/>
      <x:c r="AE180" s="4"/>
    </x:row>
    <x:row r="18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  <x:c r="AA181" s="4"/>
      <x:c r="AB181" s="4"/>
      <x:c r="AC181" s="4"/>
      <x:c r="AD181" s="4"/>
      <x:c r="AE181" s="4"/>
    </x:row>
    <x:row r="182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  <x:c r="AA182" s="4"/>
      <x:c r="AB182" s="4"/>
      <x:c r="AC182" s="4"/>
      <x:c r="AD182" s="4"/>
      <x:c r="AE182" s="4"/>
    </x:row>
    <x:row r="183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  <x:c r="AA183" s="4"/>
      <x:c r="AB183" s="4"/>
      <x:c r="AC183" s="4"/>
      <x:c r="AD183" s="4"/>
      <x:c r="AE183" s="4"/>
    </x:row>
    <x:row r="184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  <x:c r="AA184" s="4"/>
      <x:c r="AB184" s="4"/>
      <x:c r="AC184" s="4"/>
      <x:c r="AD184" s="4"/>
      <x:c r="AE184" s="4"/>
    </x:row>
    <x:row r="185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  <x:c r="AA185" s="4"/>
      <x:c r="AB185" s="4"/>
      <x:c r="AC185" s="4"/>
      <x:c r="AD185" s="4"/>
      <x:c r="AE185" s="4"/>
    </x:row>
    <x:row r="186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  <x:c r="AA186" s="4"/>
      <x:c r="AB186" s="4"/>
      <x:c r="AC186" s="4"/>
      <x:c r="AD186" s="4"/>
      <x:c r="AE186" s="4"/>
    </x:row>
    <x:row r="187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  <x:c r="AA187" s="4"/>
      <x:c r="AB187" s="4"/>
      <x:c r="AC187" s="4"/>
      <x:c r="AD187" s="4"/>
      <x:c r="AE187" s="4"/>
    </x:row>
    <x:row r="188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  <x:c r="AA188" s="4"/>
      <x:c r="AB188" s="4"/>
      <x:c r="AC188" s="4"/>
      <x:c r="AD188" s="4"/>
      <x:c r="AE188" s="4"/>
    </x:row>
    <x:row r="189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  <x:c r="AA189" s="4"/>
      <x:c r="AB189" s="4"/>
      <x:c r="AC189" s="4"/>
      <x:c r="AD189" s="4"/>
      <x:c r="AE189" s="4"/>
    </x:row>
    <x:row r="190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  <x:c r="AA190" s="4"/>
      <x:c r="AB190" s="4"/>
      <x:c r="AC190" s="4"/>
      <x:c r="AD190" s="4"/>
      <x:c r="AE190" s="4"/>
    </x:row>
    <x:row r="19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  <x:c r="AA191" s="4"/>
      <x:c r="AB191" s="4"/>
      <x:c r="AC191" s="4"/>
      <x:c r="AD191" s="4"/>
      <x:c r="AE191" s="4"/>
    </x:row>
    <x:row r="192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  <x:c r="AA192" s="4"/>
      <x:c r="AB192" s="4"/>
      <x:c r="AC192" s="4"/>
      <x:c r="AD192" s="4"/>
      <x:c r="AE192" s="4"/>
    </x:row>
    <x:row r="193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  <x:c r="AA193" s="4"/>
      <x:c r="AB193" s="4"/>
      <x:c r="AC193" s="4"/>
      <x:c r="AD193" s="4"/>
      <x:c r="AE193" s="4"/>
    </x:row>
    <x:row r="194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  <x:c r="AA194" s="4"/>
      <x:c r="AB194" s="4"/>
      <x:c r="AC194" s="4"/>
      <x:c r="AD194" s="4"/>
      <x:c r="AE194" s="4"/>
    </x:row>
    <x:row r="195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  <x:c r="AA195" s="4"/>
      <x:c r="AB195" s="4"/>
      <x:c r="AC195" s="4"/>
      <x:c r="AD195" s="4"/>
      <x:c r="AE195" s="4"/>
    </x:row>
    <x:row r="196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  <x:c r="AA196" s="4"/>
      <x:c r="AB196" s="4"/>
      <x:c r="AC196" s="4"/>
      <x:c r="AD196" s="4"/>
      <x:c r="AE196" s="4"/>
    </x:row>
    <x:row r="197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  <x:c r="AA197" s="4"/>
      <x:c r="AB197" s="4"/>
      <x:c r="AC197" s="4"/>
      <x:c r="AD197" s="4"/>
      <x:c r="AE197" s="4"/>
    </x:row>
    <x:row r="198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  <x:c r="AA198" s="4"/>
      <x:c r="AB198" s="4"/>
      <x:c r="AC198" s="4"/>
      <x:c r="AD198" s="4"/>
      <x:c r="AE198" s="4"/>
    </x:row>
    <x:row r="199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  <x:c r="AA199" s="4"/>
      <x:c r="AB199" s="4"/>
      <x:c r="AC199" s="4"/>
      <x:c r="AD199" s="4"/>
      <x:c r="AE199" s="4"/>
    </x:row>
    <x:row r="200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  <x:c r="AA200" s="4"/>
      <x:c r="AB200" s="4"/>
      <x:c r="AC200" s="4"/>
      <x:c r="AD200" s="4"/>
      <x:c r="AE200" s="4"/>
    </x:row>
  </x:sheetData>
  <x:pageMargins left="0.7" right="0.7" top="0.75" bottom="0.75" header="0.3" footer="0.3"/>
  <x:tableParts count="1">
    <x:tablePart xmlns:r="http://schemas.openxmlformats.org/officeDocument/2006/relationships" r:id="R1b36c501746e4201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8" hidden="0" customWidth="1"/>
    <x:col min="4" max="4" width="26" hidden="0" customWidth="1"/>
    <x:col min="5" max="5" width="18" hidden="0" customWidth="1"/>
    <x:col min="6" max="6" width="28" hidden="0" customWidth="1"/>
    <x:col min="7" max="7" width="9" hidden="0" customWidth="1"/>
    <x:col min="8" max="8" width="9" hidden="0" customWidth="1"/>
    <x:col min="9" max="9" width="14" hidden="0" customWidth="1"/>
    <x:col min="10" max="10" width="22" hidden="0" customWidth="1"/>
    <x:col min="11" max="11" width="14" hidden="0" customWidth="1"/>
    <x:col min="12" max="12" width="16" hidden="0" customWidth="1"/>
    <x:col min="13" max="13" width="13" hidden="0" customWidth="1"/>
    <x:col min="14" max="14" width="16" hidden="0" customWidth="1"/>
    <x:col min="15" max="15" width="12" hidden="0" customWidth="1"/>
    <x:col min="16" max="16" width="16" hidden="0" customWidth="1"/>
    <x:col min="17" max="17" width="12" hidden="0" customWidth="1"/>
    <x:col min="18" max="18" width="24" hidden="0" customWidth="1"/>
    <x:col min="19" max="19" width="14" hidden="0" customWidth="1"/>
    <x:col min="20" max="20" width="16" hidden="0" customWidth="1"/>
    <x:col min="21" max="21" width="42" hidden="0" customWidth="1"/>
    <x:col min="22" max="22" width="44" hidden="0" customWidth="1"/>
    <x:col min="23" max="23" width="11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4" hidden="0" customWidth="1"/>
    <x:col min="30" max="30" width="16" hidden="0" customWidth="1"/>
    <x:col min="31" max="31" width="14" hidden="0" customWidth="1"/>
  </x:cols>
  <x:sheetData>
    <x:row r="1" ht="28" customHeight="1">
      <x:c r="A1" s="9" t="str">
        <x:v>Applied</x:v>
      </x:c>
      <x:c r="B1" s="9" t="str">
        <x:v>Priority</x:v>
      </x:c>
      <x:c r="C1" s="9" t="str">
        <x:v>Species Group</x:v>
      </x:c>
      <x:c r="D1" s="9" t="str">
        <x:v>Hunt Area</x:v>
      </x:c>
      <x:c r="E1" s="9" t="str">
        <x:v>Region</x:v>
      </x:c>
      <x:c r="F1" s="9" t="str">
        <x:v>Hunt Category</x:v>
      </x:c>
      <x:c r="G1" s="9" t="str">
        <x:v>Adult</x:v>
      </x:c>
      <x:c r="H1" s="9" t="str">
        <x:v>Youth</x:v>
      </x:c>
      <x:c r="I1" s="9" t="str">
        <x:v>Application Deadline</x:v>
      </x:c>
      <x:c r="J1" s="9" t="str">
        <x:v>Hunt Window</x:v>
      </x:c>
      <x:c r="K1" s="9" t="str">
        <x:v>Application Fee</x:v>
      </x:c>
      <x:c r="L1" s="9" t="str">
        <x:v>Estimated Permit Fee</x:v>
      </x:c>
      <x:c r="M1" s="9" t="str">
        <x:v>Permits/Groups</x:v>
      </x:c>
      <x:c r="N1" s="9" t="str">
        <x:v>Applicants Last Year</x:v>
      </x:c>
      <x:c r="O1" s="9" t="str">
        <x:v>Draw Odds</x:v>
      </x:c>
      <x:c r="P1" s="9" t="str">
        <x:v>Approx Miles from Amarillo</x:v>
      </x:c>
      <x:c r="Q1" s="9" t="str">
        <x:v>Drive Zone</x:v>
      </x:c>
      <x:c r="R1" s="9" t="str">
        <x:v>Camping Notes</x:v>
      </x:c>
      <x:c r="S1" s="9" t="str">
        <x:v>Backpack Rating</x:v>
      </x:c>
      <x:c r="T1" s="9" t="str">
        <x:v>Past Drawn by Hastings</x:v>
      </x:c>
      <x:c r="U1" s="9" t="str">
        <x:v>Notes</x:v>
      </x:c>
      <x:c r="V1" s="9" t="str">
        <x:v>Source URL</x:v>
      </x:c>
      <x:c r="W1" s="9" t="str">
        <x:v>Odds Score</x:v>
      </x:c>
      <x:c r="X1" s="9" t="str">
        <x:v>Distance Score</x:v>
      </x:c>
      <x:c r="Y1" s="9" t="str">
        <x:v>Youth Fit Score</x:v>
      </x:c>
      <x:c r="Z1" s="9" t="str">
        <x:v>Camping Score</x:v>
      </x:c>
      <x:c r="AA1" s="9" t="str">
        <x:v>Backpack Score</x:v>
      </x:c>
      <x:c r="AB1" s="9" t="str">
        <x:v>Past Draw Bonus</x:v>
      </x:c>
      <x:c r="AC1" s="9" t="str">
        <x:v>Hastings Score</x:v>
      </x:c>
      <x:c r="AD1" s="9" t="str">
        <x:v>Estimated Total If Drawn</x:v>
      </x:c>
      <x:c r="AE1" s="9" t="str">
        <x:v>Deadline Month</x:v>
      </x:c>
    </x:row>
    <x:row r="2">
      <x:c r="A2" s="4" t="str">
        <x:v>No</x:v>
      </x:c>
      <x:c r="B2" s="4" t="str">
        <x:v>A</x:v>
      </x:c>
      <x:c r="C2" s="4" t="str">
        <x:v>Turkey</x:v>
      </x:c>
      <x:c r="D2" s="4" t="str">
        <x:v>Gene Howe WMA</x:v>
      </x:c>
      <x:c r="E2" s="4" t="str">
        <x:v>Panhandle/Rolling Plains</x:v>
      </x:c>
      <x:c r="F2" s="4" t="str">
        <x:v>Spring Turkey / Youth Spring Turkey</x:v>
      </x:c>
      <x:c r="G2" s="4" t="str">
        <x:v>Yes</x:v>
      </x:c>
      <x:c r="H2" s="4" t="str">
        <x:v>Yes</x:v>
      </x:c>
      <x:c r="I2" s="4" t="str">
        <x:v>2027-01-15</x:v>
      </x:c>
      <x:c r="J2" s="4" t="str">
        <x:v>Spring 2027 varies</x:v>
      </x:c>
      <x:c r="K2" s="4" t="n">
        <x:v>3</x:v>
      </x:c>
      <x:c r="L2" s="4" t="n">
        <x:v>80</x:v>
      </x:c>
      <x:c r="M2" s="4"/>
      <x:c r="N2" s="4"/>
      <x:c r="O2" s="4"/>
      <x:c r="P2" s="4" t="n">
        <x:v>132</x:v>
      </x:c>
      <x:c r="Q2" s="4" t="str">
        <x:v>Core</x:v>
      </x:c>
      <x:c r="R2" s="4" t="str">
        <x:v>Primitive camping nearby</x:v>
      </x:c>
      <x:c r="S2" s="4" t="str">
        <x:v>Medium</x:v>
      </x:c>
      <x:c r="T2" s="4" t="str">
        <x:v>No</x:v>
      </x:c>
      <x:c r="U2" s="4" t="str">
        <x:v>Good multi-season property to keep in the annual plan.</x:v>
      </x:c>
      <x:c r="V2" s="4" t="str">
        <x:v>https://tpwd.texas.gov/huntwild/hunt/public/public_hunt_drawing/hunt-area-details.phtml?OArea=GE</x:v>
      </x:c>
      <x:c r="W2" s="4" t="n">
        <x:v>2</x:v>
      </x:c>
      <x:c r="X2" s="4" t="n">
        <x:v>4</x:v>
      </x:c>
      <x:c r="Y2" s="4" t="n">
        <x:v>5</x:v>
      </x:c>
      <x:c r="Z2" s="4" t="n">
        <x:v>4</x:v>
      </x:c>
      <x:c r="AA2" s="4" t="n">
        <x:v>3</x:v>
      </x:c>
      <x:c r="AB2" s="4" t="n">
        <x:v>0</x:v>
      </x:c>
      <x:c r="AC2" s="4" t="n">
        <x:v>3</x:v>
      </x:c>
      <x:c r="AD2" s="4" t="n">
        <x:v>83</x:v>
      </x:c>
      <x:c r="AE2" s="4" t="str">
        <x:v>01</x:v>
      </x:c>
    </x:row>
    <x:row r="3">
      <x:c r="A3" s="4" t="str">
        <x:v>No</x:v>
      </x:c>
      <x:c r="B3" s="4" t="str">
        <x:v>A</x:v>
      </x:c>
      <x:c r="C3" s="4" t="str">
        <x:v>Turkey</x:v>
      </x:c>
      <x:c r="D3" s="4" t="str">
        <x:v>Matador WMA</x:v>
      </x:c>
      <x:c r="E3" s="4" t="str">
        <x:v>Rolling Plains</x:v>
      </x:c>
      <x:c r="F3" s="4" t="str">
        <x:v>Spring Turkey / Youth Spring Turkey</x:v>
      </x:c>
      <x:c r="G3" s="4" t="str">
        <x:v>Yes</x:v>
      </x:c>
      <x:c r="H3" s="4" t="str">
        <x:v>Yes</x:v>
      </x:c>
      <x:c r="I3" s="4" t="str">
        <x:v>2027-01-15</x:v>
      </x:c>
      <x:c r="J3" s="4" t="str">
        <x:v>Spring 2027 varies</x:v>
      </x:c>
      <x:c r="K3" s="4" t="n">
        <x:v>3</x:v>
      </x:c>
      <x:c r="L3" s="4" t="n">
        <x:v>80</x:v>
      </x:c>
      <x:c r="M3" s="4"/>
      <x:c r="N3" s="4"/>
      <x:c r="O3" s="4"/>
      <x:c r="P3" s="4" t="n">
        <x:v>105</x:v>
      </x:c>
      <x:c r="Q3" s="4" t="str">
        <x:v>Core</x:v>
      </x:c>
      <x:c r="R3" s="4" t="str">
        <x:v>Primitive camping</x:v>
      </x:c>
      <x:c r="S3" s="4" t="str">
        <x:v>High</x:v>
      </x:c>
      <x:c r="T3" s="4" t="str">
        <x:v>No</x:v>
      </x:c>
      <x:c r="U3" s="4" t="str">
        <x:v>Keep paired with deer/hog applications.</x:v>
      </x:c>
      <x:c r="V3" s="4" t="str">
        <x:v>https://tpwd.texas.gov/huntwild/hunt/public/public_hunt_drawing/hunt-area-details.phtml?OArea=MA</x:v>
      </x:c>
      <x:c r="W3" s="4" t="n">
        <x:v>2</x:v>
      </x:c>
      <x:c r="X3" s="4" t="n">
        <x:v>4</x:v>
      </x:c>
      <x:c r="Y3" s="4" t="n">
        <x:v>5</x:v>
      </x:c>
      <x:c r="Z3" s="4" t="n">
        <x:v>4</x:v>
      </x:c>
      <x:c r="AA3" s="4" t="n">
        <x:v>5</x:v>
      </x:c>
      <x:c r="AB3" s="4" t="n">
        <x:v>0</x:v>
      </x:c>
      <x:c r="AC3" s="4" t="n">
        <x:v>3.2</x:v>
      </x:c>
      <x:c r="AD3" s="4" t="n">
        <x:v>83</x:v>
      </x:c>
      <x:c r="AE3" s="4" t="str">
        <x:v>01</x:v>
      </x:c>
    </x:row>
    <x:row r="4">
      <x:c r="A4" s="4" t="str">
        <x:v>No</x:v>
      </x:c>
      <x:c r="B4" s="4" t="str">
        <x:v>A</x:v>
      </x:c>
      <x:c r="C4" s="4" t="str">
        <x:v>Turkey</x:v>
      </x:c>
      <x:c r="D4" s="4" t="str">
        <x:v>Teacup Mountain WMA</x:v>
      </x:c>
      <x:c r="E4" s="4" t="str">
        <x:v>Rolling Plains</x:v>
      </x:c>
      <x:c r="F4" s="4" t="str">
        <x:v>E-Postcard Turkey</x:v>
      </x:c>
      <x:c r="G4" s="4" t="str">
        <x:v>Yes</x:v>
      </x:c>
      <x:c r="H4" s="4" t="str">
        <x:v>Yes</x:v>
      </x:c>
      <x:c r="I4" s="4" t="str">
        <x:v>2026-08-15</x:v>
      </x:c>
      <x:c r="J4" s="4" t="str">
        <x:v>Spring 2027 varies</x:v>
      </x:c>
      <x:c r="K4" s="4" t="n">
        <x:v>0</x:v>
      </x:c>
      <x:c r="L4" s="4" t="n">
        <x:v>0</x:v>
      </x:c>
      <x:c r="M4" s="4"/>
      <x:c r="N4" s="4"/>
      <x:c r="O4" s="4"/>
      <x:c r="P4" s="4" t="n">
        <x:v>145</x:v>
      </x:c>
      <x:c r="Q4" s="4" t="str">
        <x:v>Core</x:v>
      </x:c>
      <x:c r="R4" s="4" t="str">
        <x:v>Primitive camping</x:v>
      </x:c>
      <x:c r="S4" s="4" t="str">
        <x:v>High</x:v>
      </x:c>
      <x:c r="T4" s="4" t="str">
        <x:v>No</x:v>
      </x:c>
      <x:c r="U4" s="4" t="str">
        <x:v>E-postcard requires Annual Public Hunting Permit.</x:v>
      </x:c>
      <x:c r="V4" s="4" t="str">
        <x:v>https://tpwd.texas.gov/huntwild/hunt/public/public_hunt_drawing/hunt-area-details.phtml?OArea=TE</x:v>
      </x:c>
      <x:c r="W4" s="4" t="n">
        <x:v>2</x:v>
      </x:c>
      <x:c r="X4" s="4" t="n">
        <x:v>4</x:v>
      </x:c>
      <x:c r="Y4" s="4" t="n">
        <x:v>5</x:v>
      </x:c>
      <x:c r="Z4" s="4" t="n">
        <x:v>4</x:v>
      </x:c>
      <x:c r="AA4" s="4" t="n">
        <x:v>5</x:v>
      </x:c>
      <x:c r="AB4" s="4" t="n">
        <x:v>0</x:v>
      </x:c>
      <x:c r="AC4" s="4" t="n">
        <x:v>3.2</x:v>
      </x:c>
      <x:c r="AD4" s="4" t="n">
        <x:v>0</x:v>
      </x:c>
      <x:c r="AE4" s="4" t="str">
        <x:v>08</x:v>
      </x:c>
    </x:row>
    <x:row r="5">
      <x:c r="A5" s="4" t="str">
        <x:v>No</x:v>
      </x:c>
      <x:c r="B5" s="4" t="str">
        <x:v>B</x:v>
      </x:c>
      <x:c r="C5" s="4" t="str">
        <x:v>Turkey</x:v>
      </x:c>
      <x:c r="D5" s="4" t="str">
        <x:v>Taylor Lakes WMA</x:v>
      </x:c>
      <x:c r="E5" s="4" t="str">
        <x:v>Panhandle</x:v>
      </x:c>
      <x:c r="F5" s="4" t="str">
        <x:v>Youth Spring Turkey</x:v>
      </x:c>
      <x:c r="G5" s="4" t="str">
        <x:v>No</x:v>
      </x:c>
      <x:c r="H5" s="4" t="str">
        <x:v>Yes</x:v>
      </x:c>
      <x:c r="I5" s="4" t="str">
        <x:v>2027-01-15</x:v>
      </x:c>
      <x:c r="J5" s="4" t="str">
        <x:v>Spring 2027 varies</x:v>
      </x:c>
      <x:c r="K5" s="4" t="n">
        <x:v>0</x:v>
      </x:c>
      <x:c r="L5" s="4" t="n">
        <x:v>0</x:v>
      </x:c>
      <x:c r="M5" s="4"/>
      <x:c r="N5" s="4"/>
      <x:c r="O5" s="4"/>
      <x:c r="P5" s="4" t="n">
        <x:v>90</x:v>
      </x:c>
      <x:c r="Q5" s="4" t="str">
        <x:v>Core</x:v>
      </x:c>
      <x:c r="R5" s="4" t="str">
        <x:v>Nearby camping/lodging</x:v>
      </x:c>
      <x:c r="S5" s="4" t="str">
        <x:v>Low</x:v>
      </x:c>
      <x:c r="T5" s="4" t="str">
        <x:v>No</x:v>
      </x:c>
      <x:c r="U5" s="4" t="str">
        <x:v>Add to youth spring list.</x:v>
      </x:c>
      <x:c r="V5" s="4" t="str">
        <x:v>https://tpwd.texas.gov/huntwild/hunt/public/public_hunt_drawing/hunt-area-details.phtml?OArea=TL</x:v>
      </x:c>
      <x:c r="W5" s="4" t="n">
        <x:v>2</x:v>
      </x:c>
      <x:c r="X5" s="4" t="n">
        <x:v>5</x:v>
      </x:c>
      <x:c r="Y5" s="4" t="n">
        <x:v>5</x:v>
      </x:c>
      <x:c r="Z5" s="4" t="n">
        <x:v>3</x:v>
      </x:c>
      <x:c r="AA5" s="4" t="n">
        <x:v>1</x:v>
      </x:c>
      <x:c r="AB5" s="4" t="n">
        <x:v>0</x:v>
      </x:c>
      <x:c r="AC5" s="4" t="n">
        <x:v>2.9</x:v>
      </x:c>
      <x:c r="AD5" s="4" t="n">
        <x:v>0</x:v>
      </x:c>
      <x:c r="AE5" s="4" t="str">
        <x:v>01</x:v>
      </x:c>
    </x:row>
    <x:row r="6">
      <x:c r="A6" s="4"/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  <x:c r="AA6" s="4"/>
      <x:c r="AB6" s="4"/>
      <x:c r="AC6" s="4"/>
      <x:c r="AD6" s="4"/>
      <x:c r="AE6" s="4"/>
    </x:row>
    <x:row r="7">
      <x:c r="A7" s="4"/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  <x:c r="AB7" s="4"/>
      <x:c r="AC7" s="4"/>
      <x:c r="AD7" s="4"/>
      <x:c r="AE7" s="4"/>
    </x:row>
    <x:row r="8">
      <x:c r="A8" s="4"/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  <x:c r="AA8" s="4"/>
      <x:c r="AB8" s="4"/>
      <x:c r="AC8" s="4"/>
      <x:c r="AD8" s="4"/>
      <x:c r="AE8" s="4"/>
    </x:row>
    <x:row r="9">
      <x:c r="A9" s="4"/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  <x:c r="AA9" s="4"/>
      <x:c r="AB9" s="4"/>
      <x:c r="AC9" s="4"/>
      <x:c r="AD9" s="4"/>
      <x:c r="AE9" s="4"/>
    </x:row>
    <x:row r="10">
      <x:c r="A10" s="4"/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  <x:c r="AA10" s="4"/>
      <x:c r="AB10" s="4"/>
      <x:c r="AC10" s="4"/>
      <x:c r="AD10" s="4"/>
      <x:c r="AE10" s="4"/>
    </x:row>
    <x:row r="11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  <x:c r="AA11" s="4"/>
      <x:c r="AB11" s="4"/>
      <x:c r="AC11" s="4"/>
      <x:c r="AD11" s="4"/>
      <x:c r="AE11" s="4"/>
    </x:row>
    <x:row r="12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  <x:c r="AA12" s="4"/>
      <x:c r="AB12" s="4"/>
      <x:c r="AC12" s="4"/>
      <x:c r="AD12" s="4"/>
      <x:c r="AE12" s="4"/>
    </x:row>
    <x:row r="13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  <x:c r="AA13" s="4"/>
      <x:c r="AB13" s="4"/>
      <x:c r="AC13" s="4"/>
      <x:c r="AD13" s="4"/>
      <x:c r="AE13" s="4"/>
    </x:row>
    <x:row r="14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  <x:c r="AA14" s="4"/>
      <x:c r="AB14" s="4"/>
      <x:c r="AC14" s="4"/>
      <x:c r="AD14" s="4"/>
      <x:c r="AE14" s="4"/>
    </x:row>
    <x:row r="15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  <x:c r="AA15" s="4"/>
      <x:c r="AB15" s="4"/>
      <x:c r="AC15" s="4"/>
      <x:c r="AD15" s="4"/>
      <x:c r="AE15" s="4"/>
    </x:row>
    <x:row r="16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  <x:c r="AA16" s="4"/>
      <x:c r="AB16" s="4"/>
      <x:c r="AC16" s="4"/>
      <x:c r="AD16" s="4"/>
      <x:c r="AE16" s="4"/>
    </x:row>
    <x:row r="17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/>
      <x:c r="AB17" s="4"/>
      <x:c r="AC17" s="4"/>
      <x:c r="AD17" s="4"/>
      <x:c r="AE17" s="4"/>
    </x:row>
    <x:row r="18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  <x:c r="AA18" s="4"/>
      <x:c r="AB18" s="4"/>
      <x:c r="AC18" s="4"/>
      <x:c r="AD18" s="4"/>
      <x:c r="AE18" s="4"/>
    </x:row>
    <x:row r="19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  <x:c r="AA20" s="4"/>
      <x:c r="AB20" s="4"/>
      <x:c r="AC20" s="4"/>
      <x:c r="AD20" s="4"/>
      <x:c r="AE20" s="4"/>
    </x:row>
    <x:row r="2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  <x:c r="AA21" s="4"/>
      <x:c r="AB21" s="4"/>
      <x:c r="AC21" s="4"/>
      <x:c r="AD21" s="4"/>
      <x:c r="AE21" s="4"/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  <x:c r="AA22" s="4"/>
      <x:c r="AB22" s="4"/>
      <x:c r="AC22" s="4"/>
      <x:c r="AD22" s="4"/>
      <x:c r="AE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  <x:c r="AA23" s="4"/>
      <x:c r="AB23" s="4"/>
      <x:c r="AC23" s="4"/>
      <x:c r="AD23" s="4"/>
      <x:c r="AE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  <x:c r="AA24" s="4"/>
      <x:c r="AB24" s="4"/>
      <x:c r="AC24" s="4"/>
      <x:c r="AD24" s="4"/>
      <x:c r="AE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  <x:c r="AA25" s="4"/>
      <x:c r="AB25" s="4"/>
      <x:c r="AC25" s="4"/>
      <x:c r="AD25" s="4"/>
      <x:c r="AE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  <x:c r="AA26" s="4"/>
      <x:c r="AB26" s="4"/>
      <x:c r="AC26" s="4"/>
      <x:c r="AD26" s="4"/>
      <x:c r="AE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  <x:c r="AA27" s="4"/>
      <x:c r="AB27" s="4"/>
      <x:c r="AC27" s="4"/>
      <x:c r="AD27" s="4"/>
      <x:c r="AE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  <x:c r="AA28" s="4"/>
      <x:c r="AB28" s="4"/>
      <x:c r="AC28" s="4"/>
      <x:c r="AD28" s="4"/>
      <x:c r="AE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  <x:c r="AA29" s="4"/>
      <x:c r="AB29" s="4"/>
      <x:c r="AC29" s="4"/>
      <x:c r="AD29" s="4"/>
      <x:c r="AE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  <x:c r="AA30" s="4"/>
      <x:c r="AB30" s="4"/>
      <x:c r="AC30" s="4"/>
      <x:c r="AD30" s="4"/>
      <x:c r="AE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  <x:c r="AA31" s="4"/>
      <x:c r="AB31" s="4"/>
      <x:c r="AC31" s="4"/>
      <x:c r="AD31" s="4"/>
      <x:c r="AE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  <x:c r="AA32" s="4"/>
      <x:c r="AB32" s="4"/>
      <x:c r="AC32" s="4"/>
      <x:c r="AD32" s="4"/>
      <x:c r="AE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  <x:c r="AA33" s="4"/>
      <x:c r="AB33" s="4"/>
      <x:c r="AC33" s="4"/>
      <x:c r="AD33" s="4"/>
      <x:c r="AE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  <x:c r="AA34" s="4"/>
      <x:c r="AB34" s="4"/>
      <x:c r="AC34" s="4"/>
      <x:c r="AD34" s="4"/>
      <x:c r="AE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  <x:c r="AA35" s="4"/>
      <x:c r="AB35" s="4"/>
      <x:c r="AC35" s="4"/>
      <x:c r="AD35" s="4"/>
      <x:c r="AE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  <x:c r="AA36" s="4"/>
      <x:c r="AB36" s="4"/>
      <x:c r="AC36" s="4"/>
      <x:c r="AD36" s="4"/>
      <x:c r="AE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  <x:c r="AA37" s="4"/>
      <x:c r="AB37" s="4"/>
      <x:c r="AC37" s="4"/>
      <x:c r="AD37" s="4"/>
      <x:c r="AE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  <x:c r="AA39" s="4"/>
      <x:c r="AB39" s="4"/>
      <x:c r="AC39" s="4"/>
      <x:c r="AD39" s="4"/>
      <x:c r="AE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  <x:c r="AA40" s="4"/>
      <x:c r="AB40" s="4"/>
      <x:c r="AC40" s="4"/>
      <x:c r="AD40" s="4"/>
      <x:c r="AE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  <x:c r="AA41" s="4"/>
      <x:c r="AB41" s="4"/>
      <x:c r="AC41" s="4"/>
      <x:c r="AD41" s="4"/>
      <x:c r="AE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  <x:c r="AA42" s="4"/>
      <x:c r="AB42" s="4"/>
      <x:c r="AC42" s="4"/>
      <x:c r="AD42" s="4"/>
      <x:c r="AE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  <x:c r="AA43" s="4"/>
      <x:c r="AB43" s="4"/>
      <x:c r="AC43" s="4"/>
      <x:c r="AD43" s="4"/>
      <x:c r="AE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  <x:c r="AA44" s="4"/>
      <x:c r="AB44" s="4"/>
      <x:c r="AC44" s="4"/>
      <x:c r="AD44" s="4"/>
      <x:c r="AE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  <x:c r="AA45" s="4"/>
      <x:c r="AB45" s="4"/>
      <x:c r="AC45" s="4"/>
      <x:c r="AD45" s="4"/>
      <x:c r="AE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  <x:c r="AA46" s="4"/>
      <x:c r="AB46" s="4"/>
      <x:c r="AC46" s="4"/>
      <x:c r="AD46" s="4"/>
      <x:c r="AE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  <x:c r="AA47" s="4"/>
      <x:c r="AB47" s="4"/>
      <x:c r="AC47" s="4"/>
      <x:c r="AD47" s="4"/>
      <x:c r="AE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  <x:c r="AA48" s="4"/>
      <x:c r="AB48" s="4"/>
      <x:c r="AC48" s="4"/>
      <x:c r="AD48" s="4"/>
      <x:c r="AE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  <x:c r="AA49" s="4"/>
      <x:c r="AB49" s="4"/>
      <x:c r="AC49" s="4"/>
      <x:c r="AD49" s="4"/>
      <x:c r="AE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  <x:c r="AA50" s="4"/>
      <x:c r="AB50" s="4"/>
      <x:c r="AC50" s="4"/>
      <x:c r="AD50" s="4"/>
      <x:c r="AE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  <x:c r="AA51" s="4"/>
      <x:c r="AB51" s="4"/>
      <x:c r="AC51" s="4"/>
      <x:c r="AD51" s="4"/>
      <x:c r="AE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  <x:c r="AA52" s="4"/>
      <x:c r="AB52" s="4"/>
      <x:c r="AC52" s="4"/>
      <x:c r="AD52" s="4"/>
      <x:c r="AE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  <x:c r="AA53" s="4"/>
      <x:c r="AB53" s="4"/>
      <x:c r="AC53" s="4"/>
      <x:c r="AD53" s="4"/>
      <x:c r="AE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  <x:c r="AA54" s="4"/>
      <x:c r="AB54" s="4"/>
      <x:c r="AC54" s="4"/>
      <x:c r="AD54" s="4"/>
      <x:c r="AE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  <x:c r="AA55" s="4"/>
      <x:c r="AB55" s="4"/>
      <x:c r="AC55" s="4"/>
      <x:c r="AD55" s="4"/>
      <x:c r="AE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  <x:c r="AA56" s="4"/>
      <x:c r="AB56" s="4"/>
      <x:c r="AC56" s="4"/>
      <x:c r="AD56" s="4"/>
      <x:c r="AE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  <x:c r="AA58" s="4"/>
      <x:c r="AB58" s="4"/>
      <x:c r="AC58" s="4"/>
      <x:c r="AD58" s="4"/>
      <x:c r="AE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  <x:c r="AA59" s="4"/>
      <x:c r="AB59" s="4"/>
      <x:c r="AC59" s="4"/>
      <x:c r="AD59" s="4"/>
      <x:c r="AE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  <x:c r="AA60" s="4"/>
      <x:c r="AB60" s="4"/>
      <x:c r="AC60" s="4"/>
      <x:c r="AD60" s="4"/>
      <x:c r="AE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  <x:c r="AA61" s="4"/>
      <x:c r="AB61" s="4"/>
      <x:c r="AC61" s="4"/>
      <x:c r="AD61" s="4"/>
      <x:c r="AE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  <x:c r="AA62" s="4"/>
      <x:c r="AB62" s="4"/>
      <x:c r="AC62" s="4"/>
      <x:c r="AD62" s="4"/>
      <x:c r="AE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  <x:c r="AA63" s="4"/>
      <x:c r="AB63" s="4"/>
      <x:c r="AC63" s="4"/>
      <x:c r="AD63" s="4"/>
      <x:c r="AE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  <x:c r="AA64" s="4"/>
      <x:c r="AB64" s="4"/>
      <x:c r="AC64" s="4"/>
      <x:c r="AD64" s="4"/>
      <x:c r="AE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  <x:c r="AA65" s="4"/>
      <x:c r="AB65" s="4"/>
      <x:c r="AC65" s="4"/>
      <x:c r="AD65" s="4"/>
      <x:c r="AE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  <x:c r="AA66" s="4"/>
      <x:c r="AB66" s="4"/>
      <x:c r="AC66" s="4"/>
      <x:c r="AD66" s="4"/>
      <x:c r="AE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  <x:c r="AA67" s="4"/>
      <x:c r="AB67" s="4"/>
      <x:c r="AC67" s="4"/>
      <x:c r="AD67" s="4"/>
      <x:c r="AE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s="4"/>
      <x:c r="AB68" s="4"/>
      <x:c r="AC68" s="4"/>
      <x:c r="AD68" s="4"/>
      <x:c r="AE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  <x:c r="AA69" s="4"/>
      <x:c r="AB69" s="4"/>
      <x:c r="AC69" s="4"/>
      <x:c r="AD69" s="4"/>
      <x:c r="AE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  <x:c r="AA70" s="4"/>
      <x:c r="AB70" s="4"/>
      <x:c r="AC70" s="4"/>
      <x:c r="AD70" s="4"/>
      <x:c r="AE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  <x:c r="AA71" s="4"/>
      <x:c r="AB71" s="4"/>
      <x:c r="AC71" s="4"/>
      <x:c r="AD71" s="4"/>
      <x:c r="AE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  <x:c r="AA72" s="4"/>
      <x:c r="AB72" s="4"/>
      <x:c r="AC72" s="4"/>
      <x:c r="AD72" s="4"/>
      <x:c r="AE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  <x:c r="AA73" s="4"/>
      <x:c r="AB73" s="4"/>
      <x:c r="AC73" s="4"/>
      <x:c r="AD73" s="4"/>
      <x:c r="AE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  <x:c r="AA74" s="4"/>
      <x:c r="AB74" s="4"/>
      <x:c r="AC74" s="4"/>
      <x:c r="AD74" s="4"/>
      <x:c r="AE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  <x:c r="AA75" s="4"/>
      <x:c r="AB75" s="4"/>
      <x:c r="AC75" s="4"/>
      <x:c r="AD75" s="4"/>
      <x:c r="AE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  <x:c r="AA77" s="4"/>
      <x:c r="AB77" s="4"/>
      <x:c r="AC77" s="4"/>
      <x:c r="AD77" s="4"/>
      <x:c r="AE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  <x:c r="AA78" s="4"/>
      <x:c r="AB78" s="4"/>
      <x:c r="AC78" s="4"/>
      <x:c r="AD78" s="4"/>
      <x:c r="AE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  <x:c r="AA79" s="4"/>
      <x:c r="AB79" s="4"/>
      <x:c r="AC79" s="4"/>
      <x:c r="AD79" s="4"/>
      <x:c r="AE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  <x:c r="AA80" s="4"/>
      <x:c r="AB80" s="4"/>
      <x:c r="AC80" s="4"/>
      <x:c r="AD80" s="4"/>
      <x:c r="AE80" s="4"/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  <x:c r="AA81" s="4"/>
      <x:c r="AB81" s="4"/>
      <x:c r="AC81" s="4"/>
      <x:c r="AD81" s="4"/>
      <x:c r="AE81" s="4"/>
    </x:row>
    <x:row r="82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  <x:c r="AA82" s="4"/>
      <x:c r="AB82" s="4"/>
      <x:c r="AC82" s="4"/>
      <x:c r="AD82" s="4"/>
      <x:c r="AE82" s="4"/>
    </x:row>
    <x:row r="83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  <x:c r="AA83" s="4"/>
      <x:c r="AB83" s="4"/>
      <x:c r="AC83" s="4"/>
      <x:c r="AD83" s="4"/>
      <x:c r="AE83" s="4"/>
    </x:row>
    <x:row r="84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  <x:c r="AA84" s="4"/>
      <x:c r="AB84" s="4"/>
      <x:c r="AC84" s="4"/>
      <x:c r="AD84" s="4"/>
      <x:c r="AE84" s="4"/>
    </x:row>
    <x:row r="85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  <x:c r="AA85" s="4"/>
      <x:c r="AB85" s="4"/>
      <x:c r="AC85" s="4"/>
      <x:c r="AD85" s="4"/>
      <x:c r="AE85" s="4"/>
    </x:row>
    <x:row r="86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  <x:c r="AA86" s="4"/>
      <x:c r="AB86" s="4"/>
      <x:c r="AC86" s="4"/>
      <x:c r="AD86" s="4"/>
      <x:c r="AE86" s="4"/>
    </x:row>
    <x:row r="87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  <x:c r="AA87" s="4"/>
      <x:c r="AB87" s="4"/>
      <x:c r="AC87" s="4"/>
      <x:c r="AD87" s="4"/>
      <x:c r="AE87" s="4"/>
    </x:row>
    <x:row r="88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  <x:c r="AA88" s="4"/>
      <x:c r="AB88" s="4"/>
      <x:c r="AC88" s="4"/>
      <x:c r="AD88" s="4"/>
      <x:c r="AE88" s="4"/>
    </x:row>
    <x:row r="89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  <x:c r="AA89" s="4"/>
      <x:c r="AB89" s="4"/>
      <x:c r="AC89" s="4"/>
      <x:c r="AD89" s="4"/>
      <x:c r="AE89" s="4"/>
    </x:row>
    <x:row r="90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  <x:c r="AA90" s="4"/>
      <x:c r="AB90" s="4"/>
      <x:c r="AC90" s="4"/>
      <x:c r="AD90" s="4"/>
      <x:c r="AE90" s="4"/>
    </x:row>
    <x:row r="9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  <x:c r="AA91" s="4"/>
      <x:c r="AB91" s="4"/>
      <x:c r="AC91" s="4"/>
      <x:c r="AD91" s="4"/>
      <x:c r="AE91" s="4"/>
    </x:row>
    <x:row r="92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  <x:c r="AA92" s="4"/>
      <x:c r="AB92" s="4"/>
      <x:c r="AC92" s="4"/>
      <x:c r="AD92" s="4"/>
      <x:c r="AE92" s="4"/>
    </x:row>
    <x:row r="93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  <x:c r="AA93" s="4"/>
      <x:c r="AB93" s="4"/>
      <x:c r="AC93" s="4"/>
      <x:c r="AD93" s="4"/>
      <x:c r="AE93" s="4"/>
    </x:row>
    <x:row r="94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  <x:c r="AA94" s="4"/>
      <x:c r="AB94" s="4"/>
      <x:c r="AC94" s="4"/>
      <x:c r="AD94" s="4"/>
      <x:c r="AE94" s="4"/>
    </x:row>
    <x:row r="95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  <x:c r="AA96" s="4"/>
      <x:c r="AB96" s="4"/>
      <x:c r="AC96" s="4"/>
      <x:c r="AD96" s="4"/>
      <x:c r="AE96" s="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  <x:c r="AA97" s="4"/>
      <x:c r="AB97" s="4"/>
      <x:c r="AC97" s="4"/>
      <x:c r="AD97" s="4"/>
      <x:c r="AE97" s="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  <x:c r="AA98" s="4"/>
      <x:c r="AB98" s="4"/>
      <x:c r="AC98" s="4"/>
      <x:c r="AD98" s="4"/>
      <x:c r="AE98" s="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  <x:c r="AA99" s="4"/>
      <x:c r="AB99" s="4"/>
      <x:c r="AC99" s="4"/>
      <x:c r="AD99" s="4"/>
      <x:c r="AE99" s="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  <x:c r="AA100" s="4"/>
      <x:c r="AB100" s="4"/>
      <x:c r="AC100" s="4"/>
      <x:c r="AD100" s="4"/>
      <x:c r="AE100" s="4"/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  <x:c r="AA101" s="4"/>
      <x:c r="AB101" s="4"/>
      <x:c r="AC101" s="4"/>
      <x:c r="AD101" s="4"/>
      <x:c r="AE101" s="4"/>
    </x:row>
    <x:row r="102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  <x:c r="AA102" s="4"/>
      <x:c r="AB102" s="4"/>
      <x:c r="AC102" s="4"/>
      <x:c r="AD102" s="4"/>
      <x:c r="AE102" s="4"/>
    </x:row>
    <x:row r="103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  <x:c r="AA103" s="4"/>
      <x:c r="AB103" s="4"/>
      <x:c r="AC103" s="4"/>
      <x:c r="AD103" s="4"/>
      <x:c r="AE103" s="4"/>
    </x:row>
    <x:row r="104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  <x:c r="AA104" s="4"/>
      <x:c r="AB104" s="4"/>
      <x:c r="AC104" s="4"/>
      <x:c r="AD104" s="4"/>
      <x:c r="AE104" s="4"/>
    </x:row>
    <x:row r="105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  <x:c r="AA105" s="4"/>
      <x:c r="AB105" s="4"/>
      <x:c r="AC105" s="4"/>
      <x:c r="AD105" s="4"/>
      <x:c r="AE105" s="4"/>
    </x:row>
    <x:row r="106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  <x:c r="AA106" s="4"/>
      <x:c r="AB106" s="4"/>
      <x:c r="AC106" s="4"/>
      <x:c r="AD106" s="4"/>
      <x:c r="AE106" s="4"/>
    </x:row>
    <x:row r="107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  <x:c r="AA107" s="4"/>
      <x:c r="AB107" s="4"/>
      <x:c r="AC107" s="4"/>
      <x:c r="AD107" s="4"/>
      <x:c r="AE107" s="4"/>
    </x:row>
    <x:row r="108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  <x:c r="AA108" s="4"/>
      <x:c r="AB108" s="4"/>
      <x:c r="AC108" s="4"/>
      <x:c r="AD108" s="4"/>
      <x:c r="AE108" s="4"/>
    </x:row>
    <x:row r="109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  <x:c r="AA109" s="4"/>
      <x:c r="AB109" s="4"/>
      <x:c r="AC109" s="4"/>
      <x:c r="AD109" s="4"/>
      <x:c r="AE109" s="4"/>
    </x:row>
    <x:row r="110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  <x:c r="AA110" s="4"/>
      <x:c r="AB110" s="4"/>
      <x:c r="AC110" s="4"/>
      <x:c r="AD110" s="4"/>
      <x:c r="AE110" s="4"/>
    </x:row>
    <x:row r="11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  <x:c r="AA111" s="4"/>
      <x:c r="AB111" s="4"/>
      <x:c r="AC111" s="4"/>
      <x:c r="AD111" s="4"/>
      <x:c r="AE111" s="4"/>
    </x:row>
    <x:row r="112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  <x:c r="AA112" s="4"/>
      <x:c r="AB112" s="4"/>
      <x:c r="AC112" s="4"/>
      <x:c r="AD112" s="4"/>
      <x:c r="AE112" s="4"/>
    </x:row>
    <x:row r="113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  <x:c r="AA113" s="4"/>
      <x:c r="AB113" s="4"/>
      <x:c r="AC113" s="4"/>
      <x:c r="AD113" s="4"/>
      <x:c r="AE113" s="4"/>
    </x:row>
    <x:row r="114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  <x:c r="AA114" s="4"/>
      <x:c r="AB114" s="4"/>
      <x:c r="AC114" s="4"/>
      <x:c r="AD114" s="4"/>
      <x:c r="AE114" s="4"/>
    </x:row>
    <x:row r="115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  <x:c r="AA115" s="4"/>
      <x:c r="AB115" s="4"/>
      <x:c r="AC115" s="4"/>
      <x:c r="AD115" s="4"/>
      <x:c r="AE115" s="4"/>
    </x:row>
    <x:row r="116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  <x:c r="AA116" s="4"/>
      <x:c r="AB116" s="4"/>
      <x:c r="AC116" s="4"/>
      <x:c r="AD116" s="4"/>
      <x:c r="AE116" s="4"/>
    </x:row>
    <x:row r="117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  <x:c r="AA117" s="4"/>
      <x:c r="AB117" s="4"/>
      <x:c r="AC117" s="4"/>
      <x:c r="AD117" s="4"/>
      <x:c r="AE117" s="4"/>
    </x:row>
    <x:row r="118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  <x:c r="AA118" s="4"/>
      <x:c r="AB118" s="4"/>
      <x:c r="AC118" s="4"/>
      <x:c r="AD118" s="4"/>
      <x:c r="AE118" s="4"/>
    </x:row>
    <x:row r="119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  <x:c r="AA119" s="4"/>
      <x:c r="AB119" s="4"/>
      <x:c r="AC119" s="4"/>
      <x:c r="AD119" s="4"/>
      <x:c r="AE119" s="4"/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  <x:c r="AA120" s="4"/>
      <x:c r="AB120" s="4"/>
      <x:c r="AC120" s="4"/>
      <x:c r="AD120" s="4"/>
      <x:c r="AE120" s="4"/>
    </x:row>
    <x:row r="12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  <x:c r="AA121" s="4"/>
      <x:c r="AB121" s="4"/>
      <x:c r="AC121" s="4"/>
      <x:c r="AD121" s="4"/>
      <x:c r="AE121" s="4"/>
    </x:row>
    <x:row r="122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  <x:c r="AA122" s="4"/>
      <x:c r="AB122" s="4"/>
      <x:c r="AC122" s="4"/>
      <x:c r="AD122" s="4"/>
      <x:c r="AE122" s="4"/>
    </x:row>
    <x:row r="123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  <x:c r="AA123" s="4"/>
      <x:c r="AB123" s="4"/>
      <x:c r="AC123" s="4"/>
      <x:c r="AD123" s="4"/>
      <x:c r="AE123" s="4"/>
    </x:row>
    <x:row r="124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  <x:c r="AA124" s="4"/>
      <x:c r="AB124" s="4"/>
      <x:c r="AC124" s="4"/>
      <x:c r="AD124" s="4"/>
      <x:c r="AE124" s="4"/>
    </x:row>
    <x:row r="125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  <x:c r="AA125" s="4"/>
      <x:c r="AB125" s="4"/>
      <x:c r="AC125" s="4"/>
      <x:c r="AD125" s="4"/>
      <x:c r="AE125" s="4"/>
    </x:row>
    <x:row r="126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  <x:c r="AA126" s="4"/>
      <x:c r="AB126" s="4"/>
      <x:c r="AC126" s="4"/>
      <x:c r="AD126" s="4"/>
      <x:c r="AE126" s="4"/>
    </x:row>
    <x:row r="127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  <x:c r="AA127" s="4"/>
      <x:c r="AB127" s="4"/>
      <x:c r="AC127" s="4"/>
      <x:c r="AD127" s="4"/>
      <x:c r="AE127" s="4"/>
    </x:row>
    <x:row r="128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  <x:c r="AA128" s="4"/>
      <x:c r="AB128" s="4"/>
      <x:c r="AC128" s="4"/>
      <x:c r="AD128" s="4"/>
      <x:c r="AE128" s="4"/>
    </x:row>
    <x:row r="129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  <x:c r="AA129" s="4"/>
      <x:c r="AB129" s="4"/>
      <x:c r="AC129" s="4"/>
      <x:c r="AD129" s="4"/>
      <x:c r="AE129" s="4"/>
    </x:row>
    <x:row r="130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  <x:c r="AA130" s="4"/>
      <x:c r="AB130" s="4"/>
      <x:c r="AC130" s="4"/>
      <x:c r="AD130" s="4"/>
      <x:c r="AE130" s="4"/>
    </x:row>
    <x:row r="13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  <x:c r="AA131" s="4"/>
      <x:c r="AB131" s="4"/>
      <x:c r="AC131" s="4"/>
      <x:c r="AD131" s="4"/>
      <x:c r="AE131" s="4"/>
    </x:row>
    <x:row r="132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  <x:c r="AA132" s="4"/>
      <x:c r="AB132" s="4"/>
      <x:c r="AC132" s="4"/>
      <x:c r="AD132" s="4"/>
      <x:c r="AE132" s="4"/>
    </x:row>
    <x:row r="133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  <x:c r="AA133" s="4"/>
      <x:c r="AB133" s="4"/>
      <x:c r="AC133" s="4"/>
      <x:c r="AD133" s="4"/>
      <x:c r="AE133" s="4"/>
    </x:row>
    <x:row r="134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  <x:c r="AA134" s="4"/>
      <x:c r="AB134" s="4"/>
      <x:c r="AC134" s="4"/>
      <x:c r="AD134" s="4"/>
      <x:c r="AE134" s="4"/>
    </x:row>
    <x:row r="135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  <x:c r="AA135" s="4"/>
      <x:c r="AB135" s="4"/>
      <x:c r="AC135" s="4"/>
      <x:c r="AD135" s="4"/>
      <x:c r="AE135" s="4"/>
    </x:row>
    <x:row r="136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  <x:c r="AA136" s="4"/>
      <x:c r="AB136" s="4"/>
      <x:c r="AC136" s="4"/>
      <x:c r="AD136" s="4"/>
      <x:c r="AE136" s="4"/>
    </x:row>
    <x:row r="137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  <x:c r="AA137" s="4"/>
      <x:c r="AB137" s="4"/>
      <x:c r="AC137" s="4"/>
      <x:c r="AD137" s="4"/>
      <x:c r="AE137" s="4"/>
    </x:row>
    <x:row r="138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  <x:c r="AA138" s="4"/>
      <x:c r="AB138" s="4"/>
      <x:c r="AC138" s="4"/>
      <x:c r="AD138" s="4"/>
      <x:c r="AE138" s="4"/>
    </x:row>
    <x:row r="139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  <x:c r="AA139" s="4"/>
      <x:c r="AB139" s="4"/>
      <x:c r="AC139" s="4"/>
      <x:c r="AD139" s="4"/>
      <x:c r="AE139" s="4"/>
    </x:row>
    <x:row r="140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  <x:c r="AA140" s="4"/>
      <x:c r="AB140" s="4"/>
      <x:c r="AC140" s="4"/>
      <x:c r="AD140" s="4"/>
      <x:c r="AE140" s="4"/>
    </x:row>
    <x:row r="14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  <x:c r="AA141" s="4"/>
      <x:c r="AB141" s="4"/>
      <x:c r="AC141" s="4"/>
      <x:c r="AD141" s="4"/>
      <x:c r="AE141" s="4"/>
    </x:row>
    <x:row r="142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  <x:c r="AA142" s="4"/>
      <x:c r="AB142" s="4"/>
      <x:c r="AC142" s="4"/>
      <x:c r="AD142" s="4"/>
      <x:c r="AE142" s="4"/>
    </x:row>
    <x:row r="143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  <x:c r="AA143" s="4"/>
      <x:c r="AB143" s="4"/>
      <x:c r="AC143" s="4"/>
      <x:c r="AD143" s="4"/>
      <x:c r="AE143" s="4"/>
    </x:row>
    <x:row r="144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  <x:c r="AA144" s="4"/>
      <x:c r="AB144" s="4"/>
      <x:c r="AC144" s="4"/>
      <x:c r="AD144" s="4"/>
      <x:c r="AE144" s="4"/>
    </x:row>
    <x:row r="145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  <x:c r="AA145" s="4"/>
      <x:c r="AB145" s="4"/>
      <x:c r="AC145" s="4"/>
      <x:c r="AD145" s="4"/>
      <x:c r="AE145" s="4"/>
    </x:row>
    <x:row r="146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  <x:c r="AA146" s="4"/>
      <x:c r="AB146" s="4"/>
      <x:c r="AC146" s="4"/>
      <x:c r="AD146" s="4"/>
      <x:c r="AE146" s="4"/>
    </x:row>
    <x:row r="147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  <x:c r="AA147" s="4"/>
      <x:c r="AB147" s="4"/>
      <x:c r="AC147" s="4"/>
      <x:c r="AD147" s="4"/>
      <x:c r="AE147" s="4"/>
    </x:row>
    <x:row r="148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  <x:c r="AA148" s="4"/>
      <x:c r="AB148" s="4"/>
      <x:c r="AC148" s="4"/>
      <x:c r="AD148" s="4"/>
      <x:c r="AE148" s="4"/>
    </x:row>
    <x:row r="149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  <x:c r="AA149" s="4"/>
      <x:c r="AB149" s="4"/>
      <x:c r="AC149" s="4"/>
      <x:c r="AD149" s="4"/>
      <x:c r="AE149" s="4"/>
    </x:row>
    <x:row r="150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  <x:c r="AA150" s="4"/>
      <x:c r="AB150" s="4"/>
      <x:c r="AC150" s="4"/>
      <x:c r="AD150" s="4"/>
      <x:c r="AE150" s="4"/>
    </x:row>
    <x:row r="15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  <x:c r="AA151" s="4"/>
      <x:c r="AB151" s="4"/>
      <x:c r="AC151" s="4"/>
      <x:c r="AD151" s="4"/>
      <x:c r="AE151" s="4"/>
    </x:row>
    <x:row r="152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  <x:c r="AA152" s="4"/>
      <x:c r="AB152" s="4"/>
      <x:c r="AC152" s="4"/>
      <x:c r="AD152" s="4"/>
      <x:c r="AE152" s="4"/>
    </x:row>
    <x:row r="153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  <x:c r="AA153" s="4"/>
      <x:c r="AB153" s="4"/>
      <x:c r="AC153" s="4"/>
      <x:c r="AD153" s="4"/>
      <x:c r="AE153" s="4"/>
    </x:row>
    <x:row r="154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  <x:c r="AA154" s="4"/>
      <x:c r="AB154" s="4"/>
      <x:c r="AC154" s="4"/>
      <x:c r="AD154" s="4"/>
      <x:c r="AE154" s="4"/>
    </x:row>
    <x:row r="155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  <x:c r="AA155" s="4"/>
      <x:c r="AB155" s="4"/>
      <x:c r="AC155" s="4"/>
      <x:c r="AD155" s="4"/>
      <x:c r="AE155" s="4"/>
    </x:row>
    <x:row r="156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  <x:c r="AA156" s="4"/>
      <x:c r="AB156" s="4"/>
      <x:c r="AC156" s="4"/>
      <x:c r="AD156" s="4"/>
      <x:c r="AE156" s="4"/>
    </x:row>
    <x:row r="157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  <x:c r="AA157" s="4"/>
      <x:c r="AB157" s="4"/>
      <x:c r="AC157" s="4"/>
      <x:c r="AD157" s="4"/>
      <x:c r="AE157" s="4"/>
    </x:row>
    <x:row r="158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  <x:c r="AA158" s="4"/>
      <x:c r="AB158" s="4"/>
      <x:c r="AC158" s="4"/>
      <x:c r="AD158" s="4"/>
      <x:c r="AE158" s="4"/>
    </x:row>
    <x:row r="159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  <x:c r="AA159" s="4"/>
      <x:c r="AB159" s="4"/>
      <x:c r="AC159" s="4"/>
      <x:c r="AD159" s="4"/>
      <x:c r="AE159" s="4"/>
    </x:row>
    <x:row r="160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  <x:c r="AA160" s="4"/>
      <x:c r="AB160" s="4"/>
      <x:c r="AC160" s="4"/>
      <x:c r="AD160" s="4"/>
      <x:c r="AE160" s="4"/>
    </x:row>
    <x:row r="16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  <x:c r="AA161" s="4"/>
      <x:c r="AB161" s="4"/>
      <x:c r="AC161" s="4"/>
      <x:c r="AD161" s="4"/>
      <x:c r="AE161" s="4"/>
    </x:row>
    <x:row r="162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  <x:c r="AA162" s="4"/>
      <x:c r="AB162" s="4"/>
      <x:c r="AC162" s="4"/>
      <x:c r="AD162" s="4"/>
      <x:c r="AE162" s="4"/>
    </x:row>
    <x:row r="163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  <x:c r="AA163" s="4"/>
      <x:c r="AB163" s="4"/>
      <x:c r="AC163" s="4"/>
      <x:c r="AD163" s="4"/>
      <x:c r="AE163" s="4"/>
    </x:row>
    <x:row r="164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  <x:c r="AA164" s="4"/>
      <x:c r="AB164" s="4"/>
      <x:c r="AC164" s="4"/>
      <x:c r="AD164" s="4"/>
      <x:c r="AE164" s="4"/>
    </x:row>
    <x:row r="165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  <x:c r="AA165" s="4"/>
      <x:c r="AB165" s="4"/>
      <x:c r="AC165" s="4"/>
      <x:c r="AD165" s="4"/>
      <x:c r="AE165" s="4"/>
    </x:row>
    <x:row r="166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  <x:c r="AA166" s="4"/>
      <x:c r="AB166" s="4"/>
      <x:c r="AC166" s="4"/>
      <x:c r="AD166" s="4"/>
      <x:c r="AE166" s="4"/>
    </x:row>
    <x:row r="167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  <x:c r="AA167" s="4"/>
      <x:c r="AB167" s="4"/>
      <x:c r="AC167" s="4"/>
      <x:c r="AD167" s="4"/>
      <x:c r="AE167" s="4"/>
    </x:row>
    <x:row r="168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  <x:c r="AA168" s="4"/>
      <x:c r="AB168" s="4"/>
      <x:c r="AC168" s="4"/>
      <x:c r="AD168" s="4"/>
      <x:c r="AE168" s="4"/>
    </x:row>
    <x:row r="169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  <x:c r="AA169" s="4"/>
      <x:c r="AB169" s="4"/>
      <x:c r="AC169" s="4"/>
      <x:c r="AD169" s="4"/>
      <x:c r="AE169" s="4"/>
    </x:row>
    <x:row r="170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  <x:c r="AA170" s="4"/>
      <x:c r="AB170" s="4"/>
      <x:c r="AC170" s="4"/>
      <x:c r="AD170" s="4"/>
      <x:c r="AE170" s="4"/>
    </x:row>
    <x:row r="17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  <x:c r="AA171" s="4"/>
      <x:c r="AB171" s="4"/>
      <x:c r="AC171" s="4"/>
      <x:c r="AD171" s="4"/>
      <x:c r="AE171" s="4"/>
    </x:row>
    <x:row r="172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  <x:c r="AA172" s="4"/>
      <x:c r="AB172" s="4"/>
      <x:c r="AC172" s="4"/>
      <x:c r="AD172" s="4"/>
      <x:c r="AE172" s="4"/>
    </x:row>
    <x:row r="173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  <x:c r="AA173" s="4"/>
      <x:c r="AB173" s="4"/>
      <x:c r="AC173" s="4"/>
      <x:c r="AD173" s="4"/>
      <x:c r="AE173" s="4"/>
    </x:row>
    <x:row r="174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  <x:c r="AA174" s="4"/>
      <x:c r="AB174" s="4"/>
      <x:c r="AC174" s="4"/>
      <x:c r="AD174" s="4"/>
      <x:c r="AE174" s="4"/>
    </x:row>
    <x:row r="175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  <x:c r="AA175" s="4"/>
      <x:c r="AB175" s="4"/>
      <x:c r="AC175" s="4"/>
      <x:c r="AD175" s="4"/>
      <x:c r="AE175" s="4"/>
    </x:row>
    <x:row r="176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  <x:c r="AA176" s="4"/>
      <x:c r="AB176" s="4"/>
      <x:c r="AC176" s="4"/>
      <x:c r="AD176" s="4"/>
      <x:c r="AE176" s="4"/>
    </x:row>
    <x:row r="177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  <x:c r="AA177" s="4"/>
      <x:c r="AB177" s="4"/>
      <x:c r="AC177" s="4"/>
      <x:c r="AD177" s="4"/>
      <x:c r="AE177" s="4"/>
    </x:row>
    <x:row r="178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  <x:c r="AA178" s="4"/>
      <x:c r="AB178" s="4"/>
      <x:c r="AC178" s="4"/>
      <x:c r="AD178" s="4"/>
      <x:c r="AE178" s="4"/>
    </x:row>
    <x:row r="179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  <x:c r="AA179" s="4"/>
      <x:c r="AB179" s="4"/>
      <x:c r="AC179" s="4"/>
      <x:c r="AD179" s="4"/>
      <x:c r="AE179" s="4"/>
    </x:row>
    <x:row r="180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  <x:c r="AA180" s="4"/>
      <x:c r="AB180" s="4"/>
      <x:c r="AC180" s="4"/>
      <x:c r="AD180" s="4"/>
      <x:c r="AE180" s="4"/>
    </x:row>
    <x:row r="18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  <x:c r="AA181" s="4"/>
      <x:c r="AB181" s="4"/>
      <x:c r="AC181" s="4"/>
      <x:c r="AD181" s="4"/>
      <x:c r="AE181" s="4"/>
    </x:row>
    <x:row r="182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  <x:c r="AA182" s="4"/>
      <x:c r="AB182" s="4"/>
      <x:c r="AC182" s="4"/>
      <x:c r="AD182" s="4"/>
      <x:c r="AE182" s="4"/>
    </x:row>
    <x:row r="183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  <x:c r="AA183" s="4"/>
      <x:c r="AB183" s="4"/>
      <x:c r="AC183" s="4"/>
      <x:c r="AD183" s="4"/>
      <x:c r="AE183" s="4"/>
    </x:row>
    <x:row r="184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  <x:c r="AA184" s="4"/>
      <x:c r="AB184" s="4"/>
      <x:c r="AC184" s="4"/>
      <x:c r="AD184" s="4"/>
      <x:c r="AE184" s="4"/>
    </x:row>
    <x:row r="185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  <x:c r="AA185" s="4"/>
      <x:c r="AB185" s="4"/>
      <x:c r="AC185" s="4"/>
      <x:c r="AD185" s="4"/>
      <x:c r="AE185" s="4"/>
    </x:row>
    <x:row r="186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  <x:c r="AA186" s="4"/>
      <x:c r="AB186" s="4"/>
      <x:c r="AC186" s="4"/>
      <x:c r="AD186" s="4"/>
      <x:c r="AE186" s="4"/>
    </x:row>
    <x:row r="187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  <x:c r="AA187" s="4"/>
      <x:c r="AB187" s="4"/>
      <x:c r="AC187" s="4"/>
      <x:c r="AD187" s="4"/>
      <x:c r="AE187" s="4"/>
    </x:row>
    <x:row r="188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  <x:c r="AA188" s="4"/>
      <x:c r="AB188" s="4"/>
      <x:c r="AC188" s="4"/>
      <x:c r="AD188" s="4"/>
      <x:c r="AE188" s="4"/>
    </x:row>
    <x:row r="189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  <x:c r="AA189" s="4"/>
      <x:c r="AB189" s="4"/>
      <x:c r="AC189" s="4"/>
      <x:c r="AD189" s="4"/>
      <x:c r="AE189" s="4"/>
    </x:row>
    <x:row r="190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  <x:c r="AA190" s="4"/>
      <x:c r="AB190" s="4"/>
      <x:c r="AC190" s="4"/>
      <x:c r="AD190" s="4"/>
      <x:c r="AE190" s="4"/>
    </x:row>
    <x:row r="19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  <x:c r="AA191" s="4"/>
      <x:c r="AB191" s="4"/>
      <x:c r="AC191" s="4"/>
      <x:c r="AD191" s="4"/>
      <x:c r="AE191" s="4"/>
    </x:row>
    <x:row r="192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  <x:c r="AA192" s="4"/>
      <x:c r="AB192" s="4"/>
      <x:c r="AC192" s="4"/>
      <x:c r="AD192" s="4"/>
      <x:c r="AE192" s="4"/>
    </x:row>
    <x:row r="193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  <x:c r="AA193" s="4"/>
      <x:c r="AB193" s="4"/>
      <x:c r="AC193" s="4"/>
      <x:c r="AD193" s="4"/>
      <x:c r="AE193" s="4"/>
    </x:row>
    <x:row r="194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  <x:c r="AA194" s="4"/>
      <x:c r="AB194" s="4"/>
      <x:c r="AC194" s="4"/>
      <x:c r="AD194" s="4"/>
      <x:c r="AE194" s="4"/>
    </x:row>
    <x:row r="195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  <x:c r="AA195" s="4"/>
      <x:c r="AB195" s="4"/>
      <x:c r="AC195" s="4"/>
      <x:c r="AD195" s="4"/>
      <x:c r="AE195" s="4"/>
    </x:row>
    <x:row r="196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  <x:c r="AA196" s="4"/>
      <x:c r="AB196" s="4"/>
      <x:c r="AC196" s="4"/>
      <x:c r="AD196" s="4"/>
      <x:c r="AE196" s="4"/>
    </x:row>
    <x:row r="197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  <x:c r="AA197" s="4"/>
      <x:c r="AB197" s="4"/>
      <x:c r="AC197" s="4"/>
      <x:c r="AD197" s="4"/>
      <x:c r="AE197" s="4"/>
    </x:row>
    <x:row r="198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  <x:c r="AA198" s="4"/>
      <x:c r="AB198" s="4"/>
      <x:c r="AC198" s="4"/>
      <x:c r="AD198" s="4"/>
      <x:c r="AE198" s="4"/>
    </x:row>
    <x:row r="199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  <x:c r="AA199" s="4"/>
      <x:c r="AB199" s="4"/>
      <x:c r="AC199" s="4"/>
      <x:c r="AD199" s="4"/>
      <x:c r="AE199" s="4"/>
    </x:row>
    <x:row r="200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  <x:c r="AA200" s="4"/>
      <x:c r="AB200" s="4"/>
      <x:c r="AC200" s="4"/>
      <x:c r="AD200" s="4"/>
      <x:c r="AE200" s="4"/>
    </x:row>
  </x:sheetData>
  <x:pageMargins left="0.7" right="0.7" top="0.75" bottom="0.75" header="0.3" footer="0.3"/>
  <x:tableParts count="1">
    <x:tablePart xmlns:r="http://schemas.openxmlformats.org/officeDocument/2006/relationships" r:id="Rc04a90e28c984ebc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8" hidden="0" customWidth="1"/>
    <x:col min="4" max="4" width="26" hidden="0" customWidth="1"/>
    <x:col min="5" max="5" width="18" hidden="0" customWidth="1"/>
    <x:col min="6" max="6" width="28" hidden="0" customWidth="1"/>
    <x:col min="7" max="7" width="9" hidden="0" customWidth="1"/>
    <x:col min="8" max="8" width="9" hidden="0" customWidth="1"/>
    <x:col min="9" max="9" width="14" hidden="0" customWidth="1"/>
    <x:col min="10" max="10" width="22" hidden="0" customWidth="1"/>
    <x:col min="11" max="11" width="14" hidden="0" customWidth="1"/>
    <x:col min="12" max="12" width="16" hidden="0" customWidth="1"/>
    <x:col min="13" max="13" width="13" hidden="0" customWidth="1"/>
    <x:col min="14" max="14" width="16" hidden="0" customWidth="1"/>
    <x:col min="15" max="15" width="12" hidden="0" customWidth="1"/>
    <x:col min="16" max="16" width="16" hidden="0" customWidth="1"/>
    <x:col min="17" max="17" width="12" hidden="0" customWidth="1"/>
    <x:col min="18" max="18" width="24" hidden="0" customWidth="1"/>
    <x:col min="19" max="19" width="14" hidden="0" customWidth="1"/>
    <x:col min="20" max="20" width="16" hidden="0" customWidth="1"/>
    <x:col min="21" max="21" width="42" hidden="0" customWidth="1"/>
    <x:col min="22" max="22" width="44" hidden="0" customWidth="1"/>
    <x:col min="23" max="23" width="11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4" hidden="0" customWidth="1"/>
    <x:col min="30" max="30" width="16" hidden="0" customWidth="1"/>
    <x:col min="31" max="31" width="14" hidden="0" customWidth="1"/>
  </x:cols>
  <x:sheetData>
    <x:row r="1" ht="28" customHeight="1">
      <x:c r="A1" s="9" t="str">
        <x:v>Applied</x:v>
      </x:c>
      <x:c r="B1" s="9" t="str">
        <x:v>Priority</x:v>
      </x:c>
      <x:c r="C1" s="9" t="str">
        <x:v>Species Group</x:v>
      </x:c>
      <x:c r="D1" s="9" t="str">
        <x:v>Hunt Area</x:v>
      </x:c>
      <x:c r="E1" s="9" t="str">
        <x:v>Region</x:v>
      </x:c>
      <x:c r="F1" s="9" t="str">
        <x:v>Hunt Category</x:v>
      </x:c>
      <x:c r="G1" s="9" t="str">
        <x:v>Adult</x:v>
      </x:c>
      <x:c r="H1" s="9" t="str">
        <x:v>Youth</x:v>
      </x:c>
      <x:c r="I1" s="9" t="str">
        <x:v>Application Deadline</x:v>
      </x:c>
      <x:c r="J1" s="9" t="str">
        <x:v>Hunt Window</x:v>
      </x:c>
      <x:c r="K1" s="9" t="str">
        <x:v>Application Fee</x:v>
      </x:c>
      <x:c r="L1" s="9" t="str">
        <x:v>Estimated Permit Fee</x:v>
      </x:c>
      <x:c r="M1" s="9" t="str">
        <x:v>Permits/Groups</x:v>
      </x:c>
      <x:c r="N1" s="9" t="str">
        <x:v>Applicants Last Year</x:v>
      </x:c>
      <x:c r="O1" s="9" t="str">
        <x:v>Draw Odds</x:v>
      </x:c>
      <x:c r="P1" s="9" t="str">
        <x:v>Approx Miles from Amarillo</x:v>
      </x:c>
      <x:c r="Q1" s="9" t="str">
        <x:v>Drive Zone</x:v>
      </x:c>
      <x:c r="R1" s="9" t="str">
        <x:v>Camping Notes</x:v>
      </x:c>
      <x:c r="S1" s="9" t="str">
        <x:v>Backpack Rating</x:v>
      </x:c>
      <x:c r="T1" s="9" t="str">
        <x:v>Past Drawn by Hastings</x:v>
      </x:c>
      <x:c r="U1" s="9" t="str">
        <x:v>Notes</x:v>
      </x:c>
      <x:c r="V1" s="9" t="str">
        <x:v>Source URL</x:v>
      </x:c>
      <x:c r="W1" s="9" t="str">
        <x:v>Odds Score</x:v>
      </x:c>
      <x:c r="X1" s="9" t="str">
        <x:v>Distance Score</x:v>
      </x:c>
      <x:c r="Y1" s="9" t="str">
        <x:v>Youth Fit Score</x:v>
      </x:c>
      <x:c r="Z1" s="9" t="str">
        <x:v>Camping Score</x:v>
      </x:c>
      <x:c r="AA1" s="9" t="str">
        <x:v>Backpack Score</x:v>
      </x:c>
      <x:c r="AB1" s="9" t="str">
        <x:v>Past Draw Bonus</x:v>
      </x:c>
      <x:c r="AC1" s="9" t="str">
        <x:v>Hastings Score</x:v>
      </x:c>
      <x:c r="AD1" s="9" t="str">
        <x:v>Estimated Total If Drawn</x:v>
      </x:c>
      <x:c r="AE1" s="9" t="str">
        <x:v>Deadline Month</x:v>
      </x:c>
    </x:row>
    <x:row r="2">
      <x:c r="A2" s="4" t="str">
        <x:v>No</x:v>
      </x:c>
      <x:c r="B2" s="4" t="str">
        <x:v>B</x:v>
      </x:c>
      <x:c r="C2" s="4" t="str">
        <x:v>Waterfowl/Upland</x:v>
      </x:c>
      <x:c r="D2" s="4" t="str">
        <x:v>Copper Breaks SP</x:v>
      </x:c>
      <x:c r="E2" s="4" t="str">
        <x:v>Rolling Plains</x:v>
      </x:c>
      <x:c r="F2" s="4" t="str">
        <x:v>E-Postcard Waterfowl</x:v>
      </x:c>
      <x:c r="G2" s="4" t="str">
        <x:v>Yes</x:v>
      </x:c>
      <x:c r="H2" s="4" t="str">
        <x:v>Yes</x:v>
      </x:c>
      <x:c r="I2" s="4" t="str">
        <x:v>2026-08-15</x:v>
      </x:c>
      <x:c r="J2" s="4" t="str">
        <x:v>Waterfowl season varies</x:v>
      </x:c>
      <x:c r="K2" s="4" t="n">
        <x:v>0</x:v>
      </x:c>
      <x:c r="L2" s="4" t="n">
        <x:v>0</x:v>
      </x:c>
      <x:c r="M2" s="4"/>
      <x:c r="N2" s="4"/>
      <x:c r="O2" s="4"/>
      <x:c r="P2" s="4" t="n">
        <x:v>165</x:v>
      </x:c>
      <x:c r="Q2" s="4" t="str">
        <x:v>Core</x:v>
      </x:c>
      <x:c r="R2" s="4" t="str">
        <x:v>State park camping</x:v>
      </x:c>
      <x:c r="S2" s="4" t="str">
        <x:v>Low</x:v>
      </x:c>
      <x:c r="T2" s="4" t="str">
        <x:v>No</x:v>
      </x:c>
      <x:c r="U2" s="4" t="str">
        <x:v>E-postcard add-on if you have APH.</x:v>
      </x:c>
      <x:c r="V2" s="4" t="str">
        <x:v>https://tpwd.texas.gov/huntwild/hunt/public/public_hunt_drawing/hunt-area-details.phtml?OArea=CO</x:v>
      </x:c>
      <x:c r="W2" s="4" t="n">
        <x:v>2</x:v>
      </x:c>
      <x:c r="X2" s="4" t="n">
        <x:v>4</x:v>
      </x:c>
      <x:c r="Y2" s="4" t="n">
        <x:v>5</x:v>
      </x:c>
      <x:c r="Z2" s="4" t="n">
        <x:v>5</x:v>
      </x:c>
      <x:c r="AA2" s="4" t="n">
        <x:v>1</x:v>
      </x:c>
      <x:c r="AB2" s="4" t="n">
        <x:v>0</x:v>
      </x:c>
      <x:c r="AC2" s="4" t="n">
        <x:v>2.9</x:v>
      </x:c>
      <x:c r="AD2" s="4" t="n">
        <x:v>0</x:v>
      </x:c>
      <x:c r="AE2" s="4" t="str">
        <x:v>08</x:v>
      </x:c>
    </x:row>
    <x:row r="3">
      <x:c r="A3" s="4" t="str">
        <x:v>No</x:v>
      </x:c>
      <x:c r="B3" s="4" t="str">
        <x:v>A</x:v>
      </x:c>
      <x:c r="C3" s="4" t="str">
        <x:v>Waterfowl/Upland</x:v>
      </x:c>
      <x:c r="D3" s="4" t="str">
        <x:v>Dimmitt Playa WMA</x:v>
      </x:c>
      <x:c r="E3" s="4" t="str">
        <x:v>Panhandle</x:v>
      </x:c>
      <x:c r="F3" s="4" t="str">
        <x:v>E-Postcard Waterfowl / Waterfowl-Pheasant</x:v>
      </x:c>
      <x:c r="G3" s="4" t="str">
        <x:v>Yes</x:v>
      </x:c>
      <x:c r="H3" s="4" t="str">
        <x:v>Yes</x:v>
      </x:c>
      <x:c r="I3" s="4" t="str">
        <x:v>2026-08-15</x:v>
      </x:c>
      <x:c r="J3" s="4" t="str">
        <x:v>Waterfowl/pheasant season varies</x:v>
      </x:c>
      <x:c r="K3" s="4" t="n">
        <x:v>0</x:v>
      </x:c>
      <x:c r="L3" s="4" t="n">
        <x:v>0</x:v>
      </x:c>
      <x:c r="M3" s="4"/>
      <x:c r="N3" s="4"/>
      <x:c r="O3" s="4"/>
      <x:c r="P3" s="4" t="n">
        <x:v>70</x:v>
      </x:c>
      <x:c r="Q3" s="4" t="str">
        <x:v>Core</x:v>
      </x:c>
      <x:c r="R3" s="4" t="str">
        <x:v>Limited/nearby lodging</x:v>
      </x:c>
      <x:c r="S3" s="4" t="str">
        <x:v>Low</x:v>
      </x:c>
      <x:c r="T3" s="4" t="str">
        <x:v>No</x:v>
      </x:c>
      <x:c r="U3" s="4" t="str">
        <x:v>Close, cheap opportunity if APH is already purchased.</x:v>
      </x:c>
      <x:c r="V3" s="4" t="str">
        <x:v>https://tpwd.texas.gov/huntwild/hunt/public/public_hunt_drawing/hunt-area-details.phtml?OArea=DP</x:v>
      </x:c>
      <x:c r="W3" s="4" t="n">
        <x:v>2</x:v>
      </x:c>
      <x:c r="X3" s="4" t="n">
        <x:v>5</x:v>
      </x:c>
      <x:c r="Y3" s="4" t="n">
        <x:v>5</x:v>
      </x:c>
      <x:c r="Z3" s="4" t="n">
        <x:v>3</x:v>
      </x:c>
      <x:c r="AA3" s="4" t="n">
        <x:v>1</x:v>
      </x:c>
      <x:c r="AB3" s="4" t="n">
        <x:v>0</x:v>
      </x:c>
      <x:c r="AC3" s="4" t="n">
        <x:v>2.9</x:v>
      </x:c>
      <x:c r="AD3" s="4" t="n">
        <x:v>0</x:v>
      </x:c>
      <x:c r="AE3" s="4" t="str">
        <x:v>08</x:v>
      </x:c>
    </x:row>
    <x:row r="4">
      <x:c r="A4" s="4" t="str">
        <x:v>No</x:v>
      </x:c>
      <x:c r="B4" s="4" t="str">
        <x:v>B</x:v>
      </x:c>
      <x:c r="C4" s="4" t="str">
        <x:v>Waterfowl/Upland</x:v>
      </x:c>
      <x:c r="D4" s="4" t="str">
        <x:v>Taylor Lakes WMA</x:v>
      </x:c>
      <x:c r="E4" s="4" t="str">
        <x:v>Panhandle</x:v>
      </x:c>
      <x:c r="F4" s="4" t="str">
        <x:v>E-Postcard Waterfowl / Youth-Adult Waterfowl</x:v>
      </x:c>
      <x:c r="G4" s="4" t="str">
        <x:v>Yes</x:v>
      </x:c>
      <x:c r="H4" s="4" t="str">
        <x:v>Yes</x:v>
      </x:c>
      <x:c r="I4" s="4" t="str">
        <x:v>2026-08-15</x:v>
      </x:c>
      <x:c r="J4" s="4" t="str">
        <x:v>Waterfowl season varies</x:v>
      </x:c>
      <x:c r="K4" s="4" t="n">
        <x:v>0</x:v>
      </x:c>
      <x:c r="L4" s="4" t="n">
        <x:v>0</x:v>
      </x:c>
      <x:c r="M4" s="4"/>
      <x:c r="N4" s="4"/>
      <x:c r="O4" s="4"/>
      <x:c r="P4" s="4" t="n">
        <x:v>90</x:v>
      </x:c>
      <x:c r="Q4" s="4" t="str">
        <x:v>Core</x:v>
      </x:c>
      <x:c r="R4" s="4" t="str">
        <x:v>Nearby camping/lodging</x:v>
      </x:c>
      <x:c r="S4" s="4" t="str">
        <x:v>Low</x:v>
      </x:c>
      <x:c r="T4" s="4" t="str">
        <x:v>No</x:v>
      </x:c>
      <x:c r="U4" s="4" t="str">
        <x:v>Useful youth/adult waterfowl option.</x:v>
      </x:c>
      <x:c r="V4" s="4" t="str">
        <x:v>https://tpwd.texas.gov/huntwild/hunt/public/public_hunt_drawing/hunt-area-details.phtml?OArea=TL</x:v>
      </x:c>
      <x:c r="W4" s="4" t="n">
        <x:v>2</x:v>
      </x:c>
      <x:c r="X4" s="4" t="n">
        <x:v>5</x:v>
      </x:c>
      <x:c r="Y4" s="4" t="n">
        <x:v>5</x:v>
      </x:c>
      <x:c r="Z4" s="4" t="n">
        <x:v>3</x:v>
      </x:c>
      <x:c r="AA4" s="4" t="n">
        <x:v>1</x:v>
      </x:c>
      <x:c r="AB4" s="4" t="n">
        <x:v>0</x:v>
      </x:c>
      <x:c r="AC4" s="4" t="n">
        <x:v>2.9</x:v>
      </x:c>
      <x:c r="AD4" s="4" t="n">
        <x:v>0</x:v>
      </x:c>
      <x:c r="AE4" s="4" t="str">
        <x:v>08</x:v>
      </x:c>
    </x:row>
    <x:row r="5">
      <x:c r="A5" s="4" t="str">
        <x:v>No</x:v>
      </x:c>
      <x:c r="B5" s="4" t="str">
        <x:v>B</x:v>
      </x:c>
      <x:c r="C5" s="4" t="str">
        <x:v>Waterfowl/Upland</x:v>
      </x:c>
      <x:c r="D5" s="4" t="str">
        <x:v>Muleshoe NWR</x:v>
      </x:c>
      <x:c r="E5" s="4" t="str">
        <x:v>Panhandle</x:v>
      </x:c>
      <x:c r="F5" s="4" t="str">
        <x:v>National Refuge Upland Game</x:v>
      </x:c>
      <x:c r="G5" s="4" t="str">
        <x:v>Yes</x:v>
      </x:c>
      <x:c r="H5" s="4" t="str">
        <x:v>Yes</x:v>
      </x:c>
      <x:c r="I5" s="4" t="str">
        <x:v>2026-09-01</x:v>
      </x:c>
      <x:c r="J5" s="4" t="str">
        <x:v>Upland season varies</x:v>
      </x:c>
      <x:c r="K5" s="4" t="n">
        <x:v>3</x:v>
      </x:c>
      <x:c r="L5" s="4" t="n">
        <x:v>0</x:v>
      </x:c>
      <x:c r="M5" s="4"/>
      <x:c r="N5" s="4"/>
      <x:c r="O5" s="4"/>
      <x:c r="P5" s="4" t="n">
        <x:v>100</x:v>
      </x:c>
      <x:c r="Q5" s="4" t="str">
        <x:v>Core</x:v>
      </x:c>
      <x:c r="R5" s="4" t="str">
        <x:v>Nearby camping/lodging</x:v>
      </x:c>
      <x:c r="S5" s="4" t="str">
        <x:v>Medium</x:v>
      </x:c>
      <x:c r="T5" s="4" t="str">
        <x:v>No</x:v>
      </x:c>
      <x:c r="U5" s="4" t="str">
        <x:v>Quail/upland add-on.</x:v>
      </x:c>
      <x:c r="V5" s="4" t="str">
        <x:v>https://tpwd.texas.gov/huntwild/hunt/public/public_hunt_drawing/hunt-area-details.phtml?OArea=UN</x:v>
      </x:c>
      <x:c r="W5" s="4" t="n">
        <x:v>2</x:v>
      </x:c>
      <x:c r="X5" s="4" t="n">
        <x:v>5</x:v>
      </x:c>
      <x:c r="Y5" s="4" t="n">
        <x:v>5</x:v>
      </x:c>
      <x:c r="Z5" s="4" t="n">
        <x:v>3</x:v>
      </x:c>
      <x:c r="AA5" s="4" t="n">
        <x:v>3</x:v>
      </x:c>
      <x:c r="AB5" s="4" t="n">
        <x:v>0</x:v>
      </x:c>
      <x:c r="AC5" s="4" t="n">
        <x:v>3</x:v>
      </x:c>
      <x:c r="AD5" s="4" t="n">
        <x:v>3</x:v>
      </x:c>
      <x:c r="AE5" s="4" t="str">
        <x:v>09</x:v>
      </x:c>
    </x:row>
    <x:row r="6">
      <x:c r="A6" s="4" t="str">
        <x:v>No</x:v>
      </x:c>
      <x:c r="B6" s="4" t="str">
        <x:v>B</x:v>
      </x:c>
      <x:c r="C6" s="4" t="str">
        <x:v>Waterfowl/Upland</x:v>
      </x:c>
      <x:c r="D6" s="4" t="str">
        <x:v>Lipscomb County Ranch</x:v>
      </x:c>
      <x:c r="E6" s="4" t="str">
        <x:v>Panhandle</x:v>
      </x:c>
      <x:c r="F6" s="4" t="str">
        <x:v>Private Lands Quail</x:v>
      </x:c>
      <x:c r="G6" s="4" t="str">
        <x:v>Yes</x:v>
      </x:c>
      <x:c r="H6" s="4" t="str">
        <x:v>Yes</x:v>
      </x:c>
      <x:c r="I6" s="4" t="str">
        <x:v>2026-10-01</x:v>
      </x:c>
      <x:c r="J6" s="4" t="str">
        <x:v>Quail season varies</x:v>
      </x:c>
      <x:c r="K6" s="4" t="n">
        <x:v>10</x:v>
      </x:c>
      <x:c r="L6" s="4" t="n">
        <x:v>0</x:v>
      </x:c>
      <x:c r="M6" s="4"/>
      <x:c r="N6" s="4"/>
      <x:c r="O6" s="4"/>
      <x:c r="P6" s="4" t="n">
        <x:v>160</x:v>
      </x:c>
      <x:c r="Q6" s="4" t="str">
        <x:v>Core</x:v>
      </x:c>
      <x:c r="R6" s="4" t="str">
        <x:v>Varies by property</x:v>
      </x:c>
      <x:c r="S6" s="4" t="str">
        <x:v>Low</x:v>
      </x:c>
      <x:c r="T6" s="4" t="str">
        <x:v>No</x:v>
      </x:c>
      <x:c r="U6" s="4" t="str">
        <x:v>Add if quail is in the budget.</x:v>
      </x:c>
      <x:c r="V6" s="4" t="str">
        <x:v>https://tpwd.texas.gov/huntwild/hunt/public/public_hunt_drawing/hunt-area-details.phtml?OArea=XV</x:v>
      </x:c>
      <x:c r="W6" s="4" t="n">
        <x:v>2</x:v>
      </x:c>
      <x:c r="X6" s="4" t="n">
        <x:v>4</x:v>
      </x:c>
      <x:c r="Y6" s="4" t="n">
        <x:v>5</x:v>
      </x:c>
      <x:c r="Z6" s="4" t="n">
        <x:v>2</x:v>
      </x:c>
      <x:c r="AA6" s="4" t="n">
        <x:v>1</x:v>
      </x:c>
      <x:c r="AB6" s="4" t="n">
        <x:v>0</x:v>
      </x:c>
      <x:c r="AC6" s="4" t="n">
        <x:v>2.6</x:v>
      </x:c>
      <x:c r="AD6" s="4" t="n">
        <x:v>10</x:v>
      </x:c>
      <x:c r="AE6" s="4" t="str">
        <x:v>10</x:v>
      </x:c>
    </x:row>
    <x:row r="7">
      <x:c r="A7" s="4" t="str">
        <x:v>No</x:v>
      </x:c>
      <x:c r="B7" s="4" t="str">
        <x:v>B</x:v>
      </x:c>
      <x:c r="C7" s="4" t="str">
        <x:v>Waterfowl/Upland</x:v>
      </x:c>
      <x:c r="D7" s="4" t="str">
        <x:v>Lake Tawakoni WMA</x:v>
      </x:c>
      <x:c r="E7" s="4" t="str">
        <x:v>DFW/North Texas</x:v>
      </x:c>
      <x:c r="F7" s="4" t="str">
        <x:v>Waterfowl</x:v>
      </x:c>
      <x:c r="G7" s="4" t="str">
        <x:v>Yes</x:v>
      </x:c>
      <x:c r="H7" s="4" t="str">
        <x:v>Yes</x:v>
      </x:c>
      <x:c r="I7" s="4" t="str">
        <x:v>2026-08-15</x:v>
      </x:c>
      <x:c r="J7" s="4" t="str">
        <x:v>Waterfowl season varies</x:v>
      </x:c>
      <x:c r="K7" s="4" t="n">
        <x:v>0</x:v>
      </x:c>
      <x:c r="L7" s="4" t="n">
        <x:v>0</x:v>
      </x:c>
      <x:c r="M7" s="4"/>
      <x:c r="N7" s="4"/>
      <x:c r="O7" s="4"/>
      <x:c r="P7" s="4" t="n">
        <x:v>380</x:v>
      </x:c>
      <x:c r="Q7" s="4" t="str">
        <x:v>DFW</x:v>
      </x:c>
      <x:c r="R7" s="4" t="str">
        <x:v>State park/lake camping nearby</x:v>
      </x:c>
      <x:c r="S7" s="4" t="str">
        <x:v>Low</x:v>
      </x:c>
      <x:c r="T7" s="4" t="str">
        <x:v>No</x:v>
      </x:c>
      <x:c r="U7" s="4" t="str">
        <x:v>APH/e-postcard style opportunity if listed.</x:v>
      </x:c>
      <x:c r="V7" s="4" t="str">
        <x:v>https://tpwd.texas.gov/huntwild/hunt/public/public_hunt_drawing/hunt-area-details.phtml?OArea=LW</x:v>
      </x:c>
      <x:c r="W7" s="4" t="n">
        <x:v>2</x:v>
      </x:c>
      <x:c r="X7" s="4" t="n">
        <x:v>2</x:v>
      </x:c>
      <x:c r="Y7" s="4" t="n">
        <x:v>5</x:v>
      </x:c>
      <x:c r="Z7" s="4" t="n">
        <x:v>5</x:v>
      </x:c>
      <x:c r="AA7" s="4" t="n">
        <x:v>1</x:v>
      </x:c>
      <x:c r="AB7" s="4" t="n">
        <x:v>0</x:v>
      </x:c>
      <x:c r="AC7" s="4" t="n">
        <x:v>2.6</x:v>
      </x:c>
      <x:c r="AD7" s="4" t="n">
        <x:v>0</x:v>
      </x:c>
      <x:c r="AE7" s="4" t="str">
        <x:v>08</x:v>
      </x:c>
    </x:row>
    <x:row r="8">
      <x:c r="A8" s="4"/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  <x:c r="AA8" s="4"/>
      <x:c r="AB8" s="4"/>
      <x:c r="AC8" s="4"/>
      <x:c r="AD8" s="4"/>
      <x:c r="AE8" s="4"/>
    </x:row>
    <x:row r="9">
      <x:c r="A9" s="4"/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  <x:c r="AA9" s="4"/>
      <x:c r="AB9" s="4"/>
      <x:c r="AC9" s="4"/>
      <x:c r="AD9" s="4"/>
      <x:c r="AE9" s="4"/>
    </x:row>
    <x:row r="10">
      <x:c r="A10" s="4"/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  <x:c r="AA10" s="4"/>
      <x:c r="AB10" s="4"/>
      <x:c r="AC10" s="4"/>
      <x:c r="AD10" s="4"/>
      <x:c r="AE10" s="4"/>
    </x:row>
    <x:row r="11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  <x:c r="AA11" s="4"/>
      <x:c r="AB11" s="4"/>
      <x:c r="AC11" s="4"/>
      <x:c r="AD11" s="4"/>
      <x:c r="AE11" s="4"/>
    </x:row>
    <x:row r="12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  <x:c r="AA12" s="4"/>
      <x:c r="AB12" s="4"/>
      <x:c r="AC12" s="4"/>
      <x:c r="AD12" s="4"/>
      <x:c r="AE12" s="4"/>
    </x:row>
    <x:row r="13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  <x:c r="AA13" s="4"/>
      <x:c r="AB13" s="4"/>
      <x:c r="AC13" s="4"/>
      <x:c r="AD13" s="4"/>
      <x:c r="AE13" s="4"/>
    </x:row>
    <x:row r="14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  <x:c r="AA14" s="4"/>
      <x:c r="AB14" s="4"/>
      <x:c r="AC14" s="4"/>
      <x:c r="AD14" s="4"/>
      <x:c r="AE14" s="4"/>
    </x:row>
    <x:row r="15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  <x:c r="AA15" s="4"/>
      <x:c r="AB15" s="4"/>
      <x:c r="AC15" s="4"/>
      <x:c r="AD15" s="4"/>
      <x:c r="AE15" s="4"/>
    </x:row>
    <x:row r="16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  <x:c r="AA16" s="4"/>
      <x:c r="AB16" s="4"/>
      <x:c r="AC16" s="4"/>
      <x:c r="AD16" s="4"/>
      <x:c r="AE16" s="4"/>
    </x:row>
    <x:row r="17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/>
      <x:c r="AB17" s="4"/>
      <x:c r="AC17" s="4"/>
      <x:c r="AD17" s="4"/>
      <x:c r="AE17" s="4"/>
    </x:row>
    <x:row r="18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  <x:c r="AA18" s="4"/>
      <x:c r="AB18" s="4"/>
      <x:c r="AC18" s="4"/>
      <x:c r="AD18" s="4"/>
      <x:c r="AE18" s="4"/>
    </x:row>
    <x:row r="19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  <x:c r="AA20" s="4"/>
      <x:c r="AB20" s="4"/>
      <x:c r="AC20" s="4"/>
      <x:c r="AD20" s="4"/>
      <x:c r="AE20" s="4"/>
    </x:row>
    <x:row r="2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  <x:c r="AA21" s="4"/>
      <x:c r="AB21" s="4"/>
      <x:c r="AC21" s="4"/>
      <x:c r="AD21" s="4"/>
      <x:c r="AE21" s="4"/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  <x:c r="AA22" s="4"/>
      <x:c r="AB22" s="4"/>
      <x:c r="AC22" s="4"/>
      <x:c r="AD22" s="4"/>
      <x:c r="AE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  <x:c r="AA23" s="4"/>
      <x:c r="AB23" s="4"/>
      <x:c r="AC23" s="4"/>
      <x:c r="AD23" s="4"/>
      <x:c r="AE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  <x:c r="AA24" s="4"/>
      <x:c r="AB24" s="4"/>
      <x:c r="AC24" s="4"/>
      <x:c r="AD24" s="4"/>
      <x:c r="AE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  <x:c r="AA25" s="4"/>
      <x:c r="AB25" s="4"/>
      <x:c r="AC25" s="4"/>
      <x:c r="AD25" s="4"/>
      <x:c r="AE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  <x:c r="AA26" s="4"/>
      <x:c r="AB26" s="4"/>
      <x:c r="AC26" s="4"/>
      <x:c r="AD26" s="4"/>
      <x:c r="AE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  <x:c r="AA27" s="4"/>
      <x:c r="AB27" s="4"/>
      <x:c r="AC27" s="4"/>
      <x:c r="AD27" s="4"/>
      <x:c r="AE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  <x:c r="AA28" s="4"/>
      <x:c r="AB28" s="4"/>
      <x:c r="AC28" s="4"/>
      <x:c r="AD28" s="4"/>
      <x:c r="AE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  <x:c r="AA29" s="4"/>
      <x:c r="AB29" s="4"/>
      <x:c r="AC29" s="4"/>
      <x:c r="AD29" s="4"/>
      <x:c r="AE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  <x:c r="AA30" s="4"/>
      <x:c r="AB30" s="4"/>
      <x:c r="AC30" s="4"/>
      <x:c r="AD30" s="4"/>
      <x:c r="AE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  <x:c r="AA31" s="4"/>
      <x:c r="AB31" s="4"/>
      <x:c r="AC31" s="4"/>
      <x:c r="AD31" s="4"/>
      <x:c r="AE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  <x:c r="AA32" s="4"/>
      <x:c r="AB32" s="4"/>
      <x:c r="AC32" s="4"/>
      <x:c r="AD32" s="4"/>
      <x:c r="AE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  <x:c r="AA33" s="4"/>
      <x:c r="AB33" s="4"/>
      <x:c r="AC33" s="4"/>
      <x:c r="AD33" s="4"/>
      <x:c r="AE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  <x:c r="AA34" s="4"/>
      <x:c r="AB34" s="4"/>
      <x:c r="AC34" s="4"/>
      <x:c r="AD34" s="4"/>
      <x:c r="AE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  <x:c r="AA35" s="4"/>
      <x:c r="AB35" s="4"/>
      <x:c r="AC35" s="4"/>
      <x:c r="AD35" s="4"/>
      <x:c r="AE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  <x:c r="AA36" s="4"/>
      <x:c r="AB36" s="4"/>
      <x:c r="AC36" s="4"/>
      <x:c r="AD36" s="4"/>
      <x:c r="AE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  <x:c r="AA37" s="4"/>
      <x:c r="AB37" s="4"/>
      <x:c r="AC37" s="4"/>
      <x:c r="AD37" s="4"/>
      <x:c r="AE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  <x:c r="AA39" s="4"/>
      <x:c r="AB39" s="4"/>
      <x:c r="AC39" s="4"/>
      <x:c r="AD39" s="4"/>
      <x:c r="AE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  <x:c r="AA40" s="4"/>
      <x:c r="AB40" s="4"/>
      <x:c r="AC40" s="4"/>
      <x:c r="AD40" s="4"/>
      <x:c r="AE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  <x:c r="AA41" s="4"/>
      <x:c r="AB41" s="4"/>
      <x:c r="AC41" s="4"/>
      <x:c r="AD41" s="4"/>
      <x:c r="AE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  <x:c r="AA42" s="4"/>
      <x:c r="AB42" s="4"/>
      <x:c r="AC42" s="4"/>
      <x:c r="AD42" s="4"/>
      <x:c r="AE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  <x:c r="AA43" s="4"/>
      <x:c r="AB43" s="4"/>
      <x:c r="AC43" s="4"/>
      <x:c r="AD43" s="4"/>
      <x:c r="AE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  <x:c r="AA44" s="4"/>
      <x:c r="AB44" s="4"/>
      <x:c r="AC44" s="4"/>
      <x:c r="AD44" s="4"/>
      <x:c r="AE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  <x:c r="AA45" s="4"/>
      <x:c r="AB45" s="4"/>
      <x:c r="AC45" s="4"/>
      <x:c r="AD45" s="4"/>
      <x:c r="AE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  <x:c r="AA46" s="4"/>
      <x:c r="AB46" s="4"/>
      <x:c r="AC46" s="4"/>
      <x:c r="AD46" s="4"/>
      <x:c r="AE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  <x:c r="AA47" s="4"/>
      <x:c r="AB47" s="4"/>
      <x:c r="AC47" s="4"/>
      <x:c r="AD47" s="4"/>
      <x:c r="AE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  <x:c r="AA48" s="4"/>
      <x:c r="AB48" s="4"/>
      <x:c r="AC48" s="4"/>
      <x:c r="AD48" s="4"/>
      <x:c r="AE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  <x:c r="AA49" s="4"/>
      <x:c r="AB49" s="4"/>
      <x:c r="AC49" s="4"/>
      <x:c r="AD49" s="4"/>
      <x:c r="AE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  <x:c r="AA50" s="4"/>
      <x:c r="AB50" s="4"/>
      <x:c r="AC50" s="4"/>
      <x:c r="AD50" s="4"/>
      <x:c r="AE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  <x:c r="AA51" s="4"/>
      <x:c r="AB51" s="4"/>
      <x:c r="AC51" s="4"/>
      <x:c r="AD51" s="4"/>
      <x:c r="AE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  <x:c r="AA52" s="4"/>
      <x:c r="AB52" s="4"/>
      <x:c r="AC52" s="4"/>
      <x:c r="AD52" s="4"/>
      <x:c r="AE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  <x:c r="AA53" s="4"/>
      <x:c r="AB53" s="4"/>
      <x:c r="AC53" s="4"/>
      <x:c r="AD53" s="4"/>
      <x:c r="AE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  <x:c r="AA54" s="4"/>
      <x:c r="AB54" s="4"/>
      <x:c r="AC54" s="4"/>
      <x:c r="AD54" s="4"/>
      <x:c r="AE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  <x:c r="AA55" s="4"/>
      <x:c r="AB55" s="4"/>
      <x:c r="AC55" s="4"/>
      <x:c r="AD55" s="4"/>
      <x:c r="AE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  <x:c r="AA56" s="4"/>
      <x:c r="AB56" s="4"/>
      <x:c r="AC56" s="4"/>
      <x:c r="AD56" s="4"/>
      <x:c r="AE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  <x:c r="AA58" s="4"/>
      <x:c r="AB58" s="4"/>
      <x:c r="AC58" s="4"/>
      <x:c r="AD58" s="4"/>
      <x:c r="AE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  <x:c r="AA59" s="4"/>
      <x:c r="AB59" s="4"/>
      <x:c r="AC59" s="4"/>
      <x:c r="AD59" s="4"/>
      <x:c r="AE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  <x:c r="AA60" s="4"/>
      <x:c r="AB60" s="4"/>
      <x:c r="AC60" s="4"/>
      <x:c r="AD60" s="4"/>
      <x:c r="AE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  <x:c r="AA61" s="4"/>
      <x:c r="AB61" s="4"/>
      <x:c r="AC61" s="4"/>
      <x:c r="AD61" s="4"/>
      <x:c r="AE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  <x:c r="AA62" s="4"/>
      <x:c r="AB62" s="4"/>
      <x:c r="AC62" s="4"/>
      <x:c r="AD62" s="4"/>
      <x:c r="AE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  <x:c r="AA63" s="4"/>
      <x:c r="AB63" s="4"/>
      <x:c r="AC63" s="4"/>
      <x:c r="AD63" s="4"/>
      <x:c r="AE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  <x:c r="AA64" s="4"/>
      <x:c r="AB64" s="4"/>
      <x:c r="AC64" s="4"/>
      <x:c r="AD64" s="4"/>
      <x:c r="AE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  <x:c r="AA65" s="4"/>
      <x:c r="AB65" s="4"/>
      <x:c r="AC65" s="4"/>
      <x:c r="AD65" s="4"/>
      <x:c r="AE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  <x:c r="AA66" s="4"/>
      <x:c r="AB66" s="4"/>
      <x:c r="AC66" s="4"/>
      <x:c r="AD66" s="4"/>
      <x:c r="AE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  <x:c r="AA67" s="4"/>
      <x:c r="AB67" s="4"/>
      <x:c r="AC67" s="4"/>
      <x:c r="AD67" s="4"/>
      <x:c r="AE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s="4"/>
      <x:c r="AB68" s="4"/>
      <x:c r="AC68" s="4"/>
      <x:c r="AD68" s="4"/>
      <x:c r="AE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  <x:c r="AA69" s="4"/>
      <x:c r="AB69" s="4"/>
      <x:c r="AC69" s="4"/>
      <x:c r="AD69" s="4"/>
      <x:c r="AE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  <x:c r="AA70" s="4"/>
      <x:c r="AB70" s="4"/>
      <x:c r="AC70" s="4"/>
      <x:c r="AD70" s="4"/>
      <x:c r="AE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  <x:c r="AA71" s="4"/>
      <x:c r="AB71" s="4"/>
      <x:c r="AC71" s="4"/>
      <x:c r="AD71" s="4"/>
      <x:c r="AE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  <x:c r="AA72" s="4"/>
      <x:c r="AB72" s="4"/>
      <x:c r="AC72" s="4"/>
      <x:c r="AD72" s="4"/>
      <x:c r="AE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  <x:c r="AA73" s="4"/>
      <x:c r="AB73" s="4"/>
      <x:c r="AC73" s="4"/>
      <x:c r="AD73" s="4"/>
      <x:c r="AE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  <x:c r="AA74" s="4"/>
      <x:c r="AB74" s="4"/>
      <x:c r="AC74" s="4"/>
      <x:c r="AD74" s="4"/>
      <x:c r="AE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  <x:c r="AA75" s="4"/>
      <x:c r="AB75" s="4"/>
      <x:c r="AC75" s="4"/>
      <x:c r="AD75" s="4"/>
      <x:c r="AE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  <x:c r="AA77" s="4"/>
      <x:c r="AB77" s="4"/>
      <x:c r="AC77" s="4"/>
      <x:c r="AD77" s="4"/>
      <x:c r="AE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  <x:c r="AA78" s="4"/>
      <x:c r="AB78" s="4"/>
      <x:c r="AC78" s="4"/>
      <x:c r="AD78" s="4"/>
      <x:c r="AE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  <x:c r="AA79" s="4"/>
      <x:c r="AB79" s="4"/>
      <x:c r="AC79" s="4"/>
      <x:c r="AD79" s="4"/>
      <x:c r="AE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  <x:c r="AA80" s="4"/>
      <x:c r="AB80" s="4"/>
      <x:c r="AC80" s="4"/>
      <x:c r="AD80" s="4"/>
      <x:c r="AE80" s="4"/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  <x:c r="AA81" s="4"/>
      <x:c r="AB81" s="4"/>
      <x:c r="AC81" s="4"/>
      <x:c r="AD81" s="4"/>
      <x:c r="AE81" s="4"/>
    </x:row>
    <x:row r="82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  <x:c r="AA82" s="4"/>
      <x:c r="AB82" s="4"/>
      <x:c r="AC82" s="4"/>
      <x:c r="AD82" s="4"/>
      <x:c r="AE82" s="4"/>
    </x:row>
    <x:row r="83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  <x:c r="AA83" s="4"/>
      <x:c r="AB83" s="4"/>
      <x:c r="AC83" s="4"/>
      <x:c r="AD83" s="4"/>
      <x:c r="AE83" s="4"/>
    </x:row>
    <x:row r="84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  <x:c r="AA84" s="4"/>
      <x:c r="AB84" s="4"/>
      <x:c r="AC84" s="4"/>
      <x:c r="AD84" s="4"/>
      <x:c r="AE84" s="4"/>
    </x:row>
    <x:row r="85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  <x:c r="AA85" s="4"/>
      <x:c r="AB85" s="4"/>
      <x:c r="AC85" s="4"/>
      <x:c r="AD85" s="4"/>
      <x:c r="AE85" s="4"/>
    </x:row>
    <x:row r="86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  <x:c r="AA86" s="4"/>
      <x:c r="AB86" s="4"/>
      <x:c r="AC86" s="4"/>
      <x:c r="AD86" s="4"/>
      <x:c r="AE86" s="4"/>
    </x:row>
    <x:row r="87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  <x:c r="AA87" s="4"/>
      <x:c r="AB87" s="4"/>
      <x:c r="AC87" s="4"/>
      <x:c r="AD87" s="4"/>
      <x:c r="AE87" s="4"/>
    </x:row>
    <x:row r="88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  <x:c r="AA88" s="4"/>
      <x:c r="AB88" s="4"/>
      <x:c r="AC88" s="4"/>
      <x:c r="AD88" s="4"/>
      <x:c r="AE88" s="4"/>
    </x:row>
    <x:row r="89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  <x:c r="AA89" s="4"/>
      <x:c r="AB89" s="4"/>
      <x:c r="AC89" s="4"/>
      <x:c r="AD89" s="4"/>
      <x:c r="AE89" s="4"/>
    </x:row>
    <x:row r="90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  <x:c r="AA90" s="4"/>
      <x:c r="AB90" s="4"/>
      <x:c r="AC90" s="4"/>
      <x:c r="AD90" s="4"/>
      <x:c r="AE90" s="4"/>
    </x:row>
    <x:row r="9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  <x:c r="AA91" s="4"/>
      <x:c r="AB91" s="4"/>
      <x:c r="AC91" s="4"/>
      <x:c r="AD91" s="4"/>
      <x:c r="AE91" s="4"/>
    </x:row>
    <x:row r="92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  <x:c r="AA92" s="4"/>
      <x:c r="AB92" s="4"/>
      <x:c r="AC92" s="4"/>
      <x:c r="AD92" s="4"/>
      <x:c r="AE92" s="4"/>
    </x:row>
    <x:row r="93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  <x:c r="AA93" s="4"/>
      <x:c r="AB93" s="4"/>
      <x:c r="AC93" s="4"/>
      <x:c r="AD93" s="4"/>
      <x:c r="AE93" s="4"/>
    </x:row>
    <x:row r="94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  <x:c r="AA94" s="4"/>
      <x:c r="AB94" s="4"/>
      <x:c r="AC94" s="4"/>
      <x:c r="AD94" s="4"/>
      <x:c r="AE94" s="4"/>
    </x:row>
    <x:row r="95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  <x:c r="AA96" s="4"/>
      <x:c r="AB96" s="4"/>
      <x:c r="AC96" s="4"/>
      <x:c r="AD96" s="4"/>
      <x:c r="AE96" s="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  <x:c r="AA97" s="4"/>
      <x:c r="AB97" s="4"/>
      <x:c r="AC97" s="4"/>
      <x:c r="AD97" s="4"/>
      <x:c r="AE97" s="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  <x:c r="AA98" s="4"/>
      <x:c r="AB98" s="4"/>
      <x:c r="AC98" s="4"/>
      <x:c r="AD98" s="4"/>
      <x:c r="AE98" s="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  <x:c r="AA99" s="4"/>
      <x:c r="AB99" s="4"/>
      <x:c r="AC99" s="4"/>
      <x:c r="AD99" s="4"/>
      <x:c r="AE99" s="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  <x:c r="AA100" s="4"/>
      <x:c r="AB100" s="4"/>
      <x:c r="AC100" s="4"/>
      <x:c r="AD100" s="4"/>
      <x:c r="AE100" s="4"/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  <x:c r="AA101" s="4"/>
      <x:c r="AB101" s="4"/>
      <x:c r="AC101" s="4"/>
      <x:c r="AD101" s="4"/>
      <x:c r="AE101" s="4"/>
    </x:row>
    <x:row r="102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  <x:c r="AA102" s="4"/>
      <x:c r="AB102" s="4"/>
      <x:c r="AC102" s="4"/>
      <x:c r="AD102" s="4"/>
      <x:c r="AE102" s="4"/>
    </x:row>
    <x:row r="103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  <x:c r="AA103" s="4"/>
      <x:c r="AB103" s="4"/>
      <x:c r="AC103" s="4"/>
      <x:c r="AD103" s="4"/>
      <x:c r="AE103" s="4"/>
    </x:row>
    <x:row r="104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  <x:c r="AA104" s="4"/>
      <x:c r="AB104" s="4"/>
      <x:c r="AC104" s="4"/>
      <x:c r="AD104" s="4"/>
      <x:c r="AE104" s="4"/>
    </x:row>
    <x:row r="105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  <x:c r="AA105" s="4"/>
      <x:c r="AB105" s="4"/>
      <x:c r="AC105" s="4"/>
      <x:c r="AD105" s="4"/>
      <x:c r="AE105" s="4"/>
    </x:row>
    <x:row r="106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  <x:c r="AA106" s="4"/>
      <x:c r="AB106" s="4"/>
      <x:c r="AC106" s="4"/>
      <x:c r="AD106" s="4"/>
      <x:c r="AE106" s="4"/>
    </x:row>
    <x:row r="107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  <x:c r="AA107" s="4"/>
      <x:c r="AB107" s="4"/>
      <x:c r="AC107" s="4"/>
      <x:c r="AD107" s="4"/>
      <x:c r="AE107" s="4"/>
    </x:row>
    <x:row r="108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  <x:c r="AA108" s="4"/>
      <x:c r="AB108" s="4"/>
      <x:c r="AC108" s="4"/>
      <x:c r="AD108" s="4"/>
      <x:c r="AE108" s="4"/>
    </x:row>
    <x:row r="109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  <x:c r="AA109" s="4"/>
      <x:c r="AB109" s="4"/>
      <x:c r="AC109" s="4"/>
      <x:c r="AD109" s="4"/>
      <x:c r="AE109" s="4"/>
    </x:row>
    <x:row r="110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  <x:c r="AA110" s="4"/>
      <x:c r="AB110" s="4"/>
      <x:c r="AC110" s="4"/>
      <x:c r="AD110" s="4"/>
      <x:c r="AE110" s="4"/>
    </x:row>
    <x:row r="11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  <x:c r="AA111" s="4"/>
      <x:c r="AB111" s="4"/>
      <x:c r="AC111" s="4"/>
      <x:c r="AD111" s="4"/>
      <x:c r="AE111" s="4"/>
    </x:row>
    <x:row r="112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  <x:c r="AA112" s="4"/>
      <x:c r="AB112" s="4"/>
      <x:c r="AC112" s="4"/>
      <x:c r="AD112" s="4"/>
      <x:c r="AE112" s="4"/>
    </x:row>
    <x:row r="113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  <x:c r="AA113" s="4"/>
      <x:c r="AB113" s="4"/>
      <x:c r="AC113" s="4"/>
      <x:c r="AD113" s="4"/>
      <x:c r="AE113" s="4"/>
    </x:row>
    <x:row r="114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  <x:c r="AA114" s="4"/>
      <x:c r="AB114" s="4"/>
      <x:c r="AC114" s="4"/>
      <x:c r="AD114" s="4"/>
      <x:c r="AE114" s="4"/>
    </x:row>
    <x:row r="115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  <x:c r="AA115" s="4"/>
      <x:c r="AB115" s="4"/>
      <x:c r="AC115" s="4"/>
      <x:c r="AD115" s="4"/>
      <x:c r="AE115" s="4"/>
    </x:row>
    <x:row r="116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  <x:c r="AA116" s="4"/>
      <x:c r="AB116" s="4"/>
      <x:c r="AC116" s="4"/>
      <x:c r="AD116" s="4"/>
      <x:c r="AE116" s="4"/>
    </x:row>
    <x:row r="117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  <x:c r="AA117" s="4"/>
      <x:c r="AB117" s="4"/>
      <x:c r="AC117" s="4"/>
      <x:c r="AD117" s="4"/>
      <x:c r="AE117" s="4"/>
    </x:row>
    <x:row r="118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  <x:c r="AA118" s="4"/>
      <x:c r="AB118" s="4"/>
      <x:c r="AC118" s="4"/>
      <x:c r="AD118" s="4"/>
      <x:c r="AE118" s="4"/>
    </x:row>
    <x:row r="119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  <x:c r="AA119" s="4"/>
      <x:c r="AB119" s="4"/>
      <x:c r="AC119" s="4"/>
      <x:c r="AD119" s="4"/>
      <x:c r="AE119" s="4"/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  <x:c r="AA120" s="4"/>
      <x:c r="AB120" s="4"/>
      <x:c r="AC120" s="4"/>
      <x:c r="AD120" s="4"/>
      <x:c r="AE120" s="4"/>
    </x:row>
    <x:row r="12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  <x:c r="AA121" s="4"/>
      <x:c r="AB121" s="4"/>
      <x:c r="AC121" s="4"/>
      <x:c r="AD121" s="4"/>
      <x:c r="AE121" s="4"/>
    </x:row>
    <x:row r="122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  <x:c r="AA122" s="4"/>
      <x:c r="AB122" s="4"/>
      <x:c r="AC122" s="4"/>
      <x:c r="AD122" s="4"/>
      <x:c r="AE122" s="4"/>
    </x:row>
    <x:row r="123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  <x:c r="AA123" s="4"/>
      <x:c r="AB123" s="4"/>
      <x:c r="AC123" s="4"/>
      <x:c r="AD123" s="4"/>
      <x:c r="AE123" s="4"/>
    </x:row>
    <x:row r="124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  <x:c r="AA124" s="4"/>
      <x:c r="AB124" s="4"/>
      <x:c r="AC124" s="4"/>
      <x:c r="AD124" s="4"/>
      <x:c r="AE124" s="4"/>
    </x:row>
    <x:row r="125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  <x:c r="AA125" s="4"/>
      <x:c r="AB125" s="4"/>
      <x:c r="AC125" s="4"/>
      <x:c r="AD125" s="4"/>
      <x:c r="AE125" s="4"/>
    </x:row>
    <x:row r="126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  <x:c r="AA126" s="4"/>
      <x:c r="AB126" s="4"/>
      <x:c r="AC126" s="4"/>
      <x:c r="AD126" s="4"/>
      <x:c r="AE126" s="4"/>
    </x:row>
    <x:row r="127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  <x:c r="AA127" s="4"/>
      <x:c r="AB127" s="4"/>
      <x:c r="AC127" s="4"/>
      <x:c r="AD127" s="4"/>
      <x:c r="AE127" s="4"/>
    </x:row>
    <x:row r="128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  <x:c r="AA128" s="4"/>
      <x:c r="AB128" s="4"/>
      <x:c r="AC128" s="4"/>
      <x:c r="AD128" s="4"/>
      <x:c r="AE128" s="4"/>
    </x:row>
    <x:row r="129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  <x:c r="AA129" s="4"/>
      <x:c r="AB129" s="4"/>
      <x:c r="AC129" s="4"/>
      <x:c r="AD129" s="4"/>
      <x:c r="AE129" s="4"/>
    </x:row>
    <x:row r="130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  <x:c r="AA130" s="4"/>
      <x:c r="AB130" s="4"/>
      <x:c r="AC130" s="4"/>
      <x:c r="AD130" s="4"/>
      <x:c r="AE130" s="4"/>
    </x:row>
    <x:row r="13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  <x:c r="AA131" s="4"/>
      <x:c r="AB131" s="4"/>
      <x:c r="AC131" s="4"/>
      <x:c r="AD131" s="4"/>
      <x:c r="AE131" s="4"/>
    </x:row>
    <x:row r="132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  <x:c r="AA132" s="4"/>
      <x:c r="AB132" s="4"/>
      <x:c r="AC132" s="4"/>
      <x:c r="AD132" s="4"/>
      <x:c r="AE132" s="4"/>
    </x:row>
    <x:row r="133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  <x:c r="AA133" s="4"/>
      <x:c r="AB133" s="4"/>
      <x:c r="AC133" s="4"/>
      <x:c r="AD133" s="4"/>
      <x:c r="AE133" s="4"/>
    </x:row>
    <x:row r="134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  <x:c r="AA134" s="4"/>
      <x:c r="AB134" s="4"/>
      <x:c r="AC134" s="4"/>
      <x:c r="AD134" s="4"/>
      <x:c r="AE134" s="4"/>
    </x:row>
    <x:row r="135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  <x:c r="AA135" s="4"/>
      <x:c r="AB135" s="4"/>
      <x:c r="AC135" s="4"/>
      <x:c r="AD135" s="4"/>
      <x:c r="AE135" s="4"/>
    </x:row>
    <x:row r="136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  <x:c r="AA136" s="4"/>
      <x:c r="AB136" s="4"/>
      <x:c r="AC136" s="4"/>
      <x:c r="AD136" s="4"/>
      <x:c r="AE136" s="4"/>
    </x:row>
    <x:row r="137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  <x:c r="AA137" s="4"/>
      <x:c r="AB137" s="4"/>
      <x:c r="AC137" s="4"/>
      <x:c r="AD137" s="4"/>
      <x:c r="AE137" s="4"/>
    </x:row>
    <x:row r="138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  <x:c r="AA138" s="4"/>
      <x:c r="AB138" s="4"/>
      <x:c r="AC138" s="4"/>
      <x:c r="AD138" s="4"/>
      <x:c r="AE138" s="4"/>
    </x:row>
    <x:row r="139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  <x:c r="AA139" s="4"/>
      <x:c r="AB139" s="4"/>
      <x:c r="AC139" s="4"/>
      <x:c r="AD139" s="4"/>
      <x:c r="AE139" s="4"/>
    </x:row>
    <x:row r="140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  <x:c r="AA140" s="4"/>
      <x:c r="AB140" s="4"/>
      <x:c r="AC140" s="4"/>
      <x:c r="AD140" s="4"/>
      <x:c r="AE140" s="4"/>
    </x:row>
    <x:row r="14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  <x:c r="AA141" s="4"/>
      <x:c r="AB141" s="4"/>
      <x:c r="AC141" s="4"/>
      <x:c r="AD141" s="4"/>
      <x:c r="AE141" s="4"/>
    </x:row>
    <x:row r="142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  <x:c r="AA142" s="4"/>
      <x:c r="AB142" s="4"/>
      <x:c r="AC142" s="4"/>
      <x:c r="AD142" s="4"/>
      <x:c r="AE142" s="4"/>
    </x:row>
    <x:row r="143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  <x:c r="AA143" s="4"/>
      <x:c r="AB143" s="4"/>
      <x:c r="AC143" s="4"/>
      <x:c r="AD143" s="4"/>
      <x:c r="AE143" s="4"/>
    </x:row>
    <x:row r="144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  <x:c r="AA144" s="4"/>
      <x:c r="AB144" s="4"/>
      <x:c r="AC144" s="4"/>
      <x:c r="AD144" s="4"/>
      <x:c r="AE144" s="4"/>
    </x:row>
    <x:row r="145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  <x:c r="AA145" s="4"/>
      <x:c r="AB145" s="4"/>
      <x:c r="AC145" s="4"/>
      <x:c r="AD145" s="4"/>
      <x:c r="AE145" s="4"/>
    </x:row>
    <x:row r="146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  <x:c r="AA146" s="4"/>
      <x:c r="AB146" s="4"/>
      <x:c r="AC146" s="4"/>
      <x:c r="AD146" s="4"/>
      <x:c r="AE146" s="4"/>
    </x:row>
    <x:row r="147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  <x:c r="AA147" s="4"/>
      <x:c r="AB147" s="4"/>
      <x:c r="AC147" s="4"/>
      <x:c r="AD147" s="4"/>
      <x:c r="AE147" s="4"/>
    </x:row>
    <x:row r="148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  <x:c r="AA148" s="4"/>
      <x:c r="AB148" s="4"/>
      <x:c r="AC148" s="4"/>
      <x:c r="AD148" s="4"/>
      <x:c r="AE148" s="4"/>
    </x:row>
    <x:row r="149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  <x:c r="AA149" s="4"/>
      <x:c r="AB149" s="4"/>
      <x:c r="AC149" s="4"/>
      <x:c r="AD149" s="4"/>
      <x:c r="AE149" s="4"/>
    </x:row>
    <x:row r="150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  <x:c r="AA150" s="4"/>
      <x:c r="AB150" s="4"/>
      <x:c r="AC150" s="4"/>
      <x:c r="AD150" s="4"/>
      <x:c r="AE150" s="4"/>
    </x:row>
    <x:row r="15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  <x:c r="AA151" s="4"/>
      <x:c r="AB151" s="4"/>
      <x:c r="AC151" s="4"/>
      <x:c r="AD151" s="4"/>
      <x:c r="AE151" s="4"/>
    </x:row>
    <x:row r="152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  <x:c r="AA152" s="4"/>
      <x:c r="AB152" s="4"/>
      <x:c r="AC152" s="4"/>
      <x:c r="AD152" s="4"/>
      <x:c r="AE152" s="4"/>
    </x:row>
    <x:row r="153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  <x:c r="AA153" s="4"/>
      <x:c r="AB153" s="4"/>
      <x:c r="AC153" s="4"/>
      <x:c r="AD153" s="4"/>
      <x:c r="AE153" s="4"/>
    </x:row>
    <x:row r="154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  <x:c r="AA154" s="4"/>
      <x:c r="AB154" s="4"/>
      <x:c r="AC154" s="4"/>
      <x:c r="AD154" s="4"/>
      <x:c r="AE154" s="4"/>
    </x:row>
    <x:row r="155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  <x:c r="AA155" s="4"/>
      <x:c r="AB155" s="4"/>
      <x:c r="AC155" s="4"/>
      <x:c r="AD155" s="4"/>
      <x:c r="AE155" s="4"/>
    </x:row>
    <x:row r="156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  <x:c r="AA156" s="4"/>
      <x:c r="AB156" s="4"/>
      <x:c r="AC156" s="4"/>
      <x:c r="AD156" s="4"/>
      <x:c r="AE156" s="4"/>
    </x:row>
    <x:row r="157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  <x:c r="AA157" s="4"/>
      <x:c r="AB157" s="4"/>
      <x:c r="AC157" s="4"/>
      <x:c r="AD157" s="4"/>
      <x:c r="AE157" s="4"/>
    </x:row>
    <x:row r="158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  <x:c r="AA158" s="4"/>
      <x:c r="AB158" s="4"/>
      <x:c r="AC158" s="4"/>
      <x:c r="AD158" s="4"/>
      <x:c r="AE158" s="4"/>
    </x:row>
    <x:row r="159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  <x:c r="AA159" s="4"/>
      <x:c r="AB159" s="4"/>
      <x:c r="AC159" s="4"/>
      <x:c r="AD159" s="4"/>
      <x:c r="AE159" s="4"/>
    </x:row>
    <x:row r="160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  <x:c r="AA160" s="4"/>
      <x:c r="AB160" s="4"/>
      <x:c r="AC160" s="4"/>
      <x:c r="AD160" s="4"/>
      <x:c r="AE160" s="4"/>
    </x:row>
    <x:row r="16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  <x:c r="AA161" s="4"/>
      <x:c r="AB161" s="4"/>
      <x:c r="AC161" s="4"/>
      <x:c r="AD161" s="4"/>
      <x:c r="AE161" s="4"/>
    </x:row>
    <x:row r="162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  <x:c r="AA162" s="4"/>
      <x:c r="AB162" s="4"/>
      <x:c r="AC162" s="4"/>
      <x:c r="AD162" s="4"/>
      <x:c r="AE162" s="4"/>
    </x:row>
    <x:row r="163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  <x:c r="AA163" s="4"/>
      <x:c r="AB163" s="4"/>
      <x:c r="AC163" s="4"/>
      <x:c r="AD163" s="4"/>
      <x:c r="AE163" s="4"/>
    </x:row>
    <x:row r="164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  <x:c r="AA164" s="4"/>
      <x:c r="AB164" s="4"/>
      <x:c r="AC164" s="4"/>
      <x:c r="AD164" s="4"/>
      <x:c r="AE164" s="4"/>
    </x:row>
    <x:row r="165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  <x:c r="AA165" s="4"/>
      <x:c r="AB165" s="4"/>
      <x:c r="AC165" s="4"/>
      <x:c r="AD165" s="4"/>
      <x:c r="AE165" s="4"/>
    </x:row>
    <x:row r="166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  <x:c r="AA166" s="4"/>
      <x:c r="AB166" s="4"/>
      <x:c r="AC166" s="4"/>
      <x:c r="AD166" s="4"/>
      <x:c r="AE166" s="4"/>
    </x:row>
    <x:row r="167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  <x:c r="AA167" s="4"/>
      <x:c r="AB167" s="4"/>
      <x:c r="AC167" s="4"/>
      <x:c r="AD167" s="4"/>
      <x:c r="AE167" s="4"/>
    </x:row>
    <x:row r="168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  <x:c r="AA168" s="4"/>
      <x:c r="AB168" s="4"/>
      <x:c r="AC168" s="4"/>
      <x:c r="AD168" s="4"/>
      <x:c r="AE168" s="4"/>
    </x:row>
    <x:row r="169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  <x:c r="AA169" s="4"/>
      <x:c r="AB169" s="4"/>
      <x:c r="AC169" s="4"/>
      <x:c r="AD169" s="4"/>
      <x:c r="AE169" s="4"/>
    </x:row>
    <x:row r="170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  <x:c r="AA170" s="4"/>
      <x:c r="AB170" s="4"/>
      <x:c r="AC170" s="4"/>
      <x:c r="AD170" s="4"/>
      <x:c r="AE170" s="4"/>
    </x:row>
    <x:row r="17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  <x:c r="AA171" s="4"/>
      <x:c r="AB171" s="4"/>
      <x:c r="AC171" s="4"/>
      <x:c r="AD171" s="4"/>
      <x:c r="AE171" s="4"/>
    </x:row>
    <x:row r="172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  <x:c r="AA172" s="4"/>
      <x:c r="AB172" s="4"/>
      <x:c r="AC172" s="4"/>
      <x:c r="AD172" s="4"/>
      <x:c r="AE172" s="4"/>
    </x:row>
    <x:row r="173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  <x:c r="AA173" s="4"/>
      <x:c r="AB173" s="4"/>
      <x:c r="AC173" s="4"/>
      <x:c r="AD173" s="4"/>
      <x:c r="AE173" s="4"/>
    </x:row>
    <x:row r="174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  <x:c r="AA174" s="4"/>
      <x:c r="AB174" s="4"/>
      <x:c r="AC174" s="4"/>
      <x:c r="AD174" s="4"/>
      <x:c r="AE174" s="4"/>
    </x:row>
    <x:row r="175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  <x:c r="AA175" s="4"/>
      <x:c r="AB175" s="4"/>
      <x:c r="AC175" s="4"/>
      <x:c r="AD175" s="4"/>
      <x:c r="AE175" s="4"/>
    </x:row>
    <x:row r="176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  <x:c r="AA176" s="4"/>
      <x:c r="AB176" s="4"/>
      <x:c r="AC176" s="4"/>
      <x:c r="AD176" s="4"/>
      <x:c r="AE176" s="4"/>
    </x:row>
    <x:row r="177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  <x:c r="AA177" s="4"/>
      <x:c r="AB177" s="4"/>
      <x:c r="AC177" s="4"/>
      <x:c r="AD177" s="4"/>
      <x:c r="AE177" s="4"/>
    </x:row>
    <x:row r="178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  <x:c r="AA178" s="4"/>
      <x:c r="AB178" s="4"/>
      <x:c r="AC178" s="4"/>
      <x:c r="AD178" s="4"/>
      <x:c r="AE178" s="4"/>
    </x:row>
    <x:row r="179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  <x:c r="AA179" s="4"/>
      <x:c r="AB179" s="4"/>
      <x:c r="AC179" s="4"/>
      <x:c r="AD179" s="4"/>
      <x:c r="AE179" s="4"/>
    </x:row>
    <x:row r="180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  <x:c r="AA180" s="4"/>
      <x:c r="AB180" s="4"/>
      <x:c r="AC180" s="4"/>
      <x:c r="AD180" s="4"/>
      <x:c r="AE180" s="4"/>
    </x:row>
    <x:row r="18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  <x:c r="AA181" s="4"/>
      <x:c r="AB181" s="4"/>
      <x:c r="AC181" s="4"/>
      <x:c r="AD181" s="4"/>
      <x:c r="AE181" s="4"/>
    </x:row>
    <x:row r="182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  <x:c r="AA182" s="4"/>
      <x:c r="AB182" s="4"/>
      <x:c r="AC182" s="4"/>
      <x:c r="AD182" s="4"/>
      <x:c r="AE182" s="4"/>
    </x:row>
    <x:row r="183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  <x:c r="AA183" s="4"/>
      <x:c r="AB183" s="4"/>
      <x:c r="AC183" s="4"/>
      <x:c r="AD183" s="4"/>
      <x:c r="AE183" s="4"/>
    </x:row>
    <x:row r="184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  <x:c r="AA184" s="4"/>
      <x:c r="AB184" s="4"/>
      <x:c r="AC184" s="4"/>
      <x:c r="AD184" s="4"/>
      <x:c r="AE184" s="4"/>
    </x:row>
    <x:row r="185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  <x:c r="AA185" s="4"/>
      <x:c r="AB185" s="4"/>
      <x:c r="AC185" s="4"/>
      <x:c r="AD185" s="4"/>
      <x:c r="AE185" s="4"/>
    </x:row>
    <x:row r="186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  <x:c r="AA186" s="4"/>
      <x:c r="AB186" s="4"/>
      <x:c r="AC186" s="4"/>
      <x:c r="AD186" s="4"/>
      <x:c r="AE186" s="4"/>
    </x:row>
    <x:row r="187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  <x:c r="AA187" s="4"/>
      <x:c r="AB187" s="4"/>
      <x:c r="AC187" s="4"/>
      <x:c r="AD187" s="4"/>
      <x:c r="AE187" s="4"/>
    </x:row>
    <x:row r="188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  <x:c r="AA188" s="4"/>
      <x:c r="AB188" s="4"/>
      <x:c r="AC188" s="4"/>
      <x:c r="AD188" s="4"/>
      <x:c r="AE188" s="4"/>
    </x:row>
    <x:row r="189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  <x:c r="AA189" s="4"/>
      <x:c r="AB189" s="4"/>
      <x:c r="AC189" s="4"/>
      <x:c r="AD189" s="4"/>
      <x:c r="AE189" s="4"/>
    </x:row>
    <x:row r="190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  <x:c r="AA190" s="4"/>
      <x:c r="AB190" s="4"/>
      <x:c r="AC190" s="4"/>
      <x:c r="AD190" s="4"/>
      <x:c r="AE190" s="4"/>
    </x:row>
    <x:row r="19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  <x:c r="AA191" s="4"/>
      <x:c r="AB191" s="4"/>
      <x:c r="AC191" s="4"/>
      <x:c r="AD191" s="4"/>
      <x:c r="AE191" s="4"/>
    </x:row>
    <x:row r="192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  <x:c r="AA192" s="4"/>
      <x:c r="AB192" s="4"/>
      <x:c r="AC192" s="4"/>
      <x:c r="AD192" s="4"/>
      <x:c r="AE192" s="4"/>
    </x:row>
    <x:row r="193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  <x:c r="AA193" s="4"/>
      <x:c r="AB193" s="4"/>
      <x:c r="AC193" s="4"/>
      <x:c r="AD193" s="4"/>
      <x:c r="AE193" s="4"/>
    </x:row>
    <x:row r="194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  <x:c r="AA194" s="4"/>
      <x:c r="AB194" s="4"/>
      <x:c r="AC194" s="4"/>
      <x:c r="AD194" s="4"/>
      <x:c r="AE194" s="4"/>
    </x:row>
    <x:row r="195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  <x:c r="AA195" s="4"/>
      <x:c r="AB195" s="4"/>
      <x:c r="AC195" s="4"/>
      <x:c r="AD195" s="4"/>
      <x:c r="AE195" s="4"/>
    </x:row>
    <x:row r="196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  <x:c r="AA196" s="4"/>
      <x:c r="AB196" s="4"/>
      <x:c r="AC196" s="4"/>
      <x:c r="AD196" s="4"/>
      <x:c r="AE196" s="4"/>
    </x:row>
    <x:row r="197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  <x:c r="AA197" s="4"/>
      <x:c r="AB197" s="4"/>
      <x:c r="AC197" s="4"/>
      <x:c r="AD197" s="4"/>
      <x:c r="AE197" s="4"/>
    </x:row>
    <x:row r="198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  <x:c r="AA198" s="4"/>
      <x:c r="AB198" s="4"/>
      <x:c r="AC198" s="4"/>
      <x:c r="AD198" s="4"/>
      <x:c r="AE198" s="4"/>
    </x:row>
    <x:row r="199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  <x:c r="AA199" s="4"/>
      <x:c r="AB199" s="4"/>
      <x:c r="AC199" s="4"/>
      <x:c r="AD199" s="4"/>
      <x:c r="AE199" s="4"/>
    </x:row>
    <x:row r="200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  <x:c r="AA200" s="4"/>
      <x:c r="AB200" s="4"/>
      <x:c r="AC200" s="4"/>
      <x:c r="AD200" s="4"/>
      <x:c r="AE200" s="4"/>
    </x:row>
  </x:sheetData>
  <x:pageMargins left="0.7" right="0.7" top="0.75" bottom="0.75" header="0.3" footer="0.3"/>
  <x:tableParts count="1">
    <x:tablePart xmlns:r="http://schemas.openxmlformats.org/officeDocument/2006/relationships" r:id="R0f8ed6df5fa3448e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8" hidden="0" customWidth="1"/>
    <x:col min="4" max="4" width="26" hidden="0" customWidth="1"/>
    <x:col min="5" max="5" width="18" hidden="0" customWidth="1"/>
    <x:col min="6" max="6" width="28" hidden="0" customWidth="1"/>
    <x:col min="7" max="7" width="9" hidden="0" customWidth="1"/>
    <x:col min="8" max="8" width="9" hidden="0" customWidth="1"/>
    <x:col min="9" max="9" width="14" hidden="0" customWidth="1"/>
    <x:col min="10" max="10" width="22" hidden="0" customWidth="1"/>
    <x:col min="11" max="11" width="14" hidden="0" customWidth="1"/>
    <x:col min="12" max="12" width="16" hidden="0" customWidth="1"/>
    <x:col min="13" max="13" width="13" hidden="0" customWidth="1"/>
    <x:col min="14" max="14" width="16" hidden="0" customWidth="1"/>
    <x:col min="15" max="15" width="12" hidden="0" customWidth="1"/>
    <x:col min="16" max="16" width="16" hidden="0" customWidth="1"/>
    <x:col min="17" max="17" width="12" hidden="0" customWidth="1"/>
    <x:col min="18" max="18" width="24" hidden="0" customWidth="1"/>
    <x:col min="19" max="19" width="14" hidden="0" customWidth="1"/>
    <x:col min="20" max="20" width="16" hidden="0" customWidth="1"/>
    <x:col min="21" max="21" width="42" hidden="0" customWidth="1"/>
    <x:col min="22" max="22" width="44" hidden="0" customWidth="1"/>
    <x:col min="23" max="23" width="11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4" hidden="0" customWidth="1"/>
    <x:col min="30" max="30" width="16" hidden="0" customWidth="1"/>
    <x:col min="31" max="31" width="14" hidden="0" customWidth="1"/>
  </x:cols>
  <x:sheetData>
    <x:row r="1" ht="28" customHeight="1">
      <x:c r="A1" s="9" t="str">
        <x:v>Applied</x:v>
      </x:c>
      <x:c r="B1" s="9" t="str">
        <x:v>Priority</x:v>
      </x:c>
      <x:c r="C1" s="9" t="str">
        <x:v>Species Group</x:v>
      </x:c>
      <x:c r="D1" s="9" t="str">
        <x:v>Hunt Area</x:v>
      </x:c>
      <x:c r="E1" s="9" t="str">
        <x:v>Region</x:v>
      </x:c>
      <x:c r="F1" s="9" t="str">
        <x:v>Hunt Category</x:v>
      </x:c>
      <x:c r="G1" s="9" t="str">
        <x:v>Adult</x:v>
      </x:c>
      <x:c r="H1" s="9" t="str">
        <x:v>Youth</x:v>
      </x:c>
      <x:c r="I1" s="9" t="str">
        <x:v>Application Deadline</x:v>
      </x:c>
      <x:c r="J1" s="9" t="str">
        <x:v>Hunt Window</x:v>
      </x:c>
      <x:c r="K1" s="9" t="str">
        <x:v>Application Fee</x:v>
      </x:c>
      <x:c r="L1" s="9" t="str">
        <x:v>Estimated Permit Fee</x:v>
      </x:c>
      <x:c r="M1" s="9" t="str">
        <x:v>Permits/Groups</x:v>
      </x:c>
      <x:c r="N1" s="9" t="str">
        <x:v>Applicants Last Year</x:v>
      </x:c>
      <x:c r="O1" s="9" t="str">
        <x:v>Draw Odds</x:v>
      </x:c>
      <x:c r="P1" s="9" t="str">
        <x:v>Approx Miles from Amarillo</x:v>
      </x:c>
      <x:c r="Q1" s="9" t="str">
        <x:v>Drive Zone</x:v>
      </x:c>
      <x:c r="R1" s="9" t="str">
        <x:v>Camping Notes</x:v>
      </x:c>
      <x:c r="S1" s="9" t="str">
        <x:v>Backpack Rating</x:v>
      </x:c>
      <x:c r="T1" s="9" t="str">
        <x:v>Past Drawn by Hastings</x:v>
      </x:c>
      <x:c r="U1" s="9" t="str">
        <x:v>Notes</x:v>
      </x:c>
      <x:c r="V1" s="9" t="str">
        <x:v>Source URL</x:v>
      </x:c>
      <x:c r="W1" s="9" t="str">
        <x:v>Odds Score</x:v>
      </x:c>
      <x:c r="X1" s="9" t="str">
        <x:v>Distance Score</x:v>
      </x:c>
      <x:c r="Y1" s="9" t="str">
        <x:v>Youth Fit Score</x:v>
      </x:c>
      <x:c r="Z1" s="9" t="str">
        <x:v>Camping Score</x:v>
      </x:c>
      <x:c r="AA1" s="9" t="str">
        <x:v>Backpack Score</x:v>
      </x:c>
      <x:c r="AB1" s="9" t="str">
        <x:v>Past Draw Bonus</x:v>
      </x:c>
      <x:c r="AC1" s="9" t="str">
        <x:v>Hastings Score</x:v>
      </x:c>
      <x:c r="AD1" s="9" t="str">
        <x:v>Estimated Total If Drawn</x:v>
      </x:c>
      <x:c r="AE1" s="9" t="str">
        <x:v>Deadline Month</x:v>
      </x:c>
    </x:row>
    <x:row r="2">
      <x:c r="A2" s="4" t="str">
        <x:v>No</x:v>
      </x:c>
      <x:c r="B2" s="4" t="str">
        <x:v>A</x:v>
      </x:c>
      <x:c r="C2" s="4" t="str">
        <x:v>Pronghorn</x:v>
      </x:c>
      <x:c r="D2" s="4" t="str">
        <x:v>Rita Blanca National Grasslands</x:v>
      </x:c>
      <x:c r="E2" s="4" t="str">
        <x:v>Panhandle</x:v>
      </x:c>
      <x:c r="F2" s="4" t="str">
        <x:v>Pronghorn</x:v>
      </x:c>
      <x:c r="G2" s="4" t="str">
        <x:v>Yes</x:v>
      </x:c>
      <x:c r="H2" s="4" t="str">
        <x:v>No</x:v>
      </x:c>
      <x:c r="I2" s="4" t="str">
        <x:v>2026-08-15</x:v>
      </x:c>
      <x:c r="J2" s="4" t="str">
        <x:v>Oct 3-18, 2026</x:v>
      </x:c>
      <x:c r="K2" s="4" t="n">
        <x:v>3</x:v>
      </x:c>
      <x:c r="L2" s="4" t="n">
        <x:v>80</x:v>
      </x:c>
      <x:c r="M2" s="4"/>
      <x:c r="N2" s="4"/>
      <x:c r="O2" s="4"/>
      <x:c r="P2" s="4" t="n">
        <x:v>88</x:v>
      </x:c>
      <x:c r="Q2" s="4" t="str">
        <x:v>Core</x:v>
      </x:c>
      <x:c r="R2" s="4" t="str">
        <x:v>Primitive/nearby camping</x:v>
      </x:c>
      <x:c r="S2" s="4" t="str">
        <x:v>High</x:v>
      </x:c>
      <x:c r="T2" s="4" t="str">
        <x:v>No</x:v>
      </x:c>
      <x:c r="U2" s="4" t="str">
        <x:v>Always apply for close pronghorn if eligible.</x:v>
      </x:c>
      <x:c r="V2" s="4" t="str">
        <x:v>https://tpwd.texas.gov/huntwild/hunt/public/public_hunt_drawing/hunt-area-details.phtml?OArea=RB</x:v>
      </x:c>
      <x:c r="W2" s="4" t="n">
        <x:v>2</x:v>
      </x:c>
      <x:c r="X2" s="4" t="n">
        <x:v>5</x:v>
      </x:c>
      <x:c r="Y2" s="4" t="n">
        <x:v>2</x:v>
      </x:c>
      <x:c r="Z2" s="4" t="n">
        <x:v>4</x:v>
      </x:c>
      <x:c r="AA2" s="4" t="n">
        <x:v>5</x:v>
      </x:c>
      <x:c r="AB2" s="4" t="n">
        <x:v>0</x:v>
      </x:c>
      <x:c r="AC2" s="4" t="n">
        <x:v>2.8</x:v>
      </x:c>
      <x:c r="AD2" s="4" t="n">
        <x:v>83</x:v>
      </x:c>
      <x:c r="AE2" s="4" t="str">
        <x:v>08</x:v>
      </x:c>
    </x:row>
    <x:row r="3">
      <x:c r="A3" s="4" t="str">
        <x:v>No</x:v>
      </x:c>
      <x:c r="B3" s="4" t="str">
        <x:v>A</x:v>
      </x:c>
      <x:c r="C3" s="4" t="str">
        <x:v>Pronghorn</x:v>
      </x:c>
      <x:c r="D3" s="4" t="str">
        <x:v>Canadian River Complex</x:v>
      </x:c>
      <x:c r="E3" s="4" t="str">
        <x:v>Panhandle</x:v>
      </x:c>
      <x:c r="F3" s="4" t="str">
        <x:v>Private Lands Pronghorn</x:v>
      </x:c>
      <x:c r="G3" s="4" t="str">
        <x:v>Yes</x:v>
      </x:c>
      <x:c r="H3" s="4" t="str">
        <x:v>No</x:v>
      </x:c>
      <x:c r="I3" s="4" t="str">
        <x:v>2026-08-15</x:v>
      </x:c>
      <x:c r="J3" s="4" t="str">
        <x:v>Oct 2026 varies</x:v>
      </x:c>
      <x:c r="K3" s="4" t="n">
        <x:v>10</x:v>
      </x:c>
      <x:c r="L3" s="4" t="n">
        <x:v>80</x:v>
      </x:c>
      <x:c r="M3" s="4"/>
      <x:c r="N3" s="4"/>
      <x:c r="O3" s="4"/>
      <x:c r="P3" s="4" t="n">
        <x:v>60</x:v>
      </x:c>
      <x:c r="Q3" s="4" t="str">
        <x:v>Core</x:v>
      </x:c>
      <x:c r="R3" s="4" t="str">
        <x:v>Varies by property</x:v>
      </x:c>
      <x:c r="S3" s="4" t="str">
        <x:v>Medium</x:v>
      </x:c>
      <x:c r="T3" s="4" t="str">
        <x:v>No</x:v>
      </x:c>
      <x:c r="U3" s="4" t="str">
        <x:v>Private lands pronghorn; higher app fee but close.</x:v>
      </x:c>
      <x:c r="V3" s="4" t="str">
        <x:v>https://tpwd.texas.gov/huntwild/hunt/public/public_hunt_drawing/hunt-area-details.phtml?OArea=CI</x:v>
      </x:c>
      <x:c r="W3" s="4" t="n">
        <x:v>2</x:v>
      </x:c>
      <x:c r="X3" s="4" t="n">
        <x:v>5</x:v>
      </x:c>
      <x:c r="Y3" s="4" t="n">
        <x:v>2</x:v>
      </x:c>
      <x:c r="Z3" s="4" t="n">
        <x:v>2</x:v>
      </x:c>
      <x:c r="AA3" s="4" t="n">
        <x:v>3</x:v>
      </x:c>
      <x:c r="AB3" s="4" t="n">
        <x:v>0</x:v>
      </x:c>
      <x:c r="AC3" s="4" t="n">
        <x:v>2.4</x:v>
      </x:c>
      <x:c r="AD3" s="4" t="n">
        <x:v>90</x:v>
      </x:c>
      <x:c r="AE3" s="4" t="str">
        <x:v>08</x:v>
      </x:c>
    </x:row>
    <x:row r="4">
      <x:c r="A4" s="4" t="str">
        <x:v>No</x:v>
      </x:c>
      <x:c r="B4" s="4" t="str">
        <x:v>A</x:v>
      </x:c>
      <x:c r="C4" s="4" t="str">
        <x:v>Pronghorn</x:v>
      </x:c>
      <x:c r="D4" s="4" t="str">
        <x:v>Lipscomb/Hemphill County Ranch</x:v>
      </x:c>
      <x:c r="E4" s="4" t="str">
        <x:v>Panhandle</x:v>
      </x:c>
      <x:c r="F4" s="4" t="str">
        <x:v>Private Lands Pronghorn</x:v>
      </x:c>
      <x:c r="G4" s="4" t="str">
        <x:v>Yes</x:v>
      </x:c>
      <x:c r="H4" s="4" t="str">
        <x:v>No</x:v>
      </x:c>
      <x:c r="I4" s="4" t="str">
        <x:v>2026-08-15</x:v>
      </x:c>
      <x:c r="J4" s="4" t="str">
        <x:v>Oct 2026 varies</x:v>
      </x:c>
      <x:c r="K4" s="4" t="n">
        <x:v>10</x:v>
      </x:c>
      <x:c r="L4" s="4" t="n">
        <x:v>80</x:v>
      </x:c>
      <x:c r="M4" s="4"/>
      <x:c r="N4" s="4"/>
      <x:c r="O4" s="4"/>
      <x:c r="P4" s="4" t="n">
        <x:v>160</x:v>
      </x:c>
      <x:c r="Q4" s="4" t="str">
        <x:v>Core</x:v>
      </x:c>
      <x:c r="R4" s="4" t="str">
        <x:v>Varies by property</x:v>
      </x:c>
      <x:c r="S4" s="4" t="str">
        <x:v>Medium</x:v>
      </x:c>
      <x:c r="T4" s="4" t="str">
        <x:v>No</x:v>
      </x:c>
      <x:c r="U4" s="4" t="str">
        <x:v>Good Panhandle pronghorn option.</x:v>
      </x:c>
      <x:c r="V4" s="4" t="str">
        <x:v>https://tpwd.texas.gov/huntwild/hunt/public/public_hunt_drawing/hunt-area-details.phtml?OArea=ZI</x:v>
      </x:c>
      <x:c r="W4" s="4" t="n">
        <x:v>2</x:v>
      </x:c>
      <x:c r="X4" s="4" t="n">
        <x:v>4</x:v>
      </x:c>
      <x:c r="Y4" s="4" t="n">
        <x:v>2</x:v>
      </x:c>
      <x:c r="Z4" s="4" t="n">
        <x:v>2</x:v>
      </x:c>
      <x:c r="AA4" s="4" t="n">
        <x:v>3</x:v>
      </x:c>
      <x:c r="AB4" s="4" t="n">
        <x:v>0</x:v>
      </x:c>
      <x:c r="AC4" s="4" t="n">
        <x:v>2.2</x:v>
      </x:c>
      <x:c r="AD4" s="4" t="n">
        <x:v>90</x:v>
      </x:c>
      <x:c r="AE4" s="4" t="str">
        <x:v>08</x:v>
      </x:c>
    </x:row>
    <x:row r="5">
      <x:c r="A5" s="4" t="str">
        <x:v>No</x:v>
      </x:c>
      <x:c r="B5" s="4" t="str">
        <x:v>C</x:v>
      </x:c>
      <x:c r="C5" s="4" t="str">
        <x:v>Exotics</x:v>
      </x:c>
      <x:c r="D5" s="4" t="str">
        <x:v>Guided Exotic Packages</x:v>
      </x:c>
      <x:c r="E5" s="4" t="str">
        <x:v>Statewide/Dream</x:v>
      </x:c>
      <x:c r="F5" s="4" t="str">
        <x:v>Guided Exotic / Gemsbok / Oryx</x:v>
      </x:c>
      <x:c r="G5" s="4" t="str">
        <x:v>Yes</x:v>
      </x:c>
      <x:c r="H5" s="4" t="str">
        <x:v>Maybe</x:v>
      </x:c>
      <x:c r="I5" s="4" t="str">
        <x:v>Varies</x:v>
      </x:c>
      <x:c r="J5" s="4" t="str">
        <x:v>Varies</x:v>
      </x:c>
      <x:c r="K5" s="4" t="n">
        <x:v>10</x:v>
      </x:c>
      <x:c r="L5" s="4" t="n">
        <x:v>0</x:v>
      </x:c>
      <x:c r="M5" s="4"/>
      <x:c r="N5" s="4"/>
      <x:c r="O5" s="4"/>
      <x:c r="P5" s="4"/>
      <x:c r="Q5" s="4" t="str">
        <x:v>Dream</x:v>
      </x:c>
      <x:c r="R5" s="4" t="str">
        <x:v>Varies</x:v>
      </x:c>
      <x:c r="S5" s="4" t="str">
        <x:v>Varies</x:v>
      </x:c>
      <x:c r="T5" s="4" t="str">
        <x:v>No</x:v>
      </x:c>
      <x:c r="U5" s="4" t="str">
        <x:v>Long-shot dream tab item only; apply only if budget allows.</x:v>
      </x:c>
      <x:c r="V5" s="4" t="str">
        <x:v>https://tpwd.texas.gov/huntwild/hunt/public/public_hunt_drawing/hunt-categories.phtml</x:v>
      </x:c>
      <x:c r="W5" s="4" t="n">
        <x:v>2</x:v>
      </x:c>
      <x:c r="X5" s="4" t="n">
        <x:v>2</x:v>
      </x:c>
      <x:c r="Y5" s="4" t="n">
        <x:v>2</x:v>
      </x:c>
      <x:c r="Z5" s="4" t="n">
        <x:v>2</x:v>
      </x:c>
      <x:c r="AA5" s="4" t="n">
        <x:v>2</x:v>
      </x:c>
      <x:c r="AB5" s="4" t="n">
        <x:v>0</x:v>
      </x:c>
      <x:c r="AC5" s="4" t="n">
        <x:v>1.8</x:v>
      </x:c>
      <x:c r="AD5" s="4" t="n">
        <x:v>10</x:v>
      </x:c>
      <x:c r="AE5" s="4" t="str"/>
    </x:row>
    <x:row r="6">
      <x:c r="A6" s="4"/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  <x:c r="AA6" s="4"/>
      <x:c r="AB6" s="4"/>
      <x:c r="AC6" s="4"/>
      <x:c r="AD6" s="4"/>
      <x:c r="AE6" s="4"/>
    </x:row>
    <x:row r="7">
      <x:c r="A7" s="4"/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  <x:c r="AB7" s="4"/>
      <x:c r="AC7" s="4"/>
      <x:c r="AD7" s="4"/>
      <x:c r="AE7" s="4"/>
    </x:row>
    <x:row r="8">
      <x:c r="A8" s="4"/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  <x:c r="AA8" s="4"/>
      <x:c r="AB8" s="4"/>
      <x:c r="AC8" s="4"/>
      <x:c r="AD8" s="4"/>
      <x:c r="AE8" s="4"/>
    </x:row>
    <x:row r="9">
      <x:c r="A9" s="4"/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  <x:c r="AA9" s="4"/>
      <x:c r="AB9" s="4"/>
      <x:c r="AC9" s="4"/>
      <x:c r="AD9" s="4"/>
      <x:c r="AE9" s="4"/>
    </x:row>
    <x:row r="10">
      <x:c r="A10" s="4"/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  <x:c r="AA10" s="4"/>
      <x:c r="AB10" s="4"/>
      <x:c r="AC10" s="4"/>
      <x:c r="AD10" s="4"/>
      <x:c r="AE10" s="4"/>
    </x:row>
    <x:row r="11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  <x:c r="AA11" s="4"/>
      <x:c r="AB11" s="4"/>
      <x:c r="AC11" s="4"/>
      <x:c r="AD11" s="4"/>
      <x:c r="AE11" s="4"/>
    </x:row>
    <x:row r="12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  <x:c r="AA12" s="4"/>
      <x:c r="AB12" s="4"/>
      <x:c r="AC12" s="4"/>
      <x:c r="AD12" s="4"/>
      <x:c r="AE12" s="4"/>
    </x:row>
    <x:row r="13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  <x:c r="AA13" s="4"/>
      <x:c r="AB13" s="4"/>
      <x:c r="AC13" s="4"/>
      <x:c r="AD13" s="4"/>
      <x:c r="AE13" s="4"/>
    </x:row>
    <x:row r="14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  <x:c r="AA14" s="4"/>
      <x:c r="AB14" s="4"/>
      <x:c r="AC14" s="4"/>
      <x:c r="AD14" s="4"/>
      <x:c r="AE14" s="4"/>
    </x:row>
    <x:row r="15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  <x:c r="AA15" s="4"/>
      <x:c r="AB15" s="4"/>
      <x:c r="AC15" s="4"/>
      <x:c r="AD15" s="4"/>
      <x:c r="AE15" s="4"/>
    </x:row>
    <x:row r="16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  <x:c r="AA16" s="4"/>
      <x:c r="AB16" s="4"/>
      <x:c r="AC16" s="4"/>
      <x:c r="AD16" s="4"/>
      <x:c r="AE16" s="4"/>
    </x:row>
    <x:row r="17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/>
      <x:c r="AB17" s="4"/>
      <x:c r="AC17" s="4"/>
      <x:c r="AD17" s="4"/>
      <x:c r="AE17" s="4"/>
    </x:row>
    <x:row r="18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  <x:c r="AA18" s="4"/>
      <x:c r="AB18" s="4"/>
      <x:c r="AC18" s="4"/>
      <x:c r="AD18" s="4"/>
      <x:c r="AE18" s="4"/>
    </x:row>
    <x:row r="19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  <x:c r="AA20" s="4"/>
      <x:c r="AB20" s="4"/>
      <x:c r="AC20" s="4"/>
      <x:c r="AD20" s="4"/>
      <x:c r="AE20" s="4"/>
    </x:row>
    <x:row r="2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  <x:c r="AA21" s="4"/>
      <x:c r="AB21" s="4"/>
      <x:c r="AC21" s="4"/>
      <x:c r="AD21" s="4"/>
      <x:c r="AE21" s="4"/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  <x:c r="AA22" s="4"/>
      <x:c r="AB22" s="4"/>
      <x:c r="AC22" s="4"/>
      <x:c r="AD22" s="4"/>
      <x:c r="AE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  <x:c r="AA23" s="4"/>
      <x:c r="AB23" s="4"/>
      <x:c r="AC23" s="4"/>
      <x:c r="AD23" s="4"/>
      <x:c r="AE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  <x:c r="AA24" s="4"/>
      <x:c r="AB24" s="4"/>
      <x:c r="AC24" s="4"/>
      <x:c r="AD24" s="4"/>
      <x:c r="AE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  <x:c r="AA25" s="4"/>
      <x:c r="AB25" s="4"/>
      <x:c r="AC25" s="4"/>
      <x:c r="AD25" s="4"/>
      <x:c r="AE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  <x:c r="AA26" s="4"/>
      <x:c r="AB26" s="4"/>
      <x:c r="AC26" s="4"/>
      <x:c r="AD26" s="4"/>
      <x:c r="AE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  <x:c r="AA27" s="4"/>
      <x:c r="AB27" s="4"/>
      <x:c r="AC27" s="4"/>
      <x:c r="AD27" s="4"/>
      <x:c r="AE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  <x:c r="AA28" s="4"/>
      <x:c r="AB28" s="4"/>
      <x:c r="AC28" s="4"/>
      <x:c r="AD28" s="4"/>
      <x:c r="AE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  <x:c r="AA29" s="4"/>
      <x:c r="AB29" s="4"/>
      <x:c r="AC29" s="4"/>
      <x:c r="AD29" s="4"/>
      <x:c r="AE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  <x:c r="AA30" s="4"/>
      <x:c r="AB30" s="4"/>
      <x:c r="AC30" s="4"/>
      <x:c r="AD30" s="4"/>
      <x:c r="AE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  <x:c r="AA31" s="4"/>
      <x:c r="AB31" s="4"/>
      <x:c r="AC31" s="4"/>
      <x:c r="AD31" s="4"/>
      <x:c r="AE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  <x:c r="AA32" s="4"/>
      <x:c r="AB32" s="4"/>
      <x:c r="AC32" s="4"/>
      <x:c r="AD32" s="4"/>
      <x:c r="AE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  <x:c r="AA33" s="4"/>
      <x:c r="AB33" s="4"/>
      <x:c r="AC33" s="4"/>
      <x:c r="AD33" s="4"/>
      <x:c r="AE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  <x:c r="AA34" s="4"/>
      <x:c r="AB34" s="4"/>
      <x:c r="AC34" s="4"/>
      <x:c r="AD34" s="4"/>
      <x:c r="AE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  <x:c r="AA35" s="4"/>
      <x:c r="AB35" s="4"/>
      <x:c r="AC35" s="4"/>
      <x:c r="AD35" s="4"/>
      <x:c r="AE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  <x:c r="AA36" s="4"/>
      <x:c r="AB36" s="4"/>
      <x:c r="AC36" s="4"/>
      <x:c r="AD36" s="4"/>
      <x:c r="AE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  <x:c r="AA37" s="4"/>
      <x:c r="AB37" s="4"/>
      <x:c r="AC37" s="4"/>
      <x:c r="AD37" s="4"/>
      <x:c r="AE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  <x:c r="AA39" s="4"/>
      <x:c r="AB39" s="4"/>
      <x:c r="AC39" s="4"/>
      <x:c r="AD39" s="4"/>
      <x:c r="AE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  <x:c r="AA40" s="4"/>
      <x:c r="AB40" s="4"/>
      <x:c r="AC40" s="4"/>
      <x:c r="AD40" s="4"/>
      <x:c r="AE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  <x:c r="AA41" s="4"/>
      <x:c r="AB41" s="4"/>
      <x:c r="AC41" s="4"/>
      <x:c r="AD41" s="4"/>
      <x:c r="AE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  <x:c r="AA42" s="4"/>
      <x:c r="AB42" s="4"/>
      <x:c r="AC42" s="4"/>
      <x:c r="AD42" s="4"/>
      <x:c r="AE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  <x:c r="AA43" s="4"/>
      <x:c r="AB43" s="4"/>
      <x:c r="AC43" s="4"/>
      <x:c r="AD43" s="4"/>
      <x:c r="AE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  <x:c r="AA44" s="4"/>
      <x:c r="AB44" s="4"/>
      <x:c r="AC44" s="4"/>
      <x:c r="AD44" s="4"/>
      <x:c r="AE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  <x:c r="AA45" s="4"/>
      <x:c r="AB45" s="4"/>
      <x:c r="AC45" s="4"/>
      <x:c r="AD45" s="4"/>
      <x:c r="AE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  <x:c r="AA46" s="4"/>
      <x:c r="AB46" s="4"/>
      <x:c r="AC46" s="4"/>
      <x:c r="AD46" s="4"/>
      <x:c r="AE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  <x:c r="AA47" s="4"/>
      <x:c r="AB47" s="4"/>
      <x:c r="AC47" s="4"/>
      <x:c r="AD47" s="4"/>
      <x:c r="AE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  <x:c r="AA48" s="4"/>
      <x:c r="AB48" s="4"/>
      <x:c r="AC48" s="4"/>
      <x:c r="AD48" s="4"/>
      <x:c r="AE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  <x:c r="AA49" s="4"/>
      <x:c r="AB49" s="4"/>
      <x:c r="AC49" s="4"/>
      <x:c r="AD49" s="4"/>
      <x:c r="AE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  <x:c r="AA50" s="4"/>
      <x:c r="AB50" s="4"/>
      <x:c r="AC50" s="4"/>
      <x:c r="AD50" s="4"/>
      <x:c r="AE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  <x:c r="AA51" s="4"/>
      <x:c r="AB51" s="4"/>
      <x:c r="AC51" s="4"/>
      <x:c r="AD51" s="4"/>
      <x:c r="AE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  <x:c r="AA52" s="4"/>
      <x:c r="AB52" s="4"/>
      <x:c r="AC52" s="4"/>
      <x:c r="AD52" s="4"/>
      <x:c r="AE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  <x:c r="AA53" s="4"/>
      <x:c r="AB53" s="4"/>
      <x:c r="AC53" s="4"/>
      <x:c r="AD53" s="4"/>
      <x:c r="AE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  <x:c r="AA54" s="4"/>
      <x:c r="AB54" s="4"/>
      <x:c r="AC54" s="4"/>
      <x:c r="AD54" s="4"/>
      <x:c r="AE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  <x:c r="AA55" s="4"/>
      <x:c r="AB55" s="4"/>
      <x:c r="AC55" s="4"/>
      <x:c r="AD55" s="4"/>
      <x:c r="AE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  <x:c r="AA56" s="4"/>
      <x:c r="AB56" s="4"/>
      <x:c r="AC56" s="4"/>
      <x:c r="AD56" s="4"/>
      <x:c r="AE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  <x:c r="AA58" s="4"/>
      <x:c r="AB58" s="4"/>
      <x:c r="AC58" s="4"/>
      <x:c r="AD58" s="4"/>
      <x:c r="AE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  <x:c r="AA59" s="4"/>
      <x:c r="AB59" s="4"/>
      <x:c r="AC59" s="4"/>
      <x:c r="AD59" s="4"/>
      <x:c r="AE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  <x:c r="AA60" s="4"/>
      <x:c r="AB60" s="4"/>
      <x:c r="AC60" s="4"/>
      <x:c r="AD60" s="4"/>
      <x:c r="AE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  <x:c r="AA61" s="4"/>
      <x:c r="AB61" s="4"/>
      <x:c r="AC61" s="4"/>
      <x:c r="AD61" s="4"/>
      <x:c r="AE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  <x:c r="AA62" s="4"/>
      <x:c r="AB62" s="4"/>
      <x:c r="AC62" s="4"/>
      <x:c r="AD62" s="4"/>
      <x:c r="AE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  <x:c r="AA63" s="4"/>
      <x:c r="AB63" s="4"/>
      <x:c r="AC63" s="4"/>
      <x:c r="AD63" s="4"/>
      <x:c r="AE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  <x:c r="AA64" s="4"/>
      <x:c r="AB64" s="4"/>
      <x:c r="AC64" s="4"/>
      <x:c r="AD64" s="4"/>
      <x:c r="AE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  <x:c r="AA65" s="4"/>
      <x:c r="AB65" s="4"/>
      <x:c r="AC65" s="4"/>
      <x:c r="AD65" s="4"/>
      <x:c r="AE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  <x:c r="AA66" s="4"/>
      <x:c r="AB66" s="4"/>
      <x:c r="AC66" s="4"/>
      <x:c r="AD66" s="4"/>
      <x:c r="AE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  <x:c r="AA67" s="4"/>
      <x:c r="AB67" s="4"/>
      <x:c r="AC67" s="4"/>
      <x:c r="AD67" s="4"/>
      <x:c r="AE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s="4"/>
      <x:c r="AB68" s="4"/>
      <x:c r="AC68" s="4"/>
      <x:c r="AD68" s="4"/>
      <x:c r="AE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  <x:c r="AA69" s="4"/>
      <x:c r="AB69" s="4"/>
      <x:c r="AC69" s="4"/>
      <x:c r="AD69" s="4"/>
      <x:c r="AE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  <x:c r="AA70" s="4"/>
      <x:c r="AB70" s="4"/>
      <x:c r="AC70" s="4"/>
      <x:c r="AD70" s="4"/>
      <x:c r="AE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  <x:c r="AA71" s="4"/>
      <x:c r="AB71" s="4"/>
      <x:c r="AC71" s="4"/>
      <x:c r="AD71" s="4"/>
      <x:c r="AE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  <x:c r="AA72" s="4"/>
      <x:c r="AB72" s="4"/>
      <x:c r="AC72" s="4"/>
      <x:c r="AD72" s="4"/>
      <x:c r="AE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  <x:c r="AA73" s="4"/>
      <x:c r="AB73" s="4"/>
      <x:c r="AC73" s="4"/>
      <x:c r="AD73" s="4"/>
      <x:c r="AE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  <x:c r="AA74" s="4"/>
      <x:c r="AB74" s="4"/>
      <x:c r="AC74" s="4"/>
      <x:c r="AD74" s="4"/>
      <x:c r="AE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  <x:c r="AA75" s="4"/>
      <x:c r="AB75" s="4"/>
      <x:c r="AC75" s="4"/>
      <x:c r="AD75" s="4"/>
      <x:c r="AE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  <x:c r="AA77" s="4"/>
      <x:c r="AB77" s="4"/>
      <x:c r="AC77" s="4"/>
      <x:c r="AD77" s="4"/>
      <x:c r="AE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  <x:c r="AA78" s="4"/>
      <x:c r="AB78" s="4"/>
      <x:c r="AC78" s="4"/>
      <x:c r="AD78" s="4"/>
      <x:c r="AE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  <x:c r="AA79" s="4"/>
      <x:c r="AB79" s="4"/>
      <x:c r="AC79" s="4"/>
      <x:c r="AD79" s="4"/>
      <x:c r="AE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  <x:c r="AA80" s="4"/>
      <x:c r="AB80" s="4"/>
      <x:c r="AC80" s="4"/>
      <x:c r="AD80" s="4"/>
      <x:c r="AE80" s="4"/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  <x:c r="AA81" s="4"/>
      <x:c r="AB81" s="4"/>
      <x:c r="AC81" s="4"/>
      <x:c r="AD81" s="4"/>
      <x:c r="AE81" s="4"/>
    </x:row>
    <x:row r="82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  <x:c r="AA82" s="4"/>
      <x:c r="AB82" s="4"/>
      <x:c r="AC82" s="4"/>
      <x:c r="AD82" s="4"/>
      <x:c r="AE82" s="4"/>
    </x:row>
    <x:row r="83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  <x:c r="AA83" s="4"/>
      <x:c r="AB83" s="4"/>
      <x:c r="AC83" s="4"/>
      <x:c r="AD83" s="4"/>
      <x:c r="AE83" s="4"/>
    </x:row>
    <x:row r="84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  <x:c r="AA84" s="4"/>
      <x:c r="AB84" s="4"/>
      <x:c r="AC84" s="4"/>
      <x:c r="AD84" s="4"/>
      <x:c r="AE84" s="4"/>
    </x:row>
    <x:row r="85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  <x:c r="AA85" s="4"/>
      <x:c r="AB85" s="4"/>
      <x:c r="AC85" s="4"/>
      <x:c r="AD85" s="4"/>
      <x:c r="AE85" s="4"/>
    </x:row>
    <x:row r="86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  <x:c r="AA86" s="4"/>
      <x:c r="AB86" s="4"/>
      <x:c r="AC86" s="4"/>
      <x:c r="AD86" s="4"/>
      <x:c r="AE86" s="4"/>
    </x:row>
    <x:row r="87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  <x:c r="AA87" s="4"/>
      <x:c r="AB87" s="4"/>
      <x:c r="AC87" s="4"/>
      <x:c r="AD87" s="4"/>
      <x:c r="AE87" s="4"/>
    </x:row>
    <x:row r="88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  <x:c r="AA88" s="4"/>
      <x:c r="AB88" s="4"/>
      <x:c r="AC88" s="4"/>
      <x:c r="AD88" s="4"/>
      <x:c r="AE88" s="4"/>
    </x:row>
    <x:row r="89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  <x:c r="AA89" s="4"/>
      <x:c r="AB89" s="4"/>
      <x:c r="AC89" s="4"/>
      <x:c r="AD89" s="4"/>
      <x:c r="AE89" s="4"/>
    </x:row>
    <x:row r="90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  <x:c r="AA90" s="4"/>
      <x:c r="AB90" s="4"/>
      <x:c r="AC90" s="4"/>
      <x:c r="AD90" s="4"/>
      <x:c r="AE90" s="4"/>
    </x:row>
    <x:row r="9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  <x:c r="AA91" s="4"/>
      <x:c r="AB91" s="4"/>
      <x:c r="AC91" s="4"/>
      <x:c r="AD91" s="4"/>
      <x:c r="AE91" s="4"/>
    </x:row>
    <x:row r="92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  <x:c r="AA92" s="4"/>
      <x:c r="AB92" s="4"/>
      <x:c r="AC92" s="4"/>
      <x:c r="AD92" s="4"/>
      <x:c r="AE92" s="4"/>
    </x:row>
    <x:row r="93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  <x:c r="AA93" s="4"/>
      <x:c r="AB93" s="4"/>
      <x:c r="AC93" s="4"/>
      <x:c r="AD93" s="4"/>
      <x:c r="AE93" s="4"/>
    </x:row>
    <x:row r="94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  <x:c r="AA94" s="4"/>
      <x:c r="AB94" s="4"/>
      <x:c r="AC94" s="4"/>
      <x:c r="AD94" s="4"/>
      <x:c r="AE94" s="4"/>
    </x:row>
    <x:row r="95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  <x:c r="AA96" s="4"/>
      <x:c r="AB96" s="4"/>
      <x:c r="AC96" s="4"/>
      <x:c r="AD96" s="4"/>
      <x:c r="AE96" s="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  <x:c r="AA97" s="4"/>
      <x:c r="AB97" s="4"/>
      <x:c r="AC97" s="4"/>
      <x:c r="AD97" s="4"/>
      <x:c r="AE97" s="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  <x:c r="AA98" s="4"/>
      <x:c r="AB98" s="4"/>
      <x:c r="AC98" s="4"/>
      <x:c r="AD98" s="4"/>
      <x:c r="AE98" s="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  <x:c r="AA99" s="4"/>
      <x:c r="AB99" s="4"/>
      <x:c r="AC99" s="4"/>
      <x:c r="AD99" s="4"/>
      <x:c r="AE99" s="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  <x:c r="AA100" s="4"/>
      <x:c r="AB100" s="4"/>
      <x:c r="AC100" s="4"/>
      <x:c r="AD100" s="4"/>
      <x:c r="AE100" s="4"/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  <x:c r="AA101" s="4"/>
      <x:c r="AB101" s="4"/>
      <x:c r="AC101" s="4"/>
      <x:c r="AD101" s="4"/>
      <x:c r="AE101" s="4"/>
    </x:row>
    <x:row r="102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  <x:c r="AA102" s="4"/>
      <x:c r="AB102" s="4"/>
      <x:c r="AC102" s="4"/>
      <x:c r="AD102" s="4"/>
      <x:c r="AE102" s="4"/>
    </x:row>
    <x:row r="103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  <x:c r="AA103" s="4"/>
      <x:c r="AB103" s="4"/>
      <x:c r="AC103" s="4"/>
      <x:c r="AD103" s="4"/>
      <x:c r="AE103" s="4"/>
    </x:row>
    <x:row r="104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  <x:c r="AA104" s="4"/>
      <x:c r="AB104" s="4"/>
      <x:c r="AC104" s="4"/>
      <x:c r="AD104" s="4"/>
      <x:c r="AE104" s="4"/>
    </x:row>
    <x:row r="105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  <x:c r="AA105" s="4"/>
      <x:c r="AB105" s="4"/>
      <x:c r="AC105" s="4"/>
      <x:c r="AD105" s="4"/>
      <x:c r="AE105" s="4"/>
    </x:row>
    <x:row r="106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  <x:c r="AA106" s="4"/>
      <x:c r="AB106" s="4"/>
      <x:c r="AC106" s="4"/>
      <x:c r="AD106" s="4"/>
      <x:c r="AE106" s="4"/>
    </x:row>
    <x:row r="107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  <x:c r="AA107" s="4"/>
      <x:c r="AB107" s="4"/>
      <x:c r="AC107" s="4"/>
      <x:c r="AD107" s="4"/>
      <x:c r="AE107" s="4"/>
    </x:row>
    <x:row r="108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  <x:c r="AA108" s="4"/>
      <x:c r="AB108" s="4"/>
      <x:c r="AC108" s="4"/>
      <x:c r="AD108" s="4"/>
      <x:c r="AE108" s="4"/>
    </x:row>
    <x:row r="109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  <x:c r="AA109" s="4"/>
      <x:c r="AB109" s="4"/>
      <x:c r="AC109" s="4"/>
      <x:c r="AD109" s="4"/>
      <x:c r="AE109" s="4"/>
    </x:row>
    <x:row r="110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  <x:c r="AA110" s="4"/>
      <x:c r="AB110" s="4"/>
      <x:c r="AC110" s="4"/>
      <x:c r="AD110" s="4"/>
      <x:c r="AE110" s="4"/>
    </x:row>
    <x:row r="11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  <x:c r="AA111" s="4"/>
      <x:c r="AB111" s="4"/>
      <x:c r="AC111" s="4"/>
      <x:c r="AD111" s="4"/>
      <x:c r="AE111" s="4"/>
    </x:row>
    <x:row r="112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  <x:c r="AA112" s="4"/>
      <x:c r="AB112" s="4"/>
      <x:c r="AC112" s="4"/>
      <x:c r="AD112" s="4"/>
      <x:c r="AE112" s="4"/>
    </x:row>
    <x:row r="113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  <x:c r="AA113" s="4"/>
      <x:c r="AB113" s="4"/>
      <x:c r="AC113" s="4"/>
      <x:c r="AD113" s="4"/>
      <x:c r="AE113" s="4"/>
    </x:row>
    <x:row r="114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  <x:c r="AA114" s="4"/>
      <x:c r="AB114" s="4"/>
      <x:c r="AC114" s="4"/>
      <x:c r="AD114" s="4"/>
      <x:c r="AE114" s="4"/>
    </x:row>
    <x:row r="115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  <x:c r="AA115" s="4"/>
      <x:c r="AB115" s="4"/>
      <x:c r="AC115" s="4"/>
      <x:c r="AD115" s="4"/>
      <x:c r="AE115" s="4"/>
    </x:row>
    <x:row r="116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  <x:c r="AA116" s="4"/>
      <x:c r="AB116" s="4"/>
      <x:c r="AC116" s="4"/>
      <x:c r="AD116" s="4"/>
      <x:c r="AE116" s="4"/>
    </x:row>
    <x:row r="117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  <x:c r="AA117" s="4"/>
      <x:c r="AB117" s="4"/>
      <x:c r="AC117" s="4"/>
      <x:c r="AD117" s="4"/>
      <x:c r="AE117" s="4"/>
    </x:row>
    <x:row r="118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  <x:c r="AA118" s="4"/>
      <x:c r="AB118" s="4"/>
      <x:c r="AC118" s="4"/>
      <x:c r="AD118" s="4"/>
      <x:c r="AE118" s="4"/>
    </x:row>
    <x:row r="119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  <x:c r="AA119" s="4"/>
      <x:c r="AB119" s="4"/>
      <x:c r="AC119" s="4"/>
      <x:c r="AD119" s="4"/>
      <x:c r="AE119" s="4"/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  <x:c r="AA120" s="4"/>
      <x:c r="AB120" s="4"/>
      <x:c r="AC120" s="4"/>
      <x:c r="AD120" s="4"/>
      <x:c r="AE120" s="4"/>
    </x:row>
    <x:row r="12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  <x:c r="AA121" s="4"/>
      <x:c r="AB121" s="4"/>
      <x:c r="AC121" s="4"/>
      <x:c r="AD121" s="4"/>
      <x:c r="AE121" s="4"/>
    </x:row>
    <x:row r="122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  <x:c r="AA122" s="4"/>
      <x:c r="AB122" s="4"/>
      <x:c r="AC122" s="4"/>
      <x:c r="AD122" s="4"/>
      <x:c r="AE122" s="4"/>
    </x:row>
    <x:row r="123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  <x:c r="AA123" s="4"/>
      <x:c r="AB123" s="4"/>
      <x:c r="AC123" s="4"/>
      <x:c r="AD123" s="4"/>
      <x:c r="AE123" s="4"/>
    </x:row>
    <x:row r="124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  <x:c r="AA124" s="4"/>
      <x:c r="AB124" s="4"/>
      <x:c r="AC124" s="4"/>
      <x:c r="AD124" s="4"/>
      <x:c r="AE124" s="4"/>
    </x:row>
    <x:row r="125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  <x:c r="AA125" s="4"/>
      <x:c r="AB125" s="4"/>
      <x:c r="AC125" s="4"/>
      <x:c r="AD125" s="4"/>
      <x:c r="AE125" s="4"/>
    </x:row>
    <x:row r="126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  <x:c r="AA126" s="4"/>
      <x:c r="AB126" s="4"/>
      <x:c r="AC126" s="4"/>
      <x:c r="AD126" s="4"/>
      <x:c r="AE126" s="4"/>
    </x:row>
    <x:row r="127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  <x:c r="AA127" s="4"/>
      <x:c r="AB127" s="4"/>
      <x:c r="AC127" s="4"/>
      <x:c r="AD127" s="4"/>
      <x:c r="AE127" s="4"/>
    </x:row>
    <x:row r="128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  <x:c r="AA128" s="4"/>
      <x:c r="AB128" s="4"/>
      <x:c r="AC128" s="4"/>
      <x:c r="AD128" s="4"/>
      <x:c r="AE128" s="4"/>
    </x:row>
    <x:row r="129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  <x:c r="AA129" s="4"/>
      <x:c r="AB129" s="4"/>
      <x:c r="AC129" s="4"/>
      <x:c r="AD129" s="4"/>
      <x:c r="AE129" s="4"/>
    </x:row>
    <x:row r="130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  <x:c r="AA130" s="4"/>
      <x:c r="AB130" s="4"/>
      <x:c r="AC130" s="4"/>
      <x:c r="AD130" s="4"/>
      <x:c r="AE130" s="4"/>
    </x:row>
    <x:row r="13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  <x:c r="AA131" s="4"/>
      <x:c r="AB131" s="4"/>
      <x:c r="AC131" s="4"/>
      <x:c r="AD131" s="4"/>
      <x:c r="AE131" s="4"/>
    </x:row>
    <x:row r="132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  <x:c r="AA132" s="4"/>
      <x:c r="AB132" s="4"/>
      <x:c r="AC132" s="4"/>
      <x:c r="AD132" s="4"/>
      <x:c r="AE132" s="4"/>
    </x:row>
    <x:row r="133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  <x:c r="AA133" s="4"/>
      <x:c r="AB133" s="4"/>
      <x:c r="AC133" s="4"/>
      <x:c r="AD133" s="4"/>
      <x:c r="AE133" s="4"/>
    </x:row>
    <x:row r="134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  <x:c r="AA134" s="4"/>
      <x:c r="AB134" s="4"/>
      <x:c r="AC134" s="4"/>
      <x:c r="AD134" s="4"/>
      <x:c r="AE134" s="4"/>
    </x:row>
    <x:row r="135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  <x:c r="AA135" s="4"/>
      <x:c r="AB135" s="4"/>
      <x:c r="AC135" s="4"/>
      <x:c r="AD135" s="4"/>
      <x:c r="AE135" s="4"/>
    </x:row>
    <x:row r="136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  <x:c r="AA136" s="4"/>
      <x:c r="AB136" s="4"/>
      <x:c r="AC136" s="4"/>
      <x:c r="AD136" s="4"/>
      <x:c r="AE136" s="4"/>
    </x:row>
    <x:row r="137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  <x:c r="AA137" s="4"/>
      <x:c r="AB137" s="4"/>
      <x:c r="AC137" s="4"/>
      <x:c r="AD137" s="4"/>
      <x:c r="AE137" s="4"/>
    </x:row>
    <x:row r="138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  <x:c r="AA138" s="4"/>
      <x:c r="AB138" s="4"/>
      <x:c r="AC138" s="4"/>
      <x:c r="AD138" s="4"/>
      <x:c r="AE138" s="4"/>
    </x:row>
    <x:row r="139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  <x:c r="AA139" s="4"/>
      <x:c r="AB139" s="4"/>
      <x:c r="AC139" s="4"/>
      <x:c r="AD139" s="4"/>
      <x:c r="AE139" s="4"/>
    </x:row>
    <x:row r="140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  <x:c r="AA140" s="4"/>
      <x:c r="AB140" s="4"/>
      <x:c r="AC140" s="4"/>
      <x:c r="AD140" s="4"/>
      <x:c r="AE140" s="4"/>
    </x:row>
    <x:row r="14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  <x:c r="AA141" s="4"/>
      <x:c r="AB141" s="4"/>
      <x:c r="AC141" s="4"/>
      <x:c r="AD141" s="4"/>
      <x:c r="AE141" s="4"/>
    </x:row>
    <x:row r="142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  <x:c r="AA142" s="4"/>
      <x:c r="AB142" s="4"/>
      <x:c r="AC142" s="4"/>
      <x:c r="AD142" s="4"/>
      <x:c r="AE142" s="4"/>
    </x:row>
    <x:row r="143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  <x:c r="AA143" s="4"/>
      <x:c r="AB143" s="4"/>
      <x:c r="AC143" s="4"/>
      <x:c r="AD143" s="4"/>
      <x:c r="AE143" s="4"/>
    </x:row>
    <x:row r="144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  <x:c r="AA144" s="4"/>
      <x:c r="AB144" s="4"/>
      <x:c r="AC144" s="4"/>
      <x:c r="AD144" s="4"/>
      <x:c r="AE144" s="4"/>
    </x:row>
    <x:row r="145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  <x:c r="AA145" s="4"/>
      <x:c r="AB145" s="4"/>
      <x:c r="AC145" s="4"/>
      <x:c r="AD145" s="4"/>
      <x:c r="AE145" s="4"/>
    </x:row>
    <x:row r="146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  <x:c r="AA146" s="4"/>
      <x:c r="AB146" s="4"/>
      <x:c r="AC146" s="4"/>
      <x:c r="AD146" s="4"/>
      <x:c r="AE146" s="4"/>
    </x:row>
    <x:row r="147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  <x:c r="AA147" s="4"/>
      <x:c r="AB147" s="4"/>
      <x:c r="AC147" s="4"/>
      <x:c r="AD147" s="4"/>
      <x:c r="AE147" s="4"/>
    </x:row>
    <x:row r="148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  <x:c r="AA148" s="4"/>
      <x:c r="AB148" s="4"/>
      <x:c r="AC148" s="4"/>
      <x:c r="AD148" s="4"/>
      <x:c r="AE148" s="4"/>
    </x:row>
    <x:row r="149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  <x:c r="AA149" s="4"/>
      <x:c r="AB149" s="4"/>
      <x:c r="AC149" s="4"/>
      <x:c r="AD149" s="4"/>
      <x:c r="AE149" s="4"/>
    </x:row>
    <x:row r="150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  <x:c r="AA150" s="4"/>
      <x:c r="AB150" s="4"/>
      <x:c r="AC150" s="4"/>
      <x:c r="AD150" s="4"/>
      <x:c r="AE150" s="4"/>
    </x:row>
    <x:row r="15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  <x:c r="AA151" s="4"/>
      <x:c r="AB151" s="4"/>
      <x:c r="AC151" s="4"/>
      <x:c r="AD151" s="4"/>
      <x:c r="AE151" s="4"/>
    </x:row>
    <x:row r="152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  <x:c r="AA152" s="4"/>
      <x:c r="AB152" s="4"/>
      <x:c r="AC152" s="4"/>
      <x:c r="AD152" s="4"/>
      <x:c r="AE152" s="4"/>
    </x:row>
    <x:row r="153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  <x:c r="AA153" s="4"/>
      <x:c r="AB153" s="4"/>
      <x:c r="AC153" s="4"/>
      <x:c r="AD153" s="4"/>
      <x:c r="AE153" s="4"/>
    </x:row>
    <x:row r="154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  <x:c r="AA154" s="4"/>
      <x:c r="AB154" s="4"/>
      <x:c r="AC154" s="4"/>
      <x:c r="AD154" s="4"/>
      <x:c r="AE154" s="4"/>
    </x:row>
    <x:row r="155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  <x:c r="AA155" s="4"/>
      <x:c r="AB155" s="4"/>
      <x:c r="AC155" s="4"/>
      <x:c r="AD155" s="4"/>
      <x:c r="AE155" s="4"/>
    </x:row>
    <x:row r="156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  <x:c r="AA156" s="4"/>
      <x:c r="AB156" s="4"/>
      <x:c r="AC156" s="4"/>
      <x:c r="AD156" s="4"/>
      <x:c r="AE156" s="4"/>
    </x:row>
    <x:row r="157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  <x:c r="AA157" s="4"/>
      <x:c r="AB157" s="4"/>
      <x:c r="AC157" s="4"/>
      <x:c r="AD157" s="4"/>
      <x:c r="AE157" s="4"/>
    </x:row>
    <x:row r="158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  <x:c r="AA158" s="4"/>
      <x:c r="AB158" s="4"/>
      <x:c r="AC158" s="4"/>
      <x:c r="AD158" s="4"/>
      <x:c r="AE158" s="4"/>
    </x:row>
    <x:row r="159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  <x:c r="AA159" s="4"/>
      <x:c r="AB159" s="4"/>
      <x:c r="AC159" s="4"/>
      <x:c r="AD159" s="4"/>
      <x:c r="AE159" s="4"/>
    </x:row>
    <x:row r="160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  <x:c r="AA160" s="4"/>
      <x:c r="AB160" s="4"/>
      <x:c r="AC160" s="4"/>
      <x:c r="AD160" s="4"/>
      <x:c r="AE160" s="4"/>
    </x:row>
    <x:row r="16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  <x:c r="AA161" s="4"/>
      <x:c r="AB161" s="4"/>
      <x:c r="AC161" s="4"/>
      <x:c r="AD161" s="4"/>
      <x:c r="AE161" s="4"/>
    </x:row>
    <x:row r="162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  <x:c r="AA162" s="4"/>
      <x:c r="AB162" s="4"/>
      <x:c r="AC162" s="4"/>
      <x:c r="AD162" s="4"/>
      <x:c r="AE162" s="4"/>
    </x:row>
    <x:row r="163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  <x:c r="AA163" s="4"/>
      <x:c r="AB163" s="4"/>
      <x:c r="AC163" s="4"/>
      <x:c r="AD163" s="4"/>
      <x:c r="AE163" s="4"/>
    </x:row>
    <x:row r="164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  <x:c r="AA164" s="4"/>
      <x:c r="AB164" s="4"/>
      <x:c r="AC164" s="4"/>
      <x:c r="AD164" s="4"/>
      <x:c r="AE164" s="4"/>
    </x:row>
    <x:row r="165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  <x:c r="AA165" s="4"/>
      <x:c r="AB165" s="4"/>
      <x:c r="AC165" s="4"/>
      <x:c r="AD165" s="4"/>
      <x:c r="AE165" s="4"/>
    </x:row>
    <x:row r="166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  <x:c r="AA166" s="4"/>
      <x:c r="AB166" s="4"/>
      <x:c r="AC166" s="4"/>
      <x:c r="AD166" s="4"/>
      <x:c r="AE166" s="4"/>
    </x:row>
    <x:row r="167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  <x:c r="AA167" s="4"/>
      <x:c r="AB167" s="4"/>
      <x:c r="AC167" s="4"/>
      <x:c r="AD167" s="4"/>
      <x:c r="AE167" s="4"/>
    </x:row>
    <x:row r="168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  <x:c r="AA168" s="4"/>
      <x:c r="AB168" s="4"/>
      <x:c r="AC168" s="4"/>
      <x:c r="AD168" s="4"/>
      <x:c r="AE168" s="4"/>
    </x:row>
    <x:row r="169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  <x:c r="AA169" s="4"/>
      <x:c r="AB169" s="4"/>
      <x:c r="AC169" s="4"/>
      <x:c r="AD169" s="4"/>
      <x:c r="AE169" s="4"/>
    </x:row>
    <x:row r="170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  <x:c r="AA170" s="4"/>
      <x:c r="AB170" s="4"/>
      <x:c r="AC170" s="4"/>
      <x:c r="AD170" s="4"/>
      <x:c r="AE170" s="4"/>
    </x:row>
    <x:row r="17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  <x:c r="AA171" s="4"/>
      <x:c r="AB171" s="4"/>
      <x:c r="AC171" s="4"/>
      <x:c r="AD171" s="4"/>
      <x:c r="AE171" s="4"/>
    </x:row>
    <x:row r="172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  <x:c r="AA172" s="4"/>
      <x:c r="AB172" s="4"/>
      <x:c r="AC172" s="4"/>
      <x:c r="AD172" s="4"/>
      <x:c r="AE172" s="4"/>
    </x:row>
    <x:row r="173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  <x:c r="AA173" s="4"/>
      <x:c r="AB173" s="4"/>
      <x:c r="AC173" s="4"/>
      <x:c r="AD173" s="4"/>
      <x:c r="AE173" s="4"/>
    </x:row>
    <x:row r="174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  <x:c r="AA174" s="4"/>
      <x:c r="AB174" s="4"/>
      <x:c r="AC174" s="4"/>
      <x:c r="AD174" s="4"/>
      <x:c r="AE174" s="4"/>
    </x:row>
    <x:row r="175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  <x:c r="AA175" s="4"/>
      <x:c r="AB175" s="4"/>
      <x:c r="AC175" s="4"/>
      <x:c r="AD175" s="4"/>
      <x:c r="AE175" s="4"/>
    </x:row>
    <x:row r="176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  <x:c r="AA176" s="4"/>
      <x:c r="AB176" s="4"/>
      <x:c r="AC176" s="4"/>
      <x:c r="AD176" s="4"/>
      <x:c r="AE176" s="4"/>
    </x:row>
    <x:row r="177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  <x:c r="AA177" s="4"/>
      <x:c r="AB177" s="4"/>
      <x:c r="AC177" s="4"/>
      <x:c r="AD177" s="4"/>
      <x:c r="AE177" s="4"/>
    </x:row>
    <x:row r="178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  <x:c r="AA178" s="4"/>
      <x:c r="AB178" s="4"/>
      <x:c r="AC178" s="4"/>
      <x:c r="AD178" s="4"/>
      <x:c r="AE178" s="4"/>
    </x:row>
    <x:row r="179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  <x:c r="AA179" s="4"/>
      <x:c r="AB179" s="4"/>
      <x:c r="AC179" s="4"/>
      <x:c r="AD179" s="4"/>
      <x:c r="AE179" s="4"/>
    </x:row>
    <x:row r="180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  <x:c r="AA180" s="4"/>
      <x:c r="AB180" s="4"/>
      <x:c r="AC180" s="4"/>
      <x:c r="AD180" s="4"/>
      <x:c r="AE180" s="4"/>
    </x:row>
    <x:row r="18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  <x:c r="AA181" s="4"/>
      <x:c r="AB181" s="4"/>
      <x:c r="AC181" s="4"/>
      <x:c r="AD181" s="4"/>
      <x:c r="AE181" s="4"/>
    </x:row>
    <x:row r="182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  <x:c r="AA182" s="4"/>
      <x:c r="AB182" s="4"/>
      <x:c r="AC182" s="4"/>
      <x:c r="AD182" s="4"/>
      <x:c r="AE182" s="4"/>
    </x:row>
    <x:row r="183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  <x:c r="AA183" s="4"/>
      <x:c r="AB183" s="4"/>
      <x:c r="AC183" s="4"/>
      <x:c r="AD183" s="4"/>
      <x:c r="AE183" s="4"/>
    </x:row>
    <x:row r="184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  <x:c r="AA184" s="4"/>
      <x:c r="AB184" s="4"/>
      <x:c r="AC184" s="4"/>
      <x:c r="AD184" s="4"/>
      <x:c r="AE184" s="4"/>
    </x:row>
    <x:row r="185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  <x:c r="AA185" s="4"/>
      <x:c r="AB185" s="4"/>
      <x:c r="AC185" s="4"/>
      <x:c r="AD185" s="4"/>
      <x:c r="AE185" s="4"/>
    </x:row>
    <x:row r="186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  <x:c r="AA186" s="4"/>
      <x:c r="AB186" s="4"/>
      <x:c r="AC186" s="4"/>
      <x:c r="AD186" s="4"/>
      <x:c r="AE186" s="4"/>
    </x:row>
    <x:row r="187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  <x:c r="AA187" s="4"/>
      <x:c r="AB187" s="4"/>
      <x:c r="AC187" s="4"/>
      <x:c r="AD187" s="4"/>
      <x:c r="AE187" s="4"/>
    </x:row>
    <x:row r="188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  <x:c r="AA188" s="4"/>
      <x:c r="AB188" s="4"/>
      <x:c r="AC188" s="4"/>
      <x:c r="AD188" s="4"/>
      <x:c r="AE188" s="4"/>
    </x:row>
    <x:row r="189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  <x:c r="AA189" s="4"/>
      <x:c r="AB189" s="4"/>
      <x:c r="AC189" s="4"/>
      <x:c r="AD189" s="4"/>
      <x:c r="AE189" s="4"/>
    </x:row>
    <x:row r="190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  <x:c r="AA190" s="4"/>
      <x:c r="AB190" s="4"/>
      <x:c r="AC190" s="4"/>
      <x:c r="AD190" s="4"/>
      <x:c r="AE190" s="4"/>
    </x:row>
    <x:row r="19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  <x:c r="AA191" s="4"/>
      <x:c r="AB191" s="4"/>
      <x:c r="AC191" s="4"/>
      <x:c r="AD191" s="4"/>
      <x:c r="AE191" s="4"/>
    </x:row>
    <x:row r="192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  <x:c r="AA192" s="4"/>
      <x:c r="AB192" s="4"/>
      <x:c r="AC192" s="4"/>
      <x:c r="AD192" s="4"/>
      <x:c r="AE192" s="4"/>
    </x:row>
    <x:row r="193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  <x:c r="AA193" s="4"/>
      <x:c r="AB193" s="4"/>
      <x:c r="AC193" s="4"/>
      <x:c r="AD193" s="4"/>
      <x:c r="AE193" s="4"/>
    </x:row>
    <x:row r="194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  <x:c r="AA194" s="4"/>
      <x:c r="AB194" s="4"/>
      <x:c r="AC194" s="4"/>
      <x:c r="AD194" s="4"/>
      <x:c r="AE194" s="4"/>
    </x:row>
    <x:row r="195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  <x:c r="AA195" s="4"/>
      <x:c r="AB195" s="4"/>
      <x:c r="AC195" s="4"/>
      <x:c r="AD195" s="4"/>
      <x:c r="AE195" s="4"/>
    </x:row>
    <x:row r="196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  <x:c r="AA196" s="4"/>
      <x:c r="AB196" s="4"/>
      <x:c r="AC196" s="4"/>
      <x:c r="AD196" s="4"/>
      <x:c r="AE196" s="4"/>
    </x:row>
    <x:row r="197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  <x:c r="AA197" s="4"/>
      <x:c r="AB197" s="4"/>
      <x:c r="AC197" s="4"/>
      <x:c r="AD197" s="4"/>
      <x:c r="AE197" s="4"/>
    </x:row>
    <x:row r="198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  <x:c r="AA198" s="4"/>
      <x:c r="AB198" s="4"/>
      <x:c r="AC198" s="4"/>
      <x:c r="AD198" s="4"/>
      <x:c r="AE198" s="4"/>
    </x:row>
    <x:row r="199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  <x:c r="AA199" s="4"/>
      <x:c r="AB199" s="4"/>
      <x:c r="AC199" s="4"/>
      <x:c r="AD199" s="4"/>
      <x:c r="AE199" s="4"/>
    </x:row>
    <x:row r="200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  <x:c r="AA200" s="4"/>
      <x:c r="AB200" s="4"/>
      <x:c r="AC200" s="4"/>
      <x:c r="AD200" s="4"/>
      <x:c r="AE200" s="4"/>
    </x:row>
  </x:sheetData>
  <x:pageMargins left="0.7" right="0.7" top="0.75" bottom="0.75" header="0.3" footer="0.3"/>
  <x:tableParts count="1">
    <x:tablePart xmlns:r="http://schemas.openxmlformats.org/officeDocument/2006/relationships" r:id="Rc0e259918ce24ae2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90" hidden="0" customWidth="1"/>
    <x:col min="3" max="3" width="18" hidden="0" customWidth="1"/>
    <x:col min="4" max="4" width="26" hidden="0" customWidth="1"/>
    <x:col min="5" max="5" width="18" hidden="0" customWidth="1"/>
    <x:col min="6" max="6" width="28" hidden="0" customWidth="1"/>
    <x:col min="7" max="7" width="9" hidden="0" customWidth="1"/>
    <x:col min="8" max="8" width="9" hidden="0" customWidth="1"/>
    <x:col min="9" max="9" width="14" hidden="0" customWidth="1"/>
    <x:col min="10" max="10" width="22" hidden="0" customWidth="1"/>
    <x:col min="11" max="11" width="14" hidden="0" customWidth="1"/>
    <x:col min="12" max="12" width="16" hidden="0" customWidth="1"/>
    <x:col min="13" max="13" width="13" hidden="0" customWidth="1"/>
    <x:col min="14" max="14" width="16" hidden="0" customWidth="1"/>
    <x:col min="15" max="15" width="12" hidden="0" customWidth="1"/>
    <x:col min="16" max="16" width="16" hidden="0" customWidth="1"/>
    <x:col min="17" max="17" width="12" hidden="0" customWidth="1"/>
    <x:col min="18" max="18" width="24" hidden="0" customWidth="1"/>
    <x:col min="19" max="19" width="14" hidden="0" customWidth="1"/>
    <x:col min="20" max="20" width="16" hidden="0" customWidth="1"/>
    <x:col min="21" max="21" width="42" hidden="0" customWidth="1"/>
    <x:col min="22" max="22" width="44" hidden="0" customWidth="1"/>
    <x:col min="23" max="23" width="11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4" hidden="0" customWidth="1"/>
    <x:col min="30" max="30" width="16" hidden="0" customWidth="1"/>
    <x:col min="31" max="31" width="14" hidden="0" customWidth="1"/>
  </x:cols>
  <x:sheetData>
    <x:row r="1" ht="28" customHeight="1">
      <x:c r="A1" s="109" t="str">
        <x:v>Source / Assumption</x:v>
      </x:c>
      <x:c r="B1" s="109" t="str">
        <x:v>Details</x:v>
      </x:c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  <x:c r="AA1" s="9"/>
      <x:c r="AB1" s="9"/>
      <x:c r="AC1" s="9"/>
      <x:c r="AD1" s="9"/>
      <x:c r="AE1" s="9"/>
    </x:row>
    <x:row r="2">
      <x:c r="A2" s="4" t="str">
        <x:v>TPWD Drawn Hunt Catalog 2026-2027</x:v>
      </x:c>
      <x:c r="B2" s="4" t="str">
        <x:v>https://tpwd.texas.gov/huntwild/hunt/public/public_hunt_drawing/hunt-categories.phtml</x:v>
      </x:c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</x:row>
    <x:row r="3">
      <x:c r="A3" s="4" t="str">
        <x:v>V4 statewide deer scope</x:v>
      </x:c>
      <x:c r="B3" s="4" t="str">
        <x:v>All currently listed 2026-2027 TPWD deer category/area combinations were added from 24 active deer category pages. Empty categories were not added.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  <x:c r="AD3" s="4"/>
      <x:c r="AE3" s="4"/>
    </x:row>
    <x:row r="4">
      <x:c r="A4" s="4" t="str">
        <x:v>Draw odds caution</x:v>
      </x:c>
      <x:c r="B4" s="4" t="str">
        <x:v>Blank draw odds mean property-level applicants and permit counts have not yet been entered. Do not interpret a blank as good or poor odds.</x:v>
      </x:c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  <x:c r="AA4" s="4"/>
      <x:c r="AB4" s="4"/>
      <x:c r="AC4" s="4"/>
      <x:c r="AD4" s="4"/>
      <x:c r="AE4" s="4"/>
    </x:row>
    <x:row r="5">
      <x:c r="A5" s="4" t="str">
        <x:v>Distance caution</x:v>
      </x:c>
      <x:c r="B5" s="4" t="str">
        <x:v>Mileage is a regional planning estimate from Amarillo, not turn-by-turn road mileage. Verify before travel.</x:v>
      </x:c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  <x:c r="AA5" s="4"/>
      <x:c r="AB5" s="4"/>
      <x:c r="AC5" s="4"/>
      <x:c r="AD5" s="4"/>
      <x:c r="AE5" s="4"/>
    </x:row>
    <x:row r="6">
      <x:c r="A6" s="4" t="str">
        <x:v>Permit fee caution</x:v>
      </x:c>
      <x:c r="B6" s="4" t="str">
        <x:v>Special permit and refuge permit fees vary by property. Blank means verify on the TPWD property/category page before budgeting.</x:v>
      </x:c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  <x:c r="AA6" s="4"/>
      <x:c r="AB6" s="4"/>
      <x:c r="AC6" s="4"/>
      <x:c r="AD6" s="4"/>
      <x:c r="AE6" s="4"/>
    </x:row>
    <x:row r="7">
      <x:c r="A7" s="4" t="str">
        <x:v>Gun Deer - Antlerless/Spike</x:v>
      </x:c>
      <x:c r="B7" s="4" t="str">
        <x:v>https://tpwd.texas.gov/huntwild/hunt/public/public_hunt_drawing/hunt-category-details.phtml?OCat=GDA</x:v>
      </x:c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  <x:c r="AB7" s="4"/>
      <x:c r="AC7" s="4"/>
      <x:c r="AD7" s="4"/>
      <x:c r="AE7" s="4"/>
    </x:row>
    <x:row r="8">
      <x:c r="A8" s="4" t="str">
        <x:v>Gun Deer - Either Sex</x:v>
      </x:c>
      <x:c r="B8" s="4" t="str">
        <x:v>https://tpwd.texas.gov/huntwild/hunt/public/public_hunt_drawing/hunt-category-details.phtml?OCat=GDE</x:v>
      </x:c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  <x:c r="AA8" s="4"/>
      <x:c r="AB8" s="4"/>
      <x:c r="AC8" s="4"/>
      <x:c r="AD8" s="4"/>
      <x:c r="AE8" s="4"/>
    </x:row>
    <x:row r="9">
      <x:c r="A9" s="4" t="str">
        <x:v>Gun Deer - Management</x:v>
      </x:c>
      <x:c r="B9" s="4" t="str">
        <x:v>https://tpwd.texas.gov/huntwild/hunt/public/public_hunt_drawing/hunt-category-details.phtml?OCat=GDM</x:v>
      </x:c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  <x:c r="AA9" s="4"/>
      <x:c r="AB9" s="4"/>
      <x:c r="AC9" s="4"/>
      <x:c r="AD9" s="4"/>
      <x:c r="AE9" s="4"/>
    </x:row>
    <x:row r="10">
      <x:c r="A10" s="4" t="str">
        <x:v>Gun Mule Deer</x:v>
      </x:c>
      <x:c r="B10" s="4" t="str">
        <x:v>https://tpwd.texas.gov/huntwild/hunt/public/public_hunt_drawing/hunt-category-details.phtml?OCat=MDG</x:v>
      </x:c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  <x:c r="AA10" s="4"/>
      <x:c r="AB10" s="4"/>
      <x:c r="AC10" s="4"/>
      <x:c r="AD10" s="4"/>
      <x:c r="AE10" s="4"/>
    </x:row>
    <x:row r="11">
      <x:c r="A11" s="106" t="str">
        <x:v>Archery Deer</x:v>
      </x:c>
      <x:c r="B11" s="4" t="str">
        <x:v>https://tpwd.texas.gov/huntwild/hunt/public/public_hunt_drawing/hunt-category-details.phtml?OCat=ADE</x:v>
      </x:c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  <x:c r="AA11" s="4"/>
      <x:c r="AB11" s="4"/>
      <x:c r="AC11" s="4"/>
      <x:c r="AD11" s="4"/>
      <x:c r="AE11" s="4"/>
    </x:row>
    <x:row r="12">
      <x:c r="A12" s="106" t="str">
        <x:v>Archery Mule Deer</x:v>
      </x:c>
      <x:c r="B12" s="4" t="str">
        <x:v>https://tpwd.texas.gov/huntwild/hunt/public/public_hunt_drawing/hunt-category-details.phtml?OCat=AMD</x:v>
      </x:c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  <x:c r="AA12" s="4"/>
      <x:c r="AB12" s="4"/>
      <x:c r="AC12" s="4"/>
      <x:c r="AD12" s="4"/>
      <x:c r="AE12" s="4"/>
    </x:row>
    <x:row r="13">
      <x:c r="A13" s="106" t="str">
        <x:v>Private Lands - Antlerless/Spike</x:v>
      </x:c>
      <x:c r="B13" s="4" t="str">
        <x:v>https://tpwd.texas.gov/huntwild/hunt/public/public_hunt_drawing/hunt-category-details.phtml?OCat=PLA</x:v>
      </x:c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  <x:c r="AA13" s="4"/>
      <x:c r="AB13" s="4"/>
      <x:c r="AC13" s="4"/>
      <x:c r="AD13" s="4"/>
      <x:c r="AE13" s="4"/>
    </x:row>
    <x:row r="14">
      <x:c r="A14" s="106" t="str">
        <x:v>Private Lands - Either Sex</x:v>
      </x:c>
      <x:c r="B14" s="4" t="str">
        <x:v>https://tpwd.texas.gov/huntwild/hunt/public/public_hunt_drawing/hunt-category-details.phtml?OCat=PLE</x:v>
      </x:c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  <x:c r="AA14" s="4"/>
      <x:c r="AB14" s="4"/>
      <x:c r="AC14" s="4"/>
      <x:c r="AD14" s="4"/>
      <x:c r="AE14" s="4"/>
    </x:row>
    <x:row r="15">
      <x:c r="A15" s="106" t="str">
        <x:v>Youth Gun Deer - Antlerless/Spike</x:v>
      </x:c>
      <x:c r="B15" s="4" t="str">
        <x:v>https://tpwd.texas.gov/huntwild/hunt/public/public_hunt_drawing/hunt-category-details.phtml?OCat=YDA</x:v>
      </x:c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  <x:c r="AA15" s="4"/>
      <x:c r="AB15" s="4"/>
      <x:c r="AC15" s="4"/>
      <x:c r="AD15" s="4"/>
      <x:c r="AE15" s="4"/>
    </x:row>
    <x:row r="16">
      <x:c r="A16" s="4" t="str">
        <x:v>Youth Gun Deer - Either Sex</x:v>
      </x:c>
      <x:c r="B16" s="4" t="str">
        <x:v>https://tpwd.texas.gov/huntwild/hunt/public/public_hunt_drawing/hunt-category-details.phtml?OCat=YDE</x:v>
      </x:c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  <x:c r="AA16" s="4"/>
      <x:c r="AB16" s="4"/>
      <x:c r="AC16" s="4"/>
      <x:c r="AD16" s="4"/>
      <x:c r="AE16" s="4"/>
    </x:row>
    <x:row r="17">
      <x:c r="A17" s="4" t="str">
        <x:v>Youth Gun Deer - Management</x:v>
      </x:c>
      <x:c r="B17" s="4" t="str">
        <x:v>https://tpwd.texas.gov/huntwild/hunt/public/public_hunt_drawing/hunt-category-details.phtml?OCat=YDM</x:v>
      </x:c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/>
      <x:c r="AB17" s="4"/>
      <x:c r="AC17" s="4"/>
      <x:c r="AD17" s="4"/>
      <x:c r="AE17" s="4"/>
    </x:row>
    <x:row r="18">
      <x:c r="A18" s="4" t="str">
        <x:v>E-Postcard Deer</x:v>
      </x:c>
      <x:c r="B18" s="4" t="str">
        <x:v>https://tpwd.texas.gov/huntwild/hunt/public/public_hunt_drawing/hunt-category-details.phtml?OCat=EDR</x:v>
      </x:c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  <x:c r="AA18" s="4"/>
      <x:c r="AB18" s="4"/>
      <x:c r="AC18" s="4"/>
      <x:c r="AD18" s="4"/>
      <x:c r="AE18" s="4"/>
    </x:row>
    <x:row r="19">
      <x:c r="A19" s="4" t="str">
        <x:v>E-Postcard Archery Deer</x:v>
      </x:c>
      <x:c r="B19" s="4" t="str">
        <x:v>https://tpwd.texas.gov/huntwild/hunt/public/public_hunt_drawing/hunt-category-details.phtml?OCat=EAD</x:v>
      </x:c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</x:row>
    <x:row r="20">
      <x:c r="A20" s="4" t="str">
        <x:v>E-Postcard Youth Archery Deer</x:v>
      </x:c>
      <x:c r="B20" s="4" t="str">
        <x:v>https://tpwd.texas.gov/huntwild/hunt/public/public_hunt_drawing/hunt-category-details.phtml?OCat=EYA</x:v>
      </x:c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  <x:c r="AA20" s="4"/>
      <x:c r="AB20" s="4"/>
      <x:c r="AC20" s="4"/>
      <x:c r="AD20" s="4"/>
      <x:c r="AE20" s="4"/>
    </x:row>
    <x:row r="21">
      <x:c r="A21" s="4" t="str">
        <x:v>E-Postcard Youth Deer</x:v>
      </x:c>
      <x:c r="B21" s="4" t="str">
        <x:v>https://tpwd.texas.gov/huntwild/hunt/public/public_hunt_drawing/hunt-category-details.phtml?OCat=EYD</x:v>
      </x:c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  <x:c r="AA21" s="4"/>
      <x:c r="AB21" s="4"/>
      <x:c r="AC21" s="4"/>
      <x:c r="AD21" s="4"/>
      <x:c r="AE21" s="4"/>
    </x:row>
    <x:row r="22">
      <x:c r="A22" s="4" t="str">
        <x:v>USFS Antlerless Deer Permit - Youth</x:v>
      </x:c>
      <x:c r="B22" s="4" t="str">
        <x:v>https://tpwd.texas.gov/huntwild/hunt/public/public_hunt_drawing/hunt-category-details.phtml?OCat=FSY</x:v>
      </x:c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  <x:c r="AA22" s="4"/>
      <x:c r="AB22" s="4"/>
      <x:c r="AC22" s="4"/>
      <x:c r="AD22" s="4"/>
      <x:c r="AE22" s="4"/>
    </x:row>
    <x:row r="23">
      <x:c r="A23" s="4" t="str">
        <x:v>USFS Antlerless Deer Permit - Adult</x:v>
      </x:c>
      <x:c r="B23" s="4" t="str">
        <x:v>https://tpwd.texas.gov/huntwild/hunt/public/public_hunt_drawing/hunt-category-details.phtml?OCat=FSD</x:v>
      </x:c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  <x:c r="AA23" s="4"/>
      <x:c r="AB23" s="4"/>
      <x:c r="AC23" s="4"/>
      <x:c r="AD23" s="4"/>
      <x:c r="AE23" s="4"/>
    </x:row>
    <x:row r="24">
      <x:c r="A24" s="4" t="str">
        <x:v>USFS Buck Deer Permit - Adult</x:v>
      </x:c>
      <x:c r="B24" s="4" t="str">
        <x:v>https://tpwd.texas.gov/huntwild/hunt/public/public_hunt_drawing/hunt-category-details.phtml?OCat=FBA</x:v>
      </x:c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  <x:c r="AA24" s="4"/>
      <x:c r="AB24" s="4"/>
      <x:c r="AC24" s="4"/>
      <x:c r="AD24" s="4"/>
      <x:c r="AE24" s="4"/>
    </x:row>
    <x:row r="25">
      <x:c r="A25" s="4" t="str">
        <x:v>USFS Buck Deer Permit - Youth</x:v>
      </x:c>
      <x:c r="B25" s="4" t="str">
        <x:v>https://tpwd.texas.gov/huntwild/hunt/public/public_hunt_drawing/hunt-category-details.phtml?OCat=FBY</x:v>
      </x:c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  <x:c r="AA25" s="4"/>
      <x:c r="AB25" s="4"/>
      <x:c r="AC25" s="4"/>
      <x:c r="AD25" s="4"/>
      <x:c r="AE25" s="4"/>
    </x:row>
    <x:row r="26">
      <x:c r="A26" s="4" t="str">
        <x:v>National Refuge General Deer</x:v>
      </x:c>
      <x:c r="B26" s="4" t="str">
        <x:v>https://tpwd.texas.gov/huntwild/hunt/public/public_hunt_drawing/hunt-category-details.phtml?OCat=NGE</x:v>
      </x:c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  <x:c r="AA26" s="4"/>
      <x:c r="AB26" s="4"/>
      <x:c r="AC26" s="4"/>
      <x:c r="AD26" s="4"/>
      <x:c r="AE26" s="4"/>
    </x:row>
    <x:row r="27">
      <x:c r="A27" s="4" t="str">
        <x:v>National Refuge Deer Antlerless/Spike</x:v>
      </x:c>
      <x:c r="B27" s="4" t="str">
        <x:v>https://tpwd.texas.gov/huntwild/hunt/public/public_hunt_drawing/hunt-category-details.phtml?OCat=NGA</x:v>
      </x:c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  <x:c r="AA27" s="4"/>
      <x:c r="AB27" s="4"/>
      <x:c r="AC27" s="4"/>
      <x:c r="AD27" s="4"/>
      <x:c r="AE27" s="4"/>
    </x:row>
    <x:row r="28">
      <x:c r="A28" s="4" t="str">
        <x:v>National Refuge Archery Deer</x:v>
      </x:c>
      <x:c r="B28" s="4" t="str">
        <x:v>https://tpwd.texas.gov/huntwild/hunt/public/public_hunt_drawing/hunt-category-details.phtml?OCat=NAD</x:v>
      </x:c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  <x:c r="AA28" s="4"/>
      <x:c r="AB28" s="4"/>
      <x:c r="AC28" s="4"/>
      <x:c r="AD28" s="4"/>
      <x:c r="AE28" s="4"/>
    </x:row>
    <x:row r="29">
      <x:c r="A29" s="4" t="str">
        <x:v>National Refuge Youth Deer</x:v>
      </x:c>
      <x:c r="B29" s="4" t="str">
        <x:v>https://tpwd.texas.gov/huntwild/hunt/public/public_hunt_drawing/hunt-category-details.phtml?OCat=NYD</x:v>
      </x:c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  <x:c r="AA29" s="4"/>
      <x:c r="AB29" s="4"/>
      <x:c r="AC29" s="4"/>
      <x:c r="AD29" s="4"/>
      <x:c r="AE29" s="4"/>
    </x:row>
    <x:row r="30">
      <x:c r="A30" s="4" t="str">
        <x:v>National Refuge Muzzleloader Deer</x:v>
      </x:c>
      <x:c r="B30" s="4" t="str">
        <x:v>https://tpwd.texas.gov/huntwild/hunt/public/public_hunt_drawing/hunt-category-details.phtml?OCat=NMD</x:v>
      </x:c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  <x:c r="AA30" s="4"/>
      <x:c r="AB30" s="4"/>
      <x:c r="AC30" s="4"/>
      <x:c r="AD30" s="4"/>
      <x:c r="AE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  <x:c r="AA31" s="4"/>
      <x:c r="AB31" s="4"/>
      <x:c r="AC31" s="4"/>
      <x:c r="AD31" s="4"/>
      <x:c r="AE31" s="4"/>
    </x:row>
    <x:row r="32">
      <x:c r="A32" s="150" t="str">
        <x:v>V5 Release</x:v>
      </x:c>
      <x:c r="B32" s="150" t="str">
        <x:v>Statewide hunt links plus Hastings preference-engine update</x:v>
      </x:c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  <x:c r="AA32" s="4"/>
      <x:c r="AB32" s="4"/>
      <x:c r="AC32" s="4"/>
      <x:c r="AD32" s="4"/>
      <x:c r="AE32" s="4"/>
    </x:row>
    <x:row r="33">
      <x:c r="A33" s="4" t="str">
        <x:v>Official Category Link</x:v>
      </x:c>
      <x:c r="B33" s="4" t="str">
        <x:v>Uses the official TPWD category URL associated with each hunt row.</x:v>
      </x:c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  <x:c r="AA33" s="4"/>
      <x:c r="AB33" s="4"/>
      <x:c r="AC33" s="4"/>
      <x:c r="AD33" s="4"/>
      <x:c r="AE33" s="4"/>
    </x:row>
    <x:row r="34">
      <x:c r="A34" s="4" t="str">
        <x:v>TPWD Area/Brochure Search</x:v>
      </x:c>
      <x:c r="B34" s="4" t="str">
        <x:v>Official TPWD site search generated from the hunt area name.</x:v>
      </x:c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  <x:c r="AA34" s="4"/>
      <x:c r="AB34" s="4"/>
      <x:c r="AC34" s="4"/>
      <x:c r="AD34" s="4"/>
      <x:c r="AE34" s="4"/>
    </x:row>
    <x:row r="35">
      <x:c r="A35" s="4" t="str">
        <x:v>TPWD Apply Portal</x:v>
      </x:c>
      <x:c r="B35" s="4" t="str">
        <x:v>https://apps.tpwd.state.tx.us/huntwild/hunt/public/public_hunt_drawing/</x:v>
      </x:c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  <x:c r="AA35" s="4"/>
      <x:c r="AB35" s="4"/>
      <x:c r="AC35" s="4"/>
      <x:c r="AD35" s="4"/>
      <x:c r="AE35" s="4"/>
    </x:row>
    <x:row r="36">
      <x:c r="A36" s="4" t="str">
        <x:v>Google Maps</x:v>
      </x:c>
      <x:c r="B36" s="4" t="str">
        <x:v>Convenience only; not a legal hunt-boundary source.</x:v>
      </x:c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  <x:c r="AA36" s="4"/>
      <x:c r="AB36" s="4"/>
      <x:c r="AC36" s="4"/>
      <x:c r="AD36" s="4"/>
      <x:c r="AE36" s="4"/>
    </x:row>
    <x:row r="37">
      <x:c r="A37" s="4" t="str">
        <x:v>Archery whitetail &gt;200 miles</x:v>
      </x:c>
      <x:c r="B37" s="4" t="str">
        <x:v>Score -1.0; adult priority C; youth priority B.</x:v>
      </x:c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  <x:c r="AA37" s="4"/>
      <x:c r="AB37" s="4"/>
      <x:c r="AC37" s="4"/>
      <x:c r="AD37" s="4"/>
      <x:c r="AE37" s="4"/>
    </x:row>
    <x:row r="38">
      <x:c r="A38" s="4" t="str">
        <x:v>Archery mule deer</x:v>
      </x:c>
      <x:c r="B38" s="4" t="str">
        <x:v>Score +1.0, minimum 4.5; priority A statewide.</x:v>
      </x:c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  <x:c r="AA39" s="4"/>
      <x:c r="AB39" s="4"/>
      <x:c r="AC39" s="4"/>
      <x:c r="AD39" s="4"/>
      <x:c r="AE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  <x:c r="AA40" s="4"/>
      <x:c r="AB40" s="4"/>
      <x:c r="AC40" s="4"/>
      <x:c r="AD40" s="4"/>
      <x:c r="AE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  <x:c r="AA41" s="4"/>
      <x:c r="AB41" s="4"/>
      <x:c r="AC41" s="4"/>
      <x:c r="AD41" s="4"/>
      <x:c r="AE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  <x:c r="AA42" s="4"/>
      <x:c r="AB42" s="4"/>
      <x:c r="AC42" s="4"/>
      <x:c r="AD42" s="4"/>
      <x:c r="AE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  <x:c r="AA43" s="4"/>
      <x:c r="AB43" s="4"/>
      <x:c r="AC43" s="4"/>
      <x:c r="AD43" s="4"/>
      <x:c r="AE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  <x:c r="AA44" s="4"/>
      <x:c r="AB44" s="4"/>
      <x:c r="AC44" s="4"/>
      <x:c r="AD44" s="4"/>
      <x:c r="AE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  <x:c r="AA45" s="4"/>
      <x:c r="AB45" s="4"/>
      <x:c r="AC45" s="4"/>
      <x:c r="AD45" s="4"/>
      <x:c r="AE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  <x:c r="AA46" s="4"/>
      <x:c r="AB46" s="4"/>
      <x:c r="AC46" s="4"/>
      <x:c r="AD46" s="4"/>
      <x:c r="AE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  <x:c r="AA47" s="4"/>
      <x:c r="AB47" s="4"/>
      <x:c r="AC47" s="4"/>
      <x:c r="AD47" s="4"/>
      <x:c r="AE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  <x:c r="AA48" s="4"/>
      <x:c r="AB48" s="4"/>
      <x:c r="AC48" s="4"/>
      <x:c r="AD48" s="4"/>
      <x:c r="AE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  <x:c r="AA49" s="4"/>
      <x:c r="AB49" s="4"/>
      <x:c r="AC49" s="4"/>
      <x:c r="AD49" s="4"/>
      <x:c r="AE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  <x:c r="AA50" s="4"/>
      <x:c r="AB50" s="4"/>
      <x:c r="AC50" s="4"/>
      <x:c r="AD50" s="4"/>
      <x:c r="AE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  <x:c r="AA51" s="4"/>
      <x:c r="AB51" s="4"/>
      <x:c r="AC51" s="4"/>
      <x:c r="AD51" s="4"/>
      <x:c r="AE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  <x:c r="AA52" s="4"/>
      <x:c r="AB52" s="4"/>
      <x:c r="AC52" s="4"/>
      <x:c r="AD52" s="4"/>
      <x:c r="AE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  <x:c r="AA53" s="4"/>
      <x:c r="AB53" s="4"/>
      <x:c r="AC53" s="4"/>
      <x:c r="AD53" s="4"/>
      <x:c r="AE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  <x:c r="AA54" s="4"/>
      <x:c r="AB54" s="4"/>
      <x:c r="AC54" s="4"/>
      <x:c r="AD54" s="4"/>
      <x:c r="AE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  <x:c r="AA55" s="4"/>
      <x:c r="AB55" s="4"/>
      <x:c r="AC55" s="4"/>
      <x:c r="AD55" s="4"/>
      <x:c r="AE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  <x:c r="AA56" s="4"/>
      <x:c r="AB56" s="4"/>
      <x:c r="AC56" s="4"/>
      <x:c r="AD56" s="4"/>
      <x:c r="AE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  <x:c r="AA58" s="4"/>
      <x:c r="AB58" s="4"/>
      <x:c r="AC58" s="4"/>
      <x:c r="AD58" s="4"/>
      <x:c r="AE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  <x:c r="AA59" s="4"/>
      <x:c r="AB59" s="4"/>
      <x:c r="AC59" s="4"/>
      <x:c r="AD59" s="4"/>
      <x:c r="AE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  <x:c r="AA60" s="4"/>
      <x:c r="AB60" s="4"/>
      <x:c r="AC60" s="4"/>
      <x:c r="AD60" s="4"/>
      <x:c r="AE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  <x:c r="AA61" s="4"/>
      <x:c r="AB61" s="4"/>
      <x:c r="AC61" s="4"/>
      <x:c r="AD61" s="4"/>
      <x:c r="AE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  <x:c r="AA62" s="4"/>
      <x:c r="AB62" s="4"/>
      <x:c r="AC62" s="4"/>
      <x:c r="AD62" s="4"/>
      <x:c r="AE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  <x:c r="AA63" s="4"/>
      <x:c r="AB63" s="4"/>
      <x:c r="AC63" s="4"/>
      <x:c r="AD63" s="4"/>
      <x:c r="AE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  <x:c r="AA64" s="4"/>
      <x:c r="AB64" s="4"/>
      <x:c r="AC64" s="4"/>
      <x:c r="AD64" s="4"/>
      <x:c r="AE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  <x:c r="AA65" s="4"/>
      <x:c r="AB65" s="4"/>
      <x:c r="AC65" s="4"/>
      <x:c r="AD65" s="4"/>
      <x:c r="AE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  <x:c r="AA66" s="4"/>
      <x:c r="AB66" s="4"/>
      <x:c r="AC66" s="4"/>
      <x:c r="AD66" s="4"/>
      <x:c r="AE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  <x:c r="AA67" s="4"/>
      <x:c r="AB67" s="4"/>
      <x:c r="AC67" s="4"/>
      <x:c r="AD67" s="4"/>
      <x:c r="AE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s="4"/>
      <x:c r="AB68" s="4"/>
      <x:c r="AC68" s="4"/>
      <x:c r="AD68" s="4"/>
      <x:c r="AE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  <x:c r="AA69" s="4"/>
      <x:c r="AB69" s="4"/>
      <x:c r="AC69" s="4"/>
      <x:c r="AD69" s="4"/>
      <x:c r="AE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  <x:c r="AA70" s="4"/>
      <x:c r="AB70" s="4"/>
      <x:c r="AC70" s="4"/>
      <x:c r="AD70" s="4"/>
      <x:c r="AE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  <x:c r="AA71" s="4"/>
      <x:c r="AB71" s="4"/>
      <x:c r="AC71" s="4"/>
      <x:c r="AD71" s="4"/>
      <x:c r="AE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  <x:c r="AA72" s="4"/>
      <x:c r="AB72" s="4"/>
      <x:c r="AC72" s="4"/>
      <x:c r="AD72" s="4"/>
      <x:c r="AE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  <x:c r="AA73" s="4"/>
      <x:c r="AB73" s="4"/>
      <x:c r="AC73" s="4"/>
      <x:c r="AD73" s="4"/>
      <x:c r="AE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  <x:c r="AA74" s="4"/>
      <x:c r="AB74" s="4"/>
      <x:c r="AC74" s="4"/>
      <x:c r="AD74" s="4"/>
      <x:c r="AE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  <x:c r="AA75" s="4"/>
      <x:c r="AB75" s="4"/>
      <x:c r="AC75" s="4"/>
      <x:c r="AD75" s="4"/>
      <x:c r="AE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  <x:c r="AA77" s="4"/>
      <x:c r="AB77" s="4"/>
      <x:c r="AC77" s="4"/>
      <x:c r="AD77" s="4"/>
      <x:c r="AE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  <x:c r="AA78" s="4"/>
      <x:c r="AB78" s="4"/>
      <x:c r="AC78" s="4"/>
      <x:c r="AD78" s="4"/>
      <x:c r="AE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  <x:c r="AA79" s="4"/>
      <x:c r="AB79" s="4"/>
      <x:c r="AC79" s="4"/>
      <x:c r="AD79" s="4"/>
      <x:c r="AE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  <x:c r="AA80" s="4"/>
      <x:c r="AB80" s="4"/>
      <x:c r="AC80" s="4"/>
      <x:c r="AD80" s="4"/>
      <x:c r="AE80" s="4"/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  <x:c r="AA81" s="4"/>
      <x:c r="AB81" s="4"/>
      <x:c r="AC81" s="4"/>
      <x:c r="AD81" s="4"/>
      <x:c r="AE81" s="4"/>
    </x:row>
    <x:row r="82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  <x:c r="AA82" s="4"/>
      <x:c r="AB82" s="4"/>
      <x:c r="AC82" s="4"/>
      <x:c r="AD82" s="4"/>
      <x:c r="AE82" s="4"/>
    </x:row>
    <x:row r="83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  <x:c r="AA83" s="4"/>
      <x:c r="AB83" s="4"/>
      <x:c r="AC83" s="4"/>
      <x:c r="AD83" s="4"/>
      <x:c r="AE83" s="4"/>
    </x:row>
    <x:row r="84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  <x:c r="AA84" s="4"/>
      <x:c r="AB84" s="4"/>
      <x:c r="AC84" s="4"/>
      <x:c r="AD84" s="4"/>
      <x:c r="AE84" s="4"/>
    </x:row>
    <x:row r="85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  <x:c r="AA85" s="4"/>
      <x:c r="AB85" s="4"/>
      <x:c r="AC85" s="4"/>
      <x:c r="AD85" s="4"/>
      <x:c r="AE85" s="4"/>
    </x:row>
    <x:row r="86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  <x:c r="AA86" s="4"/>
      <x:c r="AB86" s="4"/>
      <x:c r="AC86" s="4"/>
      <x:c r="AD86" s="4"/>
      <x:c r="AE86" s="4"/>
    </x:row>
    <x:row r="87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  <x:c r="AA87" s="4"/>
      <x:c r="AB87" s="4"/>
      <x:c r="AC87" s="4"/>
      <x:c r="AD87" s="4"/>
      <x:c r="AE87" s="4"/>
    </x:row>
    <x:row r="88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  <x:c r="AA88" s="4"/>
      <x:c r="AB88" s="4"/>
      <x:c r="AC88" s="4"/>
      <x:c r="AD88" s="4"/>
      <x:c r="AE88" s="4"/>
    </x:row>
    <x:row r="89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  <x:c r="AA89" s="4"/>
      <x:c r="AB89" s="4"/>
      <x:c r="AC89" s="4"/>
      <x:c r="AD89" s="4"/>
      <x:c r="AE89" s="4"/>
    </x:row>
    <x:row r="90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  <x:c r="AA90" s="4"/>
      <x:c r="AB90" s="4"/>
      <x:c r="AC90" s="4"/>
      <x:c r="AD90" s="4"/>
      <x:c r="AE90" s="4"/>
    </x:row>
    <x:row r="9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  <x:c r="AA91" s="4"/>
      <x:c r="AB91" s="4"/>
      <x:c r="AC91" s="4"/>
      <x:c r="AD91" s="4"/>
      <x:c r="AE91" s="4"/>
    </x:row>
    <x:row r="92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  <x:c r="AA92" s="4"/>
      <x:c r="AB92" s="4"/>
      <x:c r="AC92" s="4"/>
      <x:c r="AD92" s="4"/>
      <x:c r="AE92" s="4"/>
    </x:row>
    <x:row r="93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  <x:c r="AA93" s="4"/>
      <x:c r="AB93" s="4"/>
      <x:c r="AC93" s="4"/>
      <x:c r="AD93" s="4"/>
      <x:c r="AE93" s="4"/>
    </x:row>
    <x:row r="94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  <x:c r="AA94" s="4"/>
      <x:c r="AB94" s="4"/>
      <x:c r="AC94" s="4"/>
      <x:c r="AD94" s="4"/>
      <x:c r="AE94" s="4"/>
    </x:row>
    <x:row r="95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  <x:c r="AA96" s="4"/>
      <x:c r="AB96" s="4"/>
      <x:c r="AC96" s="4"/>
      <x:c r="AD96" s="4"/>
      <x:c r="AE96" s="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  <x:c r="AA97" s="4"/>
      <x:c r="AB97" s="4"/>
      <x:c r="AC97" s="4"/>
      <x:c r="AD97" s="4"/>
      <x:c r="AE97" s="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  <x:c r="AA98" s="4"/>
      <x:c r="AB98" s="4"/>
      <x:c r="AC98" s="4"/>
      <x:c r="AD98" s="4"/>
      <x:c r="AE98" s="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  <x:c r="AA99" s="4"/>
      <x:c r="AB99" s="4"/>
      <x:c r="AC99" s="4"/>
      <x:c r="AD99" s="4"/>
      <x:c r="AE99" s="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  <x:c r="AA100" s="4"/>
      <x:c r="AB100" s="4"/>
      <x:c r="AC100" s="4"/>
      <x:c r="AD100" s="4"/>
      <x:c r="AE100" s="4"/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  <x:c r="AA101" s="4"/>
      <x:c r="AB101" s="4"/>
      <x:c r="AC101" s="4"/>
      <x:c r="AD101" s="4"/>
      <x:c r="AE101" s="4"/>
    </x:row>
    <x:row r="102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  <x:c r="AA102" s="4"/>
      <x:c r="AB102" s="4"/>
      <x:c r="AC102" s="4"/>
      <x:c r="AD102" s="4"/>
      <x:c r="AE102" s="4"/>
    </x:row>
    <x:row r="103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  <x:c r="AA103" s="4"/>
      <x:c r="AB103" s="4"/>
      <x:c r="AC103" s="4"/>
      <x:c r="AD103" s="4"/>
      <x:c r="AE103" s="4"/>
    </x:row>
    <x:row r="104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  <x:c r="AA104" s="4"/>
      <x:c r="AB104" s="4"/>
      <x:c r="AC104" s="4"/>
      <x:c r="AD104" s="4"/>
      <x:c r="AE104" s="4"/>
    </x:row>
    <x:row r="105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  <x:c r="AA105" s="4"/>
      <x:c r="AB105" s="4"/>
      <x:c r="AC105" s="4"/>
      <x:c r="AD105" s="4"/>
      <x:c r="AE105" s="4"/>
    </x:row>
    <x:row r="106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  <x:c r="AA106" s="4"/>
      <x:c r="AB106" s="4"/>
      <x:c r="AC106" s="4"/>
      <x:c r="AD106" s="4"/>
      <x:c r="AE106" s="4"/>
    </x:row>
    <x:row r="107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  <x:c r="AA107" s="4"/>
      <x:c r="AB107" s="4"/>
      <x:c r="AC107" s="4"/>
      <x:c r="AD107" s="4"/>
      <x:c r="AE107" s="4"/>
    </x:row>
    <x:row r="108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  <x:c r="AA108" s="4"/>
      <x:c r="AB108" s="4"/>
      <x:c r="AC108" s="4"/>
      <x:c r="AD108" s="4"/>
      <x:c r="AE108" s="4"/>
    </x:row>
    <x:row r="109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  <x:c r="AA109" s="4"/>
      <x:c r="AB109" s="4"/>
      <x:c r="AC109" s="4"/>
      <x:c r="AD109" s="4"/>
      <x:c r="AE109" s="4"/>
    </x:row>
    <x:row r="110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  <x:c r="AA110" s="4"/>
      <x:c r="AB110" s="4"/>
      <x:c r="AC110" s="4"/>
      <x:c r="AD110" s="4"/>
      <x:c r="AE110" s="4"/>
    </x:row>
    <x:row r="11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  <x:c r="AA111" s="4"/>
      <x:c r="AB111" s="4"/>
      <x:c r="AC111" s="4"/>
      <x:c r="AD111" s="4"/>
      <x:c r="AE111" s="4"/>
    </x:row>
    <x:row r="112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  <x:c r="AA112" s="4"/>
      <x:c r="AB112" s="4"/>
      <x:c r="AC112" s="4"/>
      <x:c r="AD112" s="4"/>
      <x:c r="AE112" s="4"/>
    </x:row>
    <x:row r="113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  <x:c r="AA113" s="4"/>
      <x:c r="AB113" s="4"/>
      <x:c r="AC113" s="4"/>
      <x:c r="AD113" s="4"/>
      <x:c r="AE113" s="4"/>
    </x:row>
    <x:row r="114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  <x:c r="AA114" s="4"/>
      <x:c r="AB114" s="4"/>
      <x:c r="AC114" s="4"/>
      <x:c r="AD114" s="4"/>
      <x:c r="AE114" s="4"/>
    </x:row>
    <x:row r="115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  <x:c r="AA115" s="4"/>
      <x:c r="AB115" s="4"/>
      <x:c r="AC115" s="4"/>
      <x:c r="AD115" s="4"/>
      <x:c r="AE115" s="4"/>
    </x:row>
    <x:row r="116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  <x:c r="AA116" s="4"/>
      <x:c r="AB116" s="4"/>
      <x:c r="AC116" s="4"/>
      <x:c r="AD116" s="4"/>
      <x:c r="AE116" s="4"/>
    </x:row>
    <x:row r="117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  <x:c r="AA117" s="4"/>
      <x:c r="AB117" s="4"/>
      <x:c r="AC117" s="4"/>
      <x:c r="AD117" s="4"/>
      <x:c r="AE117" s="4"/>
    </x:row>
    <x:row r="118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  <x:c r="AA118" s="4"/>
      <x:c r="AB118" s="4"/>
      <x:c r="AC118" s="4"/>
      <x:c r="AD118" s="4"/>
      <x:c r="AE118" s="4"/>
    </x:row>
    <x:row r="119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  <x:c r="AA119" s="4"/>
      <x:c r="AB119" s="4"/>
      <x:c r="AC119" s="4"/>
      <x:c r="AD119" s="4"/>
      <x:c r="AE119" s="4"/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  <x:c r="AA120" s="4"/>
      <x:c r="AB120" s="4"/>
      <x:c r="AC120" s="4"/>
      <x:c r="AD120" s="4"/>
      <x:c r="AE120" s="4"/>
    </x:row>
    <x:row r="12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  <x:c r="AA121" s="4"/>
      <x:c r="AB121" s="4"/>
      <x:c r="AC121" s="4"/>
      <x:c r="AD121" s="4"/>
      <x:c r="AE121" s="4"/>
    </x:row>
    <x:row r="122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  <x:c r="AA122" s="4"/>
      <x:c r="AB122" s="4"/>
      <x:c r="AC122" s="4"/>
      <x:c r="AD122" s="4"/>
      <x:c r="AE122" s="4"/>
    </x:row>
    <x:row r="123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  <x:c r="AA123" s="4"/>
      <x:c r="AB123" s="4"/>
      <x:c r="AC123" s="4"/>
      <x:c r="AD123" s="4"/>
      <x:c r="AE123" s="4"/>
    </x:row>
    <x:row r="124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  <x:c r="AA124" s="4"/>
      <x:c r="AB124" s="4"/>
      <x:c r="AC124" s="4"/>
      <x:c r="AD124" s="4"/>
      <x:c r="AE124" s="4"/>
    </x:row>
    <x:row r="125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  <x:c r="AA125" s="4"/>
      <x:c r="AB125" s="4"/>
      <x:c r="AC125" s="4"/>
      <x:c r="AD125" s="4"/>
      <x:c r="AE125" s="4"/>
    </x:row>
    <x:row r="126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  <x:c r="AA126" s="4"/>
      <x:c r="AB126" s="4"/>
      <x:c r="AC126" s="4"/>
      <x:c r="AD126" s="4"/>
      <x:c r="AE126" s="4"/>
    </x:row>
    <x:row r="127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  <x:c r="AA127" s="4"/>
      <x:c r="AB127" s="4"/>
      <x:c r="AC127" s="4"/>
      <x:c r="AD127" s="4"/>
      <x:c r="AE127" s="4"/>
    </x:row>
    <x:row r="128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  <x:c r="AA128" s="4"/>
      <x:c r="AB128" s="4"/>
      <x:c r="AC128" s="4"/>
      <x:c r="AD128" s="4"/>
      <x:c r="AE128" s="4"/>
    </x:row>
    <x:row r="129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  <x:c r="AA129" s="4"/>
      <x:c r="AB129" s="4"/>
      <x:c r="AC129" s="4"/>
      <x:c r="AD129" s="4"/>
      <x:c r="AE129" s="4"/>
    </x:row>
    <x:row r="130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  <x:c r="AA130" s="4"/>
      <x:c r="AB130" s="4"/>
      <x:c r="AC130" s="4"/>
      <x:c r="AD130" s="4"/>
      <x:c r="AE130" s="4"/>
    </x:row>
    <x:row r="13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  <x:c r="AA131" s="4"/>
      <x:c r="AB131" s="4"/>
      <x:c r="AC131" s="4"/>
      <x:c r="AD131" s="4"/>
      <x:c r="AE131" s="4"/>
    </x:row>
    <x:row r="132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  <x:c r="AA132" s="4"/>
      <x:c r="AB132" s="4"/>
      <x:c r="AC132" s="4"/>
      <x:c r="AD132" s="4"/>
      <x:c r="AE132" s="4"/>
    </x:row>
    <x:row r="133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  <x:c r="AA133" s="4"/>
      <x:c r="AB133" s="4"/>
      <x:c r="AC133" s="4"/>
      <x:c r="AD133" s="4"/>
      <x:c r="AE133" s="4"/>
    </x:row>
    <x:row r="134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  <x:c r="AA134" s="4"/>
      <x:c r="AB134" s="4"/>
      <x:c r="AC134" s="4"/>
      <x:c r="AD134" s="4"/>
      <x:c r="AE134" s="4"/>
    </x:row>
    <x:row r="135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  <x:c r="AA135" s="4"/>
      <x:c r="AB135" s="4"/>
      <x:c r="AC135" s="4"/>
      <x:c r="AD135" s="4"/>
      <x:c r="AE135" s="4"/>
    </x:row>
    <x:row r="136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  <x:c r="AA136" s="4"/>
      <x:c r="AB136" s="4"/>
      <x:c r="AC136" s="4"/>
      <x:c r="AD136" s="4"/>
      <x:c r="AE136" s="4"/>
    </x:row>
    <x:row r="137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  <x:c r="AA137" s="4"/>
      <x:c r="AB137" s="4"/>
      <x:c r="AC137" s="4"/>
      <x:c r="AD137" s="4"/>
      <x:c r="AE137" s="4"/>
    </x:row>
    <x:row r="138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  <x:c r="AA138" s="4"/>
      <x:c r="AB138" s="4"/>
      <x:c r="AC138" s="4"/>
      <x:c r="AD138" s="4"/>
      <x:c r="AE138" s="4"/>
    </x:row>
    <x:row r="139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  <x:c r="AA139" s="4"/>
      <x:c r="AB139" s="4"/>
      <x:c r="AC139" s="4"/>
      <x:c r="AD139" s="4"/>
      <x:c r="AE139" s="4"/>
    </x:row>
    <x:row r="140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  <x:c r="AA140" s="4"/>
      <x:c r="AB140" s="4"/>
      <x:c r="AC140" s="4"/>
      <x:c r="AD140" s="4"/>
      <x:c r="AE140" s="4"/>
    </x:row>
    <x:row r="14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  <x:c r="AA141" s="4"/>
      <x:c r="AB141" s="4"/>
      <x:c r="AC141" s="4"/>
      <x:c r="AD141" s="4"/>
      <x:c r="AE141" s="4"/>
    </x:row>
    <x:row r="142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  <x:c r="AA142" s="4"/>
      <x:c r="AB142" s="4"/>
      <x:c r="AC142" s="4"/>
      <x:c r="AD142" s="4"/>
      <x:c r="AE142" s="4"/>
    </x:row>
    <x:row r="143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  <x:c r="AA143" s="4"/>
      <x:c r="AB143" s="4"/>
      <x:c r="AC143" s="4"/>
      <x:c r="AD143" s="4"/>
      <x:c r="AE143" s="4"/>
    </x:row>
    <x:row r="144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  <x:c r="AA144" s="4"/>
      <x:c r="AB144" s="4"/>
      <x:c r="AC144" s="4"/>
      <x:c r="AD144" s="4"/>
      <x:c r="AE144" s="4"/>
    </x:row>
    <x:row r="145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  <x:c r="AA145" s="4"/>
      <x:c r="AB145" s="4"/>
      <x:c r="AC145" s="4"/>
      <x:c r="AD145" s="4"/>
      <x:c r="AE145" s="4"/>
    </x:row>
    <x:row r="146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  <x:c r="AA146" s="4"/>
      <x:c r="AB146" s="4"/>
      <x:c r="AC146" s="4"/>
      <x:c r="AD146" s="4"/>
      <x:c r="AE146" s="4"/>
    </x:row>
    <x:row r="147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  <x:c r="AA147" s="4"/>
      <x:c r="AB147" s="4"/>
      <x:c r="AC147" s="4"/>
      <x:c r="AD147" s="4"/>
      <x:c r="AE147" s="4"/>
    </x:row>
    <x:row r="148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  <x:c r="AA148" s="4"/>
      <x:c r="AB148" s="4"/>
      <x:c r="AC148" s="4"/>
      <x:c r="AD148" s="4"/>
      <x:c r="AE148" s="4"/>
    </x:row>
    <x:row r="149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  <x:c r="AA149" s="4"/>
      <x:c r="AB149" s="4"/>
      <x:c r="AC149" s="4"/>
      <x:c r="AD149" s="4"/>
      <x:c r="AE149" s="4"/>
    </x:row>
    <x:row r="150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  <x:c r="AA150" s="4"/>
      <x:c r="AB150" s="4"/>
      <x:c r="AC150" s="4"/>
      <x:c r="AD150" s="4"/>
      <x:c r="AE150" s="4"/>
    </x:row>
    <x:row r="15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  <x:c r="AA151" s="4"/>
      <x:c r="AB151" s="4"/>
      <x:c r="AC151" s="4"/>
      <x:c r="AD151" s="4"/>
      <x:c r="AE151" s="4"/>
    </x:row>
    <x:row r="152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  <x:c r="AA152" s="4"/>
      <x:c r="AB152" s="4"/>
      <x:c r="AC152" s="4"/>
      <x:c r="AD152" s="4"/>
      <x:c r="AE152" s="4"/>
    </x:row>
    <x:row r="153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  <x:c r="AA153" s="4"/>
      <x:c r="AB153" s="4"/>
      <x:c r="AC153" s="4"/>
      <x:c r="AD153" s="4"/>
      <x:c r="AE153" s="4"/>
    </x:row>
    <x:row r="154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  <x:c r="AA154" s="4"/>
      <x:c r="AB154" s="4"/>
      <x:c r="AC154" s="4"/>
      <x:c r="AD154" s="4"/>
      <x:c r="AE154" s="4"/>
    </x:row>
    <x:row r="155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  <x:c r="AA155" s="4"/>
      <x:c r="AB155" s="4"/>
      <x:c r="AC155" s="4"/>
      <x:c r="AD155" s="4"/>
      <x:c r="AE155" s="4"/>
    </x:row>
    <x:row r="156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  <x:c r="AA156" s="4"/>
      <x:c r="AB156" s="4"/>
      <x:c r="AC156" s="4"/>
      <x:c r="AD156" s="4"/>
      <x:c r="AE156" s="4"/>
    </x:row>
    <x:row r="157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  <x:c r="AA157" s="4"/>
      <x:c r="AB157" s="4"/>
      <x:c r="AC157" s="4"/>
      <x:c r="AD157" s="4"/>
      <x:c r="AE157" s="4"/>
    </x:row>
    <x:row r="158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  <x:c r="AA158" s="4"/>
      <x:c r="AB158" s="4"/>
      <x:c r="AC158" s="4"/>
      <x:c r="AD158" s="4"/>
      <x:c r="AE158" s="4"/>
    </x:row>
    <x:row r="159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  <x:c r="AA159" s="4"/>
      <x:c r="AB159" s="4"/>
      <x:c r="AC159" s="4"/>
      <x:c r="AD159" s="4"/>
      <x:c r="AE159" s="4"/>
    </x:row>
    <x:row r="160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  <x:c r="AA160" s="4"/>
      <x:c r="AB160" s="4"/>
      <x:c r="AC160" s="4"/>
      <x:c r="AD160" s="4"/>
      <x:c r="AE160" s="4"/>
    </x:row>
    <x:row r="16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  <x:c r="AA161" s="4"/>
      <x:c r="AB161" s="4"/>
      <x:c r="AC161" s="4"/>
      <x:c r="AD161" s="4"/>
      <x:c r="AE161" s="4"/>
    </x:row>
    <x:row r="162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  <x:c r="AA162" s="4"/>
      <x:c r="AB162" s="4"/>
      <x:c r="AC162" s="4"/>
      <x:c r="AD162" s="4"/>
      <x:c r="AE162" s="4"/>
    </x:row>
    <x:row r="163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  <x:c r="AA163" s="4"/>
      <x:c r="AB163" s="4"/>
      <x:c r="AC163" s="4"/>
      <x:c r="AD163" s="4"/>
      <x:c r="AE163" s="4"/>
    </x:row>
    <x:row r="164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  <x:c r="AA164" s="4"/>
      <x:c r="AB164" s="4"/>
      <x:c r="AC164" s="4"/>
      <x:c r="AD164" s="4"/>
      <x:c r="AE164" s="4"/>
    </x:row>
    <x:row r="165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  <x:c r="AA165" s="4"/>
      <x:c r="AB165" s="4"/>
      <x:c r="AC165" s="4"/>
      <x:c r="AD165" s="4"/>
      <x:c r="AE165" s="4"/>
    </x:row>
    <x:row r="166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  <x:c r="AA166" s="4"/>
      <x:c r="AB166" s="4"/>
      <x:c r="AC166" s="4"/>
      <x:c r="AD166" s="4"/>
      <x:c r="AE166" s="4"/>
    </x:row>
    <x:row r="167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  <x:c r="AA167" s="4"/>
      <x:c r="AB167" s="4"/>
      <x:c r="AC167" s="4"/>
      <x:c r="AD167" s="4"/>
      <x:c r="AE167" s="4"/>
    </x:row>
    <x:row r="168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  <x:c r="AA168" s="4"/>
      <x:c r="AB168" s="4"/>
      <x:c r="AC168" s="4"/>
      <x:c r="AD168" s="4"/>
      <x:c r="AE168" s="4"/>
    </x:row>
    <x:row r="169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  <x:c r="AA169" s="4"/>
      <x:c r="AB169" s="4"/>
      <x:c r="AC169" s="4"/>
      <x:c r="AD169" s="4"/>
      <x:c r="AE169" s="4"/>
    </x:row>
    <x:row r="170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  <x:c r="AA170" s="4"/>
      <x:c r="AB170" s="4"/>
      <x:c r="AC170" s="4"/>
      <x:c r="AD170" s="4"/>
      <x:c r="AE170" s="4"/>
    </x:row>
    <x:row r="17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  <x:c r="AA171" s="4"/>
      <x:c r="AB171" s="4"/>
      <x:c r="AC171" s="4"/>
      <x:c r="AD171" s="4"/>
      <x:c r="AE171" s="4"/>
    </x:row>
    <x:row r="172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  <x:c r="AA172" s="4"/>
      <x:c r="AB172" s="4"/>
      <x:c r="AC172" s="4"/>
      <x:c r="AD172" s="4"/>
      <x:c r="AE172" s="4"/>
    </x:row>
    <x:row r="173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  <x:c r="AA173" s="4"/>
      <x:c r="AB173" s="4"/>
      <x:c r="AC173" s="4"/>
      <x:c r="AD173" s="4"/>
      <x:c r="AE173" s="4"/>
    </x:row>
    <x:row r="174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  <x:c r="AA174" s="4"/>
      <x:c r="AB174" s="4"/>
      <x:c r="AC174" s="4"/>
      <x:c r="AD174" s="4"/>
      <x:c r="AE174" s="4"/>
    </x:row>
    <x:row r="175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  <x:c r="AA175" s="4"/>
      <x:c r="AB175" s="4"/>
      <x:c r="AC175" s="4"/>
      <x:c r="AD175" s="4"/>
      <x:c r="AE175" s="4"/>
    </x:row>
    <x:row r="176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  <x:c r="AA176" s="4"/>
      <x:c r="AB176" s="4"/>
      <x:c r="AC176" s="4"/>
      <x:c r="AD176" s="4"/>
      <x:c r="AE176" s="4"/>
    </x:row>
    <x:row r="177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  <x:c r="AA177" s="4"/>
      <x:c r="AB177" s="4"/>
      <x:c r="AC177" s="4"/>
      <x:c r="AD177" s="4"/>
      <x:c r="AE177" s="4"/>
    </x:row>
    <x:row r="178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  <x:c r="AA178" s="4"/>
      <x:c r="AB178" s="4"/>
      <x:c r="AC178" s="4"/>
      <x:c r="AD178" s="4"/>
      <x:c r="AE178" s="4"/>
    </x:row>
    <x:row r="179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  <x:c r="AA179" s="4"/>
      <x:c r="AB179" s="4"/>
      <x:c r="AC179" s="4"/>
      <x:c r="AD179" s="4"/>
      <x:c r="AE179" s="4"/>
    </x:row>
    <x:row r="180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  <x:c r="AA180" s="4"/>
      <x:c r="AB180" s="4"/>
      <x:c r="AC180" s="4"/>
      <x:c r="AD180" s="4"/>
      <x:c r="AE180" s="4"/>
    </x:row>
    <x:row r="18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  <x:c r="AA181" s="4"/>
      <x:c r="AB181" s="4"/>
      <x:c r="AC181" s="4"/>
      <x:c r="AD181" s="4"/>
      <x:c r="AE181" s="4"/>
    </x:row>
    <x:row r="182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  <x:c r="AA182" s="4"/>
      <x:c r="AB182" s="4"/>
      <x:c r="AC182" s="4"/>
      <x:c r="AD182" s="4"/>
      <x:c r="AE182" s="4"/>
    </x:row>
    <x:row r="183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  <x:c r="AA183" s="4"/>
      <x:c r="AB183" s="4"/>
      <x:c r="AC183" s="4"/>
      <x:c r="AD183" s="4"/>
      <x:c r="AE183" s="4"/>
    </x:row>
    <x:row r="184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  <x:c r="AA184" s="4"/>
      <x:c r="AB184" s="4"/>
      <x:c r="AC184" s="4"/>
      <x:c r="AD184" s="4"/>
      <x:c r="AE184" s="4"/>
    </x:row>
    <x:row r="185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  <x:c r="AA185" s="4"/>
      <x:c r="AB185" s="4"/>
      <x:c r="AC185" s="4"/>
      <x:c r="AD185" s="4"/>
      <x:c r="AE185" s="4"/>
    </x:row>
    <x:row r="186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  <x:c r="AA186" s="4"/>
      <x:c r="AB186" s="4"/>
      <x:c r="AC186" s="4"/>
      <x:c r="AD186" s="4"/>
      <x:c r="AE186" s="4"/>
    </x:row>
    <x:row r="187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  <x:c r="AA187" s="4"/>
      <x:c r="AB187" s="4"/>
      <x:c r="AC187" s="4"/>
      <x:c r="AD187" s="4"/>
      <x:c r="AE187" s="4"/>
    </x:row>
    <x:row r="188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  <x:c r="AA188" s="4"/>
      <x:c r="AB188" s="4"/>
      <x:c r="AC188" s="4"/>
      <x:c r="AD188" s="4"/>
      <x:c r="AE188" s="4"/>
    </x:row>
    <x:row r="189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  <x:c r="AA189" s="4"/>
      <x:c r="AB189" s="4"/>
      <x:c r="AC189" s="4"/>
      <x:c r="AD189" s="4"/>
      <x:c r="AE189" s="4"/>
    </x:row>
    <x:row r="190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  <x:c r="AA190" s="4"/>
      <x:c r="AB190" s="4"/>
      <x:c r="AC190" s="4"/>
      <x:c r="AD190" s="4"/>
      <x:c r="AE190" s="4"/>
    </x:row>
    <x:row r="19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  <x:c r="AA191" s="4"/>
      <x:c r="AB191" s="4"/>
      <x:c r="AC191" s="4"/>
      <x:c r="AD191" s="4"/>
      <x:c r="AE191" s="4"/>
    </x:row>
    <x:row r="192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  <x:c r="AA192" s="4"/>
      <x:c r="AB192" s="4"/>
      <x:c r="AC192" s="4"/>
      <x:c r="AD192" s="4"/>
      <x:c r="AE192" s="4"/>
    </x:row>
    <x:row r="193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  <x:c r="AA193" s="4"/>
      <x:c r="AB193" s="4"/>
      <x:c r="AC193" s="4"/>
      <x:c r="AD193" s="4"/>
      <x:c r="AE193" s="4"/>
    </x:row>
    <x:row r="194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  <x:c r="AA194" s="4"/>
      <x:c r="AB194" s="4"/>
      <x:c r="AC194" s="4"/>
      <x:c r="AD194" s="4"/>
      <x:c r="AE194" s="4"/>
    </x:row>
    <x:row r="195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  <x:c r="AA195" s="4"/>
      <x:c r="AB195" s="4"/>
      <x:c r="AC195" s="4"/>
      <x:c r="AD195" s="4"/>
      <x:c r="AE195" s="4"/>
    </x:row>
    <x:row r="196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  <x:c r="AA196" s="4"/>
      <x:c r="AB196" s="4"/>
      <x:c r="AC196" s="4"/>
      <x:c r="AD196" s="4"/>
      <x:c r="AE196" s="4"/>
    </x:row>
    <x:row r="197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  <x:c r="AA197" s="4"/>
      <x:c r="AB197" s="4"/>
      <x:c r="AC197" s="4"/>
      <x:c r="AD197" s="4"/>
      <x:c r="AE197" s="4"/>
    </x:row>
    <x:row r="198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  <x:c r="AA198" s="4"/>
      <x:c r="AB198" s="4"/>
      <x:c r="AC198" s="4"/>
      <x:c r="AD198" s="4"/>
      <x:c r="AE198" s="4"/>
    </x:row>
    <x:row r="199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  <x:c r="AA199" s="4"/>
      <x:c r="AB199" s="4"/>
      <x:c r="AC199" s="4"/>
      <x:c r="AD199" s="4"/>
      <x:c r="AE199" s="4"/>
    </x:row>
    <x:row r="200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  <x:c r="AA200" s="4"/>
      <x:c r="AB200" s="4"/>
      <x:c r="AC200" s="4"/>
      <x:c r="AD200" s="4"/>
      <x:c r="AE200" s="4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8" hidden="0" customWidth="1"/>
    <x:col min="4" max="4" width="26" hidden="0" customWidth="1"/>
    <x:col min="5" max="5" width="18" hidden="0" customWidth="1"/>
    <x:col min="6" max="6" width="28" hidden="0" customWidth="1"/>
    <x:col min="7" max="7" width="9" hidden="0" customWidth="1"/>
    <x:col min="8" max="8" width="9" hidden="0" customWidth="1"/>
    <x:col min="9" max="9" width="14" hidden="0" customWidth="1"/>
    <x:col min="10" max="10" width="22" hidden="0" customWidth="1"/>
    <x:col min="11" max="11" width="14" hidden="0" customWidth="1"/>
    <x:col min="12" max="12" width="16" hidden="0" customWidth="1"/>
    <x:col min="13" max="13" width="13" hidden="0" customWidth="1"/>
    <x:col min="14" max="14" width="16" hidden="0" customWidth="1"/>
    <x:col min="15" max="15" width="12" hidden="0" customWidth="1"/>
    <x:col min="16" max="16" width="16" hidden="0" customWidth="1"/>
    <x:col min="17" max="17" width="12" hidden="0" customWidth="1"/>
    <x:col min="18" max="18" width="24" hidden="0" customWidth="1"/>
    <x:col min="19" max="19" width="14" hidden="0" customWidth="1"/>
    <x:col min="20" max="20" width="16" hidden="0" customWidth="1"/>
    <x:col min="21" max="21" width="42" hidden="0" customWidth="1"/>
    <x:col min="22" max="22" width="44" hidden="0" customWidth="1"/>
    <x:col min="23" max="23" width="11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4" hidden="0" customWidth="1"/>
    <x:col min="30" max="30" width="16" hidden="0" customWidth="1"/>
    <x:col min="31" max="31" width="14" hidden="0" customWidth="1"/>
  </x:cols>
  <x:sheetData>
    <x:row r="1" ht="28" customHeight="1">
      <x:c r="A1" s="9" t="str">
        <x:v>Applied</x:v>
      </x:c>
      <x:c r="B1" s="9" t="str">
        <x:v>Priority</x:v>
      </x:c>
      <x:c r="C1" s="9" t="str">
        <x:v>Status</x:v>
      </x:c>
      <x:c r="D1" s="9" t="str">
        <x:v>Species</x:v>
      </x:c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  <x:c r="AA1" s="9"/>
      <x:c r="AB1" s="9"/>
      <x:c r="AC1" s="9"/>
      <x:c r="AD1" s="9"/>
      <x:c r="AE1" s="9"/>
    </x:row>
    <x:row r="2">
      <x:c r="A2" s="4" t="str">
        <x:v>No</x:v>
      </x:c>
      <x:c r="B2" s="4" t="str">
        <x:v>A</x:v>
      </x:c>
      <x:c r="C2" s="4" t="str">
        <x:v>Not Started</x:v>
      </x:c>
      <x:c r="D2" s="4" t="str">
        <x:v>Whitetail Deer</x:v>
      </x:c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</x:row>
    <x:row r="3">
      <x:c r="A3" s="4" t="str">
        <x:v>Yes</x:v>
      </x:c>
      <x:c r="B3" s="4" t="str">
        <x:v>B</x:v>
      </x:c>
      <x:c r="C3" s="4" t="str">
        <x:v>Applied</x:v>
      </x:c>
      <x:c r="D3" s="4" t="str">
        <x:v>Mule Deer</x:v>
      </x:c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  <x:c r="AD3" s="4"/>
      <x:c r="AE3" s="4"/>
    </x:row>
    <x:row r="4">
      <x:c r="A4" s="4" t="str">
        <x:v>Maybe</x:v>
      </x:c>
      <x:c r="B4" s="4" t="str">
        <x:v>C</x:v>
      </x:c>
      <x:c r="C4" s="4" t="str">
        <x:v>Drawn</x:v>
      </x:c>
      <x:c r="D4" s="4" t="str">
        <x:v>Pronghorn</x:v>
      </x:c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  <x:c r="AA4" s="4"/>
      <x:c r="AB4" s="4"/>
      <x:c r="AC4" s="4"/>
      <x:c r="AD4" s="4"/>
      <x:c r="AE4" s="4"/>
    </x:row>
    <x:row r="5">
      <x:c r="A5" s="4" t="str">
        <x:v>Submitted</x:v>
      </x:c>
      <x:c r="B5" s="4"/>
      <x:c r="C5" s="4" t="str">
        <x:v>Not Drawn</x:v>
      </x:c>
      <x:c r="D5" s="4" t="str">
        <x:v>Feral Hog</x:v>
      </x:c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  <x:c r="AA5" s="4"/>
      <x:c r="AB5" s="4"/>
      <x:c r="AC5" s="4"/>
      <x:c r="AD5" s="4"/>
      <x:c r="AE5" s="4"/>
    </x:row>
    <x:row r="6">
      <x:c r="A6" s="4"/>
      <x:c r="B6" s="4"/>
      <x:c r="C6" s="4"/>
      <x:c r="D6" s="4" t="str">
        <x:v>Turkey</x:v>
      </x:c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  <x:c r="AA6" s="4"/>
      <x:c r="AB6" s="4"/>
      <x:c r="AC6" s="4"/>
      <x:c r="AD6" s="4"/>
      <x:c r="AE6" s="4"/>
    </x:row>
    <x:row r="7">
      <x:c r="A7" s="4"/>
      <x:c r="B7" s="4"/>
      <x:c r="C7" s="4"/>
      <x:c r="D7" s="4" t="str">
        <x:v>Waterfowl/Upland</x:v>
      </x:c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  <x:c r="AB7" s="4"/>
      <x:c r="AC7" s="4"/>
      <x:c r="AD7" s="4"/>
      <x:c r="AE7" s="4"/>
    </x:row>
    <x:row r="8">
      <x:c r="A8" s="4"/>
      <x:c r="B8" s="4"/>
      <x:c r="C8" s="4"/>
      <x:c r="D8" s="4" t="str">
        <x:v>Exotics</x:v>
      </x:c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  <x:c r="AA8" s="4"/>
      <x:c r="AB8" s="4"/>
      <x:c r="AC8" s="4"/>
      <x:c r="AD8" s="4"/>
      <x:c r="AE8" s="4"/>
    </x:row>
    <x:row r="9">
      <x:c r="A9" s="4"/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  <x:c r="AA9" s="4"/>
      <x:c r="AB9" s="4"/>
      <x:c r="AC9" s="4"/>
      <x:c r="AD9" s="4"/>
      <x:c r="AE9" s="4"/>
    </x:row>
    <x:row r="10">
      <x:c r="A10" s="4"/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  <x:c r="AA10" s="4"/>
      <x:c r="AB10" s="4"/>
      <x:c r="AC10" s="4"/>
      <x:c r="AD10" s="4"/>
      <x:c r="AE10" s="4"/>
    </x:row>
    <x:row r="11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  <x:c r="AA11" s="4"/>
      <x:c r="AB11" s="4"/>
      <x:c r="AC11" s="4"/>
      <x:c r="AD11" s="4"/>
      <x:c r="AE11" s="4"/>
    </x:row>
    <x:row r="12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  <x:c r="AA12" s="4"/>
      <x:c r="AB12" s="4"/>
      <x:c r="AC12" s="4"/>
      <x:c r="AD12" s="4"/>
      <x:c r="AE12" s="4"/>
    </x:row>
    <x:row r="13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  <x:c r="AA13" s="4"/>
      <x:c r="AB13" s="4"/>
      <x:c r="AC13" s="4"/>
      <x:c r="AD13" s="4"/>
      <x:c r="AE13" s="4"/>
    </x:row>
    <x:row r="14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  <x:c r="AA14" s="4"/>
      <x:c r="AB14" s="4"/>
      <x:c r="AC14" s="4"/>
      <x:c r="AD14" s="4"/>
      <x:c r="AE14" s="4"/>
    </x:row>
    <x:row r="15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  <x:c r="AA15" s="4"/>
      <x:c r="AB15" s="4"/>
      <x:c r="AC15" s="4"/>
      <x:c r="AD15" s="4"/>
      <x:c r="AE15" s="4"/>
    </x:row>
    <x:row r="16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  <x:c r="AA16" s="4"/>
      <x:c r="AB16" s="4"/>
      <x:c r="AC16" s="4"/>
      <x:c r="AD16" s="4"/>
      <x:c r="AE16" s="4"/>
    </x:row>
    <x:row r="17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/>
      <x:c r="AB17" s="4"/>
      <x:c r="AC17" s="4"/>
      <x:c r="AD17" s="4"/>
      <x:c r="AE17" s="4"/>
    </x:row>
    <x:row r="18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  <x:c r="AA18" s="4"/>
      <x:c r="AB18" s="4"/>
      <x:c r="AC18" s="4"/>
      <x:c r="AD18" s="4"/>
      <x:c r="AE18" s="4"/>
    </x:row>
    <x:row r="19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  <x:c r="AA20" s="4"/>
      <x:c r="AB20" s="4"/>
      <x:c r="AC20" s="4"/>
      <x:c r="AD20" s="4"/>
      <x:c r="AE20" s="4"/>
    </x:row>
    <x:row r="2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  <x:c r="AA21" s="4"/>
      <x:c r="AB21" s="4"/>
      <x:c r="AC21" s="4"/>
      <x:c r="AD21" s="4"/>
      <x:c r="AE21" s="4"/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  <x:c r="AA22" s="4"/>
      <x:c r="AB22" s="4"/>
      <x:c r="AC22" s="4"/>
      <x:c r="AD22" s="4"/>
      <x:c r="AE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  <x:c r="AA23" s="4"/>
      <x:c r="AB23" s="4"/>
      <x:c r="AC23" s="4"/>
      <x:c r="AD23" s="4"/>
      <x:c r="AE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  <x:c r="AA24" s="4"/>
      <x:c r="AB24" s="4"/>
      <x:c r="AC24" s="4"/>
      <x:c r="AD24" s="4"/>
      <x:c r="AE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  <x:c r="AA25" s="4"/>
      <x:c r="AB25" s="4"/>
      <x:c r="AC25" s="4"/>
      <x:c r="AD25" s="4"/>
      <x:c r="AE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  <x:c r="AA26" s="4"/>
      <x:c r="AB26" s="4"/>
      <x:c r="AC26" s="4"/>
      <x:c r="AD26" s="4"/>
      <x:c r="AE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  <x:c r="AA27" s="4"/>
      <x:c r="AB27" s="4"/>
      <x:c r="AC27" s="4"/>
      <x:c r="AD27" s="4"/>
      <x:c r="AE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  <x:c r="AA28" s="4"/>
      <x:c r="AB28" s="4"/>
      <x:c r="AC28" s="4"/>
      <x:c r="AD28" s="4"/>
      <x:c r="AE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  <x:c r="AA29" s="4"/>
      <x:c r="AB29" s="4"/>
      <x:c r="AC29" s="4"/>
      <x:c r="AD29" s="4"/>
      <x:c r="AE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  <x:c r="AA30" s="4"/>
      <x:c r="AB30" s="4"/>
      <x:c r="AC30" s="4"/>
      <x:c r="AD30" s="4"/>
      <x:c r="AE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  <x:c r="AA31" s="4"/>
      <x:c r="AB31" s="4"/>
      <x:c r="AC31" s="4"/>
      <x:c r="AD31" s="4"/>
      <x:c r="AE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  <x:c r="AA32" s="4"/>
      <x:c r="AB32" s="4"/>
      <x:c r="AC32" s="4"/>
      <x:c r="AD32" s="4"/>
      <x:c r="AE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  <x:c r="AA33" s="4"/>
      <x:c r="AB33" s="4"/>
      <x:c r="AC33" s="4"/>
      <x:c r="AD33" s="4"/>
      <x:c r="AE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  <x:c r="AA34" s="4"/>
      <x:c r="AB34" s="4"/>
      <x:c r="AC34" s="4"/>
      <x:c r="AD34" s="4"/>
      <x:c r="AE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  <x:c r="AA35" s="4"/>
      <x:c r="AB35" s="4"/>
      <x:c r="AC35" s="4"/>
      <x:c r="AD35" s="4"/>
      <x:c r="AE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  <x:c r="AA36" s="4"/>
      <x:c r="AB36" s="4"/>
      <x:c r="AC36" s="4"/>
      <x:c r="AD36" s="4"/>
      <x:c r="AE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  <x:c r="AA37" s="4"/>
      <x:c r="AB37" s="4"/>
      <x:c r="AC37" s="4"/>
      <x:c r="AD37" s="4"/>
      <x:c r="AE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  <x:c r="AA39" s="4"/>
      <x:c r="AB39" s="4"/>
      <x:c r="AC39" s="4"/>
      <x:c r="AD39" s="4"/>
      <x:c r="AE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  <x:c r="AA40" s="4"/>
      <x:c r="AB40" s="4"/>
      <x:c r="AC40" s="4"/>
      <x:c r="AD40" s="4"/>
      <x:c r="AE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  <x:c r="AA41" s="4"/>
      <x:c r="AB41" s="4"/>
      <x:c r="AC41" s="4"/>
      <x:c r="AD41" s="4"/>
      <x:c r="AE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  <x:c r="AA42" s="4"/>
      <x:c r="AB42" s="4"/>
      <x:c r="AC42" s="4"/>
      <x:c r="AD42" s="4"/>
      <x:c r="AE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  <x:c r="AA43" s="4"/>
      <x:c r="AB43" s="4"/>
      <x:c r="AC43" s="4"/>
      <x:c r="AD43" s="4"/>
      <x:c r="AE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  <x:c r="AA44" s="4"/>
      <x:c r="AB44" s="4"/>
      <x:c r="AC44" s="4"/>
      <x:c r="AD44" s="4"/>
      <x:c r="AE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  <x:c r="AA45" s="4"/>
      <x:c r="AB45" s="4"/>
      <x:c r="AC45" s="4"/>
      <x:c r="AD45" s="4"/>
      <x:c r="AE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  <x:c r="AA46" s="4"/>
      <x:c r="AB46" s="4"/>
      <x:c r="AC46" s="4"/>
      <x:c r="AD46" s="4"/>
      <x:c r="AE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  <x:c r="AA47" s="4"/>
      <x:c r="AB47" s="4"/>
      <x:c r="AC47" s="4"/>
      <x:c r="AD47" s="4"/>
      <x:c r="AE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  <x:c r="AA48" s="4"/>
      <x:c r="AB48" s="4"/>
      <x:c r="AC48" s="4"/>
      <x:c r="AD48" s="4"/>
      <x:c r="AE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  <x:c r="AA49" s="4"/>
      <x:c r="AB49" s="4"/>
      <x:c r="AC49" s="4"/>
      <x:c r="AD49" s="4"/>
      <x:c r="AE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  <x:c r="AA50" s="4"/>
      <x:c r="AB50" s="4"/>
      <x:c r="AC50" s="4"/>
      <x:c r="AD50" s="4"/>
      <x:c r="AE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  <x:c r="AA51" s="4"/>
      <x:c r="AB51" s="4"/>
      <x:c r="AC51" s="4"/>
      <x:c r="AD51" s="4"/>
      <x:c r="AE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  <x:c r="AA52" s="4"/>
      <x:c r="AB52" s="4"/>
      <x:c r="AC52" s="4"/>
      <x:c r="AD52" s="4"/>
      <x:c r="AE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  <x:c r="AA53" s="4"/>
      <x:c r="AB53" s="4"/>
      <x:c r="AC53" s="4"/>
      <x:c r="AD53" s="4"/>
      <x:c r="AE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  <x:c r="AA54" s="4"/>
      <x:c r="AB54" s="4"/>
      <x:c r="AC54" s="4"/>
      <x:c r="AD54" s="4"/>
      <x:c r="AE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  <x:c r="AA55" s="4"/>
      <x:c r="AB55" s="4"/>
      <x:c r="AC55" s="4"/>
      <x:c r="AD55" s="4"/>
      <x:c r="AE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  <x:c r="AA56" s="4"/>
      <x:c r="AB56" s="4"/>
      <x:c r="AC56" s="4"/>
      <x:c r="AD56" s="4"/>
      <x:c r="AE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  <x:c r="AA58" s="4"/>
      <x:c r="AB58" s="4"/>
      <x:c r="AC58" s="4"/>
      <x:c r="AD58" s="4"/>
      <x:c r="AE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  <x:c r="AA59" s="4"/>
      <x:c r="AB59" s="4"/>
      <x:c r="AC59" s="4"/>
      <x:c r="AD59" s="4"/>
      <x:c r="AE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  <x:c r="AA60" s="4"/>
      <x:c r="AB60" s="4"/>
      <x:c r="AC60" s="4"/>
      <x:c r="AD60" s="4"/>
      <x:c r="AE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  <x:c r="AA61" s="4"/>
      <x:c r="AB61" s="4"/>
      <x:c r="AC61" s="4"/>
      <x:c r="AD61" s="4"/>
      <x:c r="AE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  <x:c r="AA62" s="4"/>
      <x:c r="AB62" s="4"/>
      <x:c r="AC62" s="4"/>
      <x:c r="AD62" s="4"/>
      <x:c r="AE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  <x:c r="AA63" s="4"/>
      <x:c r="AB63" s="4"/>
      <x:c r="AC63" s="4"/>
      <x:c r="AD63" s="4"/>
      <x:c r="AE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  <x:c r="AA64" s="4"/>
      <x:c r="AB64" s="4"/>
      <x:c r="AC64" s="4"/>
      <x:c r="AD64" s="4"/>
      <x:c r="AE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  <x:c r="AA65" s="4"/>
      <x:c r="AB65" s="4"/>
      <x:c r="AC65" s="4"/>
      <x:c r="AD65" s="4"/>
      <x:c r="AE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  <x:c r="AA66" s="4"/>
      <x:c r="AB66" s="4"/>
      <x:c r="AC66" s="4"/>
      <x:c r="AD66" s="4"/>
      <x:c r="AE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  <x:c r="AA67" s="4"/>
      <x:c r="AB67" s="4"/>
      <x:c r="AC67" s="4"/>
      <x:c r="AD67" s="4"/>
      <x:c r="AE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s="4"/>
      <x:c r="AB68" s="4"/>
      <x:c r="AC68" s="4"/>
      <x:c r="AD68" s="4"/>
      <x:c r="AE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  <x:c r="AA69" s="4"/>
      <x:c r="AB69" s="4"/>
      <x:c r="AC69" s="4"/>
      <x:c r="AD69" s="4"/>
      <x:c r="AE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  <x:c r="AA70" s="4"/>
      <x:c r="AB70" s="4"/>
      <x:c r="AC70" s="4"/>
      <x:c r="AD70" s="4"/>
      <x:c r="AE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  <x:c r="AA71" s="4"/>
      <x:c r="AB71" s="4"/>
      <x:c r="AC71" s="4"/>
      <x:c r="AD71" s="4"/>
      <x:c r="AE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  <x:c r="AA72" s="4"/>
      <x:c r="AB72" s="4"/>
      <x:c r="AC72" s="4"/>
      <x:c r="AD72" s="4"/>
      <x:c r="AE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  <x:c r="AA73" s="4"/>
      <x:c r="AB73" s="4"/>
      <x:c r="AC73" s="4"/>
      <x:c r="AD73" s="4"/>
      <x:c r="AE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  <x:c r="AA74" s="4"/>
      <x:c r="AB74" s="4"/>
      <x:c r="AC74" s="4"/>
      <x:c r="AD74" s="4"/>
      <x:c r="AE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  <x:c r="AA75" s="4"/>
      <x:c r="AB75" s="4"/>
      <x:c r="AC75" s="4"/>
      <x:c r="AD75" s="4"/>
      <x:c r="AE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  <x:c r="AA77" s="4"/>
      <x:c r="AB77" s="4"/>
      <x:c r="AC77" s="4"/>
      <x:c r="AD77" s="4"/>
      <x:c r="AE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  <x:c r="AA78" s="4"/>
      <x:c r="AB78" s="4"/>
      <x:c r="AC78" s="4"/>
      <x:c r="AD78" s="4"/>
      <x:c r="AE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  <x:c r="AA79" s="4"/>
      <x:c r="AB79" s="4"/>
      <x:c r="AC79" s="4"/>
      <x:c r="AD79" s="4"/>
      <x:c r="AE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  <x:c r="AA80" s="4"/>
      <x:c r="AB80" s="4"/>
      <x:c r="AC80" s="4"/>
      <x:c r="AD80" s="4"/>
      <x:c r="AE80" s="4"/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  <x:c r="AA81" s="4"/>
      <x:c r="AB81" s="4"/>
      <x:c r="AC81" s="4"/>
      <x:c r="AD81" s="4"/>
      <x:c r="AE81" s="4"/>
    </x:row>
    <x:row r="82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  <x:c r="AA82" s="4"/>
      <x:c r="AB82" s="4"/>
      <x:c r="AC82" s="4"/>
      <x:c r="AD82" s="4"/>
      <x:c r="AE82" s="4"/>
    </x:row>
    <x:row r="83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  <x:c r="AA83" s="4"/>
      <x:c r="AB83" s="4"/>
      <x:c r="AC83" s="4"/>
      <x:c r="AD83" s="4"/>
      <x:c r="AE83" s="4"/>
    </x:row>
    <x:row r="84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  <x:c r="AA84" s="4"/>
      <x:c r="AB84" s="4"/>
      <x:c r="AC84" s="4"/>
      <x:c r="AD84" s="4"/>
      <x:c r="AE84" s="4"/>
    </x:row>
    <x:row r="85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  <x:c r="AA85" s="4"/>
      <x:c r="AB85" s="4"/>
      <x:c r="AC85" s="4"/>
      <x:c r="AD85" s="4"/>
      <x:c r="AE85" s="4"/>
    </x:row>
    <x:row r="86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  <x:c r="AA86" s="4"/>
      <x:c r="AB86" s="4"/>
      <x:c r="AC86" s="4"/>
      <x:c r="AD86" s="4"/>
      <x:c r="AE86" s="4"/>
    </x:row>
    <x:row r="87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  <x:c r="AA87" s="4"/>
      <x:c r="AB87" s="4"/>
      <x:c r="AC87" s="4"/>
      <x:c r="AD87" s="4"/>
      <x:c r="AE87" s="4"/>
    </x:row>
    <x:row r="88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  <x:c r="AA88" s="4"/>
      <x:c r="AB88" s="4"/>
      <x:c r="AC88" s="4"/>
      <x:c r="AD88" s="4"/>
      <x:c r="AE88" s="4"/>
    </x:row>
    <x:row r="89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  <x:c r="AA89" s="4"/>
      <x:c r="AB89" s="4"/>
      <x:c r="AC89" s="4"/>
      <x:c r="AD89" s="4"/>
      <x:c r="AE89" s="4"/>
    </x:row>
    <x:row r="90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  <x:c r="AA90" s="4"/>
      <x:c r="AB90" s="4"/>
      <x:c r="AC90" s="4"/>
      <x:c r="AD90" s="4"/>
      <x:c r="AE90" s="4"/>
    </x:row>
    <x:row r="9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  <x:c r="AA91" s="4"/>
      <x:c r="AB91" s="4"/>
      <x:c r="AC91" s="4"/>
      <x:c r="AD91" s="4"/>
      <x:c r="AE91" s="4"/>
    </x:row>
    <x:row r="92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  <x:c r="AA92" s="4"/>
      <x:c r="AB92" s="4"/>
      <x:c r="AC92" s="4"/>
      <x:c r="AD92" s="4"/>
      <x:c r="AE92" s="4"/>
    </x:row>
    <x:row r="93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  <x:c r="AA93" s="4"/>
      <x:c r="AB93" s="4"/>
      <x:c r="AC93" s="4"/>
      <x:c r="AD93" s="4"/>
      <x:c r="AE93" s="4"/>
    </x:row>
    <x:row r="94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  <x:c r="AA94" s="4"/>
      <x:c r="AB94" s="4"/>
      <x:c r="AC94" s="4"/>
      <x:c r="AD94" s="4"/>
      <x:c r="AE94" s="4"/>
    </x:row>
    <x:row r="95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  <x:c r="AA96" s="4"/>
      <x:c r="AB96" s="4"/>
      <x:c r="AC96" s="4"/>
      <x:c r="AD96" s="4"/>
      <x:c r="AE96" s="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  <x:c r="AA97" s="4"/>
      <x:c r="AB97" s="4"/>
      <x:c r="AC97" s="4"/>
      <x:c r="AD97" s="4"/>
      <x:c r="AE97" s="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  <x:c r="AA98" s="4"/>
      <x:c r="AB98" s="4"/>
      <x:c r="AC98" s="4"/>
      <x:c r="AD98" s="4"/>
      <x:c r="AE98" s="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  <x:c r="AA99" s="4"/>
      <x:c r="AB99" s="4"/>
      <x:c r="AC99" s="4"/>
      <x:c r="AD99" s="4"/>
      <x:c r="AE99" s="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  <x:c r="AA100" s="4"/>
      <x:c r="AB100" s="4"/>
      <x:c r="AC100" s="4"/>
      <x:c r="AD100" s="4"/>
      <x:c r="AE100" s="4"/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  <x:c r="AA101" s="4"/>
      <x:c r="AB101" s="4"/>
      <x:c r="AC101" s="4"/>
      <x:c r="AD101" s="4"/>
      <x:c r="AE101" s="4"/>
    </x:row>
    <x:row r="102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  <x:c r="AA102" s="4"/>
      <x:c r="AB102" s="4"/>
      <x:c r="AC102" s="4"/>
      <x:c r="AD102" s="4"/>
      <x:c r="AE102" s="4"/>
    </x:row>
    <x:row r="103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  <x:c r="AA103" s="4"/>
      <x:c r="AB103" s="4"/>
      <x:c r="AC103" s="4"/>
      <x:c r="AD103" s="4"/>
      <x:c r="AE103" s="4"/>
    </x:row>
    <x:row r="104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  <x:c r="AA104" s="4"/>
      <x:c r="AB104" s="4"/>
      <x:c r="AC104" s="4"/>
      <x:c r="AD104" s="4"/>
      <x:c r="AE104" s="4"/>
    </x:row>
    <x:row r="105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  <x:c r="AA105" s="4"/>
      <x:c r="AB105" s="4"/>
      <x:c r="AC105" s="4"/>
      <x:c r="AD105" s="4"/>
      <x:c r="AE105" s="4"/>
    </x:row>
    <x:row r="106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  <x:c r="AA106" s="4"/>
      <x:c r="AB106" s="4"/>
      <x:c r="AC106" s="4"/>
      <x:c r="AD106" s="4"/>
      <x:c r="AE106" s="4"/>
    </x:row>
    <x:row r="107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  <x:c r="AA107" s="4"/>
      <x:c r="AB107" s="4"/>
      <x:c r="AC107" s="4"/>
      <x:c r="AD107" s="4"/>
      <x:c r="AE107" s="4"/>
    </x:row>
    <x:row r="108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  <x:c r="AA108" s="4"/>
      <x:c r="AB108" s="4"/>
      <x:c r="AC108" s="4"/>
      <x:c r="AD108" s="4"/>
      <x:c r="AE108" s="4"/>
    </x:row>
    <x:row r="109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  <x:c r="AA109" s="4"/>
      <x:c r="AB109" s="4"/>
      <x:c r="AC109" s="4"/>
      <x:c r="AD109" s="4"/>
      <x:c r="AE109" s="4"/>
    </x:row>
    <x:row r="110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  <x:c r="AA110" s="4"/>
      <x:c r="AB110" s="4"/>
      <x:c r="AC110" s="4"/>
      <x:c r="AD110" s="4"/>
      <x:c r="AE110" s="4"/>
    </x:row>
    <x:row r="11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  <x:c r="AA111" s="4"/>
      <x:c r="AB111" s="4"/>
      <x:c r="AC111" s="4"/>
      <x:c r="AD111" s="4"/>
      <x:c r="AE111" s="4"/>
    </x:row>
    <x:row r="112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  <x:c r="AA112" s="4"/>
      <x:c r="AB112" s="4"/>
      <x:c r="AC112" s="4"/>
      <x:c r="AD112" s="4"/>
      <x:c r="AE112" s="4"/>
    </x:row>
    <x:row r="113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  <x:c r="AA113" s="4"/>
      <x:c r="AB113" s="4"/>
      <x:c r="AC113" s="4"/>
      <x:c r="AD113" s="4"/>
      <x:c r="AE113" s="4"/>
    </x:row>
    <x:row r="114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  <x:c r="AA114" s="4"/>
      <x:c r="AB114" s="4"/>
      <x:c r="AC114" s="4"/>
      <x:c r="AD114" s="4"/>
      <x:c r="AE114" s="4"/>
    </x:row>
    <x:row r="115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  <x:c r="AA115" s="4"/>
      <x:c r="AB115" s="4"/>
      <x:c r="AC115" s="4"/>
      <x:c r="AD115" s="4"/>
      <x:c r="AE115" s="4"/>
    </x:row>
    <x:row r="116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  <x:c r="AA116" s="4"/>
      <x:c r="AB116" s="4"/>
      <x:c r="AC116" s="4"/>
      <x:c r="AD116" s="4"/>
      <x:c r="AE116" s="4"/>
    </x:row>
    <x:row r="117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  <x:c r="AA117" s="4"/>
      <x:c r="AB117" s="4"/>
      <x:c r="AC117" s="4"/>
      <x:c r="AD117" s="4"/>
      <x:c r="AE117" s="4"/>
    </x:row>
    <x:row r="118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  <x:c r="AA118" s="4"/>
      <x:c r="AB118" s="4"/>
      <x:c r="AC118" s="4"/>
      <x:c r="AD118" s="4"/>
      <x:c r="AE118" s="4"/>
    </x:row>
    <x:row r="119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  <x:c r="AA119" s="4"/>
      <x:c r="AB119" s="4"/>
      <x:c r="AC119" s="4"/>
      <x:c r="AD119" s="4"/>
      <x:c r="AE119" s="4"/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  <x:c r="AA120" s="4"/>
      <x:c r="AB120" s="4"/>
      <x:c r="AC120" s="4"/>
      <x:c r="AD120" s="4"/>
      <x:c r="AE120" s="4"/>
    </x:row>
    <x:row r="12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  <x:c r="AA121" s="4"/>
      <x:c r="AB121" s="4"/>
      <x:c r="AC121" s="4"/>
      <x:c r="AD121" s="4"/>
      <x:c r="AE121" s="4"/>
    </x:row>
    <x:row r="122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  <x:c r="AA122" s="4"/>
      <x:c r="AB122" s="4"/>
      <x:c r="AC122" s="4"/>
      <x:c r="AD122" s="4"/>
      <x:c r="AE122" s="4"/>
    </x:row>
    <x:row r="123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  <x:c r="AA123" s="4"/>
      <x:c r="AB123" s="4"/>
      <x:c r="AC123" s="4"/>
      <x:c r="AD123" s="4"/>
      <x:c r="AE123" s="4"/>
    </x:row>
    <x:row r="124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  <x:c r="AA124" s="4"/>
      <x:c r="AB124" s="4"/>
      <x:c r="AC124" s="4"/>
      <x:c r="AD124" s="4"/>
      <x:c r="AE124" s="4"/>
    </x:row>
    <x:row r="125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  <x:c r="AA125" s="4"/>
      <x:c r="AB125" s="4"/>
      <x:c r="AC125" s="4"/>
      <x:c r="AD125" s="4"/>
      <x:c r="AE125" s="4"/>
    </x:row>
    <x:row r="126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  <x:c r="AA126" s="4"/>
      <x:c r="AB126" s="4"/>
      <x:c r="AC126" s="4"/>
      <x:c r="AD126" s="4"/>
      <x:c r="AE126" s="4"/>
    </x:row>
    <x:row r="127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  <x:c r="AA127" s="4"/>
      <x:c r="AB127" s="4"/>
      <x:c r="AC127" s="4"/>
      <x:c r="AD127" s="4"/>
      <x:c r="AE127" s="4"/>
    </x:row>
    <x:row r="128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  <x:c r="AA128" s="4"/>
      <x:c r="AB128" s="4"/>
      <x:c r="AC128" s="4"/>
      <x:c r="AD128" s="4"/>
      <x:c r="AE128" s="4"/>
    </x:row>
    <x:row r="129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  <x:c r="AA129" s="4"/>
      <x:c r="AB129" s="4"/>
      <x:c r="AC129" s="4"/>
      <x:c r="AD129" s="4"/>
      <x:c r="AE129" s="4"/>
    </x:row>
    <x:row r="130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  <x:c r="AA130" s="4"/>
      <x:c r="AB130" s="4"/>
      <x:c r="AC130" s="4"/>
      <x:c r="AD130" s="4"/>
      <x:c r="AE130" s="4"/>
    </x:row>
    <x:row r="13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  <x:c r="AA131" s="4"/>
      <x:c r="AB131" s="4"/>
      <x:c r="AC131" s="4"/>
      <x:c r="AD131" s="4"/>
      <x:c r="AE131" s="4"/>
    </x:row>
    <x:row r="132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  <x:c r="AA132" s="4"/>
      <x:c r="AB132" s="4"/>
      <x:c r="AC132" s="4"/>
      <x:c r="AD132" s="4"/>
      <x:c r="AE132" s="4"/>
    </x:row>
    <x:row r="133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  <x:c r="AA133" s="4"/>
      <x:c r="AB133" s="4"/>
      <x:c r="AC133" s="4"/>
      <x:c r="AD133" s="4"/>
      <x:c r="AE133" s="4"/>
    </x:row>
    <x:row r="134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  <x:c r="AA134" s="4"/>
      <x:c r="AB134" s="4"/>
      <x:c r="AC134" s="4"/>
      <x:c r="AD134" s="4"/>
      <x:c r="AE134" s="4"/>
    </x:row>
    <x:row r="135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  <x:c r="AA135" s="4"/>
      <x:c r="AB135" s="4"/>
      <x:c r="AC135" s="4"/>
      <x:c r="AD135" s="4"/>
      <x:c r="AE135" s="4"/>
    </x:row>
    <x:row r="136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  <x:c r="AA136" s="4"/>
      <x:c r="AB136" s="4"/>
      <x:c r="AC136" s="4"/>
      <x:c r="AD136" s="4"/>
      <x:c r="AE136" s="4"/>
    </x:row>
    <x:row r="137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  <x:c r="AA137" s="4"/>
      <x:c r="AB137" s="4"/>
      <x:c r="AC137" s="4"/>
      <x:c r="AD137" s="4"/>
      <x:c r="AE137" s="4"/>
    </x:row>
    <x:row r="138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  <x:c r="AA138" s="4"/>
      <x:c r="AB138" s="4"/>
      <x:c r="AC138" s="4"/>
      <x:c r="AD138" s="4"/>
      <x:c r="AE138" s="4"/>
    </x:row>
    <x:row r="139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  <x:c r="AA139" s="4"/>
      <x:c r="AB139" s="4"/>
      <x:c r="AC139" s="4"/>
      <x:c r="AD139" s="4"/>
      <x:c r="AE139" s="4"/>
    </x:row>
    <x:row r="140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  <x:c r="AA140" s="4"/>
      <x:c r="AB140" s="4"/>
      <x:c r="AC140" s="4"/>
      <x:c r="AD140" s="4"/>
      <x:c r="AE140" s="4"/>
    </x:row>
    <x:row r="14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  <x:c r="AA141" s="4"/>
      <x:c r="AB141" s="4"/>
      <x:c r="AC141" s="4"/>
      <x:c r="AD141" s="4"/>
      <x:c r="AE141" s="4"/>
    </x:row>
    <x:row r="142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  <x:c r="AA142" s="4"/>
      <x:c r="AB142" s="4"/>
      <x:c r="AC142" s="4"/>
      <x:c r="AD142" s="4"/>
      <x:c r="AE142" s="4"/>
    </x:row>
    <x:row r="143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  <x:c r="AA143" s="4"/>
      <x:c r="AB143" s="4"/>
      <x:c r="AC143" s="4"/>
      <x:c r="AD143" s="4"/>
      <x:c r="AE143" s="4"/>
    </x:row>
    <x:row r="144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  <x:c r="AA144" s="4"/>
      <x:c r="AB144" s="4"/>
      <x:c r="AC144" s="4"/>
      <x:c r="AD144" s="4"/>
      <x:c r="AE144" s="4"/>
    </x:row>
    <x:row r="145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  <x:c r="AA145" s="4"/>
      <x:c r="AB145" s="4"/>
      <x:c r="AC145" s="4"/>
      <x:c r="AD145" s="4"/>
      <x:c r="AE145" s="4"/>
    </x:row>
    <x:row r="146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  <x:c r="AA146" s="4"/>
      <x:c r="AB146" s="4"/>
      <x:c r="AC146" s="4"/>
      <x:c r="AD146" s="4"/>
      <x:c r="AE146" s="4"/>
    </x:row>
    <x:row r="147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  <x:c r="AA147" s="4"/>
      <x:c r="AB147" s="4"/>
      <x:c r="AC147" s="4"/>
      <x:c r="AD147" s="4"/>
      <x:c r="AE147" s="4"/>
    </x:row>
    <x:row r="148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  <x:c r="AA148" s="4"/>
      <x:c r="AB148" s="4"/>
      <x:c r="AC148" s="4"/>
      <x:c r="AD148" s="4"/>
      <x:c r="AE148" s="4"/>
    </x:row>
    <x:row r="149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  <x:c r="AA149" s="4"/>
      <x:c r="AB149" s="4"/>
      <x:c r="AC149" s="4"/>
      <x:c r="AD149" s="4"/>
      <x:c r="AE149" s="4"/>
    </x:row>
    <x:row r="150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  <x:c r="AA150" s="4"/>
      <x:c r="AB150" s="4"/>
      <x:c r="AC150" s="4"/>
      <x:c r="AD150" s="4"/>
      <x:c r="AE150" s="4"/>
    </x:row>
    <x:row r="15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  <x:c r="AA151" s="4"/>
      <x:c r="AB151" s="4"/>
      <x:c r="AC151" s="4"/>
      <x:c r="AD151" s="4"/>
      <x:c r="AE151" s="4"/>
    </x:row>
    <x:row r="152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  <x:c r="AA152" s="4"/>
      <x:c r="AB152" s="4"/>
      <x:c r="AC152" s="4"/>
      <x:c r="AD152" s="4"/>
      <x:c r="AE152" s="4"/>
    </x:row>
    <x:row r="153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  <x:c r="AA153" s="4"/>
      <x:c r="AB153" s="4"/>
      <x:c r="AC153" s="4"/>
      <x:c r="AD153" s="4"/>
      <x:c r="AE153" s="4"/>
    </x:row>
    <x:row r="154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  <x:c r="AA154" s="4"/>
      <x:c r="AB154" s="4"/>
      <x:c r="AC154" s="4"/>
      <x:c r="AD154" s="4"/>
      <x:c r="AE154" s="4"/>
    </x:row>
    <x:row r="155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  <x:c r="AA155" s="4"/>
      <x:c r="AB155" s="4"/>
      <x:c r="AC155" s="4"/>
      <x:c r="AD155" s="4"/>
      <x:c r="AE155" s="4"/>
    </x:row>
    <x:row r="156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  <x:c r="AA156" s="4"/>
      <x:c r="AB156" s="4"/>
      <x:c r="AC156" s="4"/>
      <x:c r="AD156" s="4"/>
      <x:c r="AE156" s="4"/>
    </x:row>
    <x:row r="157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  <x:c r="AA157" s="4"/>
      <x:c r="AB157" s="4"/>
      <x:c r="AC157" s="4"/>
      <x:c r="AD157" s="4"/>
      <x:c r="AE157" s="4"/>
    </x:row>
    <x:row r="158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  <x:c r="AA158" s="4"/>
      <x:c r="AB158" s="4"/>
      <x:c r="AC158" s="4"/>
      <x:c r="AD158" s="4"/>
      <x:c r="AE158" s="4"/>
    </x:row>
    <x:row r="159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  <x:c r="AA159" s="4"/>
      <x:c r="AB159" s="4"/>
      <x:c r="AC159" s="4"/>
      <x:c r="AD159" s="4"/>
      <x:c r="AE159" s="4"/>
    </x:row>
    <x:row r="160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  <x:c r="AA160" s="4"/>
      <x:c r="AB160" s="4"/>
      <x:c r="AC160" s="4"/>
      <x:c r="AD160" s="4"/>
      <x:c r="AE160" s="4"/>
    </x:row>
    <x:row r="16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  <x:c r="AA161" s="4"/>
      <x:c r="AB161" s="4"/>
      <x:c r="AC161" s="4"/>
      <x:c r="AD161" s="4"/>
      <x:c r="AE161" s="4"/>
    </x:row>
    <x:row r="162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  <x:c r="AA162" s="4"/>
      <x:c r="AB162" s="4"/>
      <x:c r="AC162" s="4"/>
      <x:c r="AD162" s="4"/>
      <x:c r="AE162" s="4"/>
    </x:row>
    <x:row r="163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  <x:c r="AA163" s="4"/>
      <x:c r="AB163" s="4"/>
      <x:c r="AC163" s="4"/>
      <x:c r="AD163" s="4"/>
      <x:c r="AE163" s="4"/>
    </x:row>
    <x:row r="164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  <x:c r="AA164" s="4"/>
      <x:c r="AB164" s="4"/>
      <x:c r="AC164" s="4"/>
      <x:c r="AD164" s="4"/>
      <x:c r="AE164" s="4"/>
    </x:row>
    <x:row r="165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  <x:c r="AA165" s="4"/>
      <x:c r="AB165" s="4"/>
      <x:c r="AC165" s="4"/>
      <x:c r="AD165" s="4"/>
      <x:c r="AE165" s="4"/>
    </x:row>
    <x:row r="166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  <x:c r="AA166" s="4"/>
      <x:c r="AB166" s="4"/>
      <x:c r="AC166" s="4"/>
      <x:c r="AD166" s="4"/>
      <x:c r="AE166" s="4"/>
    </x:row>
    <x:row r="167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  <x:c r="AA167" s="4"/>
      <x:c r="AB167" s="4"/>
      <x:c r="AC167" s="4"/>
      <x:c r="AD167" s="4"/>
      <x:c r="AE167" s="4"/>
    </x:row>
    <x:row r="168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  <x:c r="AA168" s="4"/>
      <x:c r="AB168" s="4"/>
      <x:c r="AC168" s="4"/>
      <x:c r="AD168" s="4"/>
      <x:c r="AE168" s="4"/>
    </x:row>
    <x:row r="169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  <x:c r="AA169" s="4"/>
      <x:c r="AB169" s="4"/>
      <x:c r="AC169" s="4"/>
      <x:c r="AD169" s="4"/>
      <x:c r="AE169" s="4"/>
    </x:row>
    <x:row r="170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  <x:c r="AA170" s="4"/>
      <x:c r="AB170" s="4"/>
      <x:c r="AC170" s="4"/>
      <x:c r="AD170" s="4"/>
      <x:c r="AE170" s="4"/>
    </x:row>
    <x:row r="17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  <x:c r="AA171" s="4"/>
      <x:c r="AB171" s="4"/>
      <x:c r="AC171" s="4"/>
      <x:c r="AD171" s="4"/>
      <x:c r="AE171" s="4"/>
    </x:row>
    <x:row r="172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  <x:c r="AA172" s="4"/>
      <x:c r="AB172" s="4"/>
      <x:c r="AC172" s="4"/>
      <x:c r="AD172" s="4"/>
      <x:c r="AE172" s="4"/>
    </x:row>
    <x:row r="173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  <x:c r="AA173" s="4"/>
      <x:c r="AB173" s="4"/>
      <x:c r="AC173" s="4"/>
      <x:c r="AD173" s="4"/>
      <x:c r="AE173" s="4"/>
    </x:row>
    <x:row r="174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  <x:c r="AA174" s="4"/>
      <x:c r="AB174" s="4"/>
      <x:c r="AC174" s="4"/>
      <x:c r="AD174" s="4"/>
      <x:c r="AE174" s="4"/>
    </x:row>
    <x:row r="175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  <x:c r="AA175" s="4"/>
      <x:c r="AB175" s="4"/>
      <x:c r="AC175" s="4"/>
      <x:c r="AD175" s="4"/>
      <x:c r="AE175" s="4"/>
    </x:row>
    <x:row r="176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  <x:c r="AA176" s="4"/>
      <x:c r="AB176" s="4"/>
      <x:c r="AC176" s="4"/>
      <x:c r="AD176" s="4"/>
      <x:c r="AE176" s="4"/>
    </x:row>
    <x:row r="177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  <x:c r="AA177" s="4"/>
      <x:c r="AB177" s="4"/>
      <x:c r="AC177" s="4"/>
      <x:c r="AD177" s="4"/>
      <x:c r="AE177" s="4"/>
    </x:row>
    <x:row r="178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  <x:c r="AA178" s="4"/>
      <x:c r="AB178" s="4"/>
      <x:c r="AC178" s="4"/>
      <x:c r="AD178" s="4"/>
      <x:c r="AE178" s="4"/>
    </x:row>
    <x:row r="179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  <x:c r="AA179" s="4"/>
      <x:c r="AB179" s="4"/>
      <x:c r="AC179" s="4"/>
      <x:c r="AD179" s="4"/>
      <x:c r="AE179" s="4"/>
    </x:row>
    <x:row r="180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  <x:c r="AA180" s="4"/>
      <x:c r="AB180" s="4"/>
      <x:c r="AC180" s="4"/>
      <x:c r="AD180" s="4"/>
      <x:c r="AE180" s="4"/>
    </x:row>
    <x:row r="18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  <x:c r="AA181" s="4"/>
      <x:c r="AB181" s="4"/>
      <x:c r="AC181" s="4"/>
      <x:c r="AD181" s="4"/>
      <x:c r="AE181" s="4"/>
    </x:row>
    <x:row r="182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  <x:c r="AA182" s="4"/>
      <x:c r="AB182" s="4"/>
      <x:c r="AC182" s="4"/>
      <x:c r="AD182" s="4"/>
      <x:c r="AE182" s="4"/>
    </x:row>
    <x:row r="183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  <x:c r="AA183" s="4"/>
      <x:c r="AB183" s="4"/>
      <x:c r="AC183" s="4"/>
      <x:c r="AD183" s="4"/>
      <x:c r="AE183" s="4"/>
    </x:row>
    <x:row r="184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  <x:c r="AA184" s="4"/>
      <x:c r="AB184" s="4"/>
      <x:c r="AC184" s="4"/>
      <x:c r="AD184" s="4"/>
      <x:c r="AE184" s="4"/>
    </x:row>
    <x:row r="185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  <x:c r="AA185" s="4"/>
      <x:c r="AB185" s="4"/>
      <x:c r="AC185" s="4"/>
      <x:c r="AD185" s="4"/>
      <x:c r="AE185" s="4"/>
    </x:row>
    <x:row r="186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  <x:c r="AA186" s="4"/>
      <x:c r="AB186" s="4"/>
      <x:c r="AC186" s="4"/>
      <x:c r="AD186" s="4"/>
      <x:c r="AE186" s="4"/>
    </x:row>
    <x:row r="187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  <x:c r="AA187" s="4"/>
      <x:c r="AB187" s="4"/>
      <x:c r="AC187" s="4"/>
      <x:c r="AD187" s="4"/>
      <x:c r="AE187" s="4"/>
    </x:row>
    <x:row r="188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  <x:c r="AA188" s="4"/>
      <x:c r="AB188" s="4"/>
      <x:c r="AC188" s="4"/>
      <x:c r="AD188" s="4"/>
      <x:c r="AE188" s="4"/>
    </x:row>
    <x:row r="189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  <x:c r="AA189" s="4"/>
      <x:c r="AB189" s="4"/>
      <x:c r="AC189" s="4"/>
      <x:c r="AD189" s="4"/>
      <x:c r="AE189" s="4"/>
    </x:row>
    <x:row r="190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  <x:c r="AA190" s="4"/>
      <x:c r="AB190" s="4"/>
      <x:c r="AC190" s="4"/>
      <x:c r="AD190" s="4"/>
      <x:c r="AE190" s="4"/>
    </x:row>
    <x:row r="19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  <x:c r="AA191" s="4"/>
      <x:c r="AB191" s="4"/>
      <x:c r="AC191" s="4"/>
      <x:c r="AD191" s="4"/>
      <x:c r="AE191" s="4"/>
    </x:row>
    <x:row r="192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  <x:c r="AA192" s="4"/>
      <x:c r="AB192" s="4"/>
      <x:c r="AC192" s="4"/>
      <x:c r="AD192" s="4"/>
      <x:c r="AE192" s="4"/>
    </x:row>
    <x:row r="193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  <x:c r="AA193" s="4"/>
      <x:c r="AB193" s="4"/>
      <x:c r="AC193" s="4"/>
      <x:c r="AD193" s="4"/>
      <x:c r="AE193" s="4"/>
    </x:row>
    <x:row r="194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  <x:c r="AA194" s="4"/>
      <x:c r="AB194" s="4"/>
      <x:c r="AC194" s="4"/>
      <x:c r="AD194" s="4"/>
      <x:c r="AE194" s="4"/>
    </x:row>
    <x:row r="195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  <x:c r="AA195" s="4"/>
      <x:c r="AB195" s="4"/>
      <x:c r="AC195" s="4"/>
      <x:c r="AD195" s="4"/>
      <x:c r="AE195" s="4"/>
    </x:row>
    <x:row r="196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  <x:c r="AA196" s="4"/>
      <x:c r="AB196" s="4"/>
      <x:c r="AC196" s="4"/>
      <x:c r="AD196" s="4"/>
      <x:c r="AE196" s="4"/>
    </x:row>
    <x:row r="197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  <x:c r="AA197" s="4"/>
      <x:c r="AB197" s="4"/>
      <x:c r="AC197" s="4"/>
      <x:c r="AD197" s="4"/>
      <x:c r="AE197" s="4"/>
    </x:row>
    <x:row r="198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  <x:c r="AA198" s="4"/>
      <x:c r="AB198" s="4"/>
      <x:c r="AC198" s="4"/>
      <x:c r="AD198" s="4"/>
      <x:c r="AE198" s="4"/>
    </x:row>
    <x:row r="199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  <x:c r="AA199" s="4"/>
      <x:c r="AB199" s="4"/>
      <x:c r="AC199" s="4"/>
      <x:c r="AD199" s="4"/>
      <x:c r="AE199" s="4"/>
    </x:row>
    <x:row r="200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  <x:c r="AA200" s="4"/>
      <x:c r="AB200" s="4"/>
      <x:c r="AC200" s="4"/>
      <x:c r="AD200" s="4"/>
      <x:c r="AE200" s="4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9" hidden="0" customWidth="1"/>
    <x:col min="3" max="3" width="8" hidden="0" customWidth="1"/>
    <x:col min="4" max="4" width="16" hidden="0" customWidth="1"/>
    <x:col min="5" max="5" width="30" hidden="0" customWidth="1"/>
    <x:col min="6" max="6" width="24" hidden="0" customWidth="1"/>
    <x:col min="7" max="7" width="34" hidden="0" customWidth="1"/>
    <x:col min="8" max="8" width="8" hidden="0" customWidth="1"/>
    <x:col min="9" max="9" width="8" hidden="0" customWidth="1"/>
    <x:col min="10" max="10" width="14" hidden="0" customWidth="1"/>
    <x:col min="11" max="11" width="10" hidden="0" customWidth="1"/>
    <x:col min="12" max="12" width="18" hidden="0" customWidth="1"/>
    <x:col min="14" max="14" width="14" hidden="0" customWidth="1"/>
    <x:col min="15" max="15" width="42" hidden="0" customWidth="1"/>
    <x:col min="13" max="13" width="20" hidden="0" customWidth="1"/>
  </x:cols>
  <x:sheetData>
    <x:row r="1">
      <x:c r="A1" s="118" t="str">
        <x:v>Hastings Texas Application Dashboard — Statewide V4</x:v>
      </x:c>
      <x:c r="B1" s="118"/>
      <x:c r="C1" s="118"/>
      <x:c r="D1" s="118"/>
      <x:c r="E1" s="118"/>
      <x:c r="F1" s="118"/>
      <x:c r="G1" s="118"/>
      <x:c r="H1" s="118"/>
      <x:c r="I1" s="118"/>
      <x:c r="J1" s="118"/>
      <x:c r="K1" s="118"/>
      <x:c r="L1" s="118"/>
      <x:c r="M1" s="118"/>
      <x:c r="N1" s="118"/>
      <x:c r="O1" s="118"/>
    </x:row>
    <x:row r="2">
      <x:c r="A2" s="121" t="str">
        <x:v>Use Master Hunt List as the source of truth. Mark Applied = Yes, enter applicant(s), date, confirmation number, and draw status there.</x:v>
      </x:c>
      <x:c r="B2" s="121"/>
      <x:c r="C2" s="121"/>
      <x:c r="D2" s="121"/>
      <x:c r="E2" s="121"/>
      <x:c r="F2" s="121"/>
      <x:c r="G2" s="121"/>
      <x:c r="H2" s="121"/>
      <x:c r="I2" s="121"/>
      <x:c r="J2" s="121"/>
      <x:c r="K2" s="121"/>
      <x:c r="L2" s="121"/>
      <x:c r="M2" s="121"/>
      <x:c r="N2" s="121"/>
      <x:c r="O2" s="121"/>
    </x:row>
    <x:row r="4">
      <x:c r="A4" s="127" t="str">
        <x:v>Total Texas deer opportunities</x:v>
      </x:c>
      <x:c r="B4" s="38"/>
      <x:c r="C4" s="38"/>
      <x:c r="D4" s="127" t="str">
        <x:v>Youth-eligible deer opportunities</x:v>
      </x:c>
      <x:c r="E4" s="38"/>
      <x:c r="F4" s="38"/>
      <x:c r="G4" s="127" t="str">
        <x:v>Applied</x:v>
      </x:c>
      <x:c r="H4" s="38"/>
      <x:c r="I4" s="38"/>
      <x:c r="J4" s="127" t="str">
        <x:v>Still to apply</x:v>
      </x:c>
      <x:c r="K4" s="38"/>
      <x:c r="L4" s="38"/>
      <x:c r="M4" s="129" t="str">
        <x:v>Application fees submitted</x:v>
      </x:c>
      <x:c r="N4" s="46"/>
      <x:c r="O4" s="46"/>
    </x:row>
    <x:row r="5">
      <x:c r="A5" s="129" t="n">
        <x:f>COUNTIF('Master Hunt List'!$C$2:$C$295,"*Deer")</x:f>
        <x:v>0</x:v>
      </x:c>
      <x:c r="B5" s="40"/>
      <x:c r="C5" s="2"/>
      <x:c r="D5" s="129" t="n">
        <x:f>COUNTIFS('Master Hunt List'!$C$2:$C$295,"*Deer",'Master Hunt List'!$H$2:$H$295,"Yes")</x:f>
        <x:v>0</x:v>
      </x:c>
      <x:c r="E5" s="2"/>
      <x:c r="F5" s="2"/>
      <x:c r="G5" s="129" t="n">
        <x:f>COUNTIFS('Master Hunt List'!$C$2:$C$295,"*Deer",'Master Hunt List'!$A$2:$A$295,"Yes")</x:f>
        <x:v>0</x:v>
      </x:c>
      <x:c r="H5" s="2"/>
      <x:c r="I5" s="2"/>
      <x:c r="J5" s="133" t="n">
        <x:f>COUNTIFS('Master Hunt List'!$C$2:$C$295,"*Deer",'Master Hunt List'!$A$2:$A$295,"No")</x:f>
        <x:v>0</x:v>
      </x:c>
      <x:c r="K5" s="2"/>
      <x:c r="L5" s="2"/>
      <x:c r="M5" s="137" t="n">
        <x:f>SUMIFS('Master Hunt List'!$K$2:$K$295,'Master Hunt List'!$C$2:$C$295,"*Deer",'Master Hunt List'!$A$2:$A$295,"Yes")</x:f>
        <x:v>0</x:v>
      </x:c>
      <x:c r="N5" s="49"/>
      <x:c r="O5" s="50"/>
    </x:row>
    <x:row r="6">
      <x:c r="A6" s="2"/>
      <x:c r="B6" s="40"/>
      <x:c r="C6" s="2"/>
      <x:c r="D6" s="2"/>
      <x:c r="E6" s="2"/>
      <x:c r="F6" s="2"/>
      <x:c r="G6" s="2"/>
      <x:c r="H6" s="2"/>
      <x:c r="I6" s="2"/>
      <x:c r="J6" s="47"/>
      <x:c r="K6" s="2"/>
      <x:c r="L6" s="2"/>
      <x:c r="N6" s="49"/>
      <x:c r="O6" s="50"/>
    </x:row>
    <x:row r="7">
      <x:c r="A7" s="2"/>
      <x:c r="B7" s="40"/>
      <x:c r="C7" s="2"/>
      <x:c r="D7" s="2"/>
      <x:c r="E7" s="2"/>
      <x:c r="F7" s="2"/>
      <x:c r="G7" s="2"/>
      <x:c r="H7" s="2"/>
      <x:c r="I7" s="2"/>
      <x:c r="J7" s="47"/>
      <x:c r="K7" s="2"/>
      <x:c r="L7" s="2"/>
      <x:c r="N7" s="49"/>
      <x:c r="O7" s="50"/>
    </x:row>
    <x:row r="8">
      <x:c r="A8" s="116" t="str">
        <x:v>Master Row</x:v>
      </x:c>
      <x:c r="B8" s="142" t="str">
        <x:v>Applied</x:v>
      </x:c>
      <x:c r="C8" s="116" t="str">
        <x:v>Priority</x:v>
      </x:c>
      <x:c r="D8" s="116" t="str">
        <x:v>Species</x:v>
      </x:c>
      <x:c r="E8" s="116" t="str">
        <x:v>Hunt Area</x:v>
      </x:c>
      <x:c r="F8" s="116" t="str">
        <x:v>Region</x:v>
      </x:c>
      <x:c r="G8" s="116" t="str">
        <x:v>Category</x:v>
      </x:c>
      <x:c r="H8" s="116" t="str">
        <x:v>Adult</x:v>
      </x:c>
      <x:c r="I8" s="116" t="str">
        <x:v>Youth</x:v>
      </x:c>
      <x:c r="J8" s="143" t="str">
        <x:v>Deadline</x:v>
      </x:c>
      <x:c r="K8" s="116" t="str">
        <x:v>Fee</x:v>
      </x:c>
      <x:c r="L8" s="116" t="str">
        <x:v>Applicant(s)</x:v>
      </x:c>
      <x:c r="M8" s="116" t="str">
        <x:v>Confirmation #</x:v>
      </x:c>
      <x:c r="N8" s="116" t="str">
        <x:v>Draw Status</x:v>
      </x:c>
      <x:c r="O8" s="116" t="str">
        <x:v>Source URL</x:v>
      </x:c>
    </x:row>
    <x:row r="9">
      <x:c r="A9" s="2" t="n">
        <x:f>2</x:f>
        <x:v>2</x:v>
      </x:c>
      <x:c r="B9" s="40" t="str">
        <x:f>'Master Hunt List'!A2</x:f>
        <x:v>No</x:v>
      </x:c>
      <x:c r="C9" s="2" t="str">
        <x:f>'Master Hunt List'!B2</x:f>
        <x:v>A</x:v>
      </x:c>
      <x:c r="D9" s="2" t="str">
        <x:f>'Master Hunt List'!C2</x:f>
        <x:v>Mule Deer</x:v>
      </x:c>
      <x:c r="E9" s="2" t="str">
        <x:f>'Master Hunt List'!D2</x:f>
        <x:v>Big Bend Ranch SP</x:v>
      </x:c>
      <x:c r="F9" s="2" t="str">
        <x:f>'Master Hunt List'!E2</x:f>
        <x:v>Trans-Pecos / West Texas</x:v>
      </x:c>
      <x:c r="G9" s="2" t="str">
        <x:f>'Master Hunt List'!F2</x:f>
        <x:v>Archery Mule Deer</x:v>
      </x:c>
      <x:c r="H9" s="2" t="str">
        <x:f>'Master Hunt List'!G2</x:f>
        <x:v>Yes</x:v>
      </x:c>
      <x:c r="I9" s="2" t="str">
        <x:f>'Master Hunt List'!H2</x:f>
        <x:v>Yes</x:v>
      </x:c>
      <x:c r="J9" s="97" t="str">
        <x:f>'Master Hunt List'!I2</x:f>
        <x:v>2026-08-15</x:v>
      </x:c>
      <x:c r="K9" s="111" t="n">
        <x:f>'Master Hunt List'!K2</x:f>
        <x:v>3</x:v>
      </x:c>
      <x:c r="L9" s="2" t="n">
        <x:f>'Master Hunt List'!AF2</x:f>
        <x:v>0</x:v>
      </x:c>
      <x:c r="M9" s="2" t="n">
        <x:f>'Master Hunt List'!AH2</x:f>
        <x:v>0</x:v>
      </x:c>
      <x:c r="N9" s="144" t="n">
        <x:f>'Master Hunt List'!AI2</x:f>
        <x:v>0</x:v>
      </x:c>
      <x:c r="O9" s="145" t="str">
        <x:f>'Master Hunt List'!V2</x:f>
        <x:v>https://tpwd.texas.gov/huntwild/hunt/public/public_hunt_drawing/hunt-category-details.phtml?OCat=AMD</x:v>
      </x:c>
    </x:row>
    <x:row r="10">
      <x:c r="A10" s="2" t="n">
        <x:f>3</x:f>
        <x:v>3</x:v>
      </x:c>
      <x:c r="B10" s="40" t="str">
        <x:f>'Master Hunt List'!A3</x:f>
        <x:v>No</x:v>
      </x:c>
      <x:c r="C10" s="2" t="str">
        <x:f>'Master Hunt List'!B3</x:f>
        <x:v>A</x:v>
      </x:c>
      <x:c r="D10" s="2" t="str">
        <x:f>'Master Hunt List'!C3</x:f>
        <x:v>Mule Deer</x:v>
      </x:c>
      <x:c r="E10" s="2" t="str">
        <x:f>'Master Hunt List'!D3</x:f>
        <x:v>Black Gap WMA</x:v>
      </x:c>
      <x:c r="F10" s="2" t="str">
        <x:f>'Master Hunt List'!E3</x:f>
        <x:v>Trans-Pecos / West Texas</x:v>
      </x:c>
      <x:c r="G10" s="2" t="str">
        <x:f>'Master Hunt List'!F3</x:f>
        <x:v>Archery Mule Deer</x:v>
      </x:c>
      <x:c r="H10" s="2" t="str">
        <x:f>'Master Hunt List'!G3</x:f>
        <x:v>Yes</x:v>
      </x:c>
      <x:c r="I10" s="2" t="str">
        <x:f>'Master Hunt List'!H3</x:f>
        <x:v>Yes</x:v>
      </x:c>
      <x:c r="J10" s="97" t="str">
        <x:f>'Master Hunt List'!I3</x:f>
        <x:v>2026-08-15</x:v>
      </x:c>
      <x:c r="K10" s="111" t="n">
        <x:f>'Master Hunt List'!K3</x:f>
        <x:v>3</x:v>
      </x:c>
      <x:c r="L10" s="2" t="n">
        <x:f>'Master Hunt List'!AF3</x:f>
        <x:v>0</x:v>
      </x:c>
      <x:c r="M10" s="2" t="n">
        <x:f>'Master Hunt List'!AH3</x:f>
        <x:v>0</x:v>
      </x:c>
      <x:c r="N10" s="144" t="n">
        <x:f>'Master Hunt List'!AI3</x:f>
        <x:v>0</x:v>
      </x:c>
      <x:c r="O10" s="145" t="str">
        <x:f>'Master Hunt List'!V3</x:f>
        <x:v>https://tpwd.texas.gov/huntwild/hunt/public/public_hunt_drawing/hunt-category-details.phtml?OCat=AMD</x:v>
      </x:c>
    </x:row>
    <x:row r="11">
      <x:c r="A11" s="2" t="n">
        <x:f>4</x:f>
        <x:v>4</x:v>
      </x:c>
      <x:c r="B11" s="40" t="str">
        <x:f>'Master Hunt List'!A4</x:f>
        <x:v>No</x:v>
      </x:c>
      <x:c r="C11" s="2" t="str">
        <x:f>'Master Hunt List'!B4</x:f>
        <x:v>A</x:v>
      </x:c>
      <x:c r="D11" s="2" t="str">
        <x:f>'Master Hunt List'!C4</x:f>
        <x:v>Mule Deer</x:v>
      </x:c>
      <x:c r="E11" s="2" t="str">
        <x:f>'Master Hunt List'!D4</x:f>
        <x:v>Elephant Mountain WMA</x:v>
      </x:c>
      <x:c r="F11" s="2" t="str">
        <x:f>'Master Hunt List'!E4</x:f>
        <x:v>Trans-Pecos / West Texas</x:v>
      </x:c>
      <x:c r="G11" s="2" t="str">
        <x:f>'Master Hunt List'!F4</x:f>
        <x:v>Archery Mule Deer</x:v>
      </x:c>
      <x:c r="H11" s="2" t="str">
        <x:f>'Master Hunt List'!G4</x:f>
        <x:v>Yes</x:v>
      </x:c>
      <x:c r="I11" s="2" t="str">
        <x:f>'Master Hunt List'!H4</x:f>
        <x:v>Yes</x:v>
      </x:c>
      <x:c r="J11" s="97" t="str">
        <x:f>'Master Hunt List'!I4</x:f>
        <x:v>2026-08-15</x:v>
      </x:c>
      <x:c r="K11" s="111" t="n">
        <x:f>'Master Hunt List'!K4</x:f>
        <x:v>3</x:v>
      </x:c>
      <x:c r="L11" s="2" t="n">
        <x:f>'Master Hunt List'!AF4</x:f>
        <x:v>0</x:v>
      </x:c>
      <x:c r="M11" s="2" t="n">
        <x:f>'Master Hunt List'!AH4</x:f>
        <x:v>0</x:v>
      </x:c>
      <x:c r="N11" s="144" t="n">
        <x:f>'Master Hunt List'!AI4</x:f>
        <x:v>0</x:v>
      </x:c>
      <x:c r="O11" s="145" t="str">
        <x:f>'Master Hunt List'!V4</x:f>
        <x:v>https://tpwd.texas.gov/huntwild/hunt/public/public_hunt_drawing/hunt-category-details.phtml?OCat=AMD</x:v>
      </x:c>
    </x:row>
    <x:row r="12">
      <x:c r="A12" s="2" t="n">
        <x:f>5</x:f>
        <x:v>5</x:v>
      </x:c>
      <x:c r="B12" s="40" t="str">
        <x:f>'Master Hunt List'!A5</x:f>
        <x:v>No</x:v>
      </x:c>
      <x:c r="C12" s="2" t="str">
        <x:f>'Master Hunt List'!B5</x:f>
        <x:v>A</x:v>
      </x:c>
      <x:c r="D12" s="2" t="str">
        <x:f>'Master Hunt List'!C5</x:f>
        <x:v>Mule Deer</x:v>
      </x:c>
      <x:c r="E12" s="2" t="str">
        <x:f>'Master Hunt List'!D5</x:f>
        <x:v>Matador WMA</x:v>
      </x:c>
      <x:c r="F12" s="2" t="str">
        <x:f>'Master Hunt List'!E5</x:f>
        <x:v>Panhandle / Rolling Plains</x:v>
      </x:c>
      <x:c r="G12" s="2" t="str">
        <x:f>'Master Hunt List'!F5</x:f>
        <x:v>Archery Mule Deer</x:v>
      </x:c>
      <x:c r="H12" s="2" t="str">
        <x:f>'Master Hunt List'!G5</x:f>
        <x:v>Yes</x:v>
      </x:c>
      <x:c r="I12" s="2" t="str">
        <x:f>'Master Hunt List'!H5</x:f>
        <x:v>Yes</x:v>
      </x:c>
      <x:c r="J12" s="97" t="str">
        <x:f>'Master Hunt List'!I5</x:f>
        <x:v>2026-08-15</x:v>
      </x:c>
      <x:c r="K12" s="111" t="n">
        <x:f>'Master Hunt List'!K5</x:f>
        <x:v>3</x:v>
      </x:c>
      <x:c r="L12" s="2" t="n">
        <x:f>'Master Hunt List'!AF5</x:f>
        <x:v>0</x:v>
      </x:c>
      <x:c r="M12" s="2" t="n">
        <x:f>'Master Hunt List'!AH5</x:f>
        <x:v>0</x:v>
      </x:c>
      <x:c r="N12" s="144" t="n">
        <x:f>'Master Hunt List'!AI5</x:f>
        <x:v>0</x:v>
      </x:c>
      <x:c r="O12" s="145" t="str">
        <x:f>'Master Hunt List'!V5</x:f>
        <x:v>https://tpwd.texas.gov/huntwild/hunt/public/public_hunt_drawing/hunt-category-details.phtml?OCat=AMD</x:v>
      </x:c>
    </x:row>
    <x:row r="13">
      <x:c r="A13" s="2" t="n">
        <x:f>6</x:f>
        <x:v>6</x:v>
      </x:c>
      <x:c r="B13" s="40" t="str">
        <x:f>'Master Hunt List'!A6</x:f>
        <x:v>No</x:v>
      </x:c>
      <x:c r="C13" s="2" t="str">
        <x:f>'Master Hunt List'!B6</x:f>
        <x:v>A</x:v>
      </x:c>
      <x:c r="D13" s="2" t="str">
        <x:f>'Master Hunt List'!C6</x:f>
        <x:v>Mule Deer</x:v>
      </x:c>
      <x:c r="E13" s="2" t="str">
        <x:f>'Master Hunt List'!D6</x:f>
        <x:v>Potter County - Cross Bar Mgt. Area</x:v>
      </x:c>
      <x:c r="F13" s="2" t="str">
        <x:f>'Master Hunt List'!E6</x:f>
        <x:v>Panhandle / Rolling Plains</x:v>
      </x:c>
      <x:c r="G13" s="2" t="str">
        <x:f>'Master Hunt List'!F6</x:f>
        <x:v>Archery Mule Deer</x:v>
      </x:c>
      <x:c r="H13" s="2" t="str">
        <x:f>'Master Hunt List'!G6</x:f>
        <x:v>Yes</x:v>
      </x:c>
      <x:c r="I13" s="2" t="str">
        <x:f>'Master Hunt List'!H6</x:f>
        <x:v>Yes</x:v>
      </x:c>
      <x:c r="J13" s="97" t="str">
        <x:f>'Master Hunt List'!I6</x:f>
        <x:v>2026-08-15</x:v>
      </x:c>
      <x:c r="K13" s="111" t="n">
        <x:f>'Master Hunt List'!K6</x:f>
        <x:v>3</x:v>
      </x:c>
      <x:c r="L13" s="2" t="n">
        <x:f>'Master Hunt List'!AF6</x:f>
        <x:v>0</x:v>
      </x:c>
      <x:c r="M13" s="2" t="n">
        <x:f>'Master Hunt List'!AH6</x:f>
        <x:v>0</x:v>
      </x:c>
      <x:c r="N13" s="2" t="n">
        <x:f>'Master Hunt List'!AI6</x:f>
        <x:v>0</x:v>
      </x:c>
      <x:c r="O13" s="2" t="str">
        <x:f>'Master Hunt List'!V6</x:f>
        <x:v>https://tpwd.texas.gov/huntwild/hunt/public/public_hunt_drawing/hunt-category-details.phtml?OCat=AMD</x:v>
      </x:c>
    </x:row>
    <x:row r="14">
      <x:c r="A14" s="2" t="n">
        <x:f>7</x:f>
        <x:v>7</x:v>
      </x:c>
      <x:c r="B14" s="40" t="str">
        <x:f>'Master Hunt List'!A7</x:f>
        <x:v>No</x:v>
      </x:c>
      <x:c r="C14" s="2" t="str">
        <x:f>'Master Hunt List'!B7</x:f>
        <x:v>B</x:v>
      </x:c>
      <x:c r="D14" s="2" t="str">
        <x:f>'Master Hunt List'!C7</x:f>
        <x:v>Whitetail Deer</x:v>
      </x:c>
      <x:c r="E14" s="2" t="str">
        <x:f>'Master Hunt List'!D7</x:f>
        <x:v>Abilene SP</x:v>
      </x:c>
      <x:c r="F14" s="2" t="str">
        <x:f>'Master Hunt List'!E7</x:f>
        <x:v>West-Central Texas</x:v>
      </x:c>
      <x:c r="G14" s="2" t="str">
        <x:f>'Master Hunt List'!F7</x:f>
        <x:v>Archery Deer</x:v>
      </x:c>
      <x:c r="H14" s="2" t="str">
        <x:f>'Master Hunt List'!G7</x:f>
        <x:v>Yes</x:v>
      </x:c>
      <x:c r="I14" s="2" t="str">
        <x:f>'Master Hunt List'!H7</x:f>
        <x:v>Yes</x:v>
      </x:c>
      <x:c r="J14" s="97" t="str">
        <x:f>'Master Hunt List'!I7</x:f>
        <x:v>2026-08-15</x:v>
      </x:c>
      <x:c r="K14" s="111" t="n">
        <x:f>'Master Hunt List'!K7</x:f>
        <x:v>3</x:v>
      </x:c>
      <x:c r="L14" s="2" t="n">
        <x:f>'Master Hunt List'!AF7</x:f>
        <x:v>0</x:v>
      </x:c>
      <x:c r="M14" s="2" t="n">
        <x:f>'Master Hunt List'!AH7</x:f>
        <x:v>0</x:v>
      </x:c>
      <x:c r="N14" s="2" t="n">
        <x:f>'Master Hunt List'!AI7</x:f>
        <x:v>0</x:v>
      </x:c>
      <x:c r="O14" s="2" t="str">
        <x:f>'Master Hunt List'!V7</x:f>
        <x:v>https://tpwd.texas.gov/huntwild/hunt/public/public_hunt_drawing/hunt-category-details.phtml?OCat=ADE</x:v>
      </x:c>
    </x:row>
    <x:row r="15">
      <x:c r="A15" s="2" t="n">
        <x:f>8</x:f>
        <x:v>8</x:v>
      </x:c>
      <x:c r="B15" s="40" t="str">
        <x:f>'Master Hunt List'!A8</x:f>
        <x:v>No</x:v>
      </x:c>
      <x:c r="C15" s="2" t="str">
        <x:f>'Master Hunt List'!B8</x:f>
        <x:v>B</x:v>
      </x:c>
      <x:c r="D15" s="2" t="str">
        <x:f>'Master Hunt List'!C8</x:f>
        <x:v>Whitetail Deer</x:v>
      </x:c>
      <x:c r="E15" s="2" t="str">
        <x:f>'Master Hunt List'!D8</x:f>
        <x:v>Chaparral WMA</x:v>
      </x:c>
      <x:c r="F15" s="2" t="str">
        <x:f>'Master Hunt List'!E8</x:f>
        <x:v>South Texas / Rio Grande Valley</x:v>
      </x:c>
      <x:c r="G15" s="2" t="str">
        <x:f>'Master Hunt List'!F8</x:f>
        <x:v>Archery Deer</x:v>
      </x:c>
      <x:c r="H15" s="2" t="str">
        <x:f>'Master Hunt List'!G8</x:f>
        <x:v>Yes</x:v>
      </x:c>
      <x:c r="I15" s="2" t="str">
        <x:f>'Master Hunt List'!H8</x:f>
        <x:v>Yes</x:v>
      </x:c>
      <x:c r="J15" s="97" t="str">
        <x:f>'Master Hunt List'!I8</x:f>
        <x:v>2026-08-15</x:v>
      </x:c>
      <x:c r="K15" s="111" t="n">
        <x:f>'Master Hunt List'!K8</x:f>
        <x:v>3</x:v>
      </x:c>
      <x:c r="L15" s="2" t="n">
        <x:f>'Master Hunt List'!AF8</x:f>
        <x:v>0</x:v>
      </x:c>
      <x:c r="M15" s="2" t="n">
        <x:f>'Master Hunt List'!AH8</x:f>
        <x:v>0</x:v>
      </x:c>
      <x:c r="N15" s="2" t="n">
        <x:f>'Master Hunt List'!AI8</x:f>
        <x:v>0</x:v>
      </x:c>
      <x:c r="O15" s="2" t="str">
        <x:f>'Master Hunt List'!V8</x:f>
        <x:v>https://tpwd.texas.gov/huntwild/hunt/public/public_hunt_drawing/hunt-category-details.phtml?OCat=ADE</x:v>
      </x:c>
    </x:row>
    <x:row r="16">
      <x:c r="A16" s="2" t="n">
        <x:f>9</x:f>
        <x:v>9</x:v>
      </x:c>
      <x:c r="B16" s="40" t="str">
        <x:f>'Master Hunt List'!A9</x:f>
        <x:v>No</x:v>
      </x:c>
      <x:c r="C16" s="2" t="str">
        <x:f>'Master Hunt List'!B9</x:f>
        <x:v>B</x:v>
      </x:c>
      <x:c r="D16" s="2" t="str">
        <x:f>'Master Hunt List'!C9</x:f>
        <x:v>Whitetail Deer</x:v>
      </x:c>
      <x:c r="E16" s="2" t="str">
        <x:f>'Master Hunt List'!D9</x:f>
        <x:v>Choke Canyon SP - North Shore Unit</x:v>
      </x:c>
      <x:c r="F16" s="2" t="str">
        <x:f>'Master Hunt List'!E9</x:f>
        <x:v>South Texas / Rio Grande Valley</x:v>
      </x:c>
      <x:c r="G16" s="2" t="str">
        <x:f>'Master Hunt List'!F9</x:f>
        <x:v>Archery Deer</x:v>
      </x:c>
      <x:c r="H16" s="2" t="str">
        <x:f>'Master Hunt List'!G9</x:f>
        <x:v>Yes</x:v>
      </x:c>
      <x:c r="I16" s="2" t="str">
        <x:f>'Master Hunt List'!H9</x:f>
        <x:v>Yes</x:v>
      </x:c>
      <x:c r="J16" s="97" t="str">
        <x:f>'Master Hunt List'!I9</x:f>
        <x:v>2026-08-15</x:v>
      </x:c>
      <x:c r="K16" s="111" t="n">
        <x:f>'Master Hunt List'!K9</x:f>
        <x:v>3</x:v>
      </x:c>
      <x:c r="L16" s="2" t="n">
        <x:f>'Master Hunt List'!AF9</x:f>
        <x:v>0</x:v>
      </x:c>
      <x:c r="M16" s="2" t="n">
        <x:f>'Master Hunt List'!AH9</x:f>
        <x:v>0</x:v>
      </x:c>
      <x:c r="N16" s="2" t="n">
        <x:f>'Master Hunt List'!AI9</x:f>
        <x:v>0</x:v>
      </x:c>
      <x:c r="O16" s="2" t="str">
        <x:f>'Master Hunt List'!V9</x:f>
        <x:v>https://tpwd.texas.gov/huntwild/hunt/public/public_hunt_drawing/hunt-category-details.phtml?OCat=ADE</x:v>
      </x:c>
    </x:row>
    <x:row r="17">
      <x:c r="A17" s="2" t="n">
        <x:f>10</x:f>
        <x:v>10</x:v>
      </x:c>
      <x:c r="B17" s="40" t="str">
        <x:f>'Master Hunt List'!A10</x:f>
        <x:v>No</x:v>
      </x:c>
      <x:c r="C17" s="2" t="str">
        <x:f>'Master Hunt List'!B10</x:f>
        <x:v>B</x:v>
      </x:c>
      <x:c r="D17" s="2" t="str">
        <x:f>'Master Hunt List'!C10</x:f>
        <x:v>Whitetail Deer</x:v>
      </x:c>
      <x:c r="E17" s="2" t="str">
        <x:f>'Master Hunt List'!D10</x:f>
        <x:v>Colorado Bend SP</x:v>
      </x:c>
      <x:c r="F17" s="2" t="str">
        <x:f>'Master Hunt List'!E10</x:f>
        <x:v>Central Texas / Austin</x:v>
      </x:c>
      <x:c r="G17" s="2" t="str">
        <x:f>'Master Hunt List'!F10</x:f>
        <x:v>Archery Deer</x:v>
      </x:c>
      <x:c r="H17" s="2" t="str">
        <x:f>'Master Hunt List'!G10</x:f>
        <x:v>Yes</x:v>
      </x:c>
      <x:c r="I17" s="2" t="str">
        <x:f>'Master Hunt List'!H10</x:f>
        <x:v>Yes</x:v>
      </x:c>
      <x:c r="J17" s="97" t="str">
        <x:f>'Master Hunt List'!I10</x:f>
        <x:v>2026-08-15</x:v>
      </x:c>
      <x:c r="K17" s="111" t="n">
        <x:f>'Master Hunt List'!K10</x:f>
        <x:v>3</x:v>
      </x:c>
      <x:c r="L17" s="2" t="n">
        <x:f>'Master Hunt List'!AF10</x:f>
        <x:v>0</x:v>
      </x:c>
      <x:c r="M17" s="2" t="n">
        <x:f>'Master Hunt List'!AH10</x:f>
        <x:v>0</x:v>
      </x:c>
      <x:c r="N17" s="2" t="n">
        <x:f>'Master Hunt List'!AI10</x:f>
        <x:v>0</x:v>
      </x:c>
      <x:c r="O17" s="2" t="str">
        <x:f>'Master Hunt List'!V10</x:f>
        <x:v>https://tpwd.texas.gov/huntwild/hunt/public/public_hunt_drawing/hunt-category-details.phtml?OCat=ADE</x:v>
      </x:c>
    </x:row>
    <x:row r="18">
      <x:c r="A18" s="2" t="n">
        <x:f>11</x:f>
        <x:v>11</x:v>
      </x:c>
      <x:c r="B18" s="40" t="str">
        <x:f>'Master Hunt List'!A11</x:f>
        <x:v>No</x:v>
      </x:c>
      <x:c r="C18" s="2" t="str">
        <x:f>'Master Hunt List'!B11</x:f>
        <x:v>B</x:v>
      </x:c>
      <x:c r="D18" s="2" t="str">
        <x:f>'Master Hunt List'!C11</x:f>
        <x:v>Whitetail Deer</x:v>
      </x:c>
      <x:c r="E18" s="2" t="str">
        <x:f>'Master Hunt List'!D11</x:f>
        <x:v>Copper Breaks SP</x:v>
      </x:c>
      <x:c r="F18" s="2" t="str">
        <x:f>'Master Hunt List'!E11</x:f>
        <x:v>West-Central Texas</x:v>
      </x:c>
      <x:c r="G18" s="2" t="str">
        <x:f>'Master Hunt List'!F11</x:f>
        <x:v>Archery Deer</x:v>
      </x:c>
      <x:c r="H18" s="2" t="str">
        <x:f>'Master Hunt List'!G11</x:f>
        <x:v>Yes</x:v>
      </x:c>
      <x:c r="I18" s="2" t="str">
        <x:f>'Master Hunt List'!H11</x:f>
        <x:v>Yes</x:v>
      </x:c>
      <x:c r="J18" s="97" t="str">
        <x:f>'Master Hunt List'!I11</x:f>
        <x:v>2026-08-15</x:v>
      </x:c>
      <x:c r="K18" s="111" t="n">
        <x:f>'Master Hunt List'!K11</x:f>
        <x:v>3</x:v>
      </x:c>
      <x:c r="L18" s="2" t="n">
        <x:f>'Master Hunt List'!AF11</x:f>
        <x:v>0</x:v>
      </x:c>
      <x:c r="M18" s="2" t="n">
        <x:f>'Master Hunt List'!AH11</x:f>
        <x:v>0</x:v>
      </x:c>
      <x:c r="N18" s="2" t="n">
        <x:f>'Master Hunt List'!AI11</x:f>
        <x:v>0</x:v>
      </x:c>
      <x:c r="O18" s="2" t="str">
        <x:f>'Master Hunt List'!V11</x:f>
        <x:v>https://tpwd.texas.gov/huntwild/hunt/public/public_hunt_drawing/hunt-category-details.phtml?OCat=ADE</x:v>
      </x:c>
    </x:row>
    <x:row r="19">
      <x:c r="A19" s="2" t="n">
        <x:f>12</x:f>
        <x:v>12</x:v>
      </x:c>
      <x:c r="B19" s="40" t="str">
        <x:f>'Master Hunt List'!A12</x:f>
        <x:v>No</x:v>
      </x:c>
      <x:c r="C19" s="2" t="str">
        <x:f>'Master Hunt List'!B12</x:f>
        <x:v>B</x:v>
      </x:c>
      <x:c r="D19" s="2" t="str">
        <x:f>'Master Hunt List'!C12</x:f>
        <x:v>Whitetail Deer</x:v>
      </x:c>
      <x:c r="E19" s="2" t="str">
        <x:f>'Master Hunt List'!D12</x:f>
        <x:v>Enchanted Rock SNA</x:v>
      </x:c>
      <x:c r="F19" s="2" t="str">
        <x:f>'Master Hunt List'!E12</x:f>
        <x:v>Hill Country / San Antonio</x:v>
      </x:c>
      <x:c r="G19" s="2" t="str">
        <x:f>'Master Hunt List'!F12</x:f>
        <x:v>Archery Deer</x:v>
      </x:c>
      <x:c r="H19" s="2" t="str">
        <x:f>'Master Hunt List'!G12</x:f>
        <x:v>Yes</x:v>
      </x:c>
      <x:c r="I19" s="2" t="str">
        <x:f>'Master Hunt List'!H12</x:f>
        <x:v>Yes</x:v>
      </x:c>
      <x:c r="J19" s="97" t="str">
        <x:f>'Master Hunt List'!I12</x:f>
        <x:v>2026-08-15</x:v>
      </x:c>
      <x:c r="K19" s="111" t="n">
        <x:f>'Master Hunt List'!K12</x:f>
        <x:v>3</x:v>
      </x:c>
      <x:c r="L19" s="2" t="n">
        <x:f>'Master Hunt List'!AF12</x:f>
        <x:v>0</x:v>
      </x:c>
      <x:c r="M19" s="2" t="n">
        <x:f>'Master Hunt List'!AH12</x:f>
        <x:v>0</x:v>
      </x:c>
      <x:c r="N19" s="2" t="n">
        <x:f>'Master Hunt List'!AI12</x:f>
        <x:v>0</x:v>
      </x:c>
      <x:c r="O19" s="2" t="str">
        <x:f>'Master Hunt List'!V12</x:f>
        <x:v>https://tpwd.texas.gov/huntwild/hunt/public/public_hunt_drawing/hunt-category-details.phtml?OCat=ADE</x:v>
      </x:c>
    </x:row>
    <x:row r="20">
      <x:c r="A20" s="2" t="n">
        <x:f>13</x:f>
        <x:v>13</x:v>
      </x:c>
      <x:c r="B20" s="40" t="str">
        <x:f>'Master Hunt List'!A13</x:f>
        <x:v>No</x:v>
      </x:c>
      <x:c r="C20" s="2" t="str">
        <x:f>'Master Hunt List'!B13</x:f>
        <x:v>B</x:v>
      </x:c>
      <x:c r="D20" s="2" t="str">
        <x:f>'Master Hunt List'!C13</x:f>
        <x:v>Whitetail Deer</x:v>
      </x:c>
      <x:c r="E20" s="2" t="str">
        <x:f>'Master Hunt List'!D13</x:f>
        <x:v>Fort Boggy SP</x:v>
      </x:c>
      <x:c r="F20" s="2" t="str">
        <x:f>'Master Hunt List'!E13</x:f>
        <x:v>North Texas / DFW</x:v>
      </x:c>
      <x:c r="G20" s="2" t="str">
        <x:f>'Master Hunt List'!F13</x:f>
        <x:v>Archery Deer</x:v>
      </x:c>
      <x:c r="H20" s="2" t="str">
        <x:f>'Master Hunt List'!G13</x:f>
        <x:v>Yes</x:v>
      </x:c>
      <x:c r="I20" s="2" t="str">
        <x:f>'Master Hunt List'!H13</x:f>
        <x:v>Yes</x:v>
      </x:c>
      <x:c r="J20" s="97" t="str">
        <x:f>'Master Hunt List'!I13</x:f>
        <x:v>2026-08-15</x:v>
      </x:c>
      <x:c r="K20" s="111" t="n">
        <x:f>'Master Hunt List'!K13</x:f>
        <x:v>3</x:v>
      </x:c>
      <x:c r="L20" s="2" t="n">
        <x:f>'Master Hunt List'!AF13</x:f>
        <x:v>0</x:v>
      </x:c>
      <x:c r="M20" s="2" t="n">
        <x:f>'Master Hunt List'!AH13</x:f>
        <x:v>0</x:v>
      </x:c>
      <x:c r="N20" s="2" t="n">
        <x:f>'Master Hunt List'!AI13</x:f>
        <x:v>0</x:v>
      </x:c>
      <x:c r="O20" s="2" t="str">
        <x:f>'Master Hunt List'!V13</x:f>
        <x:v>https://tpwd.texas.gov/huntwild/hunt/public/public_hunt_drawing/hunt-category-details.phtml?OCat=ADE</x:v>
      </x:c>
    </x:row>
    <x:row r="21">
      <x:c r="A21" s="2" t="n">
        <x:f>14</x:f>
        <x:v>14</x:v>
      </x:c>
      <x:c r="B21" s="40" t="str">
        <x:f>'Master Hunt List'!A14</x:f>
        <x:v>No</x:v>
      </x:c>
      <x:c r="C21" s="2" t="str">
        <x:f>'Master Hunt List'!B14</x:f>
        <x:v>B</x:v>
      </x:c>
      <x:c r="D21" s="2" t="str">
        <x:f>'Master Hunt List'!C14</x:f>
        <x:v>Whitetail Deer</x:v>
      </x:c>
      <x:c r="E21" s="2" t="str">
        <x:f>'Master Hunt List'!D14</x:f>
        <x:v>Garner SP</x:v>
      </x:c>
      <x:c r="F21" s="2" t="str">
        <x:f>'Master Hunt List'!E14</x:f>
        <x:v>Hill Country / San Antonio</x:v>
      </x:c>
      <x:c r="G21" s="2" t="str">
        <x:f>'Master Hunt List'!F14</x:f>
        <x:v>Archery Deer</x:v>
      </x:c>
      <x:c r="H21" s="2" t="str">
        <x:f>'Master Hunt List'!G14</x:f>
        <x:v>Yes</x:v>
      </x:c>
      <x:c r="I21" s="2" t="str">
        <x:f>'Master Hunt List'!H14</x:f>
        <x:v>Yes</x:v>
      </x:c>
      <x:c r="J21" s="97" t="str">
        <x:f>'Master Hunt List'!I14</x:f>
        <x:v>2026-08-15</x:v>
      </x:c>
      <x:c r="K21" s="111" t="n">
        <x:f>'Master Hunt List'!K14</x:f>
        <x:v>3</x:v>
      </x:c>
      <x:c r="L21" s="2" t="n">
        <x:f>'Master Hunt List'!AF14</x:f>
        <x:v>0</x:v>
      </x:c>
      <x:c r="M21" s="2" t="n">
        <x:f>'Master Hunt List'!AH14</x:f>
        <x:v>0</x:v>
      </x:c>
      <x:c r="N21" s="2" t="n">
        <x:f>'Master Hunt List'!AI14</x:f>
        <x:v>0</x:v>
      </x:c>
      <x:c r="O21" s="2" t="str">
        <x:f>'Master Hunt List'!V14</x:f>
        <x:v>https://tpwd.texas.gov/huntwild/hunt/public/public_hunt_drawing/hunt-category-details.phtml?OCat=ADE</x:v>
      </x:c>
    </x:row>
    <x:row r="22">
      <x:c r="A22" s="2" t="n">
        <x:f>15</x:f>
        <x:v>15</x:v>
      </x:c>
      <x:c r="B22" s="40" t="str">
        <x:f>'Master Hunt List'!A15</x:f>
        <x:v>No</x:v>
      </x:c>
      <x:c r="C22" s="2" t="str">
        <x:f>'Master Hunt List'!B15</x:f>
        <x:v>A</x:v>
      </x:c>
      <x:c r="D22" s="2" t="str">
        <x:f>'Master Hunt List'!C15</x:f>
        <x:v>Whitetail Deer</x:v>
      </x:c>
      <x:c r="E22" s="2" t="str">
        <x:f>'Master Hunt List'!D15</x:f>
        <x:v>Gene Howe WMA</x:v>
      </x:c>
      <x:c r="F22" s="2" t="str">
        <x:f>'Master Hunt List'!E15</x:f>
        <x:v>Panhandle / Rolling Plains</x:v>
      </x:c>
      <x:c r="G22" s="2" t="str">
        <x:f>'Master Hunt List'!F15</x:f>
        <x:v>Archery Deer</x:v>
      </x:c>
      <x:c r="H22" s="2" t="str">
        <x:f>'Master Hunt List'!G15</x:f>
        <x:v>Yes</x:v>
      </x:c>
      <x:c r="I22" s="2" t="str">
        <x:f>'Master Hunt List'!H15</x:f>
        <x:v>Yes</x:v>
      </x:c>
      <x:c r="J22" s="97" t="str">
        <x:f>'Master Hunt List'!I15</x:f>
        <x:v>2026-08-15</x:v>
      </x:c>
      <x:c r="K22" s="111" t="n">
        <x:f>'Master Hunt List'!K15</x:f>
        <x:v>3</x:v>
      </x:c>
      <x:c r="L22" s="2" t="n">
        <x:f>'Master Hunt List'!AF15</x:f>
        <x:v>0</x:v>
      </x:c>
      <x:c r="M22" s="2" t="n">
        <x:f>'Master Hunt List'!AH15</x:f>
        <x:v>0</x:v>
      </x:c>
      <x:c r="N22" s="2" t="n">
        <x:f>'Master Hunt List'!AI15</x:f>
        <x:v>0</x:v>
      </x:c>
      <x:c r="O22" s="2" t="str">
        <x:f>'Master Hunt List'!V15</x:f>
        <x:v>https://tpwd.texas.gov/huntwild/hunt/public/public_hunt_drawing/hunt-category-details.phtml?OCat=ADE</x:v>
      </x:c>
    </x:row>
    <x:row r="23">
      <x:c r="A23" s="2" t="n">
        <x:f>16</x:f>
        <x:v>16</x:v>
      </x:c>
      <x:c r="B23" s="40" t="str">
        <x:f>'Master Hunt List'!A16</x:f>
        <x:v>No</x:v>
      </x:c>
      <x:c r="C23" s="2" t="str">
        <x:f>'Master Hunt List'!B16</x:f>
        <x:v>B</x:v>
      </x:c>
      <x:c r="D23" s="2" t="str">
        <x:f>'Master Hunt List'!C16</x:f>
        <x:v>Whitetail Deer</x:v>
      </x:c>
      <x:c r="E23" s="2" t="str">
        <x:f>'Master Hunt List'!D16</x:f>
        <x:v>Government Canyon SNA</x:v>
      </x:c>
      <x:c r="F23" s="2" t="str">
        <x:f>'Master Hunt List'!E16</x:f>
        <x:v>Hill Country / San Antonio</x:v>
      </x:c>
      <x:c r="G23" s="2" t="str">
        <x:f>'Master Hunt List'!F16</x:f>
        <x:v>Archery Deer</x:v>
      </x:c>
      <x:c r="H23" s="2" t="str">
        <x:f>'Master Hunt List'!G16</x:f>
        <x:v>Yes</x:v>
      </x:c>
      <x:c r="I23" s="2" t="str">
        <x:f>'Master Hunt List'!H16</x:f>
        <x:v>Yes</x:v>
      </x:c>
      <x:c r="J23" s="97" t="str">
        <x:f>'Master Hunt List'!I16</x:f>
        <x:v>2026-08-15</x:v>
      </x:c>
      <x:c r="K23" s="111" t="n">
        <x:f>'Master Hunt List'!K16</x:f>
        <x:v>3</x:v>
      </x:c>
      <x:c r="L23" s="2" t="n">
        <x:f>'Master Hunt List'!AF16</x:f>
        <x:v>0</x:v>
      </x:c>
      <x:c r="M23" s="2" t="n">
        <x:f>'Master Hunt List'!AH16</x:f>
        <x:v>0</x:v>
      </x:c>
      <x:c r="N23" s="2" t="n">
        <x:f>'Master Hunt List'!AI16</x:f>
        <x:v>0</x:v>
      </x:c>
      <x:c r="O23" s="2" t="str">
        <x:f>'Master Hunt List'!V16</x:f>
        <x:v>https://tpwd.texas.gov/huntwild/hunt/public/public_hunt_drawing/hunt-category-details.phtml?OCat=ADE</x:v>
      </x:c>
    </x:row>
    <x:row r="24">
      <x:c r="A24" s="2" t="n">
        <x:f>17</x:f>
        <x:v>17</x:v>
      </x:c>
      <x:c r="B24" s="40" t="str">
        <x:f>'Master Hunt List'!A17</x:f>
        <x:v>No</x:v>
      </x:c>
      <x:c r="C24" s="2" t="str">
        <x:f>'Master Hunt List'!B17</x:f>
        <x:v>B</x:v>
      </x:c>
      <x:c r="D24" s="2" t="str">
        <x:f>'Master Hunt List'!C17</x:f>
        <x:v>Whitetail Deer</x:v>
      </x:c>
      <x:c r="E24" s="2" t="str">
        <x:f>'Master Hunt List'!D17</x:f>
        <x:v>Gus Engeling WMA</x:v>
      </x:c>
      <x:c r="F24" s="2" t="str">
        <x:f>'Master Hunt List'!E17</x:f>
        <x:v>Statewide / Other</x:v>
      </x:c>
      <x:c r="G24" s="2" t="str">
        <x:f>'Master Hunt List'!F17</x:f>
        <x:v>Archery Deer</x:v>
      </x:c>
      <x:c r="H24" s="2" t="str">
        <x:f>'Master Hunt List'!G17</x:f>
        <x:v>Yes</x:v>
      </x:c>
      <x:c r="I24" s="2" t="str">
        <x:f>'Master Hunt List'!H17</x:f>
        <x:v>Yes</x:v>
      </x:c>
      <x:c r="J24" s="97" t="str">
        <x:f>'Master Hunt List'!I17</x:f>
        <x:v>2026-08-15</x:v>
      </x:c>
      <x:c r="K24" s="111" t="n">
        <x:f>'Master Hunt List'!K17</x:f>
        <x:v>3</x:v>
      </x:c>
      <x:c r="L24" s="2" t="n">
        <x:f>'Master Hunt List'!AF17</x:f>
        <x:v>0</x:v>
      </x:c>
      <x:c r="M24" s="2" t="n">
        <x:f>'Master Hunt List'!AH17</x:f>
        <x:v>0</x:v>
      </x:c>
      <x:c r="N24" s="2" t="n">
        <x:f>'Master Hunt List'!AI17</x:f>
        <x:v>0</x:v>
      </x:c>
      <x:c r="O24" s="2" t="str">
        <x:f>'Master Hunt List'!V17</x:f>
        <x:v>https://tpwd.texas.gov/huntwild/hunt/public/public_hunt_drawing/hunt-category-details.phtml?OCat=ADE</x:v>
      </x:c>
    </x:row>
    <x:row r="25">
      <x:c r="A25" s="2" t="n">
        <x:f>18</x:f>
        <x:v>18</x:v>
      </x:c>
      <x:c r="B25" s="40" t="str">
        <x:f>'Master Hunt List'!A18</x:f>
        <x:v>No</x:v>
      </x:c>
      <x:c r="C25" s="2" t="str">
        <x:f>'Master Hunt List'!B18</x:f>
        <x:v>B</x:v>
      </x:c>
      <x:c r="D25" s="2" t="str">
        <x:f>'Master Hunt List'!C18</x:f>
        <x:v>Whitetail Deer</x:v>
      </x:c>
      <x:c r="E25" s="2" t="str">
        <x:f>'Master Hunt List'!D18</x:f>
        <x:v>James Daughtrey WMA</x:v>
      </x:c>
      <x:c r="F25" s="2" t="str">
        <x:f>'Master Hunt List'!E18</x:f>
        <x:v>South Texas / Rio Grande Valley</x:v>
      </x:c>
      <x:c r="G25" s="2" t="str">
        <x:f>'Master Hunt List'!F18</x:f>
        <x:v>Archery Deer</x:v>
      </x:c>
      <x:c r="H25" s="2" t="str">
        <x:f>'Master Hunt List'!G18</x:f>
        <x:v>Yes</x:v>
      </x:c>
      <x:c r="I25" s="2" t="str">
        <x:f>'Master Hunt List'!H18</x:f>
        <x:v>Yes</x:v>
      </x:c>
      <x:c r="J25" s="97" t="str">
        <x:f>'Master Hunt List'!I18</x:f>
        <x:v>2026-08-15</x:v>
      </x:c>
      <x:c r="K25" s="111" t="n">
        <x:f>'Master Hunt List'!K18</x:f>
        <x:v>3</x:v>
      </x:c>
      <x:c r="L25" s="2" t="n">
        <x:f>'Master Hunt List'!AF18</x:f>
        <x:v>0</x:v>
      </x:c>
      <x:c r="M25" s="2" t="n">
        <x:f>'Master Hunt List'!AH18</x:f>
        <x:v>0</x:v>
      </x:c>
      <x:c r="N25" s="2" t="n">
        <x:f>'Master Hunt List'!AI18</x:f>
        <x:v>0</x:v>
      </x:c>
      <x:c r="O25" s="2" t="str">
        <x:f>'Master Hunt List'!V18</x:f>
        <x:v>https://tpwd.texas.gov/huntwild/hunt/public/public_hunt_drawing/hunt-category-details.phtml?OCat=ADE</x:v>
      </x:c>
    </x:row>
    <x:row r="26">
      <x:c r="A26" s="2" t="n">
        <x:f>19</x:f>
        <x:v>19</x:v>
      </x:c>
      <x:c r="B26" s="40" t="str">
        <x:f>'Master Hunt List'!A19</x:f>
        <x:v>No</x:v>
      </x:c>
      <x:c r="C26" s="2" t="str">
        <x:f>'Master Hunt List'!B19</x:f>
        <x:v>B</x:v>
      </x:c>
      <x:c r="D26" s="2" t="str">
        <x:f>'Master Hunt List'!C19</x:f>
        <x:v>Whitetail Deer</x:v>
      </x:c>
      <x:c r="E26" s="2" t="str">
        <x:f>'Master Hunt List'!D19</x:f>
        <x:v>Lake Brownwood SP</x:v>
      </x:c>
      <x:c r="F26" s="2" t="str">
        <x:f>'Master Hunt List'!E19</x:f>
        <x:v>West-Central Texas</x:v>
      </x:c>
      <x:c r="G26" s="2" t="str">
        <x:f>'Master Hunt List'!F19</x:f>
        <x:v>Archery Deer</x:v>
      </x:c>
      <x:c r="H26" s="2" t="str">
        <x:f>'Master Hunt List'!G19</x:f>
        <x:v>Yes</x:v>
      </x:c>
      <x:c r="I26" s="2" t="str">
        <x:f>'Master Hunt List'!H19</x:f>
        <x:v>Yes</x:v>
      </x:c>
      <x:c r="J26" s="97" t="str">
        <x:f>'Master Hunt List'!I19</x:f>
        <x:v>2026-08-15</x:v>
      </x:c>
      <x:c r="K26" s="111" t="n">
        <x:f>'Master Hunt List'!K19</x:f>
        <x:v>3</x:v>
      </x:c>
      <x:c r="L26" s="2" t="n">
        <x:f>'Master Hunt List'!AF19</x:f>
        <x:v>0</x:v>
      </x:c>
      <x:c r="M26" s="2" t="n">
        <x:f>'Master Hunt List'!AH19</x:f>
        <x:v>0</x:v>
      </x:c>
      <x:c r="N26" s="2" t="n">
        <x:f>'Master Hunt List'!AI19</x:f>
        <x:v>0</x:v>
      </x:c>
      <x:c r="O26" s="2" t="str">
        <x:f>'Master Hunt List'!V19</x:f>
        <x:v>https://tpwd.texas.gov/huntwild/hunt/public/public_hunt_drawing/hunt-category-details.phtml?OCat=ADE</x:v>
      </x:c>
    </x:row>
    <x:row r="27">
      <x:c r="A27" s="2" t="n">
        <x:f>20</x:f>
        <x:v>20</x:v>
      </x:c>
      <x:c r="B27" s="40" t="str">
        <x:f>'Master Hunt List'!A20</x:f>
        <x:v>No</x:v>
      </x:c>
      <x:c r="C27" s="2" t="str">
        <x:f>'Master Hunt List'!B20</x:f>
        <x:v>B</x:v>
      </x:c>
      <x:c r="D27" s="2" t="str">
        <x:f>'Master Hunt List'!C20</x:f>
        <x:v>Whitetail Deer</x:v>
      </x:c>
      <x:c r="E27" s="2" t="str">
        <x:f>'Master Hunt List'!D20</x:f>
        <x:v>Lake Mineral Wells SP</x:v>
      </x:c>
      <x:c r="F27" s="2" t="str">
        <x:f>'Master Hunt List'!E20</x:f>
        <x:v>North Texas / DFW</x:v>
      </x:c>
      <x:c r="G27" s="2" t="str">
        <x:f>'Master Hunt List'!F20</x:f>
        <x:v>Archery Deer</x:v>
      </x:c>
      <x:c r="H27" s="2" t="str">
        <x:f>'Master Hunt List'!G20</x:f>
        <x:v>Yes</x:v>
      </x:c>
      <x:c r="I27" s="2" t="str">
        <x:f>'Master Hunt List'!H20</x:f>
        <x:v>Yes</x:v>
      </x:c>
      <x:c r="J27" s="97" t="str">
        <x:f>'Master Hunt List'!I20</x:f>
        <x:v>2026-08-15</x:v>
      </x:c>
      <x:c r="K27" s="111" t="n">
        <x:f>'Master Hunt List'!K20</x:f>
        <x:v>3</x:v>
      </x:c>
      <x:c r="L27" s="2" t="n">
        <x:f>'Master Hunt List'!AF20</x:f>
        <x:v>0</x:v>
      </x:c>
      <x:c r="M27" s="2" t="n">
        <x:f>'Master Hunt List'!AH20</x:f>
        <x:v>0</x:v>
      </x:c>
      <x:c r="N27" s="2" t="n">
        <x:f>'Master Hunt List'!AI20</x:f>
        <x:v>0</x:v>
      </x:c>
      <x:c r="O27" s="2" t="str">
        <x:f>'Master Hunt List'!V20</x:f>
        <x:v>https://tpwd.texas.gov/huntwild/hunt/public/public_hunt_drawing/hunt-category-details.phtml?OCat=ADE</x:v>
      </x:c>
    </x:row>
    <x:row r="28">
      <x:c r="A28" s="2" t="n">
        <x:f>21</x:f>
        <x:v>21</x:v>
      </x:c>
      <x:c r="B28" s="40" t="str">
        <x:f>'Master Hunt List'!A21</x:f>
        <x:v>No</x:v>
      </x:c>
      <x:c r="C28" s="2" t="str">
        <x:f>'Master Hunt List'!B21</x:f>
        <x:v>B</x:v>
      </x:c>
      <x:c r="D28" s="2" t="str">
        <x:f>'Master Hunt List'!C21</x:f>
        <x:v>Whitetail Deer</x:v>
      </x:c>
      <x:c r="E28" s="2" t="str">
        <x:f>'Master Hunt List'!D21</x:f>
        <x:v>Las Palomas WMA - Arroyo Colorado Unit</x:v>
      </x:c>
      <x:c r="F28" s="2" t="str">
        <x:f>'Master Hunt List'!E21</x:f>
        <x:v>South Texas / Rio Grande Valley</x:v>
      </x:c>
      <x:c r="G28" s="2" t="str">
        <x:f>'Master Hunt List'!F21</x:f>
        <x:v>Archery Deer</x:v>
      </x:c>
      <x:c r="H28" s="2" t="str">
        <x:f>'Master Hunt List'!G21</x:f>
        <x:v>Yes</x:v>
      </x:c>
      <x:c r="I28" s="2" t="str">
        <x:f>'Master Hunt List'!H21</x:f>
        <x:v>Yes</x:v>
      </x:c>
      <x:c r="J28" s="97" t="str">
        <x:f>'Master Hunt List'!I21</x:f>
        <x:v>2026-08-15</x:v>
      </x:c>
      <x:c r="K28" s="111" t="n">
        <x:f>'Master Hunt List'!K21</x:f>
        <x:v>3</x:v>
      </x:c>
      <x:c r="L28" s="2" t="n">
        <x:f>'Master Hunt List'!AF21</x:f>
        <x:v>0</x:v>
      </x:c>
      <x:c r="M28" s="2" t="n">
        <x:f>'Master Hunt List'!AH21</x:f>
        <x:v>0</x:v>
      </x:c>
      <x:c r="N28" s="2" t="n">
        <x:f>'Master Hunt List'!AI21</x:f>
        <x:v>0</x:v>
      </x:c>
      <x:c r="O28" s="2" t="str">
        <x:f>'Master Hunt List'!V21</x:f>
        <x:v>https://tpwd.texas.gov/huntwild/hunt/public/public_hunt_drawing/hunt-category-details.phtml?OCat=ADE</x:v>
      </x:c>
    </x:row>
    <x:row r="29">
      <x:c r="A29" s="2" t="n">
        <x:f>22</x:f>
        <x:v>22</x:v>
      </x:c>
      <x:c r="B29" s="40" t="str">
        <x:f>'Master Hunt List'!A22</x:f>
        <x:v>No</x:v>
      </x:c>
      <x:c r="C29" s="2" t="str">
        <x:f>'Master Hunt List'!B22</x:f>
        <x:v>A</x:v>
      </x:c>
      <x:c r="D29" s="2" t="str">
        <x:f>'Master Hunt List'!C22</x:f>
        <x:v>Whitetail Deer</x:v>
      </x:c>
      <x:c r="E29" s="2" t="str">
        <x:f>'Master Hunt List'!D22</x:f>
        <x:v>Matador WMA</x:v>
      </x:c>
      <x:c r="F29" s="2" t="str">
        <x:f>'Master Hunt List'!E22</x:f>
        <x:v>Panhandle / Rolling Plains</x:v>
      </x:c>
      <x:c r="G29" s="2" t="str">
        <x:f>'Master Hunt List'!F22</x:f>
        <x:v>Archery Deer</x:v>
      </x:c>
      <x:c r="H29" s="2" t="str">
        <x:f>'Master Hunt List'!G22</x:f>
        <x:v>Yes</x:v>
      </x:c>
      <x:c r="I29" s="2" t="str">
        <x:f>'Master Hunt List'!H22</x:f>
        <x:v>Yes</x:v>
      </x:c>
      <x:c r="J29" s="97" t="str">
        <x:f>'Master Hunt List'!I22</x:f>
        <x:v>2026-08-15</x:v>
      </x:c>
      <x:c r="K29" s="111" t="n">
        <x:f>'Master Hunt List'!K22</x:f>
        <x:v>3</x:v>
      </x:c>
      <x:c r="L29" s="2" t="n">
        <x:f>'Master Hunt List'!AF22</x:f>
        <x:v>0</x:v>
      </x:c>
      <x:c r="M29" s="2" t="n">
        <x:f>'Master Hunt List'!AH22</x:f>
        <x:v>0</x:v>
      </x:c>
      <x:c r="N29" s="2" t="n">
        <x:f>'Master Hunt List'!AI22</x:f>
        <x:v>0</x:v>
      </x:c>
      <x:c r="O29" s="2" t="str">
        <x:f>'Master Hunt List'!V22</x:f>
        <x:v>https://tpwd.texas.gov/huntwild/hunt/public/public_hunt_drawing/hunt-category-details.phtml?OCat=ADE</x:v>
      </x:c>
    </x:row>
    <x:row r="30">
      <x:c r="A30" s="2" t="n">
        <x:f>23</x:f>
        <x:v>23</x:v>
      </x:c>
      <x:c r="B30" s="40" t="str">
        <x:f>'Master Hunt List'!A23</x:f>
        <x:v>No</x:v>
      </x:c>
      <x:c r="C30" s="2" t="str">
        <x:f>'Master Hunt List'!B23</x:f>
        <x:v>B</x:v>
      </x:c>
      <x:c r="D30" s="2" t="str">
        <x:f>'Master Hunt List'!C23</x:f>
        <x:v>Whitetail Deer</x:v>
      </x:c>
      <x:c r="E30" s="2" t="str">
        <x:f>'Master Hunt List'!D23</x:f>
        <x:v>Muse WMA</x:v>
      </x:c>
      <x:c r="F30" s="2" t="str">
        <x:f>'Master Hunt List'!E23</x:f>
        <x:v>Statewide / Other</x:v>
      </x:c>
      <x:c r="G30" s="2" t="str">
        <x:f>'Master Hunt List'!F23</x:f>
        <x:v>Archery Deer</x:v>
      </x:c>
      <x:c r="H30" s="2" t="str">
        <x:f>'Master Hunt List'!G23</x:f>
        <x:v>Yes</x:v>
      </x:c>
      <x:c r="I30" s="2" t="str">
        <x:f>'Master Hunt List'!H23</x:f>
        <x:v>Yes</x:v>
      </x:c>
      <x:c r="J30" s="97" t="str">
        <x:f>'Master Hunt List'!I23</x:f>
        <x:v>2026-08-15</x:v>
      </x:c>
      <x:c r="K30" s="111" t="n">
        <x:f>'Master Hunt List'!K23</x:f>
        <x:v>3</x:v>
      </x:c>
      <x:c r="L30" s="2" t="n">
        <x:f>'Master Hunt List'!AF23</x:f>
        <x:v>0</x:v>
      </x:c>
      <x:c r="M30" s="2" t="n">
        <x:f>'Master Hunt List'!AH23</x:f>
        <x:v>0</x:v>
      </x:c>
      <x:c r="N30" s="2" t="n">
        <x:f>'Master Hunt List'!AI23</x:f>
        <x:v>0</x:v>
      </x:c>
      <x:c r="O30" s="2" t="str">
        <x:f>'Master Hunt List'!V23</x:f>
        <x:v>https://tpwd.texas.gov/huntwild/hunt/public/public_hunt_drawing/hunt-category-details.phtml?OCat=ADE</x:v>
      </x:c>
    </x:row>
    <x:row r="31">
      <x:c r="A31" s="2" t="n">
        <x:f>24</x:f>
        <x:v>24</x:v>
      </x:c>
      <x:c r="B31" s="40" t="str">
        <x:f>'Master Hunt List'!A24</x:f>
        <x:v>No</x:v>
      </x:c>
      <x:c r="C31" s="2" t="str">
        <x:f>'Master Hunt List'!B24</x:f>
        <x:v>B</x:v>
      </x:c>
      <x:c r="D31" s="2" t="str">
        <x:f>'Master Hunt List'!C24</x:f>
        <x:v>Whitetail Deer</x:v>
      </x:c>
      <x:c r="E31" s="2" t="str">
        <x:f>'Master Hunt List'!D24</x:f>
        <x:v>Nannie Stringfellow WMA</x:v>
      </x:c>
      <x:c r="F31" s="2" t="str">
        <x:f>'Master Hunt List'!E24</x:f>
        <x:v>Houston / Gulf Coast</x:v>
      </x:c>
      <x:c r="G31" s="2" t="str">
        <x:f>'Master Hunt List'!F24</x:f>
        <x:v>Archery Deer</x:v>
      </x:c>
      <x:c r="H31" s="2" t="str">
        <x:f>'Master Hunt List'!G24</x:f>
        <x:v>Yes</x:v>
      </x:c>
      <x:c r="I31" s="2" t="str">
        <x:f>'Master Hunt List'!H24</x:f>
        <x:v>Yes</x:v>
      </x:c>
      <x:c r="J31" s="97" t="str">
        <x:f>'Master Hunt List'!I24</x:f>
        <x:v>2026-08-15</x:v>
      </x:c>
      <x:c r="K31" s="111" t="n">
        <x:f>'Master Hunt List'!K24</x:f>
        <x:v>3</x:v>
      </x:c>
      <x:c r="L31" s="2" t="n">
        <x:f>'Master Hunt List'!AF24</x:f>
        <x:v>0</x:v>
      </x:c>
      <x:c r="M31" s="2" t="n">
        <x:f>'Master Hunt List'!AH24</x:f>
        <x:v>0</x:v>
      </x:c>
      <x:c r="N31" s="2" t="n">
        <x:f>'Master Hunt List'!AI24</x:f>
        <x:v>0</x:v>
      </x:c>
      <x:c r="O31" s="2" t="str">
        <x:f>'Master Hunt List'!V24</x:f>
        <x:v>https://tpwd.texas.gov/huntwild/hunt/public/public_hunt_drawing/hunt-category-details.phtml?OCat=ADE</x:v>
      </x:c>
    </x:row>
    <x:row r="32">
      <x:c r="A32" s="2" t="n">
        <x:f>25</x:f>
        <x:v>25</x:v>
      </x:c>
      <x:c r="B32" s="40" t="str">
        <x:f>'Master Hunt List'!A25</x:f>
        <x:v>No</x:v>
      </x:c>
      <x:c r="C32" s="2" t="str">
        <x:f>'Master Hunt List'!B25</x:f>
        <x:v>A</x:v>
      </x:c>
      <x:c r="D32" s="2" t="str">
        <x:f>'Master Hunt List'!C25</x:f>
        <x:v>Whitetail Deer</x:v>
      </x:c>
      <x:c r="E32" s="2" t="str">
        <x:f>'Master Hunt List'!D25</x:f>
        <x:v>Palo Duro Canyon SP</x:v>
      </x:c>
      <x:c r="F32" s="2" t="str">
        <x:f>'Master Hunt List'!E25</x:f>
        <x:v>Panhandle / Rolling Plains</x:v>
      </x:c>
      <x:c r="G32" s="2" t="str">
        <x:f>'Master Hunt List'!F25</x:f>
        <x:v>Archery Deer</x:v>
      </x:c>
      <x:c r="H32" s="2" t="str">
        <x:f>'Master Hunt List'!G25</x:f>
        <x:v>Yes</x:v>
      </x:c>
      <x:c r="I32" s="2" t="str">
        <x:f>'Master Hunt List'!H25</x:f>
        <x:v>Yes</x:v>
      </x:c>
      <x:c r="J32" s="97" t="str">
        <x:f>'Master Hunt List'!I25</x:f>
        <x:v>2026-08-15</x:v>
      </x:c>
      <x:c r="K32" s="111" t="n">
        <x:f>'Master Hunt List'!K25</x:f>
        <x:v>3</x:v>
      </x:c>
      <x:c r="L32" s="2" t="n">
        <x:f>'Master Hunt List'!AF25</x:f>
        <x:v>0</x:v>
      </x:c>
      <x:c r="M32" s="2" t="n">
        <x:f>'Master Hunt List'!AH25</x:f>
        <x:v>0</x:v>
      </x:c>
      <x:c r="N32" s="2" t="n">
        <x:f>'Master Hunt List'!AI25</x:f>
        <x:v>0</x:v>
      </x:c>
      <x:c r="O32" s="2" t="str">
        <x:f>'Master Hunt List'!V25</x:f>
        <x:v>https://tpwd.texas.gov/huntwild/hunt/public/public_hunt_drawing/hunt-category-details.phtml?OCat=ADE</x:v>
      </x:c>
    </x:row>
    <x:row r="33">
      <x:c r="A33" s="2" t="n">
        <x:f>26</x:f>
        <x:v>26</x:v>
      </x:c>
      <x:c r="B33" s="40" t="str">
        <x:f>'Master Hunt List'!A26</x:f>
        <x:v>No</x:v>
      </x:c>
      <x:c r="C33" s="2" t="str">
        <x:f>'Master Hunt List'!B26</x:f>
        <x:v>B</x:v>
      </x:c>
      <x:c r="D33" s="2" t="str">
        <x:f>'Master Hunt List'!C26</x:f>
        <x:v>Whitetail Deer</x:v>
      </x:c>
      <x:c r="E33" s="2" t="str">
        <x:f>'Master Hunt List'!D26</x:f>
        <x:v>Post Oak Ridge State Park</x:v>
      </x:c>
      <x:c r="F33" s="2" t="str">
        <x:f>'Master Hunt List'!E26</x:f>
        <x:v>Statewide / Other</x:v>
      </x:c>
      <x:c r="G33" s="2" t="str">
        <x:f>'Master Hunt List'!F26</x:f>
        <x:v>Archery Deer</x:v>
      </x:c>
      <x:c r="H33" s="2" t="str">
        <x:f>'Master Hunt List'!G26</x:f>
        <x:v>Yes</x:v>
      </x:c>
      <x:c r="I33" s="2" t="str">
        <x:f>'Master Hunt List'!H26</x:f>
        <x:v>Yes</x:v>
      </x:c>
      <x:c r="J33" s="97" t="str">
        <x:f>'Master Hunt List'!I26</x:f>
        <x:v>2026-08-15</x:v>
      </x:c>
      <x:c r="K33" s="111" t="n">
        <x:f>'Master Hunt List'!K26</x:f>
        <x:v>3</x:v>
      </x:c>
      <x:c r="L33" s="2" t="n">
        <x:f>'Master Hunt List'!AF26</x:f>
        <x:v>0</x:v>
      </x:c>
      <x:c r="M33" s="2" t="n">
        <x:f>'Master Hunt List'!AH26</x:f>
        <x:v>0</x:v>
      </x:c>
      <x:c r="N33" s="2" t="n">
        <x:f>'Master Hunt List'!AI26</x:f>
        <x:v>0</x:v>
      </x:c>
      <x:c r="O33" s="2" t="str">
        <x:f>'Master Hunt List'!V26</x:f>
        <x:v>https://tpwd.texas.gov/huntwild/hunt/public/public_hunt_drawing/hunt-category-details.phtml?OCat=ADE</x:v>
      </x:c>
    </x:row>
    <x:row r="34">
      <x:c r="A34" s="2" t="n">
        <x:f>27</x:f>
        <x:v>27</x:v>
      </x:c>
      <x:c r="B34" s="40" t="str">
        <x:f>'Master Hunt List'!A27</x:f>
        <x:v>No</x:v>
      </x:c>
      <x:c r="C34" s="2" t="str">
        <x:f>'Master Hunt List'!B27</x:f>
        <x:v>A</x:v>
      </x:c>
      <x:c r="D34" s="2" t="str">
        <x:f>'Master Hunt List'!C27</x:f>
        <x:v>Whitetail Deer</x:v>
      </x:c>
      <x:c r="E34" s="2" t="str">
        <x:f>'Master Hunt List'!D27</x:f>
        <x:v>Potter County - Cross Bar Mgt. Area</x:v>
      </x:c>
      <x:c r="F34" s="2" t="str">
        <x:f>'Master Hunt List'!E27</x:f>
        <x:v>Panhandle / Rolling Plains</x:v>
      </x:c>
      <x:c r="G34" s="2" t="str">
        <x:f>'Master Hunt List'!F27</x:f>
        <x:v>Archery Deer</x:v>
      </x:c>
      <x:c r="H34" s="2" t="str">
        <x:f>'Master Hunt List'!G27</x:f>
        <x:v>Yes</x:v>
      </x:c>
      <x:c r="I34" s="2" t="str">
        <x:f>'Master Hunt List'!H27</x:f>
        <x:v>Yes</x:v>
      </x:c>
      <x:c r="J34" s="97" t="str">
        <x:f>'Master Hunt List'!I27</x:f>
        <x:v>2026-08-15</x:v>
      </x:c>
      <x:c r="K34" s="111" t="n">
        <x:f>'Master Hunt List'!K27</x:f>
        <x:v>3</x:v>
      </x:c>
      <x:c r="L34" s="2" t="n">
        <x:f>'Master Hunt List'!AF27</x:f>
        <x:v>0</x:v>
      </x:c>
      <x:c r="M34" s="2" t="n">
        <x:f>'Master Hunt List'!AH27</x:f>
        <x:v>0</x:v>
      </x:c>
      <x:c r="N34" s="2" t="n">
        <x:f>'Master Hunt List'!AI27</x:f>
        <x:v>0</x:v>
      </x:c>
      <x:c r="O34" s="2" t="str">
        <x:f>'Master Hunt List'!V27</x:f>
        <x:v>https://tpwd.texas.gov/huntwild/hunt/public/public_hunt_drawing/hunt-category-details.phtml?OCat=ADE</x:v>
      </x:c>
    </x:row>
    <x:row r="35">
      <x:c r="A35" s="2" t="n">
        <x:f>28</x:f>
        <x:v>28</x:v>
      </x:c>
      <x:c r="B35" s="40" t="str">
        <x:f>'Master Hunt List'!A28</x:f>
        <x:v>No</x:v>
      </x:c>
      <x:c r="C35" s="2" t="str">
        <x:f>'Master Hunt List'!B28</x:f>
        <x:v>B</x:v>
      </x:c>
      <x:c r="D35" s="2" t="str">
        <x:f>'Master Hunt List'!C28</x:f>
        <x:v>Whitetail Deer</x:v>
      </x:c>
      <x:c r="E35" s="2" t="str">
        <x:f>'Master Hunt List'!D28</x:f>
        <x:v>Richland Creek WMA - Carl Frentress Unit</x:v>
      </x:c>
      <x:c r="F35" s="2" t="str">
        <x:f>'Master Hunt List'!E28</x:f>
        <x:v>Statewide / Other</x:v>
      </x:c>
      <x:c r="G35" s="2" t="str">
        <x:f>'Master Hunt List'!F28</x:f>
        <x:v>Archery Deer</x:v>
      </x:c>
      <x:c r="H35" s="2" t="str">
        <x:f>'Master Hunt List'!G28</x:f>
        <x:v>Yes</x:v>
      </x:c>
      <x:c r="I35" s="2" t="str">
        <x:f>'Master Hunt List'!H28</x:f>
        <x:v>Yes</x:v>
      </x:c>
      <x:c r="J35" s="97" t="str">
        <x:f>'Master Hunt List'!I28</x:f>
        <x:v>2026-08-15</x:v>
      </x:c>
      <x:c r="K35" s="111" t="n">
        <x:f>'Master Hunt List'!K28</x:f>
        <x:v>3</x:v>
      </x:c>
      <x:c r="L35" s="2" t="n">
        <x:f>'Master Hunt List'!AF28</x:f>
        <x:v>0</x:v>
      </x:c>
      <x:c r="M35" s="2" t="n">
        <x:f>'Master Hunt List'!AH28</x:f>
        <x:v>0</x:v>
      </x:c>
      <x:c r="N35" s="2" t="n">
        <x:f>'Master Hunt List'!AI28</x:f>
        <x:v>0</x:v>
      </x:c>
      <x:c r="O35" s="2" t="str">
        <x:f>'Master Hunt List'!V28</x:f>
        <x:v>https://tpwd.texas.gov/huntwild/hunt/public/public_hunt_drawing/hunt-category-details.phtml?OCat=ADE</x:v>
      </x:c>
    </x:row>
    <x:row r="36">
      <x:c r="A36" s="2" t="n">
        <x:f>29</x:f>
        <x:v>29</x:v>
      </x:c>
      <x:c r="B36" s="40" t="str">
        <x:f>'Master Hunt List'!A29</x:f>
        <x:v>No</x:v>
      </x:c>
      <x:c r="C36" s="2" t="str">
        <x:f>'Master Hunt List'!B29</x:f>
        <x:v>B</x:v>
      </x:c>
      <x:c r="D36" s="2" t="str">
        <x:f>'Master Hunt List'!C29</x:f>
        <x:v>Whitetail Deer</x:v>
      </x:c>
      <x:c r="E36" s="2" t="str">
        <x:f>'Master Hunt List'!D29</x:f>
        <x:v>Roger Fawcett WMA</x:v>
      </x:c>
      <x:c r="F36" s="2" t="str">
        <x:f>'Master Hunt List'!E29</x:f>
        <x:v>West-Central Texas</x:v>
      </x:c>
      <x:c r="G36" s="2" t="str">
        <x:f>'Master Hunt List'!F29</x:f>
        <x:v>Archery Deer</x:v>
      </x:c>
      <x:c r="H36" s="2" t="str">
        <x:f>'Master Hunt List'!G29</x:f>
        <x:v>Yes</x:v>
      </x:c>
      <x:c r="I36" s="2" t="str">
        <x:f>'Master Hunt List'!H29</x:f>
        <x:v>Yes</x:v>
      </x:c>
      <x:c r="J36" s="97" t="str">
        <x:f>'Master Hunt List'!I29</x:f>
        <x:v>2026-08-15</x:v>
      </x:c>
      <x:c r="K36" s="111" t="n">
        <x:f>'Master Hunt List'!K29</x:f>
        <x:v>3</x:v>
      </x:c>
      <x:c r="L36" s="2" t="n">
        <x:f>'Master Hunt List'!AF29</x:f>
        <x:v>0</x:v>
      </x:c>
      <x:c r="M36" s="2" t="n">
        <x:f>'Master Hunt List'!AH29</x:f>
        <x:v>0</x:v>
      </x:c>
      <x:c r="N36" s="2" t="n">
        <x:f>'Master Hunt List'!AI29</x:f>
        <x:v>0</x:v>
      </x:c>
      <x:c r="O36" s="2" t="str">
        <x:f>'Master Hunt List'!V29</x:f>
        <x:v>https://tpwd.texas.gov/huntwild/hunt/public/public_hunt_drawing/hunt-category-details.phtml?OCat=ADE</x:v>
      </x:c>
    </x:row>
    <x:row r="37">
      <x:c r="A37" s="2" t="n">
        <x:f>30</x:f>
        <x:v>30</x:v>
      </x:c>
      <x:c r="B37" s="40" t="str">
        <x:f>'Master Hunt List'!A30</x:f>
        <x:v>No</x:v>
      </x:c>
      <x:c r="C37" s="2" t="str">
        <x:f>'Master Hunt List'!B30</x:f>
        <x:v>A</x:v>
      </x:c>
      <x:c r="D37" s="2" t="str">
        <x:f>'Master Hunt List'!C30</x:f>
        <x:v>Mule Deer</x:v>
      </x:c>
      <x:c r="E37" s="2" t="str">
        <x:f>'Master Hunt List'!D30</x:f>
        <x:v>Big Bend Ranch SP</x:v>
      </x:c>
      <x:c r="F37" s="2" t="str">
        <x:f>'Master Hunt List'!E30</x:f>
        <x:v>Trans-Pecos / West Texas</x:v>
      </x:c>
      <x:c r="G37" s="2" t="str">
        <x:f>'Master Hunt List'!F30</x:f>
        <x:v>Youth Gun Deer - Either Sex</x:v>
      </x:c>
      <x:c r="H37" s="2" t="str">
        <x:f>'Master Hunt List'!G30</x:f>
        <x:v>No</x:v>
      </x:c>
      <x:c r="I37" s="2" t="str">
        <x:f>'Master Hunt List'!H30</x:f>
        <x:v>Yes</x:v>
      </x:c>
      <x:c r="J37" s="97" t="str">
        <x:f>'Master Hunt List'!I30</x:f>
        <x:v>2026-09-01</x:v>
      </x:c>
      <x:c r="K37" s="111" t="n">
        <x:f>'Master Hunt List'!K30</x:f>
        <x:v>0</x:v>
      </x:c>
      <x:c r="L37" s="2" t="n">
        <x:f>'Master Hunt List'!AF30</x:f>
        <x:v>0</x:v>
      </x:c>
      <x:c r="M37" s="2" t="n">
        <x:f>'Master Hunt List'!AH30</x:f>
        <x:v>0</x:v>
      </x:c>
      <x:c r="N37" s="2" t="n">
        <x:f>'Master Hunt List'!AI30</x:f>
        <x:v>0</x:v>
      </x:c>
      <x:c r="O37" s="2" t="str">
        <x:f>'Master Hunt List'!V30</x:f>
        <x:v>https://tpwd.texas.gov/huntwild/hunt/public/public_hunt_drawing/hunt-category-details.phtml?OCat=YDE</x:v>
      </x:c>
    </x:row>
    <x:row r="38">
      <x:c r="A38" s="2" t="n">
        <x:f>31</x:f>
        <x:v>31</x:v>
      </x:c>
      <x:c r="B38" s="40" t="str">
        <x:f>'Master Hunt List'!A31</x:f>
        <x:v>No</x:v>
      </x:c>
      <x:c r="C38" s="2" t="str">
        <x:f>'Master Hunt List'!B31</x:f>
        <x:v>A</x:v>
      </x:c>
      <x:c r="D38" s="2" t="str">
        <x:f>'Master Hunt List'!C31</x:f>
        <x:v>Mule Deer</x:v>
      </x:c>
      <x:c r="E38" s="2" t="str">
        <x:f>'Master Hunt List'!D31</x:f>
        <x:v>Caprock Canyons SP</x:v>
      </x:c>
      <x:c r="F38" s="2" t="str">
        <x:f>'Master Hunt List'!E31</x:f>
        <x:v>Panhandle / Rolling Plains</x:v>
      </x:c>
      <x:c r="G38" s="2" t="str">
        <x:f>'Master Hunt List'!F31</x:f>
        <x:v>Youth Gun Deer - Either Sex</x:v>
      </x:c>
      <x:c r="H38" s="2" t="str">
        <x:f>'Master Hunt List'!G31</x:f>
        <x:v>No</x:v>
      </x:c>
      <x:c r="I38" s="2" t="str">
        <x:f>'Master Hunt List'!H31</x:f>
        <x:v>Yes</x:v>
      </x:c>
      <x:c r="J38" s="97" t="str">
        <x:f>'Master Hunt List'!I31</x:f>
        <x:v>2026-09-01</x:v>
      </x:c>
      <x:c r="K38" s="111" t="n">
        <x:f>'Master Hunt List'!K31</x:f>
        <x:v>0</x:v>
      </x:c>
      <x:c r="L38" s="2" t="n">
        <x:f>'Master Hunt List'!AF31</x:f>
        <x:v>0</x:v>
      </x:c>
      <x:c r="M38" s="2" t="n">
        <x:f>'Master Hunt List'!AH31</x:f>
        <x:v>0</x:v>
      </x:c>
      <x:c r="N38" s="2" t="n">
        <x:f>'Master Hunt List'!AI31</x:f>
        <x:v>0</x:v>
      </x:c>
      <x:c r="O38" s="2" t="str">
        <x:f>'Master Hunt List'!V31</x:f>
        <x:v>https://tpwd.texas.gov/huntwild/hunt/public/public_hunt_drawing/hunt-category-details.phtml?OCat=YDE</x:v>
      </x:c>
    </x:row>
    <x:row r="39">
      <x:c r="A39" s="2" t="n">
        <x:f>32</x:f>
        <x:v>32</x:v>
      </x:c>
      <x:c r="B39" s="40" t="str">
        <x:f>'Master Hunt List'!A32</x:f>
        <x:v>No</x:v>
      </x:c>
      <x:c r="C39" s="2" t="str">
        <x:f>'Master Hunt List'!B32</x:f>
        <x:v>A</x:v>
      </x:c>
      <x:c r="D39" s="2" t="str">
        <x:f>'Master Hunt List'!C32</x:f>
        <x:v>Whitetail Deer</x:v>
      </x:c>
      <x:c r="E39" s="2" t="str">
        <x:f>'Master Hunt List'!D32</x:f>
        <x:v>Abilene SP</x:v>
      </x:c>
      <x:c r="F39" s="2" t="str">
        <x:f>'Master Hunt List'!E32</x:f>
        <x:v>West-Central Texas</x:v>
      </x:c>
      <x:c r="G39" s="2" t="str">
        <x:f>'Master Hunt List'!F32</x:f>
        <x:v>Youth Gun Deer - Either Sex</x:v>
      </x:c>
      <x:c r="H39" s="2" t="str">
        <x:f>'Master Hunt List'!G32</x:f>
        <x:v>No</x:v>
      </x:c>
      <x:c r="I39" s="2" t="str">
        <x:f>'Master Hunt List'!H32</x:f>
        <x:v>Yes</x:v>
      </x:c>
      <x:c r="J39" s="97" t="str">
        <x:f>'Master Hunt List'!I32</x:f>
        <x:v>2026-09-01</x:v>
      </x:c>
      <x:c r="K39" s="111" t="n">
        <x:f>'Master Hunt List'!K32</x:f>
        <x:v>0</x:v>
      </x:c>
      <x:c r="L39" s="2" t="n">
        <x:f>'Master Hunt List'!AF32</x:f>
        <x:v>0</x:v>
      </x:c>
      <x:c r="M39" s="2" t="n">
        <x:f>'Master Hunt List'!AH32</x:f>
        <x:v>0</x:v>
      </x:c>
      <x:c r="N39" s="2" t="n">
        <x:f>'Master Hunt List'!AI32</x:f>
        <x:v>0</x:v>
      </x:c>
      <x:c r="O39" s="2" t="str">
        <x:f>'Master Hunt List'!V32</x:f>
        <x:v>https://tpwd.texas.gov/huntwild/hunt/public/public_hunt_drawing/hunt-category-details.phtml?OCat=YDE</x:v>
      </x:c>
    </x:row>
    <x:row r="40">
      <x:c r="A40" s="2" t="n">
        <x:f>33</x:f>
        <x:v>33</x:v>
      </x:c>
      <x:c r="B40" s="40" t="str">
        <x:f>'Master Hunt List'!A33</x:f>
        <x:v>No</x:v>
      </x:c>
      <x:c r="C40" s="2" t="str">
        <x:f>'Master Hunt List'!B33</x:f>
        <x:v>A</x:v>
      </x:c>
      <x:c r="D40" s="2" t="str">
        <x:f>'Master Hunt List'!C33</x:f>
        <x:v>Whitetail Deer</x:v>
      </x:c>
      <x:c r="E40" s="2" t="str">
        <x:f>'Master Hunt List'!D33</x:f>
        <x:v>Alazan Bayou WMA</x:v>
      </x:c>
      <x:c r="F40" s="2" t="str">
        <x:f>'Master Hunt List'!E33</x:f>
        <x:v>East Texas / Pineywoods</x:v>
      </x:c>
      <x:c r="G40" s="2" t="str">
        <x:f>'Master Hunt List'!F33</x:f>
        <x:v>Youth Gun Deer - Either Sex</x:v>
      </x:c>
      <x:c r="H40" s="2" t="str">
        <x:f>'Master Hunt List'!G33</x:f>
        <x:v>No</x:v>
      </x:c>
      <x:c r="I40" s="2" t="str">
        <x:f>'Master Hunt List'!H33</x:f>
        <x:v>Yes</x:v>
      </x:c>
      <x:c r="J40" s="97" t="str">
        <x:f>'Master Hunt List'!I33</x:f>
        <x:v>2026-09-01</x:v>
      </x:c>
      <x:c r="K40" s="111" t="n">
        <x:f>'Master Hunt List'!K33</x:f>
        <x:v>0</x:v>
      </x:c>
      <x:c r="L40" s="2" t="n">
        <x:f>'Master Hunt List'!AF33</x:f>
        <x:v>0</x:v>
      </x:c>
      <x:c r="M40" s="2" t="n">
        <x:f>'Master Hunt List'!AH33</x:f>
        <x:v>0</x:v>
      </x:c>
      <x:c r="N40" s="2" t="n">
        <x:f>'Master Hunt List'!AI33</x:f>
        <x:v>0</x:v>
      </x:c>
      <x:c r="O40" s="2" t="str">
        <x:f>'Master Hunt List'!V33</x:f>
        <x:v>https://tpwd.texas.gov/huntwild/hunt/public/public_hunt_drawing/hunt-category-details.phtml?OCat=YDE</x:v>
      </x:c>
    </x:row>
    <x:row r="41">
      <x:c r="A41" s="2" t="n">
        <x:f>34</x:f>
        <x:v>34</x:v>
      </x:c>
      <x:c r="B41" s="40" t="str">
        <x:f>'Master Hunt List'!A34</x:f>
        <x:v>No</x:v>
      </x:c>
      <x:c r="C41" s="2" t="str">
        <x:f>'Master Hunt List'!B34</x:f>
        <x:v>A</x:v>
      </x:c>
      <x:c r="D41" s="2" t="str">
        <x:f>'Master Hunt List'!C34</x:f>
        <x:v>Whitetail Deer</x:v>
      </x:c>
      <x:c r="E41" s="2" t="str">
        <x:f>'Master Hunt List'!D34</x:f>
        <x:v>Atlanta SP</x:v>
      </x:c>
      <x:c r="F41" s="2" t="str">
        <x:f>'Master Hunt List'!E34</x:f>
        <x:v>East Texas / Pineywoods</x:v>
      </x:c>
      <x:c r="G41" s="2" t="str">
        <x:f>'Master Hunt List'!F34</x:f>
        <x:v>Youth Gun Deer - Either Sex</x:v>
      </x:c>
      <x:c r="H41" s="2" t="str">
        <x:f>'Master Hunt List'!G34</x:f>
        <x:v>No</x:v>
      </x:c>
      <x:c r="I41" s="2" t="str">
        <x:f>'Master Hunt List'!H34</x:f>
        <x:v>Yes</x:v>
      </x:c>
      <x:c r="J41" s="97" t="str">
        <x:f>'Master Hunt List'!I34</x:f>
        <x:v>2026-09-01</x:v>
      </x:c>
      <x:c r="K41" s="111" t="n">
        <x:f>'Master Hunt List'!K34</x:f>
        <x:v>0</x:v>
      </x:c>
      <x:c r="L41" s="2" t="n">
        <x:f>'Master Hunt List'!AF34</x:f>
        <x:v>0</x:v>
      </x:c>
      <x:c r="M41" s="2" t="n">
        <x:f>'Master Hunt List'!AH34</x:f>
        <x:v>0</x:v>
      </x:c>
      <x:c r="N41" s="2" t="n">
        <x:f>'Master Hunt List'!AI34</x:f>
        <x:v>0</x:v>
      </x:c>
      <x:c r="O41" s="2" t="str">
        <x:f>'Master Hunt List'!V34</x:f>
        <x:v>https://tpwd.texas.gov/huntwild/hunt/public/public_hunt_drawing/hunt-category-details.phtml?OCat=YDE</x:v>
      </x:c>
    </x:row>
    <x:row r="42">
      <x:c r="A42" s="2" t="n">
        <x:f>35</x:f>
        <x:v>35</x:v>
      </x:c>
      <x:c r="B42" s="40" t="str">
        <x:f>'Master Hunt List'!A35</x:f>
        <x:v>No</x:v>
      </x:c>
      <x:c r="C42" s="2" t="str">
        <x:f>'Master Hunt List'!B35</x:f>
        <x:v>A</x:v>
      </x:c>
      <x:c r="D42" s="2" t="str">
        <x:f>'Master Hunt List'!C35</x:f>
        <x:v>Whitetail Deer</x:v>
      </x:c>
      <x:c r="E42" s="2" t="str">
        <x:f>'Master Hunt List'!D35</x:f>
        <x:v>Bastrop SP</x:v>
      </x:c>
      <x:c r="F42" s="2" t="str">
        <x:f>'Master Hunt List'!E35</x:f>
        <x:v>Central Texas / Austin</x:v>
      </x:c>
      <x:c r="G42" s="2" t="str">
        <x:f>'Master Hunt List'!F35</x:f>
        <x:v>Youth Gun Deer - Either Sex</x:v>
      </x:c>
      <x:c r="H42" s="2" t="str">
        <x:f>'Master Hunt List'!G35</x:f>
        <x:v>No</x:v>
      </x:c>
      <x:c r="I42" s="2" t="str">
        <x:f>'Master Hunt List'!H35</x:f>
        <x:v>Yes</x:v>
      </x:c>
      <x:c r="J42" s="97" t="str">
        <x:f>'Master Hunt List'!I35</x:f>
        <x:v>2026-09-01</x:v>
      </x:c>
      <x:c r="K42" s="111" t="n">
        <x:f>'Master Hunt List'!K35</x:f>
        <x:v>0</x:v>
      </x:c>
      <x:c r="L42" s="2" t="n">
        <x:f>'Master Hunt List'!AF35</x:f>
        <x:v>0</x:v>
      </x:c>
      <x:c r="M42" s="2" t="n">
        <x:f>'Master Hunt List'!AH35</x:f>
        <x:v>0</x:v>
      </x:c>
      <x:c r="N42" s="2" t="n">
        <x:f>'Master Hunt List'!AI35</x:f>
        <x:v>0</x:v>
      </x:c>
      <x:c r="O42" s="2" t="str">
        <x:f>'Master Hunt List'!V35</x:f>
        <x:v>https://tpwd.texas.gov/huntwild/hunt/public/public_hunt_drawing/hunt-category-details.phtml?OCat=YDE</x:v>
      </x:c>
    </x:row>
    <x:row r="43">
      <x:c r="A43" s="2" t="n">
        <x:f>36</x:f>
        <x:v>36</x:v>
      </x:c>
      <x:c r="B43" s="40" t="str">
        <x:f>'Master Hunt List'!A36</x:f>
        <x:v>No</x:v>
      </x:c>
      <x:c r="C43" s="2" t="str">
        <x:f>'Master Hunt List'!B36</x:f>
        <x:v>A</x:v>
      </x:c>
      <x:c r="D43" s="2" t="str">
        <x:f>'Master Hunt List'!C36</x:f>
        <x:v>Whitetail Deer</x:v>
      </x:c>
      <x:c r="E43" s="2" t="str">
        <x:f>'Master Hunt List'!D36</x:f>
        <x:v>Chaparral WMA</x:v>
      </x:c>
      <x:c r="F43" s="2" t="str">
        <x:f>'Master Hunt List'!E36</x:f>
        <x:v>South Texas / Rio Grande Valley</x:v>
      </x:c>
      <x:c r="G43" s="2" t="str">
        <x:f>'Master Hunt List'!F36</x:f>
        <x:v>Youth Gun Deer - Either Sex</x:v>
      </x:c>
      <x:c r="H43" s="2" t="str">
        <x:f>'Master Hunt List'!G36</x:f>
        <x:v>No</x:v>
      </x:c>
      <x:c r="I43" s="2" t="str">
        <x:f>'Master Hunt List'!H36</x:f>
        <x:v>Yes</x:v>
      </x:c>
      <x:c r="J43" s="97" t="str">
        <x:f>'Master Hunt List'!I36</x:f>
        <x:v>2026-09-01</x:v>
      </x:c>
      <x:c r="K43" s="111" t="n">
        <x:f>'Master Hunt List'!K36</x:f>
        <x:v>0</x:v>
      </x:c>
      <x:c r="L43" s="2" t="n">
        <x:f>'Master Hunt List'!AF36</x:f>
        <x:v>0</x:v>
      </x:c>
      <x:c r="M43" s="2" t="n">
        <x:f>'Master Hunt List'!AH36</x:f>
        <x:v>0</x:v>
      </x:c>
      <x:c r="N43" s="2" t="n">
        <x:f>'Master Hunt List'!AI36</x:f>
        <x:v>0</x:v>
      </x:c>
      <x:c r="O43" s="2" t="str">
        <x:f>'Master Hunt List'!V36</x:f>
        <x:v>https://tpwd.texas.gov/huntwild/hunt/public/public_hunt_drawing/hunt-category-details.phtml?OCat=YDE</x:v>
      </x:c>
    </x:row>
    <x:row r="44">
      <x:c r="A44" s="2" t="n">
        <x:f>37</x:f>
        <x:v>37</x:v>
      </x:c>
      <x:c r="B44" s="40" t="str">
        <x:f>'Master Hunt List'!A37</x:f>
        <x:v>No</x:v>
      </x:c>
      <x:c r="C44" s="2" t="str">
        <x:f>'Master Hunt List'!B37</x:f>
        <x:v>A</x:v>
      </x:c>
      <x:c r="D44" s="2" t="str">
        <x:f>'Master Hunt List'!C37</x:f>
        <x:v>Whitetail Deer</x:v>
      </x:c>
      <x:c r="E44" s="2" t="str">
        <x:f>'Master Hunt List'!D37</x:f>
        <x:v>Choke Canyon SP - North Shore Unit</x:v>
      </x:c>
      <x:c r="F44" s="2" t="str">
        <x:f>'Master Hunt List'!E37</x:f>
        <x:v>South Texas / Rio Grande Valley</x:v>
      </x:c>
      <x:c r="G44" s="2" t="str">
        <x:f>'Master Hunt List'!F37</x:f>
        <x:v>Youth Gun Deer - Either Sex</x:v>
      </x:c>
      <x:c r="H44" s="2" t="str">
        <x:f>'Master Hunt List'!G37</x:f>
        <x:v>No</x:v>
      </x:c>
      <x:c r="I44" s="2" t="str">
        <x:f>'Master Hunt List'!H37</x:f>
        <x:v>Yes</x:v>
      </x:c>
      <x:c r="J44" s="97" t="str">
        <x:f>'Master Hunt List'!I37</x:f>
        <x:v>2026-09-01</x:v>
      </x:c>
      <x:c r="K44" s="111" t="n">
        <x:f>'Master Hunt List'!K37</x:f>
        <x:v>0</x:v>
      </x:c>
      <x:c r="L44" s="2" t="n">
        <x:f>'Master Hunt List'!AF37</x:f>
        <x:v>0</x:v>
      </x:c>
      <x:c r="M44" s="2" t="n">
        <x:f>'Master Hunt List'!AH37</x:f>
        <x:v>0</x:v>
      </x:c>
      <x:c r="N44" s="2" t="n">
        <x:f>'Master Hunt List'!AI37</x:f>
        <x:v>0</x:v>
      </x:c>
      <x:c r="O44" s="2" t="str">
        <x:f>'Master Hunt List'!V37</x:f>
        <x:v>https://tpwd.texas.gov/huntwild/hunt/public/public_hunt_drawing/hunt-category-details.phtml?OCat=YDE</x:v>
      </x:c>
    </x:row>
    <x:row r="45">
      <x:c r="A45" s="2" t="n">
        <x:f>38</x:f>
        <x:v>38</x:v>
      </x:c>
      <x:c r="B45" s="40" t="str">
        <x:f>'Master Hunt List'!A38</x:f>
        <x:v>No</x:v>
      </x:c>
      <x:c r="C45" s="2" t="str">
        <x:f>'Master Hunt List'!B38</x:f>
        <x:v>A</x:v>
      </x:c>
      <x:c r="D45" s="2" t="str">
        <x:f>'Master Hunt List'!C38</x:f>
        <x:v>Whitetail Deer</x:v>
      </x:c>
      <x:c r="E45" s="2" t="str">
        <x:f>'Master Hunt List'!D38</x:f>
        <x:v>Colorado Bend SP</x:v>
      </x:c>
      <x:c r="F45" s="2" t="str">
        <x:f>'Master Hunt List'!E38</x:f>
        <x:v>Central Texas / Austin</x:v>
      </x:c>
      <x:c r="G45" s="2" t="str">
        <x:f>'Master Hunt List'!F38</x:f>
        <x:v>Youth Gun Deer - Either Sex</x:v>
      </x:c>
      <x:c r="H45" s="2" t="str">
        <x:f>'Master Hunt List'!G38</x:f>
        <x:v>No</x:v>
      </x:c>
      <x:c r="I45" s="2" t="str">
        <x:f>'Master Hunt List'!H38</x:f>
        <x:v>Yes</x:v>
      </x:c>
      <x:c r="J45" s="97" t="str">
        <x:f>'Master Hunt List'!I38</x:f>
        <x:v>2026-09-01</x:v>
      </x:c>
      <x:c r="K45" s="111" t="n">
        <x:f>'Master Hunt List'!K38</x:f>
        <x:v>0</x:v>
      </x:c>
      <x:c r="L45" s="2" t="n">
        <x:f>'Master Hunt List'!AF38</x:f>
        <x:v>0</x:v>
      </x:c>
      <x:c r="M45" s="2" t="n">
        <x:f>'Master Hunt List'!AH38</x:f>
        <x:v>0</x:v>
      </x:c>
      <x:c r="N45" s="2" t="n">
        <x:f>'Master Hunt List'!AI38</x:f>
        <x:v>0</x:v>
      </x:c>
      <x:c r="O45" s="2" t="str">
        <x:f>'Master Hunt List'!V38</x:f>
        <x:v>https://tpwd.texas.gov/huntwild/hunt/public/public_hunt_drawing/hunt-category-details.phtml?OCat=YDE</x:v>
      </x:c>
    </x:row>
    <x:row r="46">
      <x:c r="A46" s="2" t="n">
        <x:f>39</x:f>
        <x:v>39</x:v>
      </x:c>
      <x:c r="B46" s="40" t="str">
        <x:f>'Master Hunt List'!A39</x:f>
        <x:v>No</x:v>
      </x:c>
      <x:c r="C46" s="2" t="str">
        <x:f>'Master Hunt List'!B39</x:f>
        <x:v>A</x:v>
      </x:c>
      <x:c r="D46" s="2" t="str">
        <x:f>'Master Hunt List'!C39</x:f>
        <x:v>Whitetail Deer</x:v>
      </x:c>
      <x:c r="E46" s="2" t="str">
        <x:f>'Master Hunt List'!D39</x:f>
        <x:v>Cooper WMA</x:v>
      </x:c>
      <x:c r="F46" s="2" t="str">
        <x:f>'Master Hunt List'!E39</x:f>
        <x:v>North Texas / DFW</x:v>
      </x:c>
      <x:c r="G46" s="2" t="str">
        <x:f>'Master Hunt List'!F39</x:f>
        <x:v>Youth Gun Deer - Either Sex</x:v>
      </x:c>
      <x:c r="H46" s="2" t="str">
        <x:f>'Master Hunt List'!G39</x:f>
        <x:v>No</x:v>
      </x:c>
      <x:c r="I46" s="2" t="str">
        <x:f>'Master Hunt List'!H39</x:f>
        <x:v>Yes</x:v>
      </x:c>
      <x:c r="J46" s="97" t="str">
        <x:f>'Master Hunt List'!I39</x:f>
        <x:v>2026-09-01</x:v>
      </x:c>
      <x:c r="K46" s="111" t="n">
        <x:f>'Master Hunt List'!K39</x:f>
        <x:v>0</x:v>
      </x:c>
      <x:c r="L46" s="2" t="n">
        <x:f>'Master Hunt List'!AF39</x:f>
        <x:v>0</x:v>
      </x:c>
      <x:c r="M46" s="2" t="n">
        <x:f>'Master Hunt List'!AH39</x:f>
        <x:v>0</x:v>
      </x:c>
      <x:c r="N46" s="2" t="n">
        <x:f>'Master Hunt List'!AI39</x:f>
        <x:v>0</x:v>
      </x:c>
      <x:c r="O46" s="2" t="str">
        <x:f>'Master Hunt List'!V39</x:f>
        <x:v>https://tpwd.texas.gov/huntwild/hunt/public/public_hunt_drawing/hunt-category-details.phtml?OCat=YDE</x:v>
      </x:c>
    </x:row>
    <x:row r="47">
      <x:c r="A47" s="2" t="n">
        <x:f>40</x:f>
        <x:v>40</x:v>
      </x:c>
      <x:c r="B47" s="40" t="str">
        <x:f>'Master Hunt List'!A40</x:f>
        <x:v>No</x:v>
      </x:c>
      <x:c r="C47" s="2" t="str">
        <x:f>'Master Hunt List'!B40</x:f>
        <x:v>A</x:v>
      </x:c>
      <x:c r="D47" s="2" t="str">
        <x:f>'Master Hunt List'!C40</x:f>
        <x:v>Whitetail Deer</x:v>
      </x:c>
      <x:c r="E47" s="2" t="str">
        <x:f>'Master Hunt List'!D40</x:f>
        <x:v>Devil's Sinkhole SNA</x:v>
      </x:c>
      <x:c r="F47" s="2" t="str">
        <x:f>'Master Hunt List'!E40</x:f>
        <x:v>Hill Country / San Antonio</x:v>
      </x:c>
      <x:c r="G47" s="2" t="str">
        <x:f>'Master Hunt List'!F40</x:f>
        <x:v>Youth Gun Deer - Either Sex</x:v>
      </x:c>
      <x:c r="H47" s="2" t="str">
        <x:f>'Master Hunt List'!G40</x:f>
        <x:v>No</x:v>
      </x:c>
      <x:c r="I47" s="2" t="str">
        <x:f>'Master Hunt List'!H40</x:f>
        <x:v>Yes</x:v>
      </x:c>
      <x:c r="J47" s="97" t="str">
        <x:f>'Master Hunt List'!I40</x:f>
        <x:v>2026-09-01</x:v>
      </x:c>
      <x:c r="K47" s="111" t="n">
        <x:f>'Master Hunt List'!K40</x:f>
        <x:v>0</x:v>
      </x:c>
      <x:c r="L47" s="2" t="n">
        <x:f>'Master Hunt List'!AF40</x:f>
        <x:v>0</x:v>
      </x:c>
      <x:c r="M47" s="2" t="n">
        <x:f>'Master Hunt List'!AH40</x:f>
        <x:v>0</x:v>
      </x:c>
      <x:c r="N47" s="2" t="n">
        <x:f>'Master Hunt List'!AI40</x:f>
        <x:v>0</x:v>
      </x:c>
      <x:c r="O47" s="2" t="str">
        <x:f>'Master Hunt List'!V40</x:f>
        <x:v>https://tpwd.texas.gov/huntwild/hunt/public/public_hunt_drawing/hunt-category-details.phtml?OCat=YDE</x:v>
      </x:c>
    </x:row>
    <x:row r="48">
      <x:c r="A48" s="2" t="n">
        <x:f>41</x:f>
        <x:v>41</x:v>
      </x:c>
      <x:c r="B48" s="40" t="str">
        <x:f>'Master Hunt List'!A41</x:f>
        <x:v>No</x:v>
      </x:c>
      <x:c r="C48" s="2" t="str">
        <x:f>'Master Hunt List'!B41</x:f>
        <x:v>A</x:v>
      </x:c>
      <x:c r="D48" s="2" t="str">
        <x:f>'Master Hunt List'!C41</x:f>
        <x:v>Whitetail Deer</x:v>
      </x:c>
      <x:c r="E48" s="2" t="str">
        <x:f>'Master Hunt List'!D41</x:f>
        <x:v>Devils River SNA - Dan Allen Hughes</x:v>
      </x:c>
      <x:c r="F48" s="2" t="str">
        <x:f>'Master Hunt List'!E41</x:f>
        <x:v>Trans-Pecos / West Texas</x:v>
      </x:c>
      <x:c r="G48" s="2" t="str">
        <x:f>'Master Hunt List'!F41</x:f>
        <x:v>Youth Gun Deer - Either Sex</x:v>
      </x:c>
      <x:c r="H48" s="2" t="str">
        <x:f>'Master Hunt List'!G41</x:f>
        <x:v>No</x:v>
      </x:c>
      <x:c r="I48" s="2" t="str">
        <x:f>'Master Hunt List'!H41</x:f>
        <x:v>Yes</x:v>
      </x:c>
      <x:c r="J48" s="97" t="str">
        <x:f>'Master Hunt List'!I41</x:f>
        <x:v>2026-09-01</x:v>
      </x:c>
      <x:c r="K48" s="111" t="n">
        <x:f>'Master Hunt List'!K41</x:f>
        <x:v>0</x:v>
      </x:c>
      <x:c r="L48" s="2" t="n">
        <x:f>'Master Hunt List'!AF41</x:f>
        <x:v>0</x:v>
      </x:c>
      <x:c r="M48" s="2" t="n">
        <x:f>'Master Hunt List'!AH41</x:f>
        <x:v>0</x:v>
      </x:c>
      <x:c r="N48" s="2" t="n">
        <x:f>'Master Hunt List'!AI41</x:f>
        <x:v>0</x:v>
      </x:c>
      <x:c r="O48" s="2" t="str">
        <x:f>'Master Hunt List'!V41</x:f>
        <x:v>https://tpwd.texas.gov/huntwild/hunt/public/public_hunt_drawing/hunt-category-details.phtml?OCat=YDE</x:v>
      </x:c>
    </x:row>
    <x:row r="49">
      <x:c r="A49" s="2" t="n">
        <x:f>42</x:f>
        <x:v>42</x:v>
      </x:c>
      <x:c r="B49" s="40" t="str">
        <x:f>'Master Hunt List'!A42</x:f>
        <x:v>No</x:v>
      </x:c>
      <x:c r="C49" s="2" t="str">
        <x:f>'Master Hunt List'!B42</x:f>
        <x:v>A</x:v>
      </x:c>
      <x:c r="D49" s="2" t="str">
        <x:f>'Master Hunt List'!C42</x:f>
        <x:v>Whitetail Deer</x:v>
      </x:c>
      <x:c r="E49" s="2" t="str">
        <x:f>'Master Hunt List'!D42</x:f>
        <x:v>E.O. Siecke State Forest</x:v>
      </x:c>
      <x:c r="F49" s="2" t="str">
        <x:f>'Master Hunt List'!E42</x:f>
        <x:v>East Texas / Pineywoods</x:v>
      </x:c>
      <x:c r="G49" s="2" t="str">
        <x:f>'Master Hunt List'!F42</x:f>
        <x:v>Youth Gun Deer - Either Sex</x:v>
      </x:c>
      <x:c r="H49" s="2" t="str">
        <x:f>'Master Hunt List'!G42</x:f>
        <x:v>No</x:v>
      </x:c>
      <x:c r="I49" s="2" t="str">
        <x:f>'Master Hunt List'!H42</x:f>
        <x:v>Yes</x:v>
      </x:c>
      <x:c r="J49" s="97" t="str">
        <x:f>'Master Hunt List'!I42</x:f>
        <x:v>2026-09-01</x:v>
      </x:c>
      <x:c r="K49" s="111" t="n">
        <x:f>'Master Hunt List'!K42</x:f>
        <x:v>0</x:v>
      </x:c>
      <x:c r="L49" s="2" t="n">
        <x:f>'Master Hunt List'!AF42</x:f>
        <x:v>0</x:v>
      </x:c>
      <x:c r="M49" s="2" t="n">
        <x:f>'Master Hunt List'!AH42</x:f>
        <x:v>0</x:v>
      </x:c>
      <x:c r="N49" s="2" t="n">
        <x:f>'Master Hunt List'!AI42</x:f>
        <x:v>0</x:v>
      </x:c>
      <x:c r="O49" s="2" t="str">
        <x:f>'Master Hunt List'!V42</x:f>
        <x:v>https://tpwd.texas.gov/huntwild/hunt/public/public_hunt_drawing/hunt-category-details.phtml?OCat=YDE</x:v>
      </x:c>
    </x:row>
    <x:row r="50">
      <x:c r="A50" s="2" t="n">
        <x:f>43</x:f>
        <x:v>43</x:v>
      </x:c>
      <x:c r="B50" s="40" t="str">
        <x:f>'Master Hunt List'!A43</x:f>
        <x:v>No</x:v>
      </x:c>
      <x:c r="C50" s="2" t="str">
        <x:f>'Master Hunt List'!B43</x:f>
        <x:v>A</x:v>
      </x:c>
      <x:c r="D50" s="2" t="str">
        <x:f>'Master Hunt List'!C43</x:f>
        <x:v>Whitetail Deer</x:v>
      </x:c>
      <x:c r="E50" s="2" t="str">
        <x:f>'Master Hunt List'!D43</x:f>
        <x:v>Enchanted Rock SNA</x:v>
      </x:c>
      <x:c r="F50" s="2" t="str">
        <x:f>'Master Hunt List'!E43</x:f>
        <x:v>Hill Country / San Antonio</x:v>
      </x:c>
      <x:c r="G50" s="2" t="str">
        <x:f>'Master Hunt List'!F43</x:f>
        <x:v>Youth Gun Deer - Either Sex</x:v>
      </x:c>
      <x:c r="H50" s="2" t="str">
        <x:f>'Master Hunt List'!G43</x:f>
        <x:v>No</x:v>
      </x:c>
      <x:c r="I50" s="2" t="str">
        <x:f>'Master Hunt List'!H43</x:f>
        <x:v>Yes</x:v>
      </x:c>
      <x:c r="J50" s="97" t="str">
        <x:f>'Master Hunt List'!I43</x:f>
        <x:v>2026-09-01</x:v>
      </x:c>
      <x:c r="K50" s="111" t="n">
        <x:f>'Master Hunt List'!K43</x:f>
        <x:v>0</x:v>
      </x:c>
      <x:c r="L50" s="2" t="n">
        <x:f>'Master Hunt List'!AF43</x:f>
        <x:v>0</x:v>
      </x:c>
      <x:c r="M50" s="2" t="n">
        <x:f>'Master Hunt List'!AH43</x:f>
        <x:v>0</x:v>
      </x:c>
      <x:c r="N50" s="2" t="n">
        <x:f>'Master Hunt List'!AI43</x:f>
        <x:v>0</x:v>
      </x:c>
      <x:c r="O50" s="2" t="str">
        <x:f>'Master Hunt List'!V43</x:f>
        <x:v>https://tpwd.texas.gov/huntwild/hunt/public/public_hunt_drawing/hunt-category-details.phtml?OCat=YDE</x:v>
      </x:c>
    </x:row>
    <x:row r="51">
      <x:c r="A51" s="2" t="n">
        <x:f>44</x:f>
        <x:v>44</x:v>
      </x:c>
      <x:c r="B51" s="40" t="str">
        <x:f>'Master Hunt List'!A44</x:f>
        <x:v>No</x:v>
      </x:c>
      <x:c r="C51" s="2" t="str">
        <x:f>'Master Hunt List'!B44</x:f>
        <x:v>A</x:v>
      </x:c>
      <x:c r="D51" s="2" t="str">
        <x:f>'Master Hunt List'!C44</x:f>
        <x:v>Whitetail Deer</x:v>
      </x:c>
      <x:c r="E51" s="2" t="str">
        <x:f>'Master Hunt List'!D44</x:f>
        <x:v>Garner SP</x:v>
      </x:c>
      <x:c r="F51" s="2" t="str">
        <x:f>'Master Hunt List'!E44</x:f>
        <x:v>Hill Country / San Antonio</x:v>
      </x:c>
      <x:c r="G51" s="2" t="str">
        <x:f>'Master Hunt List'!F44</x:f>
        <x:v>Youth Gun Deer - Either Sex</x:v>
      </x:c>
      <x:c r="H51" s="2" t="str">
        <x:f>'Master Hunt List'!G44</x:f>
        <x:v>No</x:v>
      </x:c>
      <x:c r="I51" s="2" t="str">
        <x:f>'Master Hunt List'!H44</x:f>
        <x:v>Yes</x:v>
      </x:c>
      <x:c r="J51" s="97" t="str">
        <x:f>'Master Hunt List'!I44</x:f>
        <x:v>2026-09-01</x:v>
      </x:c>
      <x:c r="K51" s="111" t="n">
        <x:f>'Master Hunt List'!K44</x:f>
        <x:v>0</x:v>
      </x:c>
      <x:c r="L51" s="2" t="n">
        <x:f>'Master Hunt List'!AF44</x:f>
        <x:v>0</x:v>
      </x:c>
      <x:c r="M51" s="2" t="n">
        <x:f>'Master Hunt List'!AH44</x:f>
        <x:v>0</x:v>
      </x:c>
      <x:c r="N51" s="2" t="n">
        <x:f>'Master Hunt List'!AI44</x:f>
        <x:v>0</x:v>
      </x:c>
      <x:c r="O51" s="2" t="str">
        <x:f>'Master Hunt List'!V44</x:f>
        <x:v>https://tpwd.texas.gov/huntwild/hunt/public/public_hunt_drawing/hunt-category-details.phtml?OCat=YDE</x:v>
      </x:c>
    </x:row>
    <x:row r="52">
      <x:c r="A52" s="2" t="n">
        <x:f>45</x:f>
        <x:v>45</x:v>
      </x:c>
      <x:c r="B52" s="40" t="str">
        <x:f>'Master Hunt List'!A45</x:f>
        <x:v>No</x:v>
      </x:c>
      <x:c r="C52" s="2" t="str">
        <x:f>'Master Hunt List'!B45</x:f>
        <x:v>A</x:v>
      </x:c>
      <x:c r="D52" s="2" t="str">
        <x:f>'Master Hunt List'!C45</x:f>
        <x:v>Whitetail Deer</x:v>
      </x:c>
      <x:c r="E52" s="2" t="str">
        <x:f>'Master Hunt List'!D45</x:f>
        <x:v>Gene Howe WMA</x:v>
      </x:c>
      <x:c r="F52" s="2" t="str">
        <x:f>'Master Hunt List'!E45</x:f>
        <x:v>Panhandle / Rolling Plains</x:v>
      </x:c>
      <x:c r="G52" s="2" t="str">
        <x:f>'Master Hunt List'!F45</x:f>
        <x:v>Youth Gun Deer - Either Sex</x:v>
      </x:c>
      <x:c r="H52" s="2" t="str">
        <x:f>'Master Hunt List'!G45</x:f>
        <x:v>No</x:v>
      </x:c>
      <x:c r="I52" s="2" t="str">
        <x:f>'Master Hunt List'!H45</x:f>
        <x:v>Yes</x:v>
      </x:c>
      <x:c r="J52" s="97" t="str">
        <x:f>'Master Hunt List'!I45</x:f>
        <x:v>2026-09-01</x:v>
      </x:c>
      <x:c r="K52" s="111" t="n">
        <x:f>'Master Hunt List'!K45</x:f>
        <x:v>0</x:v>
      </x:c>
      <x:c r="L52" s="2" t="n">
        <x:f>'Master Hunt List'!AF45</x:f>
        <x:v>0</x:v>
      </x:c>
      <x:c r="M52" s="2" t="n">
        <x:f>'Master Hunt List'!AH45</x:f>
        <x:v>0</x:v>
      </x:c>
      <x:c r="N52" s="2" t="n">
        <x:f>'Master Hunt List'!AI45</x:f>
        <x:v>0</x:v>
      </x:c>
      <x:c r="O52" s="2" t="str">
        <x:f>'Master Hunt List'!V45</x:f>
        <x:v>https://tpwd.texas.gov/huntwild/hunt/public/public_hunt_drawing/hunt-category-details.phtml?OCat=YDE</x:v>
      </x:c>
    </x:row>
    <x:row r="53">
      <x:c r="A53" s="2" t="n">
        <x:f>46</x:f>
        <x:v>46</x:v>
      </x:c>
      <x:c r="B53" s="40" t="str">
        <x:f>'Master Hunt List'!A46</x:f>
        <x:v>No</x:v>
      </x:c>
      <x:c r="C53" s="2" t="str">
        <x:f>'Master Hunt List'!B46</x:f>
        <x:v>A</x:v>
      </x:c>
      <x:c r="D53" s="2" t="str">
        <x:f>'Master Hunt List'!C46</x:f>
        <x:v>Whitetail Deer</x:v>
      </x:c>
      <x:c r="E53" s="2" t="str">
        <x:f>'Master Hunt List'!D46</x:f>
        <x:v>Government Canyon SNA</x:v>
      </x:c>
      <x:c r="F53" s="2" t="str">
        <x:f>'Master Hunt List'!E46</x:f>
        <x:v>Hill Country / San Antonio</x:v>
      </x:c>
      <x:c r="G53" s="2" t="str">
        <x:f>'Master Hunt List'!F46</x:f>
        <x:v>Youth Gun Deer - Either Sex</x:v>
      </x:c>
      <x:c r="H53" s="2" t="str">
        <x:f>'Master Hunt List'!G46</x:f>
        <x:v>No</x:v>
      </x:c>
      <x:c r="I53" s="2" t="str">
        <x:f>'Master Hunt List'!H46</x:f>
        <x:v>Yes</x:v>
      </x:c>
      <x:c r="J53" s="97" t="str">
        <x:f>'Master Hunt List'!I46</x:f>
        <x:v>2026-09-01</x:v>
      </x:c>
      <x:c r="K53" s="111" t="n">
        <x:f>'Master Hunt List'!K46</x:f>
        <x:v>0</x:v>
      </x:c>
      <x:c r="L53" s="2" t="n">
        <x:f>'Master Hunt List'!AF46</x:f>
        <x:v>0</x:v>
      </x:c>
      <x:c r="M53" s="2" t="n">
        <x:f>'Master Hunt List'!AH46</x:f>
        <x:v>0</x:v>
      </x:c>
      <x:c r="N53" s="2" t="n">
        <x:f>'Master Hunt List'!AI46</x:f>
        <x:v>0</x:v>
      </x:c>
      <x:c r="O53" s="2" t="str">
        <x:f>'Master Hunt List'!V46</x:f>
        <x:v>https://tpwd.texas.gov/huntwild/hunt/public/public_hunt_drawing/hunt-category-details.phtml?OCat=YDE</x:v>
      </x:c>
    </x:row>
    <x:row r="54">
      <x:c r="A54" s="2" t="n">
        <x:f>47</x:f>
        <x:v>47</x:v>
      </x:c>
      <x:c r="B54" s="40" t="str">
        <x:f>'Master Hunt List'!A47</x:f>
        <x:v>No</x:v>
      </x:c>
      <x:c r="C54" s="2" t="str">
        <x:f>'Master Hunt List'!B47</x:f>
        <x:v>A</x:v>
      </x:c>
      <x:c r="D54" s="2" t="str">
        <x:f>'Master Hunt List'!C47</x:f>
        <x:v>Whitetail Deer</x:v>
      </x:c>
      <x:c r="E54" s="2" t="str">
        <x:f>'Master Hunt List'!D47</x:f>
        <x:v>Guadalupe River SP</x:v>
      </x:c>
      <x:c r="F54" s="2" t="str">
        <x:f>'Master Hunt List'!E47</x:f>
        <x:v>Hill Country / San Antonio</x:v>
      </x:c>
      <x:c r="G54" s="2" t="str">
        <x:f>'Master Hunt List'!F47</x:f>
        <x:v>Youth Gun Deer - Either Sex</x:v>
      </x:c>
      <x:c r="H54" s="2" t="str">
        <x:f>'Master Hunt List'!G47</x:f>
        <x:v>No</x:v>
      </x:c>
      <x:c r="I54" s="2" t="str">
        <x:f>'Master Hunt List'!H47</x:f>
        <x:v>Yes</x:v>
      </x:c>
      <x:c r="J54" s="97" t="str">
        <x:f>'Master Hunt List'!I47</x:f>
        <x:v>2026-09-01</x:v>
      </x:c>
      <x:c r="K54" s="111" t="n">
        <x:f>'Master Hunt List'!K47</x:f>
        <x:v>0</x:v>
      </x:c>
      <x:c r="L54" s="2" t="n">
        <x:f>'Master Hunt List'!AF47</x:f>
        <x:v>0</x:v>
      </x:c>
      <x:c r="M54" s="2" t="n">
        <x:f>'Master Hunt List'!AH47</x:f>
        <x:v>0</x:v>
      </x:c>
      <x:c r="N54" s="2" t="n">
        <x:f>'Master Hunt List'!AI47</x:f>
        <x:v>0</x:v>
      </x:c>
      <x:c r="O54" s="2" t="str">
        <x:f>'Master Hunt List'!V47</x:f>
        <x:v>https://tpwd.texas.gov/huntwild/hunt/public/public_hunt_drawing/hunt-category-details.phtml?OCat=YDE</x:v>
      </x:c>
    </x:row>
    <x:row r="55">
      <x:c r="A55" s="2" t="n">
        <x:f>48</x:f>
        <x:v>48</x:v>
      </x:c>
      <x:c r="B55" s="40" t="str">
        <x:f>'Master Hunt List'!A48</x:f>
        <x:v>No</x:v>
      </x:c>
      <x:c r="C55" s="2" t="str">
        <x:f>'Master Hunt List'!B48</x:f>
        <x:v>A</x:v>
      </x:c>
      <x:c r="D55" s="2" t="str">
        <x:f>'Master Hunt List'!C48</x:f>
        <x:v>Whitetail Deer</x:v>
      </x:c>
      <x:c r="E55" s="2" t="str">
        <x:f>'Master Hunt List'!D48</x:f>
        <x:v>Gus Engeling WMA</x:v>
      </x:c>
      <x:c r="F55" s="2" t="str">
        <x:f>'Master Hunt List'!E48</x:f>
        <x:v>Statewide / Other</x:v>
      </x:c>
      <x:c r="G55" s="2" t="str">
        <x:f>'Master Hunt List'!F48</x:f>
        <x:v>Youth Gun Deer - Either Sex</x:v>
      </x:c>
      <x:c r="H55" s="2" t="str">
        <x:f>'Master Hunt List'!G48</x:f>
        <x:v>No</x:v>
      </x:c>
      <x:c r="I55" s="2" t="str">
        <x:f>'Master Hunt List'!H48</x:f>
        <x:v>Yes</x:v>
      </x:c>
      <x:c r="J55" s="97" t="str">
        <x:f>'Master Hunt List'!I48</x:f>
        <x:v>2026-09-01</x:v>
      </x:c>
      <x:c r="K55" s="111" t="n">
        <x:f>'Master Hunt List'!K48</x:f>
        <x:v>0</x:v>
      </x:c>
      <x:c r="L55" s="2" t="n">
        <x:f>'Master Hunt List'!AF48</x:f>
        <x:v>0</x:v>
      </x:c>
      <x:c r="M55" s="2" t="n">
        <x:f>'Master Hunt List'!AH48</x:f>
        <x:v>0</x:v>
      </x:c>
      <x:c r="N55" s="2" t="n">
        <x:f>'Master Hunt List'!AI48</x:f>
        <x:v>0</x:v>
      </x:c>
      <x:c r="O55" s="2" t="str">
        <x:f>'Master Hunt List'!V48</x:f>
        <x:v>https://tpwd.texas.gov/huntwild/hunt/public/public_hunt_drawing/hunt-category-details.phtml?OCat=YDE</x:v>
      </x:c>
    </x:row>
    <x:row r="56">
      <x:c r="A56" s="2" t="n">
        <x:f>49</x:f>
        <x:v>49</x:v>
      </x:c>
      <x:c r="B56" s="40" t="str">
        <x:f>'Master Hunt List'!A49</x:f>
        <x:v>No</x:v>
      </x:c>
      <x:c r="C56" s="2" t="str">
        <x:f>'Master Hunt List'!B49</x:f>
        <x:v>A</x:v>
      </x:c>
      <x:c r="D56" s="2" t="str">
        <x:f>'Master Hunt List'!C49</x:f>
        <x:v>Whitetail Deer</x:v>
      </x:c>
      <x:c r="E56" s="2" t="str">
        <x:f>'Master Hunt List'!D49</x:f>
        <x:v>Hill Country SNA</x:v>
      </x:c>
      <x:c r="F56" s="2" t="str">
        <x:f>'Master Hunt List'!E49</x:f>
        <x:v>Hill Country / San Antonio</x:v>
      </x:c>
      <x:c r="G56" s="2" t="str">
        <x:f>'Master Hunt List'!F49</x:f>
        <x:v>Youth Gun Deer - Either Sex</x:v>
      </x:c>
      <x:c r="H56" s="2" t="str">
        <x:f>'Master Hunt List'!G49</x:f>
        <x:v>No</x:v>
      </x:c>
      <x:c r="I56" s="2" t="str">
        <x:f>'Master Hunt List'!H49</x:f>
        <x:v>Yes</x:v>
      </x:c>
      <x:c r="J56" s="97" t="str">
        <x:f>'Master Hunt List'!I49</x:f>
        <x:v>2026-09-01</x:v>
      </x:c>
      <x:c r="K56" s="111" t="n">
        <x:f>'Master Hunt List'!K49</x:f>
        <x:v>0</x:v>
      </x:c>
      <x:c r="L56" s="2" t="n">
        <x:f>'Master Hunt List'!AF49</x:f>
        <x:v>0</x:v>
      </x:c>
      <x:c r="M56" s="2" t="n">
        <x:f>'Master Hunt List'!AH49</x:f>
        <x:v>0</x:v>
      </x:c>
      <x:c r="N56" s="2" t="n">
        <x:f>'Master Hunt List'!AI49</x:f>
        <x:v>0</x:v>
      </x:c>
      <x:c r="O56" s="2" t="str">
        <x:f>'Master Hunt List'!V49</x:f>
        <x:v>https://tpwd.texas.gov/huntwild/hunt/public/public_hunt_drawing/hunt-category-details.phtml?OCat=YDE</x:v>
      </x:c>
    </x:row>
    <x:row r="57">
      <x:c r="A57" s="2" t="n">
        <x:f>50</x:f>
        <x:v>50</x:v>
      </x:c>
      <x:c r="B57" s="40" t="str">
        <x:f>'Master Hunt List'!A50</x:f>
        <x:v>No</x:v>
      </x:c>
      <x:c r="C57" s="2" t="str">
        <x:f>'Master Hunt List'!B50</x:f>
        <x:v>A</x:v>
      </x:c>
      <x:c r="D57" s="2" t="str">
        <x:f>'Master Hunt List'!C50</x:f>
        <x:v>Whitetail Deer</x:v>
      </x:c>
      <x:c r="E57" s="2" t="str">
        <x:f>'Master Hunt List'!D50</x:f>
        <x:v>Honey Creek SNA</x:v>
      </x:c>
      <x:c r="F57" s="2" t="str">
        <x:f>'Master Hunt List'!E50</x:f>
        <x:v>Hill Country / San Antonio</x:v>
      </x:c>
      <x:c r="G57" s="2" t="str">
        <x:f>'Master Hunt List'!F50</x:f>
        <x:v>Youth Gun Deer - Either Sex</x:v>
      </x:c>
      <x:c r="H57" s="2" t="str">
        <x:f>'Master Hunt List'!G50</x:f>
        <x:v>No</x:v>
      </x:c>
      <x:c r="I57" s="2" t="str">
        <x:f>'Master Hunt List'!H50</x:f>
        <x:v>Yes</x:v>
      </x:c>
      <x:c r="J57" s="97" t="str">
        <x:f>'Master Hunt List'!I50</x:f>
        <x:v>2026-09-01</x:v>
      </x:c>
      <x:c r="K57" s="111" t="n">
        <x:f>'Master Hunt List'!K50</x:f>
        <x:v>0</x:v>
      </x:c>
      <x:c r="L57" s="2" t="n">
        <x:f>'Master Hunt List'!AF50</x:f>
        <x:v>0</x:v>
      </x:c>
      <x:c r="M57" s="2" t="n">
        <x:f>'Master Hunt List'!AH50</x:f>
        <x:v>0</x:v>
      </x:c>
      <x:c r="N57" s="2" t="n">
        <x:f>'Master Hunt List'!AI50</x:f>
        <x:v>0</x:v>
      </x:c>
      <x:c r="O57" s="2" t="str">
        <x:f>'Master Hunt List'!V50</x:f>
        <x:v>https://tpwd.texas.gov/huntwild/hunt/public/public_hunt_drawing/hunt-category-details.phtml?OCat=YDE</x:v>
      </x:c>
    </x:row>
    <x:row r="58">
      <x:c r="A58" s="2" t="n">
        <x:f>51</x:f>
        <x:v>51</x:v>
      </x:c>
      <x:c r="B58" s="2" t="str">
        <x:f>'Master Hunt List'!A51</x:f>
        <x:v>No</x:v>
      </x:c>
      <x:c r="C58" s="2" t="str">
        <x:f>'Master Hunt List'!B51</x:f>
        <x:v>A</x:v>
      </x:c>
      <x:c r="D58" s="2" t="str">
        <x:f>'Master Hunt List'!C51</x:f>
        <x:v>Whitetail Deer</x:v>
      </x:c>
      <x:c r="E58" s="2" t="str">
        <x:f>'Master Hunt List'!D51</x:f>
        <x:v>Huntsville SP</x:v>
      </x:c>
      <x:c r="F58" s="2" t="str">
        <x:f>'Master Hunt List'!E51</x:f>
        <x:v>East Texas / Pineywoods</x:v>
      </x:c>
      <x:c r="G58" s="2" t="str">
        <x:f>'Master Hunt List'!F51</x:f>
        <x:v>Youth Gun Deer - Either Sex</x:v>
      </x:c>
      <x:c r="H58" s="2" t="str">
        <x:f>'Master Hunt List'!G51</x:f>
        <x:v>No</x:v>
      </x:c>
      <x:c r="I58" s="2" t="str">
        <x:f>'Master Hunt List'!H51</x:f>
        <x:v>Yes</x:v>
      </x:c>
      <x:c r="J58" s="97" t="str">
        <x:f>'Master Hunt List'!I51</x:f>
        <x:v>2026-09-01</x:v>
      </x:c>
      <x:c r="K58" s="111" t="n">
        <x:f>'Master Hunt List'!K51</x:f>
        <x:v>0</x:v>
      </x:c>
      <x:c r="L58" s="2" t="n">
        <x:f>'Master Hunt List'!AF51</x:f>
        <x:v>0</x:v>
      </x:c>
      <x:c r="M58" s="2" t="n">
        <x:f>'Master Hunt List'!AH51</x:f>
        <x:v>0</x:v>
      </x:c>
      <x:c r="N58" s="2" t="n">
        <x:f>'Master Hunt List'!AI51</x:f>
        <x:v>0</x:v>
      </x:c>
      <x:c r="O58" s="2" t="str">
        <x:f>'Master Hunt List'!V51</x:f>
        <x:v>https://tpwd.texas.gov/huntwild/hunt/public/public_hunt_drawing/hunt-category-details.phtml?OCat=YDE</x:v>
      </x:c>
    </x:row>
    <x:row r="59">
      <x:c r="A59" s="2" t="n">
        <x:f>52</x:f>
        <x:v>52</x:v>
      </x:c>
      <x:c r="B59" s="2" t="str">
        <x:f>'Master Hunt List'!A52</x:f>
        <x:v>No</x:v>
      </x:c>
      <x:c r="C59" s="2" t="str">
        <x:f>'Master Hunt List'!B52</x:f>
        <x:v>A</x:v>
      </x:c>
      <x:c r="D59" s="2" t="str">
        <x:f>'Master Hunt List'!C52</x:f>
        <x:v>Whitetail Deer</x:v>
      </x:c>
      <x:c r="E59" s="2" t="str">
        <x:f>'Master Hunt List'!D52</x:f>
        <x:v>I.D. Fairchild State Forest</x:v>
      </x:c>
      <x:c r="F59" s="2" t="str">
        <x:f>'Master Hunt List'!E52</x:f>
        <x:v>East Texas / Pineywoods</x:v>
      </x:c>
      <x:c r="G59" s="2" t="str">
        <x:f>'Master Hunt List'!F52</x:f>
        <x:v>Youth Gun Deer - Either Sex</x:v>
      </x:c>
      <x:c r="H59" s="2" t="str">
        <x:f>'Master Hunt List'!G52</x:f>
        <x:v>No</x:v>
      </x:c>
      <x:c r="I59" s="2" t="str">
        <x:f>'Master Hunt List'!H52</x:f>
        <x:v>Yes</x:v>
      </x:c>
      <x:c r="J59" s="97" t="str">
        <x:f>'Master Hunt List'!I52</x:f>
        <x:v>2026-09-01</x:v>
      </x:c>
      <x:c r="K59" s="111" t="n">
        <x:f>'Master Hunt List'!K52</x:f>
        <x:v>0</x:v>
      </x:c>
      <x:c r="L59" s="2" t="n">
        <x:f>'Master Hunt List'!AF52</x:f>
        <x:v>0</x:v>
      </x:c>
      <x:c r="M59" s="2" t="n">
        <x:f>'Master Hunt List'!AH52</x:f>
        <x:v>0</x:v>
      </x:c>
      <x:c r="N59" s="2" t="n">
        <x:f>'Master Hunt List'!AI52</x:f>
        <x:v>0</x:v>
      </x:c>
      <x:c r="O59" s="2" t="str">
        <x:f>'Master Hunt List'!V52</x:f>
        <x:v>https://tpwd.texas.gov/huntwild/hunt/public/public_hunt_drawing/hunt-category-details.phtml?OCat=YDE</x:v>
      </x:c>
    </x:row>
    <x:row r="60">
      <x:c r="A60" s="2" t="n">
        <x:f>53</x:f>
        <x:v>53</x:v>
      </x:c>
      <x:c r="B60" s="2" t="str">
        <x:f>'Master Hunt List'!A53</x:f>
        <x:v>No</x:v>
      </x:c>
      <x:c r="C60" s="2" t="str">
        <x:f>'Master Hunt List'!B53</x:f>
        <x:v>A</x:v>
      </x:c>
      <x:c r="D60" s="2" t="str">
        <x:f>'Master Hunt List'!C53</x:f>
        <x:v>Whitetail Deer</x:v>
      </x:c>
      <x:c r="E60" s="2" t="str">
        <x:f>'Master Hunt List'!D53</x:f>
        <x:v>Inks Lake/Longhorn Caverns SP</x:v>
      </x:c>
      <x:c r="F60" s="2" t="str">
        <x:f>'Master Hunt List'!E53</x:f>
        <x:v>Central Texas / Austin</x:v>
      </x:c>
      <x:c r="G60" s="2" t="str">
        <x:f>'Master Hunt List'!F53</x:f>
        <x:v>Youth Gun Deer - Either Sex</x:v>
      </x:c>
      <x:c r="H60" s="2" t="str">
        <x:f>'Master Hunt List'!G53</x:f>
        <x:v>No</x:v>
      </x:c>
      <x:c r="I60" s="2" t="str">
        <x:f>'Master Hunt List'!H53</x:f>
        <x:v>Yes</x:v>
      </x:c>
      <x:c r="J60" s="97" t="str">
        <x:f>'Master Hunt List'!I53</x:f>
        <x:v>2026-09-01</x:v>
      </x:c>
      <x:c r="K60" s="111" t="n">
        <x:f>'Master Hunt List'!K53</x:f>
        <x:v>0</x:v>
      </x:c>
      <x:c r="L60" s="2" t="n">
        <x:f>'Master Hunt List'!AF53</x:f>
        <x:v>0</x:v>
      </x:c>
      <x:c r="M60" s="2" t="n">
        <x:f>'Master Hunt List'!AH53</x:f>
        <x:v>0</x:v>
      </x:c>
      <x:c r="N60" s="2" t="n">
        <x:f>'Master Hunt List'!AI53</x:f>
        <x:v>0</x:v>
      </x:c>
      <x:c r="O60" s="2" t="str">
        <x:f>'Master Hunt List'!V53</x:f>
        <x:v>https://tpwd.texas.gov/huntwild/hunt/public/public_hunt_drawing/hunt-category-details.phtml?OCat=YDE</x:v>
      </x:c>
    </x:row>
    <x:row r="61">
      <x:c r="A61" s="2" t="n">
        <x:f>54</x:f>
        <x:v>54</x:v>
      </x:c>
      <x:c r="B61" s="2" t="str">
        <x:f>'Master Hunt List'!A54</x:f>
        <x:v>No</x:v>
      </x:c>
      <x:c r="C61" s="2" t="str">
        <x:f>'Master Hunt List'!B54</x:f>
        <x:v>A</x:v>
      </x:c>
      <x:c r="D61" s="2" t="str">
        <x:f>'Master Hunt List'!C54</x:f>
        <x:v>Whitetail Deer</x:v>
      </x:c>
      <x:c r="E61" s="2" t="str">
        <x:f>'Master Hunt List'!D54</x:f>
        <x:v>James Daughtrey WMA</x:v>
      </x:c>
      <x:c r="F61" s="2" t="str">
        <x:f>'Master Hunt List'!E54</x:f>
        <x:v>South Texas / Rio Grande Valley</x:v>
      </x:c>
      <x:c r="G61" s="2" t="str">
        <x:f>'Master Hunt List'!F54</x:f>
        <x:v>Youth Gun Deer - Either Sex</x:v>
      </x:c>
      <x:c r="H61" s="2" t="str">
        <x:f>'Master Hunt List'!G54</x:f>
        <x:v>No</x:v>
      </x:c>
      <x:c r="I61" s="2" t="str">
        <x:f>'Master Hunt List'!H54</x:f>
        <x:v>Yes</x:v>
      </x:c>
      <x:c r="J61" s="97" t="str">
        <x:f>'Master Hunt List'!I54</x:f>
        <x:v>2026-09-01</x:v>
      </x:c>
      <x:c r="K61" s="111" t="n">
        <x:f>'Master Hunt List'!K54</x:f>
        <x:v>0</x:v>
      </x:c>
      <x:c r="L61" s="2" t="n">
        <x:f>'Master Hunt List'!AF54</x:f>
        <x:v>0</x:v>
      </x:c>
      <x:c r="M61" s="2" t="n">
        <x:f>'Master Hunt List'!AH54</x:f>
        <x:v>0</x:v>
      </x:c>
      <x:c r="N61" s="2" t="n">
        <x:f>'Master Hunt List'!AI54</x:f>
        <x:v>0</x:v>
      </x:c>
      <x:c r="O61" s="2" t="str">
        <x:f>'Master Hunt List'!V54</x:f>
        <x:v>https://tpwd.texas.gov/huntwild/hunt/public/public_hunt_drawing/hunt-category-details.phtml?OCat=YDE</x:v>
      </x:c>
    </x:row>
    <x:row r="62">
      <x:c r="A62" s="2" t="n">
        <x:f>55</x:f>
        <x:v>55</x:v>
      </x:c>
      <x:c r="B62" s="2" t="str">
        <x:f>'Master Hunt List'!A55</x:f>
        <x:v>No</x:v>
      </x:c>
      <x:c r="C62" s="2" t="str">
        <x:f>'Master Hunt List'!B55</x:f>
        <x:v>A</x:v>
      </x:c>
      <x:c r="D62" s="2" t="str">
        <x:f>'Master Hunt List'!C55</x:f>
        <x:v>Whitetail Deer</x:v>
      </x:c>
      <x:c r="E62" s="2" t="str">
        <x:f>'Master Hunt List'!D55</x:f>
        <x:v>John Henry Kirby State Forest</x:v>
      </x:c>
      <x:c r="F62" s="2" t="str">
        <x:f>'Master Hunt List'!E55</x:f>
        <x:v>East Texas / Pineywoods</x:v>
      </x:c>
      <x:c r="G62" s="2" t="str">
        <x:f>'Master Hunt List'!F55</x:f>
        <x:v>Youth Gun Deer - Either Sex</x:v>
      </x:c>
      <x:c r="H62" s="2" t="str">
        <x:f>'Master Hunt List'!G55</x:f>
        <x:v>No</x:v>
      </x:c>
      <x:c r="I62" s="2" t="str">
        <x:f>'Master Hunt List'!H55</x:f>
        <x:v>Yes</x:v>
      </x:c>
      <x:c r="J62" s="97" t="str">
        <x:f>'Master Hunt List'!I55</x:f>
        <x:v>2026-09-01</x:v>
      </x:c>
      <x:c r="K62" s="111" t="n">
        <x:f>'Master Hunt List'!K55</x:f>
        <x:v>0</x:v>
      </x:c>
      <x:c r="L62" s="2" t="n">
        <x:f>'Master Hunt List'!AF55</x:f>
        <x:v>0</x:v>
      </x:c>
      <x:c r="M62" s="2" t="n">
        <x:f>'Master Hunt List'!AH55</x:f>
        <x:v>0</x:v>
      </x:c>
      <x:c r="N62" s="2" t="n">
        <x:f>'Master Hunt List'!AI55</x:f>
        <x:v>0</x:v>
      </x:c>
      <x:c r="O62" s="2" t="str">
        <x:f>'Master Hunt List'!V55</x:f>
        <x:v>https://tpwd.texas.gov/huntwild/hunt/public/public_hunt_drawing/hunt-category-details.phtml?OCat=YDE</x:v>
      </x:c>
    </x:row>
    <x:row r="63">
      <x:c r="A63" s="2" t="n">
        <x:f>56</x:f>
        <x:v>56</x:v>
      </x:c>
      <x:c r="B63" s="2" t="str">
        <x:f>'Master Hunt List'!A56</x:f>
        <x:v>No</x:v>
      </x:c>
      <x:c r="C63" s="2" t="str">
        <x:f>'Master Hunt List'!B56</x:f>
        <x:v>A</x:v>
      </x:c>
      <x:c r="D63" s="2" t="str">
        <x:f>'Master Hunt List'!C56</x:f>
        <x:v>Whitetail Deer</x:v>
      </x:c>
      <x:c r="E63" s="2" t="str">
        <x:f>'Master Hunt List'!D56</x:f>
        <x:v>Justin Hurst WMA</x:v>
      </x:c>
      <x:c r="F63" s="2" t="str">
        <x:f>'Master Hunt List'!E56</x:f>
        <x:v>Houston / Gulf Coast</x:v>
      </x:c>
      <x:c r="G63" s="2" t="str">
        <x:f>'Master Hunt List'!F56</x:f>
        <x:v>Youth Gun Deer - Either Sex</x:v>
      </x:c>
      <x:c r="H63" s="2" t="str">
        <x:f>'Master Hunt List'!G56</x:f>
        <x:v>No</x:v>
      </x:c>
      <x:c r="I63" s="2" t="str">
        <x:f>'Master Hunt List'!H56</x:f>
        <x:v>Yes</x:v>
      </x:c>
      <x:c r="J63" s="97" t="str">
        <x:f>'Master Hunt List'!I56</x:f>
        <x:v>2026-09-01</x:v>
      </x:c>
      <x:c r="K63" s="111" t="n">
        <x:f>'Master Hunt List'!K56</x:f>
        <x:v>0</x:v>
      </x:c>
      <x:c r="L63" s="2" t="n">
        <x:f>'Master Hunt List'!AF56</x:f>
        <x:v>0</x:v>
      </x:c>
      <x:c r="M63" s="2" t="n">
        <x:f>'Master Hunt List'!AH56</x:f>
        <x:v>0</x:v>
      </x:c>
      <x:c r="N63" s="2" t="n">
        <x:f>'Master Hunt List'!AI56</x:f>
        <x:v>0</x:v>
      </x:c>
      <x:c r="O63" s="2" t="str">
        <x:f>'Master Hunt List'!V56</x:f>
        <x:v>https://tpwd.texas.gov/huntwild/hunt/public/public_hunt_drawing/hunt-category-details.phtml?OCat=YDE</x:v>
      </x:c>
    </x:row>
    <x:row r="64">
      <x:c r="A64" s="2" t="n">
        <x:f>57</x:f>
        <x:v>57</x:v>
      </x:c>
      <x:c r="B64" s="2" t="str">
        <x:f>'Master Hunt List'!A57</x:f>
        <x:v>No</x:v>
      </x:c>
      <x:c r="C64" s="2" t="str">
        <x:f>'Master Hunt List'!B57</x:f>
        <x:v>A</x:v>
      </x:c>
      <x:c r="D64" s="2" t="str">
        <x:f>'Master Hunt List'!C57</x:f>
        <x:v>Whitetail Deer</x:v>
      </x:c>
      <x:c r="E64" s="2" t="str">
        <x:f>'Master Hunt List'!D57</x:f>
        <x:v>Kerr WMA</x:v>
      </x:c>
      <x:c r="F64" s="2" t="str">
        <x:f>'Master Hunt List'!E57</x:f>
        <x:v>Hill Country / San Antonio</x:v>
      </x:c>
      <x:c r="G64" s="2" t="str">
        <x:f>'Master Hunt List'!F57</x:f>
        <x:v>Youth Gun Deer - Either Sex</x:v>
      </x:c>
      <x:c r="H64" s="2" t="str">
        <x:f>'Master Hunt List'!G57</x:f>
        <x:v>No</x:v>
      </x:c>
      <x:c r="I64" s="2" t="str">
        <x:f>'Master Hunt List'!H57</x:f>
        <x:v>Yes</x:v>
      </x:c>
      <x:c r="J64" s="97" t="str">
        <x:f>'Master Hunt List'!I57</x:f>
        <x:v>2026-09-01</x:v>
      </x:c>
      <x:c r="K64" s="111" t="n">
        <x:f>'Master Hunt List'!K57</x:f>
        <x:v>0</x:v>
      </x:c>
      <x:c r="L64" s="2" t="n">
        <x:f>'Master Hunt List'!AF57</x:f>
        <x:v>0</x:v>
      </x:c>
      <x:c r="M64" s="2" t="n">
        <x:f>'Master Hunt List'!AH57</x:f>
        <x:v>0</x:v>
      </x:c>
      <x:c r="N64" s="2" t="n">
        <x:f>'Master Hunt List'!AI57</x:f>
        <x:v>0</x:v>
      </x:c>
      <x:c r="O64" s="2" t="str">
        <x:f>'Master Hunt List'!V57</x:f>
        <x:v>https://tpwd.texas.gov/huntwild/hunt/public/public_hunt_drawing/hunt-category-details.phtml?OCat=YDE</x:v>
      </x:c>
    </x:row>
    <x:row r="65">
      <x:c r="A65" s="2" t="n">
        <x:f>58</x:f>
        <x:v>58</x:v>
      </x:c>
      <x:c r="B65" s="2" t="str">
        <x:f>'Master Hunt List'!A58</x:f>
        <x:v>No</x:v>
      </x:c>
      <x:c r="C65" s="2" t="str">
        <x:f>'Master Hunt List'!B58</x:f>
        <x:v>A</x:v>
      </x:c>
      <x:c r="D65" s="2" t="str">
        <x:f>'Master Hunt List'!C58</x:f>
        <x:v>Whitetail Deer</x:v>
      </x:c>
      <x:c r="E65" s="2" t="str">
        <x:f>'Master Hunt List'!D58</x:f>
        <x:v>Lake Brownwood SP</x:v>
      </x:c>
      <x:c r="F65" s="2" t="str">
        <x:f>'Master Hunt List'!E58</x:f>
        <x:v>West-Central Texas</x:v>
      </x:c>
      <x:c r="G65" s="2" t="str">
        <x:f>'Master Hunt List'!F58</x:f>
        <x:v>Youth Gun Deer - Either Sex</x:v>
      </x:c>
      <x:c r="H65" s="2" t="str">
        <x:f>'Master Hunt List'!G58</x:f>
        <x:v>No</x:v>
      </x:c>
      <x:c r="I65" s="2" t="str">
        <x:f>'Master Hunt List'!H58</x:f>
        <x:v>Yes</x:v>
      </x:c>
      <x:c r="J65" s="97" t="str">
        <x:f>'Master Hunt List'!I58</x:f>
        <x:v>2026-09-01</x:v>
      </x:c>
      <x:c r="K65" s="111" t="n">
        <x:f>'Master Hunt List'!K58</x:f>
        <x:v>0</x:v>
      </x:c>
      <x:c r="L65" s="2" t="n">
        <x:f>'Master Hunt List'!AF58</x:f>
        <x:v>0</x:v>
      </x:c>
      <x:c r="M65" s="2" t="n">
        <x:f>'Master Hunt List'!AH58</x:f>
        <x:v>0</x:v>
      </x:c>
      <x:c r="N65" s="2" t="n">
        <x:f>'Master Hunt List'!AI58</x:f>
        <x:v>0</x:v>
      </x:c>
      <x:c r="O65" s="2" t="str">
        <x:f>'Master Hunt List'!V58</x:f>
        <x:v>https://tpwd.texas.gov/huntwild/hunt/public/public_hunt_drawing/hunt-category-details.phtml?OCat=YDE</x:v>
      </x:c>
    </x:row>
    <x:row r="66">
      <x:c r="A66" s="2" t="n">
        <x:f>59</x:f>
        <x:v>59</x:v>
      </x:c>
      <x:c r="B66" s="2" t="str">
        <x:f>'Master Hunt List'!A59</x:f>
        <x:v>No</x:v>
      </x:c>
      <x:c r="C66" s="2" t="str">
        <x:f>'Master Hunt List'!B59</x:f>
        <x:v>A</x:v>
      </x:c>
      <x:c r="D66" s="2" t="str">
        <x:f>'Master Hunt List'!C59</x:f>
        <x:v>Whitetail Deer</x:v>
      </x:c>
      <x:c r="E66" s="2" t="str">
        <x:f>'Master Hunt List'!D59</x:f>
        <x:v>Lake McClellan Recreation Area</x:v>
      </x:c>
      <x:c r="F66" s="2" t="str">
        <x:f>'Master Hunt List'!E59</x:f>
        <x:v>Panhandle / Rolling Plains</x:v>
      </x:c>
      <x:c r="G66" s="2" t="str">
        <x:f>'Master Hunt List'!F59</x:f>
        <x:v>Youth Gun Deer - Either Sex</x:v>
      </x:c>
      <x:c r="H66" s="2" t="str">
        <x:f>'Master Hunt List'!G59</x:f>
        <x:v>No</x:v>
      </x:c>
      <x:c r="I66" s="2" t="str">
        <x:f>'Master Hunt List'!H59</x:f>
        <x:v>Yes</x:v>
      </x:c>
      <x:c r="J66" s="97" t="str">
        <x:f>'Master Hunt List'!I59</x:f>
        <x:v>2026-09-01</x:v>
      </x:c>
      <x:c r="K66" s="111" t="n">
        <x:f>'Master Hunt List'!K59</x:f>
        <x:v>0</x:v>
      </x:c>
      <x:c r="L66" s="2" t="n">
        <x:f>'Master Hunt List'!AF59</x:f>
        <x:v>0</x:v>
      </x:c>
      <x:c r="M66" s="2" t="n">
        <x:f>'Master Hunt List'!AH59</x:f>
        <x:v>0</x:v>
      </x:c>
      <x:c r="N66" s="2" t="n">
        <x:f>'Master Hunt List'!AI59</x:f>
        <x:v>0</x:v>
      </x:c>
      <x:c r="O66" s="2" t="str">
        <x:f>'Master Hunt List'!V59</x:f>
        <x:v>https://tpwd.texas.gov/huntwild/hunt/public/public_hunt_drawing/hunt-category-details.phtml?OCat=YDE</x:v>
      </x:c>
    </x:row>
    <x:row r="67">
      <x:c r="A67" s="2" t="n">
        <x:f>60</x:f>
        <x:v>60</x:v>
      </x:c>
      <x:c r="B67" s="2" t="str">
        <x:f>'Master Hunt List'!A60</x:f>
        <x:v>No</x:v>
      </x:c>
      <x:c r="C67" s="2" t="str">
        <x:f>'Master Hunt List'!B60</x:f>
        <x:v>A</x:v>
      </x:c>
      <x:c r="D67" s="2" t="str">
        <x:f>'Master Hunt List'!C60</x:f>
        <x:v>Whitetail Deer</x:v>
      </x:c>
      <x:c r="E67" s="2" t="str">
        <x:f>'Master Hunt List'!D60</x:f>
        <x:v>Lake Mineral Wells SP</x:v>
      </x:c>
      <x:c r="F67" s="2" t="str">
        <x:f>'Master Hunt List'!E60</x:f>
        <x:v>North Texas / DFW</x:v>
      </x:c>
      <x:c r="G67" s="2" t="str">
        <x:f>'Master Hunt List'!F60</x:f>
        <x:v>Youth Gun Deer - Either Sex</x:v>
      </x:c>
      <x:c r="H67" s="2" t="str">
        <x:f>'Master Hunt List'!G60</x:f>
        <x:v>No</x:v>
      </x:c>
      <x:c r="I67" s="2" t="str">
        <x:f>'Master Hunt List'!H60</x:f>
        <x:v>Yes</x:v>
      </x:c>
      <x:c r="J67" s="97" t="str">
        <x:f>'Master Hunt List'!I60</x:f>
        <x:v>2026-09-01</x:v>
      </x:c>
      <x:c r="K67" s="111" t="n">
        <x:f>'Master Hunt List'!K60</x:f>
        <x:v>0</x:v>
      </x:c>
      <x:c r="L67" s="2" t="n">
        <x:f>'Master Hunt List'!AF60</x:f>
        <x:v>0</x:v>
      </x:c>
      <x:c r="M67" s="2" t="n">
        <x:f>'Master Hunt List'!AH60</x:f>
        <x:v>0</x:v>
      </x:c>
      <x:c r="N67" s="2" t="n">
        <x:f>'Master Hunt List'!AI60</x:f>
        <x:v>0</x:v>
      </x:c>
      <x:c r="O67" s="2" t="str">
        <x:f>'Master Hunt List'!V60</x:f>
        <x:v>https://tpwd.texas.gov/huntwild/hunt/public/public_hunt_drawing/hunt-category-details.phtml?OCat=YDE</x:v>
      </x:c>
    </x:row>
    <x:row r="68">
      <x:c r="A68" s="2" t="n">
        <x:f>61</x:f>
        <x:v>61</x:v>
      </x:c>
      <x:c r="B68" s="2" t="str">
        <x:f>'Master Hunt List'!A61</x:f>
        <x:v>No</x:v>
      </x:c>
      <x:c r="C68" s="2" t="str">
        <x:f>'Master Hunt List'!B61</x:f>
        <x:v>A</x:v>
      </x:c>
      <x:c r="D68" s="2" t="str">
        <x:f>'Master Hunt List'!C61</x:f>
        <x:v>Whitetail Deer</x:v>
      </x:c>
      <x:c r="E68" s="2" t="str">
        <x:f>'Master Hunt List'!D61</x:f>
        <x:v>Lake Somerville SP - Nails Creek Unit</x:v>
      </x:c>
      <x:c r="F68" s="2" t="str">
        <x:f>'Master Hunt List'!E61</x:f>
        <x:v>Central Texas / Austin</x:v>
      </x:c>
      <x:c r="G68" s="2" t="str">
        <x:f>'Master Hunt List'!F61</x:f>
        <x:v>Youth Gun Deer - Either Sex</x:v>
      </x:c>
      <x:c r="H68" s="2" t="str">
        <x:f>'Master Hunt List'!G61</x:f>
        <x:v>No</x:v>
      </x:c>
      <x:c r="I68" s="2" t="str">
        <x:f>'Master Hunt List'!H61</x:f>
        <x:v>Yes</x:v>
      </x:c>
      <x:c r="J68" s="97" t="str">
        <x:f>'Master Hunt List'!I61</x:f>
        <x:v>2026-09-01</x:v>
      </x:c>
      <x:c r="K68" s="111" t="n">
        <x:f>'Master Hunt List'!K61</x:f>
        <x:v>0</x:v>
      </x:c>
      <x:c r="L68" s="2" t="n">
        <x:f>'Master Hunt List'!AF61</x:f>
        <x:v>0</x:v>
      </x:c>
      <x:c r="M68" s="2" t="n">
        <x:f>'Master Hunt List'!AH61</x:f>
        <x:v>0</x:v>
      </x:c>
      <x:c r="N68" s="2" t="n">
        <x:f>'Master Hunt List'!AI61</x:f>
        <x:v>0</x:v>
      </x:c>
      <x:c r="O68" s="2" t="str">
        <x:f>'Master Hunt List'!V61</x:f>
        <x:v>https://tpwd.texas.gov/huntwild/hunt/public/public_hunt_drawing/hunt-category-details.phtml?OCat=YDE</x:v>
      </x:c>
    </x:row>
    <x:row r="69">
      <x:c r="A69" s="2" t="n">
        <x:f>62</x:f>
        <x:v>62</x:v>
      </x:c>
      <x:c r="B69" s="2" t="str">
        <x:f>'Master Hunt List'!A62</x:f>
        <x:v>No</x:v>
      </x:c>
      <x:c r="C69" s="2" t="str">
        <x:f>'Master Hunt List'!B62</x:f>
        <x:v>B</x:v>
      </x:c>
      <x:c r="D69" s="2" t="str">
        <x:f>'Master Hunt List'!C62</x:f>
        <x:v>Whitetail Deer</x:v>
      </x:c>
      <x:c r="E69" s="2" t="str">
        <x:f>'Master Hunt List'!D62</x:f>
        <x:v>Lake Whitney SP</x:v>
      </x:c>
      <x:c r="F69" s="2" t="str">
        <x:f>'Master Hunt List'!E62</x:f>
        <x:v>Central Texas / Austin</x:v>
      </x:c>
      <x:c r="G69" s="2" t="str">
        <x:f>'Master Hunt List'!F62</x:f>
        <x:v>E-Postcard Youth Archery Deer</x:v>
      </x:c>
      <x:c r="H69" s="2" t="str">
        <x:f>'Master Hunt List'!G62</x:f>
        <x:v>No</x:v>
      </x:c>
      <x:c r="I69" s="2" t="str">
        <x:f>'Master Hunt List'!H62</x:f>
        <x:v>Yes</x:v>
      </x:c>
      <x:c r="J69" s="97" t="str">
        <x:f>'Master Hunt List'!I62</x:f>
        <x:v>2026-09-01</x:v>
      </x:c>
      <x:c r="K69" s="111" t="n">
        <x:f>'Master Hunt List'!K62</x:f>
        <x:v>0</x:v>
      </x:c>
      <x:c r="L69" s="2" t="n">
        <x:f>'Master Hunt List'!AF62</x:f>
        <x:v>0</x:v>
      </x:c>
      <x:c r="M69" s="2" t="n">
        <x:f>'Master Hunt List'!AH62</x:f>
        <x:v>0</x:v>
      </x:c>
      <x:c r="N69" s="2" t="n">
        <x:f>'Master Hunt List'!AI62</x:f>
        <x:v>0</x:v>
      </x:c>
      <x:c r="O69" s="2" t="str">
        <x:f>'Master Hunt List'!V62</x:f>
        <x:v>https://tpwd.texas.gov/huntwild/hunt/public/public_hunt_drawing/hunt-category-details.phtml?OCat=EYA</x:v>
      </x:c>
    </x:row>
    <x:row r="70">
      <x:c r="A70" s="2" t="n">
        <x:f>63</x:f>
        <x:v>63</x:v>
      </x:c>
      <x:c r="B70" s="2" t="str">
        <x:f>'Master Hunt List'!A63</x:f>
        <x:v>No</x:v>
      </x:c>
      <x:c r="C70" s="2" t="str">
        <x:f>'Master Hunt List'!B63</x:f>
        <x:v>B</x:v>
      </x:c>
      <x:c r="D70" s="2" t="str">
        <x:f>'Master Hunt List'!C63</x:f>
        <x:v>Whitetail Deer</x:v>
      </x:c>
      <x:c r="E70" s="2" t="str">
        <x:f>'Master Hunt List'!D63</x:f>
        <x:v>Mad Island WMA</x:v>
      </x:c>
      <x:c r="F70" s="2" t="str">
        <x:f>'Master Hunt List'!E63</x:f>
        <x:v>Houston / Gulf Coast</x:v>
      </x:c>
      <x:c r="G70" s="2" t="str">
        <x:f>'Master Hunt List'!F63</x:f>
        <x:v>E-Postcard Youth Archery Deer</x:v>
      </x:c>
      <x:c r="H70" s="2" t="str">
        <x:f>'Master Hunt List'!G63</x:f>
        <x:v>No</x:v>
      </x:c>
      <x:c r="I70" s="2" t="str">
        <x:f>'Master Hunt List'!H63</x:f>
        <x:v>Yes</x:v>
      </x:c>
      <x:c r="J70" s="97" t="str">
        <x:f>'Master Hunt List'!I63</x:f>
        <x:v>2026-09-01</x:v>
      </x:c>
      <x:c r="K70" s="111" t="n">
        <x:f>'Master Hunt List'!K63</x:f>
        <x:v>0</x:v>
      </x:c>
      <x:c r="L70" s="2" t="n">
        <x:f>'Master Hunt List'!AF63</x:f>
        <x:v>0</x:v>
      </x:c>
      <x:c r="M70" s="2" t="n">
        <x:f>'Master Hunt List'!AH63</x:f>
        <x:v>0</x:v>
      </x:c>
      <x:c r="N70" s="2" t="n">
        <x:f>'Master Hunt List'!AI63</x:f>
        <x:v>0</x:v>
      </x:c>
      <x:c r="O70" s="2" t="str">
        <x:f>'Master Hunt List'!V63</x:f>
        <x:v>https://tpwd.texas.gov/huntwild/hunt/public/public_hunt_drawing/hunt-category-details.phtml?OCat=EYA</x:v>
      </x:c>
    </x:row>
    <x:row r="71">
      <x:c r="A71" s="2" t="n">
        <x:f>64</x:f>
        <x:v>64</x:v>
      </x:c>
      <x:c r="B71" s="2" t="str">
        <x:f>'Master Hunt List'!A64</x:f>
        <x:v>No</x:v>
      </x:c>
      <x:c r="C71" s="2" t="str">
        <x:f>'Master Hunt List'!B64</x:f>
        <x:v>A</x:v>
      </x:c>
      <x:c r="D71" s="2" t="str">
        <x:f>'Master Hunt List'!C64</x:f>
        <x:v>Whitetail Deer</x:v>
      </x:c>
      <x:c r="E71" s="2" t="str">
        <x:f>'Master Hunt List'!D64</x:f>
        <x:v>Masterson State Forest</x:v>
      </x:c>
      <x:c r="F71" s="2" t="str">
        <x:f>'Master Hunt List'!E64</x:f>
        <x:v>East Texas / Pineywoods</x:v>
      </x:c>
      <x:c r="G71" s="2" t="str">
        <x:f>'Master Hunt List'!F64</x:f>
        <x:v>Youth Gun Deer - Either Sex</x:v>
      </x:c>
      <x:c r="H71" s="2" t="str">
        <x:f>'Master Hunt List'!G64</x:f>
        <x:v>No</x:v>
      </x:c>
      <x:c r="I71" s="2" t="str">
        <x:f>'Master Hunt List'!H64</x:f>
        <x:v>Yes</x:v>
      </x:c>
      <x:c r="J71" s="97" t="str">
        <x:f>'Master Hunt List'!I64</x:f>
        <x:v>2026-09-01</x:v>
      </x:c>
      <x:c r="K71" s="111" t="n">
        <x:f>'Master Hunt List'!K64</x:f>
        <x:v>0</x:v>
      </x:c>
      <x:c r="L71" s="2" t="n">
        <x:f>'Master Hunt List'!AF64</x:f>
        <x:v>0</x:v>
      </x:c>
      <x:c r="M71" s="2" t="n">
        <x:f>'Master Hunt List'!AH64</x:f>
        <x:v>0</x:v>
      </x:c>
      <x:c r="N71" s="2" t="n">
        <x:f>'Master Hunt List'!AI64</x:f>
        <x:v>0</x:v>
      </x:c>
      <x:c r="O71" s="2" t="str">
        <x:f>'Master Hunt List'!V64</x:f>
        <x:v>https://tpwd.texas.gov/huntwild/hunt/public/public_hunt_drawing/hunt-category-details.phtml?OCat=YDE</x:v>
      </x:c>
    </x:row>
    <x:row r="72">
      <x:c r="A72" s="2" t="n">
        <x:f>65</x:f>
        <x:v>65</x:v>
      </x:c>
      <x:c r="B72" s="2" t="str">
        <x:f>'Master Hunt List'!A65</x:f>
        <x:v>No</x:v>
      </x:c>
      <x:c r="C72" s="2" t="str">
        <x:f>'Master Hunt List'!B65</x:f>
        <x:v>A</x:v>
      </x:c>
      <x:c r="D72" s="2" t="str">
        <x:f>'Master Hunt List'!C65</x:f>
        <x:v>Whitetail Deer</x:v>
      </x:c>
      <x:c r="E72" s="2" t="str">
        <x:f>'Master Hunt List'!D65</x:f>
        <x:v>Matagorda Island WMA</x:v>
      </x:c>
      <x:c r="F72" s="2" t="str">
        <x:f>'Master Hunt List'!E65</x:f>
        <x:v>Houston / Gulf Coast</x:v>
      </x:c>
      <x:c r="G72" s="2" t="str">
        <x:f>'Master Hunt List'!F65</x:f>
        <x:v>Youth Gun Deer - Either Sex</x:v>
      </x:c>
      <x:c r="H72" s="2" t="str">
        <x:f>'Master Hunt List'!G65</x:f>
        <x:v>No</x:v>
      </x:c>
      <x:c r="I72" s="2" t="str">
        <x:f>'Master Hunt List'!H65</x:f>
        <x:v>Yes</x:v>
      </x:c>
      <x:c r="J72" s="97" t="str">
        <x:f>'Master Hunt List'!I65</x:f>
        <x:v>2026-09-01</x:v>
      </x:c>
      <x:c r="K72" s="111" t="n">
        <x:f>'Master Hunt List'!K65</x:f>
        <x:v>0</x:v>
      </x:c>
      <x:c r="L72" s="2" t="n">
        <x:f>'Master Hunt List'!AF65</x:f>
        <x:v>0</x:v>
      </x:c>
      <x:c r="M72" s="2" t="n">
        <x:f>'Master Hunt List'!AH65</x:f>
        <x:v>0</x:v>
      </x:c>
      <x:c r="N72" s="2" t="n">
        <x:f>'Master Hunt List'!AI65</x:f>
        <x:v>0</x:v>
      </x:c>
      <x:c r="O72" s="2" t="str">
        <x:f>'Master Hunt List'!V65</x:f>
        <x:v>https://tpwd.texas.gov/huntwild/hunt/public/public_hunt_drawing/hunt-category-details.phtml?OCat=YDE</x:v>
      </x:c>
    </x:row>
    <x:row r="73">
      <x:c r="A73" s="2" t="n">
        <x:f>66</x:f>
        <x:v>66</x:v>
      </x:c>
      <x:c r="B73" s="2" t="str">
        <x:f>'Master Hunt List'!A66</x:f>
        <x:v>No</x:v>
      </x:c>
      <x:c r="C73" s="2" t="str">
        <x:f>'Master Hunt List'!B66</x:f>
        <x:v>A</x:v>
      </x:c>
      <x:c r="D73" s="2" t="str">
        <x:f>'Master Hunt List'!C66</x:f>
        <x:v>Whitetail Deer</x:v>
      </x:c>
      <x:c r="E73" s="2" t="str">
        <x:f>'Master Hunt List'!D66</x:f>
        <x:v>Nannie Stringfellow WMA</x:v>
      </x:c>
      <x:c r="F73" s="2" t="str">
        <x:f>'Master Hunt List'!E66</x:f>
        <x:v>Houston / Gulf Coast</x:v>
      </x:c>
      <x:c r="G73" s="2" t="str">
        <x:f>'Master Hunt List'!F66</x:f>
        <x:v>Youth Gun Deer - Either Sex</x:v>
      </x:c>
      <x:c r="H73" s="2" t="str">
        <x:f>'Master Hunt List'!G66</x:f>
        <x:v>No</x:v>
      </x:c>
      <x:c r="I73" s="2" t="str">
        <x:f>'Master Hunt List'!H66</x:f>
        <x:v>Yes</x:v>
      </x:c>
      <x:c r="J73" s="97" t="str">
        <x:f>'Master Hunt List'!I66</x:f>
        <x:v>2026-09-01</x:v>
      </x:c>
      <x:c r="K73" s="111" t="n">
        <x:f>'Master Hunt List'!K66</x:f>
        <x:v>0</x:v>
      </x:c>
      <x:c r="L73" s="2" t="n">
        <x:f>'Master Hunt List'!AF66</x:f>
        <x:v>0</x:v>
      </x:c>
      <x:c r="M73" s="2" t="n">
        <x:f>'Master Hunt List'!AH66</x:f>
        <x:v>0</x:v>
      </x:c>
      <x:c r="N73" s="2" t="n">
        <x:f>'Master Hunt List'!AI66</x:f>
        <x:v>0</x:v>
      </x:c>
      <x:c r="O73" s="2" t="str">
        <x:f>'Master Hunt List'!V66</x:f>
        <x:v>https://tpwd.texas.gov/huntwild/hunt/public/public_hunt_drawing/hunt-category-details.phtml?OCat=YDE</x:v>
      </x:c>
    </x:row>
    <x:row r="74">
      <x:c r="A74" s="2" t="n">
        <x:f>67</x:f>
        <x:v>67</x:v>
      </x:c>
      <x:c r="B74" s="2" t="str">
        <x:f>'Master Hunt List'!A67</x:f>
        <x:v>No</x:v>
      </x:c>
      <x:c r="C74" s="2" t="str">
        <x:f>'Master Hunt List'!B67</x:f>
        <x:v>A</x:v>
      </x:c>
      <x:c r="D74" s="2" t="str">
        <x:f>'Master Hunt List'!C67</x:f>
        <x:v>Whitetail Deer</x:v>
      </x:c>
      <x:c r="E74" s="2" t="str">
        <x:f>'Master Hunt List'!D67</x:f>
        <x:v>Old Sabine Bottom WMA</x:v>
      </x:c>
      <x:c r="F74" s="2" t="str">
        <x:f>'Master Hunt List'!E67</x:f>
        <x:v>East Texas / Pineywoods</x:v>
      </x:c>
      <x:c r="G74" s="2" t="str">
        <x:f>'Master Hunt List'!F67</x:f>
        <x:v>Youth Gun Deer - Either Sex</x:v>
      </x:c>
      <x:c r="H74" s="2" t="str">
        <x:f>'Master Hunt List'!G67</x:f>
        <x:v>No</x:v>
      </x:c>
      <x:c r="I74" s="2" t="str">
        <x:f>'Master Hunt List'!H67</x:f>
        <x:v>Yes</x:v>
      </x:c>
      <x:c r="J74" s="97" t="str">
        <x:f>'Master Hunt List'!I67</x:f>
        <x:v>2026-09-01</x:v>
      </x:c>
      <x:c r="K74" s="111" t="n">
        <x:f>'Master Hunt List'!K67</x:f>
        <x:v>0</x:v>
      </x:c>
      <x:c r="L74" s="2" t="n">
        <x:f>'Master Hunt List'!AF67</x:f>
        <x:v>0</x:v>
      </x:c>
      <x:c r="M74" s="2" t="n">
        <x:f>'Master Hunt List'!AH67</x:f>
        <x:v>0</x:v>
      </x:c>
      <x:c r="N74" s="2" t="n">
        <x:f>'Master Hunt List'!AI67</x:f>
        <x:v>0</x:v>
      </x:c>
      <x:c r="O74" s="2" t="str">
        <x:f>'Master Hunt List'!V67</x:f>
        <x:v>https://tpwd.texas.gov/huntwild/hunt/public/public_hunt_drawing/hunt-category-details.phtml?OCat=YDE</x:v>
      </x:c>
    </x:row>
    <x:row r="75">
      <x:c r="A75" s="2" t="n">
        <x:f>68</x:f>
        <x:v>68</x:v>
      </x:c>
      <x:c r="B75" s="2" t="str">
        <x:f>'Master Hunt List'!A68</x:f>
        <x:v>No</x:v>
      </x:c>
      <x:c r="C75" s="2" t="str">
        <x:f>'Master Hunt List'!B68</x:f>
        <x:v>A</x:v>
      </x:c>
      <x:c r="D75" s="2" t="str">
        <x:f>'Master Hunt List'!C68</x:f>
        <x:v>Whitetail Deer</x:v>
      </x:c>
      <x:c r="E75" s="2" t="str">
        <x:f>'Master Hunt List'!D68</x:f>
        <x:v>Pedernales Falls SP</x:v>
      </x:c>
      <x:c r="F75" s="2" t="str">
        <x:f>'Master Hunt List'!E68</x:f>
        <x:v>Hill Country / San Antonio</x:v>
      </x:c>
      <x:c r="G75" s="2" t="str">
        <x:f>'Master Hunt List'!F68</x:f>
        <x:v>Youth Gun Deer - Either Sex</x:v>
      </x:c>
      <x:c r="H75" s="2" t="str">
        <x:f>'Master Hunt List'!G68</x:f>
        <x:v>No</x:v>
      </x:c>
      <x:c r="I75" s="2" t="str">
        <x:f>'Master Hunt List'!H68</x:f>
        <x:v>Yes</x:v>
      </x:c>
      <x:c r="J75" s="97" t="str">
        <x:f>'Master Hunt List'!I68</x:f>
        <x:v>2026-09-01</x:v>
      </x:c>
      <x:c r="K75" s="111" t="n">
        <x:f>'Master Hunt List'!K68</x:f>
        <x:v>0</x:v>
      </x:c>
      <x:c r="L75" s="2" t="n">
        <x:f>'Master Hunt List'!AF68</x:f>
        <x:v>0</x:v>
      </x:c>
      <x:c r="M75" s="2" t="n">
        <x:f>'Master Hunt List'!AH68</x:f>
        <x:v>0</x:v>
      </x:c>
      <x:c r="N75" s="2" t="n">
        <x:f>'Master Hunt List'!AI68</x:f>
        <x:v>0</x:v>
      </x:c>
      <x:c r="O75" s="2" t="str">
        <x:f>'Master Hunt List'!V68</x:f>
        <x:v>https://tpwd.texas.gov/huntwild/hunt/public/public_hunt_drawing/hunt-category-details.phtml?OCat=YDE</x:v>
      </x:c>
    </x:row>
    <x:row r="76">
      <x:c r="A76" s="2" t="n">
        <x:f>69</x:f>
        <x:v>69</x:v>
      </x:c>
      <x:c r="B76" s="2" t="str">
        <x:f>'Master Hunt List'!A69</x:f>
        <x:v>No</x:v>
      </x:c>
      <x:c r="C76" s="2" t="str">
        <x:f>'Master Hunt List'!B69</x:f>
        <x:v>A</x:v>
      </x:c>
      <x:c r="D76" s="2" t="str">
        <x:f>'Master Hunt List'!C69</x:f>
        <x:v>Whitetail Deer</x:v>
      </x:c>
      <x:c r="E76" s="2" t="str">
        <x:f>'Master Hunt List'!D69</x:f>
        <x:v>Post Oak Ridge State Park</x:v>
      </x:c>
      <x:c r="F76" s="2" t="str">
        <x:f>'Master Hunt List'!E69</x:f>
        <x:v>Statewide / Other</x:v>
      </x:c>
      <x:c r="G76" s="2" t="str">
        <x:f>'Master Hunt List'!F69</x:f>
        <x:v>Youth Gun Deer - Either Sex</x:v>
      </x:c>
      <x:c r="H76" s="2" t="str">
        <x:f>'Master Hunt List'!G69</x:f>
        <x:v>No</x:v>
      </x:c>
      <x:c r="I76" s="2" t="str">
        <x:f>'Master Hunt List'!H69</x:f>
        <x:v>Yes</x:v>
      </x:c>
      <x:c r="J76" s="97" t="str">
        <x:f>'Master Hunt List'!I69</x:f>
        <x:v>2026-09-01</x:v>
      </x:c>
      <x:c r="K76" s="111" t="n">
        <x:f>'Master Hunt List'!K69</x:f>
        <x:v>0</x:v>
      </x:c>
      <x:c r="L76" s="2" t="n">
        <x:f>'Master Hunt List'!AF69</x:f>
        <x:v>0</x:v>
      </x:c>
      <x:c r="M76" s="2" t="n">
        <x:f>'Master Hunt List'!AH69</x:f>
        <x:v>0</x:v>
      </x:c>
      <x:c r="N76" s="2" t="n">
        <x:f>'Master Hunt List'!AI69</x:f>
        <x:v>0</x:v>
      </x:c>
      <x:c r="O76" s="2" t="str">
        <x:f>'Master Hunt List'!V69</x:f>
        <x:v>https://tpwd.texas.gov/huntwild/hunt/public/public_hunt_drawing/hunt-category-details.phtml?OCat=YDE</x:v>
      </x:c>
    </x:row>
    <x:row r="77">
      <x:c r="A77" s="2" t="n">
        <x:f>70</x:f>
        <x:v>70</x:v>
      </x:c>
      <x:c r="B77" s="2" t="str">
        <x:f>'Master Hunt List'!A70</x:f>
        <x:v>No</x:v>
      </x:c>
      <x:c r="C77" s="2" t="str">
        <x:f>'Master Hunt List'!B70</x:f>
        <x:v>A</x:v>
      </x:c>
      <x:c r="D77" s="2" t="str">
        <x:f>'Master Hunt List'!C70</x:f>
        <x:v>Whitetail Deer</x:v>
      </x:c>
      <x:c r="E77" s="2" t="str">
        <x:f>'Master Hunt List'!D70</x:f>
        <x:v>Powderhorn State Park</x:v>
      </x:c>
      <x:c r="F77" s="2" t="str">
        <x:f>'Master Hunt List'!E70</x:f>
        <x:v>Houston / Gulf Coast</x:v>
      </x:c>
      <x:c r="G77" s="2" t="str">
        <x:f>'Master Hunt List'!F70</x:f>
        <x:v>Youth Gun Deer - Either Sex</x:v>
      </x:c>
      <x:c r="H77" s="2" t="str">
        <x:f>'Master Hunt List'!G70</x:f>
        <x:v>No</x:v>
      </x:c>
      <x:c r="I77" s="2" t="str">
        <x:f>'Master Hunt List'!H70</x:f>
        <x:v>Yes</x:v>
      </x:c>
      <x:c r="J77" s="97" t="str">
        <x:f>'Master Hunt List'!I70</x:f>
        <x:v>2026-09-01</x:v>
      </x:c>
      <x:c r="K77" s="111" t="n">
        <x:f>'Master Hunt List'!K70</x:f>
        <x:v>0</x:v>
      </x:c>
      <x:c r="L77" s="2" t="n">
        <x:f>'Master Hunt List'!AF70</x:f>
        <x:v>0</x:v>
      </x:c>
      <x:c r="M77" s="2" t="n">
        <x:f>'Master Hunt List'!AH70</x:f>
        <x:v>0</x:v>
      </x:c>
      <x:c r="N77" s="2" t="n">
        <x:f>'Master Hunt List'!AI70</x:f>
        <x:v>0</x:v>
      </x:c>
      <x:c r="O77" s="2" t="str">
        <x:f>'Master Hunt List'!V70</x:f>
        <x:v>https://tpwd.texas.gov/huntwild/hunt/public/public_hunt_drawing/hunt-category-details.phtml?OCat=YDE</x:v>
      </x:c>
    </x:row>
    <x:row r="78">
      <x:c r="A78" s="2" t="n">
        <x:f>71</x:f>
        <x:v>71</x:v>
      </x:c>
      <x:c r="B78" s="2" t="str">
        <x:f>'Master Hunt List'!A71</x:f>
        <x:v>No</x:v>
      </x:c>
      <x:c r="C78" s="2" t="str">
        <x:f>'Master Hunt List'!B71</x:f>
        <x:v>A</x:v>
      </x:c>
      <x:c r="D78" s="2" t="str">
        <x:f>'Master Hunt List'!C71</x:f>
        <x:v>Whitetail Deer</x:v>
      </x:c>
      <x:c r="E78" s="2" t="str">
        <x:f>'Master Hunt List'!D71</x:f>
        <x:v>Powderhorn WMA</x:v>
      </x:c>
      <x:c r="F78" s="2" t="str">
        <x:f>'Master Hunt List'!E71</x:f>
        <x:v>Houston / Gulf Coast</x:v>
      </x:c>
      <x:c r="G78" s="2" t="str">
        <x:f>'Master Hunt List'!F71</x:f>
        <x:v>Youth Gun Deer - Either Sex</x:v>
      </x:c>
      <x:c r="H78" s="2" t="str">
        <x:f>'Master Hunt List'!G71</x:f>
        <x:v>No</x:v>
      </x:c>
      <x:c r="I78" s="2" t="str">
        <x:f>'Master Hunt List'!H71</x:f>
        <x:v>Yes</x:v>
      </x:c>
      <x:c r="J78" s="97" t="str">
        <x:f>'Master Hunt List'!I71</x:f>
        <x:v>2026-09-01</x:v>
      </x:c>
      <x:c r="K78" s="111" t="n">
        <x:f>'Master Hunt List'!K71</x:f>
        <x:v>0</x:v>
      </x:c>
      <x:c r="L78" s="2" t="n">
        <x:f>'Master Hunt List'!AF71</x:f>
        <x:v>0</x:v>
      </x:c>
      <x:c r="M78" s="2" t="n">
        <x:f>'Master Hunt List'!AH71</x:f>
        <x:v>0</x:v>
      </x:c>
      <x:c r="N78" s="2" t="n">
        <x:f>'Master Hunt List'!AI71</x:f>
        <x:v>0</x:v>
      </x:c>
      <x:c r="O78" s="2" t="str">
        <x:f>'Master Hunt List'!V71</x:f>
        <x:v>https://tpwd.texas.gov/huntwild/hunt/public/public_hunt_drawing/hunt-category-details.phtml?OCat=YDE</x:v>
      </x:c>
    </x:row>
    <x:row r="79">
      <x:c r="A79" s="2" t="n">
        <x:f>72</x:f>
        <x:v>72</x:v>
      </x:c>
      <x:c r="B79" s="2" t="str">
        <x:f>'Master Hunt List'!A72</x:f>
        <x:v>No</x:v>
      </x:c>
      <x:c r="C79" s="2" t="str">
        <x:f>'Master Hunt List'!B72</x:f>
        <x:v>A</x:v>
      </x:c>
      <x:c r="D79" s="2" t="str">
        <x:f>'Master Hunt List'!C72</x:f>
        <x:v>Whitetail Deer</x:v>
      </x:c>
      <x:c r="E79" s="2" t="str">
        <x:f>'Master Hunt List'!D72</x:f>
        <x:v>Richland Creek WMA - Carl Frentress Unit</x:v>
      </x:c>
      <x:c r="F79" s="2" t="str">
        <x:f>'Master Hunt List'!E72</x:f>
        <x:v>Statewide / Other</x:v>
      </x:c>
      <x:c r="G79" s="2" t="str">
        <x:f>'Master Hunt List'!F72</x:f>
        <x:v>Youth Gun Deer - Either Sex</x:v>
      </x:c>
      <x:c r="H79" s="2" t="str">
        <x:f>'Master Hunt List'!G72</x:f>
        <x:v>No</x:v>
      </x:c>
      <x:c r="I79" s="2" t="str">
        <x:f>'Master Hunt List'!H72</x:f>
        <x:v>Yes</x:v>
      </x:c>
      <x:c r="J79" s="97" t="str">
        <x:f>'Master Hunt List'!I72</x:f>
        <x:v>2026-09-01</x:v>
      </x:c>
      <x:c r="K79" s="111" t="n">
        <x:f>'Master Hunt List'!K72</x:f>
        <x:v>0</x:v>
      </x:c>
      <x:c r="L79" s="2" t="n">
        <x:f>'Master Hunt List'!AF72</x:f>
        <x:v>0</x:v>
      </x:c>
      <x:c r="M79" s="2" t="n">
        <x:f>'Master Hunt List'!AH72</x:f>
        <x:v>0</x:v>
      </x:c>
      <x:c r="N79" s="2" t="n">
        <x:f>'Master Hunt List'!AI72</x:f>
        <x:v>0</x:v>
      </x:c>
      <x:c r="O79" s="2" t="str">
        <x:f>'Master Hunt List'!V72</x:f>
        <x:v>https://tpwd.texas.gov/huntwild/hunt/public/public_hunt_drawing/hunt-category-details.phtml?OCat=YDE</x:v>
      </x:c>
    </x:row>
    <x:row r="80">
      <x:c r="A80" s="2" t="n">
        <x:f>73</x:f>
        <x:v>73</x:v>
      </x:c>
      <x:c r="B80" s="2" t="str">
        <x:f>'Master Hunt List'!A73</x:f>
        <x:v>No</x:v>
      </x:c>
      <x:c r="C80" s="2" t="str">
        <x:f>'Master Hunt List'!B73</x:f>
        <x:v>A</x:v>
      </x:c>
      <x:c r="D80" s="2" t="str">
        <x:f>'Master Hunt List'!C73</x:f>
        <x:v>Whitetail Deer</x:v>
      </x:c>
      <x:c r="E80" s="2" t="str">
        <x:f>'Master Hunt List'!D73</x:f>
        <x:v>Richland Creek WMA - South Unit</x:v>
      </x:c>
      <x:c r="F80" s="2" t="str">
        <x:f>'Master Hunt List'!E73</x:f>
        <x:v>Statewide / Other</x:v>
      </x:c>
      <x:c r="G80" s="2" t="str">
        <x:f>'Master Hunt List'!F73</x:f>
        <x:v>Youth Gun Deer - Either Sex</x:v>
      </x:c>
      <x:c r="H80" s="2" t="str">
        <x:f>'Master Hunt List'!G73</x:f>
        <x:v>No</x:v>
      </x:c>
      <x:c r="I80" s="2" t="str">
        <x:f>'Master Hunt List'!H73</x:f>
        <x:v>Yes</x:v>
      </x:c>
      <x:c r="J80" s="97" t="str">
        <x:f>'Master Hunt List'!I73</x:f>
        <x:v>2026-09-01</x:v>
      </x:c>
      <x:c r="K80" s="111" t="n">
        <x:f>'Master Hunt List'!K73</x:f>
        <x:v>0</x:v>
      </x:c>
      <x:c r="L80" s="2" t="n">
        <x:f>'Master Hunt List'!AF73</x:f>
        <x:v>0</x:v>
      </x:c>
      <x:c r="M80" s="2" t="n">
        <x:f>'Master Hunt List'!AH73</x:f>
        <x:v>0</x:v>
      </x:c>
      <x:c r="N80" s="2" t="n">
        <x:f>'Master Hunt List'!AI73</x:f>
        <x:v>0</x:v>
      </x:c>
      <x:c r="O80" s="2" t="str">
        <x:f>'Master Hunt List'!V73</x:f>
        <x:v>https://tpwd.texas.gov/huntwild/hunt/public/public_hunt_drawing/hunt-category-details.phtml?OCat=YDE</x:v>
      </x:c>
    </x:row>
    <x:row r="81">
      <x:c r="A81" s="2" t="n">
        <x:f>74</x:f>
        <x:v>74</x:v>
      </x:c>
      <x:c r="B81" s="2" t="str">
        <x:f>'Master Hunt List'!A74</x:f>
        <x:v>No</x:v>
      </x:c>
      <x:c r="C81" s="2" t="str">
        <x:f>'Master Hunt List'!B74</x:f>
        <x:v>A</x:v>
      </x:c>
      <x:c r="D81" s="2" t="str">
        <x:f>'Master Hunt List'!C74</x:f>
        <x:v>Whitetail Deer</x:v>
      </x:c>
      <x:c r="E81" s="2" t="str">
        <x:f>'Master Hunt List'!D74</x:f>
        <x:v>San Angelo SP</x:v>
      </x:c>
      <x:c r="F81" s="2" t="str">
        <x:f>'Master Hunt List'!E74</x:f>
        <x:v>West-Central Texas</x:v>
      </x:c>
      <x:c r="G81" s="2" t="str">
        <x:f>'Master Hunt List'!F74</x:f>
        <x:v>Youth Gun Deer - Either Sex</x:v>
      </x:c>
      <x:c r="H81" s="2" t="str">
        <x:f>'Master Hunt List'!G74</x:f>
        <x:v>No</x:v>
      </x:c>
      <x:c r="I81" s="2" t="str">
        <x:f>'Master Hunt List'!H74</x:f>
        <x:v>Yes</x:v>
      </x:c>
      <x:c r="J81" s="97" t="str">
        <x:f>'Master Hunt List'!I74</x:f>
        <x:v>2026-09-01</x:v>
      </x:c>
      <x:c r="K81" s="111" t="n">
        <x:f>'Master Hunt List'!K74</x:f>
        <x:v>0</x:v>
      </x:c>
      <x:c r="L81" s="2" t="n">
        <x:f>'Master Hunt List'!AF74</x:f>
        <x:v>0</x:v>
      </x:c>
      <x:c r="M81" s="2" t="n">
        <x:f>'Master Hunt List'!AH74</x:f>
        <x:v>0</x:v>
      </x:c>
      <x:c r="N81" s="2" t="n">
        <x:f>'Master Hunt List'!AI74</x:f>
        <x:v>0</x:v>
      </x:c>
      <x:c r="O81" s="2" t="str">
        <x:f>'Master Hunt List'!V74</x:f>
        <x:v>https://tpwd.texas.gov/huntwild/hunt/public/public_hunt_drawing/hunt-category-details.phtml?OCat=YDE</x:v>
      </x:c>
    </x:row>
    <x:row r="82">
      <x:c r="A82" s="2" t="n">
        <x:f>75</x:f>
        <x:v>75</x:v>
      </x:c>
      <x:c r="B82" s="2" t="str">
        <x:f>'Master Hunt List'!A75</x:f>
        <x:v>No</x:v>
      </x:c>
      <x:c r="C82" s="2" t="str">
        <x:f>'Master Hunt List'!B75</x:f>
        <x:v>A</x:v>
      </x:c>
      <x:c r="D82" s="2" t="str">
        <x:f>'Master Hunt List'!C75</x:f>
        <x:v>Whitetail Deer</x:v>
      </x:c>
      <x:c r="E82" s="2" t="str">
        <x:f>'Master Hunt List'!D75</x:f>
        <x:v>South Llano River SP</x:v>
      </x:c>
      <x:c r="F82" s="2" t="str">
        <x:f>'Master Hunt List'!E75</x:f>
        <x:v>Hill Country / San Antonio</x:v>
      </x:c>
      <x:c r="G82" s="2" t="str">
        <x:f>'Master Hunt List'!F75</x:f>
        <x:v>Youth Gun Deer - Either Sex</x:v>
      </x:c>
      <x:c r="H82" s="2" t="str">
        <x:f>'Master Hunt List'!G75</x:f>
        <x:v>No</x:v>
      </x:c>
      <x:c r="I82" s="2" t="str">
        <x:f>'Master Hunt List'!H75</x:f>
        <x:v>Yes</x:v>
      </x:c>
      <x:c r="J82" s="97" t="str">
        <x:f>'Master Hunt List'!I75</x:f>
        <x:v>2026-09-01</x:v>
      </x:c>
      <x:c r="K82" s="111" t="n">
        <x:f>'Master Hunt List'!K75</x:f>
        <x:v>0</x:v>
      </x:c>
      <x:c r="L82" s="2" t="n">
        <x:f>'Master Hunt List'!AF75</x:f>
        <x:v>0</x:v>
      </x:c>
      <x:c r="M82" s="2" t="n">
        <x:f>'Master Hunt List'!AH75</x:f>
        <x:v>0</x:v>
      </x:c>
      <x:c r="N82" s="2" t="n">
        <x:f>'Master Hunt List'!AI75</x:f>
        <x:v>0</x:v>
      </x:c>
      <x:c r="O82" s="2" t="str">
        <x:f>'Master Hunt List'!V75</x:f>
        <x:v>https://tpwd.texas.gov/huntwild/hunt/public/public_hunt_drawing/hunt-category-details.phtml?OCat=YDE</x:v>
      </x:c>
    </x:row>
    <x:row r="83">
      <x:c r="A83" s="2" t="n">
        <x:f>76</x:f>
        <x:v>76</x:v>
      </x:c>
      <x:c r="B83" s="2" t="str">
        <x:f>'Master Hunt List'!A76</x:f>
        <x:v>No</x:v>
      </x:c>
      <x:c r="C83" s="2" t="str">
        <x:f>'Master Hunt List'!B76</x:f>
        <x:v>A</x:v>
      </x:c>
      <x:c r="D83" s="2" t="str">
        <x:f>'Master Hunt List'!C76</x:f>
        <x:v>Whitetail Deer</x:v>
      </x:c>
      <x:c r="E83" s="2" t="str">
        <x:f>'Master Hunt List'!D76</x:f>
        <x:v>Taylor Lakes, Playa Lakes WMA</x:v>
      </x:c>
      <x:c r="F83" s="2" t="str">
        <x:f>'Master Hunt List'!E76</x:f>
        <x:v>Panhandle / Rolling Plains</x:v>
      </x:c>
      <x:c r="G83" s="2" t="str">
        <x:f>'Master Hunt List'!F76</x:f>
        <x:v>Youth Gun Deer - Either Sex</x:v>
      </x:c>
      <x:c r="H83" s="2" t="str">
        <x:f>'Master Hunt List'!G76</x:f>
        <x:v>No</x:v>
      </x:c>
      <x:c r="I83" s="2" t="str">
        <x:f>'Master Hunt List'!H76</x:f>
        <x:v>Yes</x:v>
      </x:c>
      <x:c r="J83" s="97" t="str">
        <x:f>'Master Hunt List'!I76</x:f>
        <x:v>2026-09-01</x:v>
      </x:c>
      <x:c r="K83" s="111" t="n">
        <x:f>'Master Hunt List'!K76</x:f>
        <x:v>0</x:v>
      </x:c>
      <x:c r="L83" s="2" t="n">
        <x:f>'Master Hunt List'!AF76</x:f>
        <x:v>0</x:v>
      </x:c>
      <x:c r="M83" s="2" t="n">
        <x:f>'Master Hunt List'!AH76</x:f>
        <x:v>0</x:v>
      </x:c>
      <x:c r="N83" s="2" t="n">
        <x:f>'Master Hunt List'!AI76</x:f>
        <x:v>0</x:v>
      </x:c>
      <x:c r="O83" s="2" t="str">
        <x:f>'Master Hunt List'!V76</x:f>
        <x:v>https://tpwd.texas.gov/huntwild/hunt/public/public_hunt_drawing/hunt-category-details.phtml?OCat=YDE</x:v>
      </x:c>
    </x:row>
    <x:row r="84">
      <x:c r="A84" s="2" t="n">
        <x:f>77</x:f>
        <x:v>77</x:v>
      </x:c>
      <x:c r="B84" s="2" t="str">
        <x:f>'Master Hunt List'!A77</x:f>
        <x:v>No</x:v>
      </x:c>
      <x:c r="C84" s="2" t="str">
        <x:f>'Master Hunt List'!B77</x:f>
        <x:v>A</x:v>
      </x:c>
      <x:c r="D84" s="2" t="str">
        <x:f>'Master Hunt List'!C77</x:f>
        <x:v>Whitetail Deer</x:v>
      </x:c>
      <x:c r="E84" s="2" t="str">
        <x:f>'Master Hunt List'!D77</x:f>
        <x:v>Trinity River WMA</x:v>
      </x:c>
      <x:c r="F84" s="2" t="str">
        <x:f>'Master Hunt List'!E77</x:f>
        <x:v>East Texas / Pineywoods</x:v>
      </x:c>
      <x:c r="G84" s="2" t="str">
        <x:f>'Master Hunt List'!F77</x:f>
        <x:v>Youth Gun Deer - Either Sex</x:v>
      </x:c>
      <x:c r="H84" s="2" t="str">
        <x:f>'Master Hunt List'!G77</x:f>
        <x:v>No</x:v>
      </x:c>
      <x:c r="I84" s="2" t="str">
        <x:f>'Master Hunt List'!H77</x:f>
        <x:v>Yes</x:v>
      </x:c>
      <x:c r="J84" s="97" t="str">
        <x:f>'Master Hunt List'!I77</x:f>
        <x:v>2026-09-01</x:v>
      </x:c>
      <x:c r="K84" s="111" t="n">
        <x:f>'Master Hunt List'!K77</x:f>
        <x:v>0</x:v>
      </x:c>
      <x:c r="L84" s="2" t="n">
        <x:f>'Master Hunt List'!AF77</x:f>
        <x:v>0</x:v>
      </x:c>
      <x:c r="M84" s="2" t="n">
        <x:f>'Master Hunt List'!AH77</x:f>
        <x:v>0</x:v>
      </x:c>
      <x:c r="N84" s="2" t="n">
        <x:f>'Master Hunt List'!AI77</x:f>
        <x:v>0</x:v>
      </x:c>
      <x:c r="O84" s="2" t="str">
        <x:f>'Master Hunt List'!V77</x:f>
        <x:v>https://tpwd.texas.gov/huntwild/hunt/public/public_hunt_drawing/hunt-category-details.phtml?OCat=YDE</x:v>
      </x:c>
    </x:row>
    <x:row r="85">
      <x:c r="A85" s="2" t="n">
        <x:f>78</x:f>
        <x:v>78</x:v>
      </x:c>
      <x:c r="B85" s="2" t="str">
        <x:f>'Master Hunt List'!A78</x:f>
        <x:v>No</x:v>
      </x:c>
      <x:c r="C85" s="2" t="str">
        <x:f>'Master Hunt List'!B78</x:f>
        <x:v>A</x:v>
      </x:c>
      <x:c r="D85" s="2" t="str">
        <x:f>'Master Hunt List'!C78</x:f>
        <x:v>Whitetail Deer</x:v>
      </x:c>
      <x:c r="E85" s="2" t="str">
        <x:f>'Master Hunt List'!D78</x:f>
        <x:v>Village Creek SP</x:v>
      </x:c>
      <x:c r="F85" s="2" t="str">
        <x:f>'Master Hunt List'!E78</x:f>
        <x:v>East Texas / Pineywoods</x:v>
      </x:c>
      <x:c r="G85" s="2" t="str">
        <x:f>'Master Hunt List'!F78</x:f>
        <x:v>Youth Gun Deer - Either Sex</x:v>
      </x:c>
      <x:c r="H85" s="2" t="str">
        <x:f>'Master Hunt List'!G78</x:f>
        <x:v>No</x:v>
      </x:c>
      <x:c r="I85" s="2" t="str">
        <x:f>'Master Hunt List'!H78</x:f>
        <x:v>Yes</x:v>
      </x:c>
      <x:c r="J85" s="97" t="str">
        <x:f>'Master Hunt List'!I78</x:f>
        <x:v>2026-09-01</x:v>
      </x:c>
      <x:c r="K85" s="111" t="n">
        <x:f>'Master Hunt List'!K78</x:f>
        <x:v>0</x:v>
      </x:c>
      <x:c r="L85" s="2" t="n">
        <x:f>'Master Hunt List'!AF78</x:f>
        <x:v>0</x:v>
      </x:c>
      <x:c r="M85" s="2" t="n">
        <x:f>'Master Hunt List'!AH78</x:f>
        <x:v>0</x:v>
      </x:c>
      <x:c r="N85" s="2" t="n">
        <x:f>'Master Hunt List'!AI78</x:f>
        <x:v>0</x:v>
      </x:c>
      <x:c r="O85" s="2" t="str">
        <x:f>'Master Hunt List'!V78</x:f>
        <x:v>https://tpwd.texas.gov/huntwild/hunt/public/public_hunt_drawing/hunt-category-details.phtml?OCat=YDE</x:v>
      </x:c>
    </x:row>
    <x:row r="86">
      <x:c r="A86" s="2" t="n">
        <x:f>79</x:f>
        <x:v>79</x:v>
      </x:c>
      <x:c r="B86" s="2" t="str">
        <x:f>'Master Hunt List'!A79</x:f>
        <x:v>No</x:v>
      </x:c>
      <x:c r="C86" s="2" t="str">
        <x:f>'Master Hunt List'!B79</x:f>
        <x:v>A</x:v>
      </x:c>
      <x:c r="D86" s="2" t="str">
        <x:f>'Master Hunt List'!C79</x:f>
        <x:v>Whitetail Deer</x:v>
      </x:c>
      <x:c r="E86" s="2" t="str">
        <x:f>'Master Hunt List'!D79</x:f>
        <x:v>White Oak Creek WMA</x:v>
      </x:c>
      <x:c r="F86" s="2" t="str">
        <x:f>'Master Hunt List'!E79</x:f>
        <x:v>East Texas / Pineywoods</x:v>
      </x:c>
      <x:c r="G86" s="2" t="str">
        <x:f>'Master Hunt List'!F79</x:f>
        <x:v>Youth Gun Deer - Either Sex</x:v>
      </x:c>
      <x:c r="H86" s="2" t="str">
        <x:f>'Master Hunt List'!G79</x:f>
        <x:v>No</x:v>
      </x:c>
      <x:c r="I86" s="2" t="str">
        <x:f>'Master Hunt List'!H79</x:f>
        <x:v>Yes</x:v>
      </x:c>
      <x:c r="J86" s="97" t="str">
        <x:f>'Master Hunt List'!I79</x:f>
        <x:v>2026-09-01</x:v>
      </x:c>
      <x:c r="K86" s="111" t="n">
        <x:f>'Master Hunt List'!K79</x:f>
        <x:v>0</x:v>
      </x:c>
      <x:c r="L86" s="2" t="n">
        <x:f>'Master Hunt List'!AF79</x:f>
        <x:v>0</x:v>
      </x:c>
      <x:c r="M86" s="2" t="n">
        <x:f>'Master Hunt List'!AH79</x:f>
        <x:v>0</x:v>
      </x:c>
      <x:c r="N86" s="2" t="n">
        <x:f>'Master Hunt List'!AI79</x:f>
        <x:v>0</x:v>
      </x:c>
      <x:c r="O86" s="2" t="str">
        <x:f>'Master Hunt List'!V79</x:f>
        <x:v>https://tpwd.texas.gov/huntwild/hunt/public/public_hunt_drawing/hunt-category-details.phtml?OCat=YDE</x:v>
      </x:c>
    </x:row>
    <x:row r="87">
      <x:c r="A87" s="2" t="n">
        <x:f>80</x:f>
        <x:v>80</x:v>
      </x:c>
      <x:c r="B87" s="2" t="str">
        <x:f>'Master Hunt List'!A80</x:f>
        <x:v>No</x:v>
      </x:c>
      <x:c r="C87" s="2" t="str">
        <x:f>'Master Hunt List'!B80</x:f>
        <x:v>B</x:v>
      </x:c>
      <x:c r="D87" s="2" t="str">
        <x:f>'Master Hunt List'!C80</x:f>
        <x:v>Whitetail Deer</x:v>
      </x:c>
      <x:c r="E87" s="2" t="str">
        <x:f>'Master Hunt List'!D80</x:f>
        <x:v>Aransas NWR</x:v>
      </x:c>
      <x:c r="F87" s="2" t="str">
        <x:f>'Master Hunt List'!E80</x:f>
        <x:v>Houston / Gulf Coast</x:v>
      </x:c>
      <x:c r="G87" s="2" t="str">
        <x:f>'Master Hunt List'!F80</x:f>
        <x:v>National Refuge Archery Deer</x:v>
      </x:c>
      <x:c r="H87" s="2" t="str">
        <x:f>'Master Hunt List'!G80</x:f>
        <x:v>Yes</x:v>
      </x:c>
      <x:c r="I87" s="2" t="str">
        <x:f>'Master Hunt List'!H80</x:f>
        <x:v>Yes</x:v>
      </x:c>
      <x:c r="J87" s="97" t="str">
        <x:f>'Master Hunt List'!I80</x:f>
        <x:v>2026-09-01</x:v>
      </x:c>
      <x:c r="K87" s="111" t="n">
        <x:f>'Master Hunt List'!K80</x:f>
        <x:v>3</x:v>
      </x:c>
      <x:c r="L87" s="2" t="n">
        <x:f>'Master Hunt List'!AF80</x:f>
        <x:v>0</x:v>
      </x:c>
      <x:c r="M87" s="2" t="n">
        <x:f>'Master Hunt List'!AH80</x:f>
        <x:v>0</x:v>
      </x:c>
      <x:c r="N87" s="2" t="n">
        <x:f>'Master Hunt List'!AI80</x:f>
        <x:v>0</x:v>
      </x:c>
      <x:c r="O87" s="2" t="str">
        <x:f>'Master Hunt List'!V80</x:f>
        <x:v>https://tpwd.texas.gov/huntwild/hunt/public/public_hunt_drawing/hunt-category-details.phtml?OCat=NAD</x:v>
      </x:c>
    </x:row>
    <x:row r="88">
      <x:c r="A88" s="2" t="n">
        <x:f>81</x:f>
        <x:v>81</x:v>
      </x:c>
      <x:c r="B88" s="2" t="str">
        <x:f>'Master Hunt List'!A81</x:f>
        <x:v>No</x:v>
      </x:c>
      <x:c r="C88" s="2" t="str">
        <x:f>'Master Hunt List'!B81</x:f>
        <x:v>B</x:v>
      </x:c>
      <x:c r="D88" s="2" t="str">
        <x:f>'Master Hunt List'!C81</x:f>
        <x:v>Whitetail Deer</x:v>
      </x:c>
      <x:c r="E88" s="2" t="str">
        <x:f>'Master Hunt List'!D81</x:f>
        <x:v>Balcones Canyonlands NWR</x:v>
      </x:c>
      <x:c r="F88" s="2" t="str">
        <x:f>'Master Hunt List'!E81</x:f>
        <x:v>Statewide / Other</x:v>
      </x:c>
      <x:c r="G88" s="2" t="str">
        <x:f>'Master Hunt List'!F81</x:f>
        <x:v>E-Postcard Archery Deer</x:v>
      </x:c>
      <x:c r="H88" s="2" t="str">
        <x:f>'Master Hunt List'!G81</x:f>
        <x:v>Yes</x:v>
      </x:c>
      <x:c r="I88" s="2" t="str">
        <x:f>'Master Hunt List'!H81</x:f>
        <x:v>Yes</x:v>
      </x:c>
      <x:c r="J88" s="97" t="str">
        <x:f>'Master Hunt List'!I81</x:f>
        <x:v>2026-09-01</x:v>
      </x:c>
      <x:c r="K88" s="111" t="n">
        <x:f>'Master Hunt List'!K81</x:f>
        <x:v>0</x:v>
      </x:c>
      <x:c r="L88" s="2" t="n">
        <x:f>'Master Hunt List'!AF81</x:f>
        <x:v>0</x:v>
      </x:c>
      <x:c r="M88" s="2" t="n">
        <x:f>'Master Hunt List'!AH81</x:f>
        <x:v>0</x:v>
      </x:c>
      <x:c r="N88" s="2" t="n">
        <x:f>'Master Hunt List'!AI81</x:f>
        <x:v>0</x:v>
      </x:c>
      <x:c r="O88" s="2" t="str">
        <x:f>'Master Hunt List'!V81</x:f>
        <x:v>https://tpwd.texas.gov/huntwild/hunt/public/public_hunt_drawing/hunt-category-details.phtml?OCat=EAD</x:v>
      </x:c>
    </x:row>
    <x:row r="89">
      <x:c r="A89" s="2" t="n">
        <x:f>82</x:f>
        <x:v>82</x:v>
      </x:c>
      <x:c r="B89" s="2" t="str">
        <x:f>'Master Hunt List'!A82</x:f>
        <x:v>No</x:v>
      </x:c>
      <x:c r="C89" s="2" t="str">
        <x:f>'Master Hunt List'!B82</x:f>
        <x:v>A</x:v>
      </x:c>
      <x:c r="D89" s="2" t="str">
        <x:f>'Master Hunt List'!C82</x:f>
        <x:v>Whitetail Deer</x:v>
      </x:c>
      <x:c r="E89" s="2" t="str">
        <x:f>'Master Hunt List'!D82</x:f>
        <x:v>Bandera County - The Nature Conservancy</x:v>
      </x:c>
      <x:c r="F89" s="2" t="str">
        <x:f>'Master Hunt List'!E82</x:f>
        <x:v>Hill Country / San Antonio</x:v>
      </x:c>
      <x:c r="G89" s="2" t="str">
        <x:f>'Master Hunt List'!F82</x:f>
        <x:v>Private Lands - Antlerless/Spike</x:v>
      </x:c>
      <x:c r="H89" s="2" t="str">
        <x:f>'Master Hunt List'!G82</x:f>
        <x:v>Yes</x:v>
      </x:c>
      <x:c r="I89" s="2" t="str">
        <x:f>'Master Hunt List'!H82</x:f>
        <x:v>Yes</x:v>
      </x:c>
      <x:c r="J89" s="97" t="str">
        <x:f>'Master Hunt List'!I82</x:f>
        <x:v>2026-09-01</x:v>
      </x:c>
      <x:c r="K89" s="111" t="n">
        <x:f>'Master Hunt List'!K82</x:f>
        <x:v>10</x:v>
      </x:c>
      <x:c r="L89" s="2" t="n">
        <x:f>'Master Hunt List'!AF82</x:f>
        <x:v>0</x:v>
      </x:c>
      <x:c r="M89" s="2" t="n">
        <x:f>'Master Hunt List'!AH82</x:f>
        <x:v>0</x:v>
      </x:c>
      <x:c r="N89" s="2" t="n">
        <x:f>'Master Hunt List'!AI82</x:f>
        <x:v>0</x:v>
      </x:c>
      <x:c r="O89" s="2" t="str">
        <x:f>'Master Hunt List'!V82</x:f>
        <x:v>https://tpwd.texas.gov/huntwild/hunt/public/public_hunt_drawing/hunt-category-details.phtml?OCat=PLA</x:v>
      </x:c>
    </x:row>
    <x:row r="90">
      <x:c r="A90" s="2" t="n">
        <x:f>83</x:f>
        <x:v>83</x:v>
      </x:c>
      <x:c r="B90" s="2" t="str">
        <x:f>'Master Hunt List'!A83</x:f>
        <x:v>No</x:v>
      </x:c>
      <x:c r="C90" s="2" t="str">
        <x:f>'Master Hunt List'!B83</x:f>
        <x:v>A</x:v>
      </x:c>
      <x:c r="D90" s="2" t="str">
        <x:f>'Master Hunt List'!C83</x:f>
        <x:v>Whitetail Deer</x:v>
      </x:c>
      <x:c r="E90" s="2" t="str">
        <x:f>'Master Hunt List'!D83</x:f>
        <x:v>Bandera County - The Nature Conservancy</x:v>
      </x:c>
      <x:c r="F90" s="2" t="str">
        <x:f>'Master Hunt List'!E83</x:f>
        <x:v>Hill Country / San Antonio</x:v>
      </x:c>
      <x:c r="G90" s="2" t="str">
        <x:f>'Master Hunt List'!F83</x:f>
        <x:v>Private Lands - Either Sex</x:v>
      </x:c>
      <x:c r="H90" s="2" t="str">
        <x:f>'Master Hunt List'!G83</x:f>
        <x:v>Yes</x:v>
      </x:c>
      <x:c r="I90" s="2" t="str">
        <x:f>'Master Hunt List'!H83</x:f>
        <x:v>Yes</x:v>
      </x:c>
      <x:c r="J90" s="97" t="str">
        <x:f>'Master Hunt List'!I83</x:f>
        <x:v>2026-09-01</x:v>
      </x:c>
      <x:c r="K90" s="111" t="n">
        <x:f>'Master Hunt List'!K83</x:f>
        <x:v>10</x:v>
      </x:c>
      <x:c r="L90" s="2" t="n">
        <x:f>'Master Hunt List'!AF83</x:f>
        <x:v>0</x:v>
      </x:c>
      <x:c r="M90" s="2" t="n">
        <x:f>'Master Hunt List'!AH83</x:f>
        <x:v>0</x:v>
      </x:c>
      <x:c r="N90" s="2" t="n">
        <x:f>'Master Hunt List'!AI83</x:f>
        <x:v>0</x:v>
      </x:c>
      <x:c r="O90" s="2" t="str">
        <x:f>'Master Hunt List'!V83</x:f>
        <x:v>https://tpwd.texas.gov/huntwild/hunt/public/public_hunt_drawing/hunt-category-details.phtml?OCat=PLE</x:v>
      </x:c>
    </x:row>
    <x:row r="91">
      <x:c r="A91" s="2" t="n">
        <x:f>84</x:f>
        <x:v>84</x:v>
      </x:c>
      <x:c r="B91" s="2" t="str">
        <x:f>'Master Hunt List'!A84</x:f>
        <x:v>No</x:v>
      </x:c>
      <x:c r="C91" s="2" t="str">
        <x:f>'Master Hunt List'!B84</x:f>
        <x:v>B</x:v>
      </x:c>
      <x:c r="D91" s="2" t="str">
        <x:f>'Master Hunt List'!C84</x:f>
        <x:v>Whitetail Deer</x:v>
      </x:c>
      <x:c r="E91" s="2" t="str">
        <x:f>'Master Hunt List'!D84</x:f>
        <x:v>Big Lake Bottom WMA</x:v>
      </x:c>
      <x:c r="F91" s="2" t="str">
        <x:f>'Master Hunt List'!E84</x:f>
        <x:v>Statewide / Other</x:v>
      </x:c>
      <x:c r="G91" s="2" t="str">
        <x:f>'Master Hunt List'!F84</x:f>
        <x:v>E-Postcard Archery Deer</x:v>
      </x:c>
      <x:c r="H91" s="2" t="str">
        <x:f>'Master Hunt List'!G84</x:f>
        <x:v>Yes</x:v>
      </x:c>
      <x:c r="I91" s="2" t="str">
        <x:f>'Master Hunt List'!H84</x:f>
        <x:v>Yes</x:v>
      </x:c>
      <x:c r="J91" s="97" t="str">
        <x:f>'Master Hunt List'!I84</x:f>
        <x:v>2026-09-01</x:v>
      </x:c>
      <x:c r="K91" s="111" t="n">
        <x:f>'Master Hunt List'!K84</x:f>
        <x:v>0</x:v>
      </x:c>
      <x:c r="L91" s="2" t="n">
        <x:f>'Master Hunt List'!AF84</x:f>
        <x:v>0</x:v>
      </x:c>
      <x:c r="M91" s="2" t="n">
        <x:f>'Master Hunt List'!AH84</x:f>
        <x:v>0</x:v>
      </x:c>
      <x:c r="N91" s="2" t="n">
        <x:f>'Master Hunt List'!AI84</x:f>
        <x:v>0</x:v>
      </x:c>
      <x:c r="O91" s="2" t="str">
        <x:f>'Master Hunt List'!V84</x:f>
        <x:v>https://tpwd.texas.gov/huntwild/hunt/public/public_hunt_drawing/hunt-category-details.phtml?OCat=EAD</x:v>
      </x:c>
    </x:row>
    <x:row r="92">
      <x:c r="A92" s="2" t="n">
        <x:f>85</x:f>
        <x:v>85</x:v>
      </x:c>
      <x:c r="B92" s="2" t="str">
        <x:f>'Master Hunt List'!A85</x:f>
        <x:v>No</x:v>
      </x:c>
      <x:c r="C92" s="2" t="str">
        <x:f>'Master Hunt List'!B85</x:f>
        <x:v>A</x:v>
      </x:c>
      <x:c r="D92" s="2" t="str">
        <x:f>'Master Hunt List'!C85</x:f>
        <x:v>Whitetail Deer</x:v>
      </x:c>
      <x:c r="E92" s="2" t="str">
        <x:f>'Master Hunt List'!D85</x:f>
        <x:v>Buffalo Lake NWR</x:v>
      </x:c>
      <x:c r="F92" s="2" t="str">
        <x:f>'Master Hunt List'!E85</x:f>
        <x:v>Panhandle / Rolling Plains</x:v>
      </x:c>
      <x:c r="G92" s="2" t="str">
        <x:f>'Master Hunt List'!F85</x:f>
        <x:v>National Refuge Archery Deer</x:v>
      </x:c>
      <x:c r="H92" s="2" t="str">
        <x:f>'Master Hunt List'!G85</x:f>
        <x:v>Yes</x:v>
      </x:c>
      <x:c r="I92" s="2" t="str">
        <x:f>'Master Hunt List'!H85</x:f>
        <x:v>Yes</x:v>
      </x:c>
      <x:c r="J92" s="97" t="str">
        <x:f>'Master Hunt List'!I85</x:f>
        <x:v>2026-09-01</x:v>
      </x:c>
      <x:c r="K92" s="111" t="n">
        <x:f>'Master Hunt List'!K85</x:f>
        <x:v>3</x:v>
      </x:c>
      <x:c r="L92" s="2" t="n">
        <x:f>'Master Hunt List'!AF85</x:f>
        <x:v>0</x:v>
      </x:c>
      <x:c r="M92" s="2" t="n">
        <x:f>'Master Hunt List'!AH85</x:f>
        <x:v>0</x:v>
      </x:c>
      <x:c r="N92" s="2" t="n">
        <x:f>'Master Hunt List'!AI85</x:f>
        <x:v>0</x:v>
      </x:c>
      <x:c r="O92" s="2" t="str">
        <x:f>'Master Hunt List'!V85</x:f>
        <x:v>https://tpwd.texas.gov/huntwild/hunt/public/public_hunt_drawing/hunt-category-details.phtml?OCat=NAD</x:v>
      </x:c>
    </x:row>
    <x:row r="93">
      <x:c r="A93" s="2" t="n">
        <x:f>86</x:f>
        <x:v>86</x:v>
      </x:c>
      <x:c r="B93" s="2" t="str">
        <x:f>'Master Hunt List'!A86</x:f>
        <x:v>No</x:v>
      </x:c>
      <x:c r="C93" s="2" t="str">
        <x:f>'Master Hunt List'!B86</x:f>
        <x:v>A</x:v>
      </x:c>
      <x:c r="D93" s="2" t="str">
        <x:f>'Master Hunt List'!C86</x:f>
        <x:v>Whitetail Deer</x:v>
      </x:c>
      <x:c r="E93" s="2" t="str">
        <x:f>'Master Hunt List'!D86</x:f>
        <x:v>Comal County Ranch - The Nature Conservancy</x:v>
      </x:c>
      <x:c r="F93" s="2" t="str">
        <x:f>'Master Hunt List'!E86</x:f>
        <x:v>Hill Country / San Antonio</x:v>
      </x:c>
      <x:c r="G93" s="2" t="str">
        <x:f>'Master Hunt List'!F86</x:f>
        <x:v>Private Lands - Antlerless/Spike</x:v>
      </x:c>
      <x:c r="H93" s="2" t="str">
        <x:f>'Master Hunt List'!G86</x:f>
        <x:v>Yes</x:v>
      </x:c>
      <x:c r="I93" s="2" t="str">
        <x:f>'Master Hunt List'!H86</x:f>
        <x:v>Yes</x:v>
      </x:c>
      <x:c r="J93" s="97" t="str">
        <x:f>'Master Hunt List'!I86</x:f>
        <x:v>2026-09-01</x:v>
      </x:c>
      <x:c r="K93" s="111" t="n">
        <x:f>'Master Hunt List'!K86</x:f>
        <x:v>10</x:v>
      </x:c>
      <x:c r="L93" s="2" t="n">
        <x:f>'Master Hunt List'!AF86</x:f>
        <x:v>0</x:v>
      </x:c>
      <x:c r="M93" s="2" t="n">
        <x:f>'Master Hunt List'!AH86</x:f>
        <x:v>0</x:v>
      </x:c>
      <x:c r="N93" s="2" t="n">
        <x:f>'Master Hunt List'!AI86</x:f>
        <x:v>0</x:v>
      </x:c>
      <x:c r="O93" s="2" t="str">
        <x:f>'Master Hunt List'!V86</x:f>
        <x:v>https://tpwd.texas.gov/huntwild/hunt/public/public_hunt_drawing/hunt-category-details.phtml?OCat=PLA</x:v>
      </x:c>
    </x:row>
    <x:row r="94">
      <x:c r="A94" s="2" t="n">
        <x:f>87</x:f>
        <x:v>87</x:v>
      </x:c>
      <x:c r="B94" s="2" t="str">
        <x:f>'Master Hunt List'!A87</x:f>
        <x:v>No</x:v>
      </x:c>
      <x:c r="C94" s="2" t="str">
        <x:f>'Master Hunt List'!B87</x:f>
        <x:v>A</x:v>
      </x:c>
      <x:c r="D94" s="2" t="str">
        <x:f>'Master Hunt List'!C87</x:f>
        <x:v>Whitetail Deer</x:v>
      </x:c>
      <x:c r="E94" s="2" t="str">
        <x:f>'Master Hunt List'!D87</x:f>
        <x:v>Comal County Ranch - The Nature Conservancy</x:v>
      </x:c>
      <x:c r="F94" s="2" t="str">
        <x:f>'Master Hunt List'!E87</x:f>
        <x:v>Hill Country / San Antonio</x:v>
      </x:c>
      <x:c r="G94" s="2" t="str">
        <x:f>'Master Hunt List'!F87</x:f>
        <x:v>Private Lands - Either Sex</x:v>
      </x:c>
      <x:c r="H94" s="2" t="str">
        <x:f>'Master Hunt List'!G87</x:f>
        <x:v>Yes</x:v>
      </x:c>
      <x:c r="I94" s="2" t="str">
        <x:f>'Master Hunt List'!H87</x:f>
        <x:v>Yes</x:v>
      </x:c>
      <x:c r="J94" s="97" t="str">
        <x:f>'Master Hunt List'!I87</x:f>
        <x:v>2026-09-01</x:v>
      </x:c>
      <x:c r="K94" s="111" t="n">
        <x:f>'Master Hunt List'!K87</x:f>
        <x:v>10</x:v>
      </x:c>
      <x:c r="L94" s="2" t="n">
        <x:f>'Master Hunt List'!AF87</x:f>
        <x:v>0</x:v>
      </x:c>
      <x:c r="M94" s="2" t="n">
        <x:f>'Master Hunt List'!AH87</x:f>
        <x:v>0</x:v>
      </x:c>
      <x:c r="N94" s="2" t="n">
        <x:f>'Master Hunt List'!AI87</x:f>
        <x:v>0</x:v>
      </x:c>
      <x:c r="O94" s="2" t="str">
        <x:f>'Master Hunt List'!V87</x:f>
        <x:v>https://tpwd.texas.gov/huntwild/hunt/public/public_hunt_drawing/hunt-category-details.phtml?OCat=PLE</x:v>
      </x:c>
    </x:row>
    <x:row r="95">
      <x:c r="A95" s="2" t="n">
        <x:f>88</x:f>
        <x:v>88</x:v>
      </x:c>
      <x:c r="B95" s="2" t="str">
        <x:f>'Master Hunt List'!A88</x:f>
        <x:v>No</x:v>
      </x:c>
      <x:c r="C95" s="2" t="str">
        <x:f>'Master Hunt List'!B88</x:f>
        <x:v>A</x:v>
      </x:c>
      <x:c r="D95" s="2" t="str">
        <x:f>'Master Hunt List'!C88</x:f>
        <x:v>Whitetail Deer</x:v>
      </x:c>
      <x:c r="E95" s="2" t="str">
        <x:f>'Master Hunt List'!D88</x:f>
        <x:v>DeWitt County Ranch</x:v>
      </x:c>
      <x:c r="F95" s="2" t="str">
        <x:f>'Master Hunt List'!E88</x:f>
        <x:v>Houston / Gulf Coast</x:v>
      </x:c>
      <x:c r="G95" s="2" t="str">
        <x:f>'Master Hunt List'!F88</x:f>
        <x:v>Private Lands - Antlerless/Spike</x:v>
      </x:c>
      <x:c r="H95" s="2" t="str">
        <x:f>'Master Hunt List'!G88</x:f>
        <x:v>Yes</x:v>
      </x:c>
      <x:c r="I95" s="2" t="str">
        <x:f>'Master Hunt List'!H88</x:f>
        <x:v>Yes</x:v>
      </x:c>
      <x:c r="J95" s="97" t="str">
        <x:f>'Master Hunt List'!I88</x:f>
        <x:v>2026-09-01</x:v>
      </x:c>
      <x:c r="K95" s="111" t="n">
        <x:f>'Master Hunt List'!K88</x:f>
        <x:v>10</x:v>
      </x:c>
      <x:c r="L95" s="2" t="n">
        <x:f>'Master Hunt List'!AF88</x:f>
        <x:v>0</x:v>
      </x:c>
      <x:c r="M95" s="2" t="n">
        <x:f>'Master Hunt List'!AH88</x:f>
        <x:v>0</x:v>
      </x:c>
      <x:c r="N95" s="2" t="n">
        <x:f>'Master Hunt List'!AI88</x:f>
        <x:v>0</x:v>
      </x:c>
      <x:c r="O95" s="2" t="str">
        <x:f>'Master Hunt List'!V88</x:f>
        <x:v>https://tpwd.texas.gov/huntwild/hunt/public/public_hunt_drawing/hunt-category-details.phtml?OCat=PLA</x:v>
      </x:c>
    </x:row>
    <x:row r="96">
      <x:c r="A96" s="2" t="n">
        <x:f>89</x:f>
        <x:v>89</x:v>
      </x:c>
      <x:c r="B96" s="2" t="str">
        <x:f>'Master Hunt List'!A89</x:f>
        <x:v>No</x:v>
      </x:c>
      <x:c r="C96" s="2" t="str">
        <x:f>'Master Hunt List'!B89</x:f>
        <x:v>A</x:v>
      </x:c>
      <x:c r="D96" s="2" t="str">
        <x:f>'Master Hunt List'!C89</x:f>
        <x:v>Whitetail Deer</x:v>
      </x:c>
      <x:c r="E96" s="2" t="str">
        <x:f>'Master Hunt List'!D89</x:f>
        <x:v>DeWitt County Ranch</x:v>
      </x:c>
      <x:c r="F96" s="2" t="str">
        <x:f>'Master Hunt List'!E89</x:f>
        <x:v>Houston / Gulf Coast</x:v>
      </x:c>
      <x:c r="G96" s="2" t="str">
        <x:f>'Master Hunt List'!F89</x:f>
        <x:v>Private Lands - Either Sex</x:v>
      </x:c>
      <x:c r="H96" s="2" t="str">
        <x:f>'Master Hunt List'!G89</x:f>
        <x:v>Yes</x:v>
      </x:c>
      <x:c r="I96" s="2" t="str">
        <x:f>'Master Hunt List'!H89</x:f>
        <x:v>Yes</x:v>
      </x:c>
      <x:c r="J96" s="97" t="str">
        <x:f>'Master Hunt List'!I89</x:f>
        <x:v>2026-09-01</x:v>
      </x:c>
      <x:c r="K96" s="111" t="n">
        <x:f>'Master Hunt List'!K89</x:f>
        <x:v>10</x:v>
      </x:c>
      <x:c r="L96" s="2" t="n">
        <x:f>'Master Hunt List'!AF89</x:f>
        <x:v>0</x:v>
      </x:c>
      <x:c r="M96" s="2" t="n">
        <x:f>'Master Hunt List'!AH89</x:f>
        <x:v>0</x:v>
      </x:c>
      <x:c r="N96" s="2" t="n">
        <x:f>'Master Hunt List'!AI89</x:f>
        <x:v>0</x:v>
      </x:c>
      <x:c r="O96" s="2" t="str">
        <x:f>'Master Hunt List'!V89</x:f>
        <x:v>https://tpwd.texas.gov/huntwild/hunt/public/public_hunt_drawing/hunt-category-details.phtml?OCat=PLE</x:v>
      </x:c>
    </x:row>
    <x:row r="97">
      <x:c r="A97" s="2" t="n">
        <x:f>90</x:f>
        <x:v>90</x:v>
      </x:c>
      <x:c r="B97" s="2" t="str">
        <x:f>'Master Hunt List'!A90</x:f>
        <x:v>No</x:v>
      </x:c>
      <x:c r="C97" s="2" t="str">
        <x:f>'Master Hunt List'!B90</x:f>
        <x:v>B</x:v>
      </x:c>
      <x:c r="D97" s="2" t="str">
        <x:f>'Master Hunt List'!C90</x:f>
        <x:v>Whitetail Deer</x:v>
      </x:c>
      <x:c r="E97" s="2" t="str">
        <x:f>'Master Hunt List'!D90</x:f>
        <x:v>Granger PHL</x:v>
      </x:c>
      <x:c r="F97" s="2" t="str">
        <x:f>'Master Hunt List'!E90</x:f>
        <x:v>Central Texas / Austin</x:v>
      </x:c>
      <x:c r="G97" s="2" t="str">
        <x:f>'Master Hunt List'!F90</x:f>
        <x:v>E-Postcard Archery Deer</x:v>
      </x:c>
      <x:c r="H97" s="2" t="str">
        <x:f>'Master Hunt List'!G90</x:f>
        <x:v>Yes</x:v>
      </x:c>
      <x:c r="I97" s="2" t="str">
        <x:f>'Master Hunt List'!H90</x:f>
        <x:v>Yes</x:v>
      </x:c>
      <x:c r="J97" s="97" t="str">
        <x:f>'Master Hunt List'!I90</x:f>
        <x:v>2026-09-01</x:v>
      </x:c>
      <x:c r="K97" s="111" t="n">
        <x:f>'Master Hunt List'!K90</x:f>
        <x:v>0</x:v>
      </x:c>
      <x:c r="L97" s="2" t="n">
        <x:f>'Master Hunt List'!AF90</x:f>
        <x:v>0</x:v>
      </x:c>
      <x:c r="M97" s="2" t="n">
        <x:f>'Master Hunt List'!AH90</x:f>
        <x:v>0</x:v>
      </x:c>
      <x:c r="N97" s="2" t="n">
        <x:f>'Master Hunt List'!AI90</x:f>
        <x:v>0</x:v>
      </x:c>
      <x:c r="O97" s="2" t="str">
        <x:f>'Master Hunt List'!V90</x:f>
        <x:v>https://tpwd.texas.gov/huntwild/hunt/public/public_hunt_drawing/hunt-category-details.phtml?OCat=EAD</x:v>
      </x:c>
    </x:row>
    <x:row r="98">
      <x:c r="A98" s="2" t="n">
        <x:f>91</x:f>
        <x:v>91</x:v>
      </x:c>
      <x:c r="B98" s="2" t="str">
        <x:f>'Master Hunt List'!A91</x:f>
        <x:v>No</x:v>
      </x:c>
      <x:c r="C98" s="2" t="str">
        <x:f>'Master Hunt List'!B91</x:f>
        <x:v>B</x:v>
      </x:c>
      <x:c r="D98" s="2" t="str">
        <x:f>'Master Hunt List'!C91</x:f>
        <x:v>Whitetail Deer</x:v>
      </x:c>
      <x:c r="E98" s="2" t="str">
        <x:f>'Master Hunt List'!D91</x:f>
        <x:v>Hagerman NWR</x:v>
      </x:c>
      <x:c r="F98" s="2" t="str">
        <x:f>'Master Hunt List'!E91</x:f>
        <x:v>North Texas / DFW</x:v>
      </x:c>
      <x:c r="G98" s="2" t="str">
        <x:f>'Master Hunt List'!F91</x:f>
        <x:v>National Refuge Archery Deer</x:v>
      </x:c>
      <x:c r="H98" s="2" t="str">
        <x:f>'Master Hunt List'!G91</x:f>
        <x:v>Yes</x:v>
      </x:c>
      <x:c r="I98" s="2" t="str">
        <x:f>'Master Hunt List'!H91</x:f>
        <x:v>Yes</x:v>
      </x:c>
      <x:c r="J98" s="97" t="str">
        <x:f>'Master Hunt List'!I91</x:f>
        <x:v>2026-09-01</x:v>
      </x:c>
      <x:c r="K98" s="111" t="n">
        <x:f>'Master Hunt List'!K91</x:f>
        <x:v>3</x:v>
      </x:c>
      <x:c r="L98" s="2" t="n">
        <x:f>'Master Hunt List'!AF91</x:f>
        <x:v>0</x:v>
      </x:c>
      <x:c r="M98" s="2" t="n">
        <x:f>'Master Hunt List'!AH91</x:f>
        <x:v>0</x:v>
      </x:c>
      <x:c r="N98" s="2" t="n">
        <x:f>'Master Hunt List'!AI91</x:f>
        <x:v>0</x:v>
      </x:c>
      <x:c r="O98" s="2" t="str">
        <x:f>'Master Hunt List'!V91</x:f>
        <x:v>https://tpwd.texas.gov/huntwild/hunt/public/public_hunt_drawing/hunt-category-details.phtml?OCat=NAD</x:v>
      </x:c>
    </x:row>
    <x:row r="99">
      <x:c r="A99" s="2" t="n">
        <x:f>92</x:f>
        <x:v>92</x:v>
      </x:c>
      <x:c r="B99" s="2" t="str">
        <x:f>'Master Hunt List'!A92</x:f>
        <x:v>No</x:v>
      </x:c>
      <x:c r="C99" s="2" t="str">
        <x:f>'Master Hunt List'!B92</x:f>
        <x:v>B</x:v>
      </x:c>
      <x:c r="D99" s="2" t="str">
        <x:f>'Master Hunt List'!C92</x:f>
        <x:v>Whitetail Deer</x:v>
      </x:c>
      <x:c r="E99" s="2" t="str">
        <x:f>'Master Hunt List'!D92</x:f>
        <x:v>Keechi Creek WMA</x:v>
      </x:c>
      <x:c r="F99" s="2" t="str">
        <x:f>'Master Hunt List'!E92</x:f>
        <x:v>Statewide / Other</x:v>
      </x:c>
      <x:c r="G99" s="2" t="str">
        <x:f>'Master Hunt List'!F92</x:f>
        <x:v>E-Postcard Archery Deer</x:v>
      </x:c>
      <x:c r="H99" s="2" t="str">
        <x:f>'Master Hunt List'!G92</x:f>
        <x:v>Yes</x:v>
      </x:c>
      <x:c r="I99" s="2" t="str">
        <x:f>'Master Hunt List'!H92</x:f>
        <x:v>Yes</x:v>
      </x:c>
      <x:c r="J99" s="97" t="str">
        <x:f>'Master Hunt List'!I92</x:f>
        <x:v>2026-09-01</x:v>
      </x:c>
      <x:c r="K99" s="111" t="n">
        <x:f>'Master Hunt List'!K92</x:f>
        <x:v>0</x:v>
      </x:c>
      <x:c r="L99" s="2" t="n">
        <x:f>'Master Hunt List'!AF92</x:f>
        <x:v>0</x:v>
      </x:c>
      <x:c r="M99" s="2" t="n">
        <x:f>'Master Hunt List'!AH92</x:f>
        <x:v>0</x:v>
      </x:c>
      <x:c r="N99" s="2" t="n">
        <x:f>'Master Hunt List'!AI92</x:f>
        <x:v>0</x:v>
      </x:c>
      <x:c r="O99" s="2" t="str">
        <x:f>'Master Hunt List'!V92</x:f>
        <x:v>https://tpwd.texas.gov/huntwild/hunt/public/public_hunt_drawing/hunt-category-details.phtml?OCat=EAD</x:v>
      </x:c>
    </x:row>
    <x:row r="100">
      <x:c r="A100" s="2" t="n">
        <x:f>93</x:f>
        <x:v>93</x:v>
      </x:c>
      <x:c r="B100" s="2" t="str">
        <x:f>'Master Hunt List'!A93</x:f>
        <x:v>No</x:v>
      </x:c>
      <x:c r="C100" s="2" t="str">
        <x:f>'Master Hunt List'!B93</x:f>
        <x:v>A</x:v>
      </x:c>
      <x:c r="D100" s="2" t="str">
        <x:f>'Master Hunt List'!C93</x:f>
        <x:v>Whitetail Deer</x:v>
      </x:c>
      <x:c r="E100" s="2" t="str">
        <x:f>'Master Hunt List'!D93</x:f>
        <x:v>La Salle County Ranch</x:v>
      </x:c>
      <x:c r="F100" s="2" t="str">
        <x:f>'Master Hunt List'!E93</x:f>
        <x:v>South Texas / Rio Grande Valley</x:v>
      </x:c>
      <x:c r="G100" s="2" t="str">
        <x:f>'Master Hunt List'!F93</x:f>
        <x:v>Private Lands - Either Sex</x:v>
      </x:c>
      <x:c r="H100" s="2" t="str">
        <x:f>'Master Hunt List'!G93</x:f>
        <x:v>Yes</x:v>
      </x:c>
      <x:c r="I100" s="2" t="str">
        <x:f>'Master Hunt List'!H93</x:f>
        <x:v>Yes</x:v>
      </x:c>
      <x:c r="J100" s="97" t="str">
        <x:f>'Master Hunt List'!I93</x:f>
        <x:v>2026-09-01</x:v>
      </x:c>
      <x:c r="K100" s="111" t="n">
        <x:f>'Master Hunt List'!K93</x:f>
        <x:v>10</x:v>
      </x:c>
      <x:c r="L100" s="2" t="n">
        <x:f>'Master Hunt List'!AF93</x:f>
        <x:v>0</x:v>
      </x:c>
      <x:c r="M100" s="2" t="n">
        <x:f>'Master Hunt List'!AH93</x:f>
        <x:v>0</x:v>
      </x:c>
      <x:c r="N100" s="2" t="n">
        <x:f>'Master Hunt List'!AI93</x:f>
        <x:v>0</x:v>
      </x:c>
      <x:c r="O100" s="2" t="str">
        <x:f>'Master Hunt List'!V93</x:f>
        <x:v>https://tpwd.texas.gov/huntwild/hunt/public/public_hunt_drawing/hunt-category-details.phtml?OCat=PLE</x:v>
      </x:c>
    </x:row>
    <x:row r="101">
      <x:c r="A101" s="2" t="n">
        <x:f>94</x:f>
        <x:v>94</x:v>
      </x:c>
      <x:c r="B101" s="2" t="str">
        <x:f>'Master Hunt List'!A94</x:f>
        <x:v>No</x:v>
      </x:c>
      <x:c r="C101" s="2" t="str">
        <x:f>'Master Hunt List'!B94</x:f>
        <x:v>B</x:v>
      </x:c>
      <x:c r="D101" s="2" t="str">
        <x:f>'Master Hunt List'!C94</x:f>
        <x:v>Whitetail Deer</x:v>
      </x:c>
      <x:c r="E101" s="2" t="str">
        <x:f>'Master Hunt List'!D94</x:f>
        <x:v>Laguna Atascosa NWR</x:v>
      </x:c>
      <x:c r="F101" s="2" t="str">
        <x:f>'Master Hunt List'!E94</x:f>
        <x:v>South Texas / Rio Grande Valley</x:v>
      </x:c>
      <x:c r="G101" s="2" t="str">
        <x:f>'Master Hunt List'!F94</x:f>
        <x:v>National Refuge Archery Deer</x:v>
      </x:c>
      <x:c r="H101" s="2" t="str">
        <x:f>'Master Hunt List'!G94</x:f>
        <x:v>Yes</x:v>
      </x:c>
      <x:c r="I101" s="2" t="str">
        <x:f>'Master Hunt List'!H94</x:f>
        <x:v>Yes</x:v>
      </x:c>
      <x:c r="J101" s="97" t="str">
        <x:f>'Master Hunt List'!I94</x:f>
        <x:v>2026-09-01</x:v>
      </x:c>
      <x:c r="K101" s="111" t="n">
        <x:f>'Master Hunt List'!K94</x:f>
        <x:v>3</x:v>
      </x:c>
      <x:c r="L101" s="2" t="n">
        <x:f>'Master Hunt List'!AF94</x:f>
        <x:v>0</x:v>
      </x:c>
      <x:c r="M101" s="2" t="n">
        <x:f>'Master Hunt List'!AH94</x:f>
        <x:v>0</x:v>
      </x:c>
      <x:c r="N101" s="2" t="n">
        <x:f>'Master Hunt List'!AI94</x:f>
        <x:v>0</x:v>
      </x:c>
      <x:c r="O101" s="2" t="str">
        <x:f>'Master Hunt List'!V94</x:f>
        <x:v>https://tpwd.texas.gov/huntwild/hunt/public/public_hunt_drawing/hunt-category-details.phtml?OCat=NAD</x:v>
      </x:c>
    </x:row>
    <x:row r="102">
      <x:c r="A102" s="2" t="n">
        <x:f>95</x:f>
        <x:v>95</x:v>
      </x:c>
      <x:c r="B102" s="2" t="str">
        <x:f>'Master Hunt List'!A95</x:f>
        <x:v>No</x:v>
      </x:c>
      <x:c r="C102" s="2" t="str">
        <x:f>'Master Hunt List'!B95</x:f>
        <x:v>B</x:v>
      </x:c>
      <x:c r="D102" s="2" t="str">
        <x:f>'Master Hunt List'!C95</x:f>
        <x:v>Whitetail Deer</x:v>
      </x:c>
      <x:c r="E102" s="2" t="str">
        <x:f>'Master Hunt List'!D95</x:f>
        <x:v>Lake Somerville SP - Nails Creek Unit</x:v>
      </x:c>
      <x:c r="F102" s="2" t="str">
        <x:f>'Master Hunt List'!E95</x:f>
        <x:v>Central Texas / Austin</x:v>
      </x:c>
      <x:c r="G102" s="2" t="str">
        <x:f>'Master Hunt List'!F95</x:f>
        <x:v>E-Postcard Archery Deer</x:v>
      </x:c>
      <x:c r="H102" s="2" t="str">
        <x:f>'Master Hunt List'!G95</x:f>
        <x:v>Yes</x:v>
      </x:c>
      <x:c r="I102" s="2" t="str">
        <x:f>'Master Hunt List'!H95</x:f>
        <x:v>Yes</x:v>
      </x:c>
      <x:c r="J102" s="97" t="str">
        <x:f>'Master Hunt List'!I95</x:f>
        <x:v>2026-09-01</x:v>
      </x:c>
      <x:c r="K102" s="111" t="n">
        <x:f>'Master Hunt List'!K95</x:f>
        <x:v>0</x:v>
      </x:c>
      <x:c r="L102" s="2" t="n">
        <x:f>'Master Hunt List'!AF95</x:f>
        <x:v>0</x:v>
      </x:c>
      <x:c r="M102" s="2" t="n">
        <x:f>'Master Hunt List'!AH95</x:f>
        <x:v>0</x:v>
      </x:c>
      <x:c r="N102" s="2" t="n">
        <x:f>'Master Hunt List'!AI95</x:f>
        <x:v>0</x:v>
      </x:c>
      <x:c r="O102" s="2" t="str">
        <x:f>'Master Hunt List'!V95</x:f>
        <x:v>https://tpwd.texas.gov/huntwild/hunt/public/public_hunt_drawing/hunt-category-details.phtml?OCat=EAD</x:v>
      </x:c>
    </x:row>
    <x:row r="103">
      <x:c r="A103" s="2" t="n">
        <x:f>96</x:f>
        <x:v>96</x:v>
      </x:c>
      <x:c r="B103" s="2" t="str">
        <x:f>'Master Hunt List'!A96</x:f>
        <x:v>No</x:v>
      </x:c>
      <x:c r="C103" s="2" t="str">
        <x:f>'Master Hunt List'!B96</x:f>
        <x:v>A</x:v>
      </x:c>
      <x:c r="D103" s="2" t="str">
        <x:f>'Master Hunt List'!C96</x:f>
        <x:v>Whitetail Deer</x:v>
      </x:c>
      <x:c r="E103" s="2" t="str">
        <x:f>'Master Hunt List'!D96</x:f>
        <x:v>Lipscomb County Ranch</x:v>
      </x:c>
      <x:c r="F103" s="2" t="str">
        <x:f>'Master Hunt List'!E96</x:f>
        <x:v>Panhandle / Rolling Plains</x:v>
      </x:c>
      <x:c r="G103" s="2" t="str">
        <x:f>'Master Hunt List'!F96</x:f>
        <x:v>Private Lands - Either Sex</x:v>
      </x:c>
      <x:c r="H103" s="2" t="str">
        <x:f>'Master Hunt List'!G96</x:f>
        <x:v>Yes</x:v>
      </x:c>
      <x:c r="I103" s="2" t="str">
        <x:f>'Master Hunt List'!H96</x:f>
        <x:v>Yes</x:v>
      </x:c>
      <x:c r="J103" s="97" t="str">
        <x:f>'Master Hunt List'!I96</x:f>
        <x:v>2026-09-01</x:v>
      </x:c>
      <x:c r="K103" s="111" t="n">
        <x:f>'Master Hunt List'!K96</x:f>
        <x:v>10</x:v>
      </x:c>
      <x:c r="L103" s="2" t="n">
        <x:f>'Master Hunt List'!AF96</x:f>
        <x:v>0</x:v>
      </x:c>
      <x:c r="M103" s="2" t="n">
        <x:f>'Master Hunt List'!AH96</x:f>
        <x:v>0</x:v>
      </x:c>
      <x:c r="N103" s="2" t="n">
        <x:f>'Master Hunt List'!AI96</x:f>
        <x:v>0</x:v>
      </x:c>
      <x:c r="O103" s="2" t="str">
        <x:f>'Master Hunt List'!V96</x:f>
        <x:v>https://tpwd.texas.gov/huntwild/hunt/public/public_hunt_drawing/hunt-category-details.phtml?OCat=PLE</x:v>
      </x:c>
    </x:row>
    <x:row r="104">
      <x:c r="A104" s="2" t="n">
        <x:f>97</x:f>
        <x:v>97</x:v>
      </x:c>
      <x:c r="B104" s="2" t="str">
        <x:f>'Master Hunt List'!A97</x:f>
        <x:v>No</x:v>
      </x:c>
      <x:c r="C104" s="2" t="str">
        <x:f>'Master Hunt List'!B97</x:f>
        <x:v>B</x:v>
      </x:c>
      <x:c r="D104" s="2" t="str">
        <x:f>'Master Hunt List'!C97</x:f>
        <x:v>Whitetail Deer</x:v>
      </x:c>
      <x:c r="E104" s="2" t="str">
        <x:f>'Master Hunt List'!D97</x:f>
        <x:v>Lower Rio Grande NWR - Schaleben</x:v>
      </x:c>
      <x:c r="F104" s="2" t="str">
        <x:f>'Master Hunt List'!E97</x:f>
        <x:v>South Texas / Rio Grande Valley</x:v>
      </x:c>
      <x:c r="G104" s="2" t="str">
        <x:f>'Master Hunt List'!F97</x:f>
        <x:v>National Refuge Archery Deer</x:v>
      </x:c>
      <x:c r="H104" s="2" t="str">
        <x:f>'Master Hunt List'!G97</x:f>
        <x:v>Yes</x:v>
      </x:c>
      <x:c r="I104" s="2" t="str">
        <x:f>'Master Hunt List'!H97</x:f>
        <x:v>Yes</x:v>
      </x:c>
      <x:c r="J104" s="97" t="str">
        <x:f>'Master Hunt List'!I97</x:f>
        <x:v>2026-09-01</x:v>
      </x:c>
      <x:c r="K104" s="111" t="n">
        <x:f>'Master Hunt List'!K97</x:f>
        <x:v>3</x:v>
      </x:c>
      <x:c r="L104" s="2" t="n">
        <x:f>'Master Hunt List'!AF97</x:f>
        <x:v>0</x:v>
      </x:c>
      <x:c r="M104" s="2" t="n">
        <x:f>'Master Hunt List'!AH97</x:f>
        <x:v>0</x:v>
      </x:c>
      <x:c r="N104" s="2" t="n">
        <x:f>'Master Hunt List'!AI97</x:f>
        <x:v>0</x:v>
      </x:c>
      <x:c r="O104" s="2" t="str">
        <x:f>'Master Hunt List'!V97</x:f>
        <x:v>https://tpwd.texas.gov/huntwild/hunt/public/public_hunt_drawing/hunt-category-details.phtml?OCat=NAD</x:v>
      </x:c>
    </x:row>
    <x:row r="105">
      <x:c r="A105" s="2" t="n">
        <x:f>98</x:f>
        <x:v>98</x:v>
      </x:c>
      <x:c r="B105" s="2" t="str">
        <x:f>'Master Hunt List'!A98</x:f>
        <x:v>No</x:v>
      </x:c>
      <x:c r="C105" s="2" t="str">
        <x:f>'Master Hunt List'!B98</x:f>
        <x:v>B</x:v>
      </x:c>
      <x:c r="D105" s="2" t="str">
        <x:f>'Master Hunt List'!C98</x:f>
        <x:v>Whitetail Deer</x:v>
      </x:c>
      <x:c r="E105" s="2" t="str">
        <x:f>'Master Hunt List'!D98</x:f>
        <x:v>Lower Rio Grande Valley NWR - Teniente</x:v>
      </x:c>
      <x:c r="F105" s="2" t="str">
        <x:f>'Master Hunt List'!E98</x:f>
        <x:v>South Texas / Rio Grande Valley</x:v>
      </x:c>
      <x:c r="G105" s="2" t="str">
        <x:f>'Master Hunt List'!F98</x:f>
        <x:v>National Refuge Archery Deer</x:v>
      </x:c>
      <x:c r="H105" s="2" t="str">
        <x:f>'Master Hunt List'!G98</x:f>
        <x:v>Yes</x:v>
      </x:c>
      <x:c r="I105" s="2" t="str">
        <x:f>'Master Hunt List'!H98</x:f>
        <x:v>Yes</x:v>
      </x:c>
      <x:c r="J105" s="97" t="str">
        <x:f>'Master Hunt List'!I98</x:f>
        <x:v>2026-09-01</x:v>
      </x:c>
      <x:c r="K105" s="111" t="n">
        <x:f>'Master Hunt List'!K98</x:f>
        <x:v>3</x:v>
      </x:c>
      <x:c r="L105" s="2" t="n">
        <x:f>'Master Hunt List'!AF98</x:f>
        <x:v>0</x:v>
      </x:c>
      <x:c r="M105" s="2" t="n">
        <x:f>'Master Hunt List'!AH98</x:f>
        <x:v>0</x:v>
      </x:c>
      <x:c r="N105" s="2" t="n">
        <x:f>'Master Hunt List'!AI98</x:f>
        <x:v>0</x:v>
      </x:c>
      <x:c r="O105" s="2" t="str">
        <x:f>'Master Hunt List'!V98</x:f>
        <x:v>https://tpwd.texas.gov/huntwild/hunt/public/public_hunt_drawing/hunt-category-details.phtml?OCat=NAD</x:v>
      </x:c>
    </x:row>
    <x:row r="106">
      <x:c r="A106" s="2" t="n">
        <x:f>99</x:f>
        <x:v>99</x:v>
      </x:c>
      <x:c r="B106" s="2" t="str">
        <x:f>'Master Hunt List'!A99</x:f>
        <x:v>No</x:v>
      </x:c>
      <x:c r="C106" s="2" t="str">
        <x:f>'Master Hunt List'!B99</x:f>
        <x:v>A</x:v>
      </x:c>
      <x:c r="D106" s="2" t="str">
        <x:f>'Master Hunt List'!C99</x:f>
        <x:v>Whitetail Deer</x:v>
      </x:c>
      <x:c r="E106" s="2" t="str">
        <x:f>'Master Hunt List'!D99</x:f>
        <x:v>Muleshoe NWR</x:v>
      </x:c>
      <x:c r="F106" s="2" t="str">
        <x:f>'Master Hunt List'!E99</x:f>
        <x:v>Panhandle / Rolling Plains</x:v>
      </x:c>
      <x:c r="G106" s="2" t="str">
        <x:f>'Master Hunt List'!F99</x:f>
        <x:v>National Refuge Archery Deer</x:v>
      </x:c>
      <x:c r="H106" s="2" t="str">
        <x:f>'Master Hunt List'!G99</x:f>
        <x:v>Yes</x:v>
      </x:c>
      <x:c r="I106" s="2" t="str">
        <x:f>'Master Hunt List'!H99</x:f>
        <x:v>Yes</x:v>
      </x:c>
      <x:c r="J106" s="97" t="str">
        <x:f>'Master Hunt List'!I99</x:f>
        <x:v>2026-09-01</x:v>
      </x:c>
      <x:c r="K106" s="111" t="n">
        <x:f>'Master Hunt List'!K99</x:f>
        <x:v>3</x:v>
      </x:c>
      <x:c r="L106" s="2" t="n">
        <x:f>'Master Hunt List'!AF99</x:f>
        <x:v>0</x:v>
      </x:c>
      <x:c r="M106" s="2" t="n">
        <x:f>'Master Hunt List'!AH99</x:f>
        <x:v>0</x:v>
      </x:c>
      <x:c r="N106" s="2" t="n">
        <x:f>'Master Hunt List'!AI99</x:f>
        <x:v>0</x:v>
      </x:c>
      <x:c r="O106" s="2" t="str">
        <x:f>'Master Hunt List'!V99</x:f>
        <x:v>https://tpwd.texas.gov/huntwild/hunt/public/public_hunt_drawing/hunt-category-details.phtml?OCat=NAD</x:v>
      </x:c>
    </x:row>
    <x:row r="107">
      <x:c r="A107" s="2" t="n">
        <x:f>100</x:f>
        <x:v>100</x:v>
      </x:c>
      <x:c r="B107" s="2" t="str">
        <x:f>'Master Hunt List'!A100</x:f>
        <x:v>No</x:v>
      </x:c>
      <x:c r="C107" s="2" t="str">
        <x:f>'Master Hunt List'!B100</x:f>
        <x:v>B</x:v>
      </x:c>
      <x:c r="D107" s="2" t="str">
        <x:f>'Master Hunt List'!C100</x:f>
        <x:v>Whitetail Deer</x:v>
      </x:c>
      <x:c r="E107" s="2" t="str">
        <x:f>'Master Hunt List'!D100</x:f>
        <x:v>Neches River NWR - Dead Water Unit</x:v>
      </x:c>
      <x:c r="F107" s="2" t="str">
        <x:f>'Master Hunt List'!E100</x:f>
        <x:v>East Texas / Pineywoods</x:v>
      </x:c>
      <x:c r="G107" s="2" t="str">
        <x:f>'Master Hunt List'!F100</x:f>
        <x:v>National Refuge Archery Deer</x:v>
      </x:c>
      <x:c r="H107" s="2" t="str">
        <x:f>'Master Hunt List'!G100</x:f>
        <x:v>Yes</x:v>
      </x:c>
      <x:c r="I107" s="2" t="str">
        <x:f>'Master Hunt List'!H100</x:f>
        <x:v>Yes</x:v>
      </x:c>
      <x:c r="J107" s="97" t="str">
        <x:f>'Master Hunt List'!I100</x:f>
        <x:v>2026-09-01</x:v>
      </x:c>
      <x:c r="K107" s="111" t="n">
        <x:f>'Master Hunt List'!K100</x:f>
        <x:v>3</x:v>
      </x:c>
      <x:c r="L107" s="2" t="n">
        <x:f>'Master Hunt List'!AF100</x:f>
        <x:v>0</x:v>
      </x:c>
      <x:c r="M107" s="2" t="n">
        <x:f>'Master Hunt List'!AH100</x:f>
        <x:v>0</x:v>
      </x:c>
      <x:c r="N107" s="2" t="n">
        <x:f>'Master Hunt List'!AI100</x:f>
        <x:v>0</x:v>
      </x:c>
      <x:c r="O107" s="2" t="str">
        <x:f>'Master Hunt List'!V100</x:f>
        <x:v>https://tpwd.texas.gov/huntwild/hunt/public/public_hunt_drawing/hunt-category-details.phtml?OCat=NAD</x:v>
      </x:c>
    </x:row>
    <x:row r="108">
      <x:c r="A108" s="2" t="n">
        <x:f>101</x:f>
        <x:v>101</x:v>
      </x:c>
      <x:c r="B108" s="2" t="str">
        <x:f>'Master Hunt List'!A101</x:f>
        <x:v>No</x:v>
      </x:c>
      <x:c r="C108" s="2" t="str">
        <x:f>'Master Hunt List'!B101</x:f>
        <x:v>B</x:v>
      </x:c>
      <x:c r="D108" s="2" t="str">
        <x:f>'Master Hunt List'!C101</x:f>
        <x:v>Whitetail Deer</x:v>
      </x:c>
      <x:c r="E108" s="2" t="str">
        <x:f>'Master Hunt List'!D101</x:f>
        <x:v>Neches River NWR - Rocky Point Unit</x:v>
      </x:c>
      <x:c r="F108" s="2" t="str">
        <x:f>'Master Hunt List'!E101</x:f>
        <x:v>East Texas / Pineywoods</x:v>
      </x:c>
      <x:c r="G108" s="2" t="str">
        <x:f>'Master Hunt List'!F101</x:f>
        <x:v>National Refuge Archery Deer</x:v>
      </x:c>
      <x:c r="H108" s="2" t="str">
        <x:f>'Master Hunt List'!G101</x:f>
        <x:v>Yes</x:v>
      </x:c>
      <x:c r="I108" s="2" t="str">
        <x:f>'Master Hunt List'!H101</x:f>
        <x:v>Yes</x:v>
      </x:c>
      <x:c r="J108" s="97" t="str">
        <x:f>'Master Hunt List'!I101</x:f>
        <x:v>2026-09-01</x:v>
      </x:c>
      <x:c r="K108" s="111" t="n">
        <x:f>'Master Hunt List'!K101</x:f>
        <x:v>3</x:v>
      </x:c>
      <x:c r="L108" s="2" t="n">
        <x:f>'Master Hunt List'!AF101</x:f>
        <x:v>0</x:v>
      </x:c>
      <x:c r="M108" s="2" t="n">
        <x:f>'Master Hunt List'!AH101</x:f>
        <x:v>0</x:v>
      </x:c>
      <x:c r="N108" s="2" t="n">
        <x:f>'Master Hunt List'!AI101</x:f>
        <x:v>0</x:v>
      </x:c>
      <x:c r="O108" s="2" t="str">
        <x:f>'Master Hunt List'!V101</x:f>
        <x:v>https://tpwd.texas.gov/huntwild/hunt/public/public_hunt_drawing/hunt-category-details.phtml?OCat=NAD</x:v>
      </x:c>
    </x:row>
    <x:row r="109">
      <x:c r="A109" s="2" t="n">
        <x:f>102</x:f>
        <x:v>102</x:v>
      </x:c>
      <x:c r="B109" s="2" t="str">
        <x:f>'Master Hunt List'!A102</x:f>
        <x:v>No</x:v>
      </x:c>
      <x:c r="C109" s="2" t="str">
        <x:f>'Master Hunt List'!B102</x:f>
        <x:v>B</x:v>
      </x:c>
      <x:c r="D109" s="2" t="str">
        <x:f>'Master Hunt List'!C102</x:f>
        <x:v>Whitetail Deer</x:v>
      </x:c>
      <x:c r="E109" s="2" t="str">
        <x:f>'Master Hunt List'!D102</x:f>
        <x:v>Neches River NWR - Sandy Bluff Unit</x:v>
      </x:c>
      <x:c r="F109" s="2" t="str">
        <x:f>'Master Hunt List'!E102</x:f>
        <x:v>East Texas / Pineywoods</x:v>
      </x:c>
      <x:c r="G109" s="2" t="str">
        <x:f>'Master Hunt List'!F102</x:f>
        <x:v>National Refuge Archery Deer</x:v>
      </x:c>
      <x:c r="H109" s="2" t="str">
        <x:f>'Master Hunt List'!G102</x:f>
        <x:v>Yes</x:v>
      </x:c>
      <x:c r="I109" s="2" t="str">
        <x:f>'Master Hunt List'!H102</x:f>
        <x:v>Yes</x:v>
      </x:c>
      <x:c r="J109" s="97" t="str">
        <x:f>'Master Hunt List'!I102</x:f>
        <x:v>2026-09-01</x:v>
      </x:c>
      <x:c r="K109" s="111" t="n">
        <x:f>'Master Hunt List'!K102</x:f>
        <x:v>3</x:v>
      </x:c>
      <x:c r="L109" s="2" t="n">
        <x:f>'Master Hunt List'!AF102</x:f>
        <x:v>0</x:v>
      </x:c>
      <x:c r="M109" s="2" t="n">
        <x:f>'Master Hunt List'!AH102</x:f>
        <x:v>0</x:v>
      </x:c>
      <x:c r="N109" s="2" t="n">
        <x:f>'Master Hunt List'!AI102</x:f>
        <x:v>0</x:v>
      </x:c>
      <x:c r="O109" s="2" t="str">
        <x:f>'Master Hunt List'!V102</x:f>
        <x:v>https://tpwd.texas.gov/huntwild/hunt/public/public_hunt_drawing/hunt-category-details.phtml?OCat=NAD</x:v>
      </x:c>
    </x:row>
    <x:row r="110">
      <x:c r="A110" s="2" t="n">
        <x:f>103</x:f>
        <x:v>103</x:v>
      </x:c>
      <x:c r="B110" s="2" t="str">
        <x:f>'Master Hunt List'!A103</x:f>
        <x:v>No</x:v>
      </x:c>
      <x:c r="C110" s="2" t="str">
        <x:f>'Master Hunt List'!B103</x:f>
        <x:v>B</x:v>
      </x:c>
      <x:c r="D110" s="2" t="str">
        <x:f>'Master Hunt List'!C103</x:f>
        <x:v>Whitetail Deer</x:v>
      </x:c>
      <x:c r="E110" s="2" t="str">
        <x:f>'Master Hunt List'!D103</x:f>
        <x:v>Neches River NWR - Walnut Branch Unit</x:v>
      </x:c>
      <x:c r="F110" s="2" t="str">
        <x:f>'Master Hunt List'!E103</x:f>
        <x:v>East Texas / Pineywoods</x:v>
      </x:c>
      <x:c r="G110" s="2" t="str">
        <x:f>'Master Hunt List'!F103</x:f>
        <x:v>National Refuge Archery Deer</x:v>
      </x:c>
      <x:c r="H110" s="2" t="str">
        <x:f>'Master Hunt List'!G103</x:f>
        <x:v>Yes</x:v>
      </x:c>
      <x:c r="I110" s="2" t="str">
        <x:f>'Master Hunt List'!H103</x:f>
        <x:v>Yes</x:v>
      </x:c>
      <x:c r="J110" s="97" t="str">
        <x:f>'Master Hunt List'!I103</x:f>
        <x:v>2026-09-01</x:v>
      </x:c>
      <x:c r="K110" s="111" t="n">
        <x:f>'Master Hunt List'!K103</x:f>
        <x:v>3</x:v>
      </x:c>
      <x:c r="L110" s="2" t="n">
        <x:f>'Master Hunt List'!AF103</x:f>
        <x:v>0</x:v>
      </x:c>
      <x:c r="M110" s="2" t="n">
        <x:f>'Master Hunt List'!AH103</x:f>
        <x:v>0</x:v>
      </x:c>
      <x:c r="N110" s="2" t="n">
        <x:f>'Master Hunt List'!AI103</x:f>
        <x:v>0</x:v>
      </x:c>
      <x:c r="O110" s="2" t="str">
        <x:f>'Master Hunt List'!V103</x:f>
        <x:v>https://tpwd.texas.gov/huntwild/hunt/public/public_hunt_drawing/hunt-category-details.phtml?OCat=NAD</x:v>
      </x:c>
    </x:row>
    <x:row r="111">
      <x:c r="A111" s="2" t="n">
        <x:f>104</x:f>
        <x:v>104</x:v>
      </x:c>
      <x:c r="B111" s="2" t="str">
        <x:f>'Master Hunt List'!A104</x:f>
        <x:v>No</x:v>
      </x:c>
      <x:c r="C111" s="2" t="str">
        <x:f>'Master Hunt List'!B104</x:f>
        <x:v>A</x:v>
      </x:c>
      <x:c r="D111" s="2" t="str">
        <x:f>'Master Hunt List'!C104</x:f>
        <x:v>Whitetail Deer</x:v>
      </x:c>
      <x:c r="E111" s="2" t="str">
        <x:f>'Master Hunt List'!D104</x:f>
        <x:v>Pecos County Ranch</x:v>
      </x:c>
      <x:c r="F111" s="2" t="str">
        <x:f>'Master Hunt List'!E104</x:f>
        <x:v>Trans-Pecos / West Texas</x:v>
      </x:c>
      <x:c r="G111" s="2" t="str">
        <x:f>'Master Hunt List'!F104</x:f>
        <x:v>Private Lands - Either Sex</x:v>
      </x:c>
      <x:c r="H111" s="2" t="str">
        <x:f>'Master Hunt List'!G104</x:f>
        <x:v>Yes</x:v>
      </x:c>
      <x:c r="I111" s="2" t="str">
        <x:f>'Master Hunt List'!H104</x:f>
        <x:v>Yes</x:v>
      </x:c>
      <x:c r="J111" s="97" t="str">
        <x:f>'Master Hunt List'!I104</x:f>
        <x:v>2026-09-01</x:v>
      </x:c>
      <x:c r="K111" s="111" t="n">
        <x:f>'Master Hunt List'!K104</x:f>
        <x:v>10</x:v>
      </x:c>
      <x:c r="L111" s="2" t="n">
        <x:f>'Master Hunt List'!AF104</x:f>
        <x:v>0</x:v>
      </x:c>
      <x:c r="M111" s="2" t="n">
        <x:f>'Master Hunt List'!AH104</x:f>
        <x:v>0</x:v>
      </x:c>
      <x:c r="N111" s="2" t="n">
        <x:f>'Master Hunt List'!AI104</x:f>
        <x:v>0</x:v>
      </x:c>
      <x:c r="O111" s="2" t="str">
        <x:f>'Master Hunt List'!V104</x:f>
        <x:v>https://tpwd.texas.gov/huntwild/hunt/public/public_hunt_drawing/hunt-category-details.phtml?OCat=PLE</x:v>
      </x:c>
    </x:row>
    <x:row r="112">
      <x:c r="A112" s="2" t="n">
        <x:f>105</x:f>
        <x:v>105</x:v>
      </x:c>
      <x:c r="B112" s="2" t="str">
        <x:f>'Master Hunt List'!A105</x:f>
        <x:v>No</x:v>
      </x:c>
      <x:c r="C112" s="2" t="str">
        <x:f>'Master Hunt List'!B105</x:f>
        <x:v>A</x:v>
      </x:c>
      <x:c r="D112" s="2" t="str">
        <x:f>'Master Hunt List'!C105</x:f>
        <x:v>Whitetail Deer</x:v>
      </x:c>
      <x:c r="E112" s="2" t="str">
        <x:f>'Master Hunt List'!D105</x:f>
        <x:v>Travis County Ranch</x:v>
      </x:c>
      <x:c r="F112" s="2" t="str">
        <x:f>'Master Hunt List'!E105</x:f>
        <x:v>Central Texas / Austin</x:v>
      </x:c>
      <x:c r="G112" s="2" t="str">
        <x:f>'Master Hunt List'!F105</x:f>
        <x:v>Private Lands - Antlerless/Spike</x:v>
      </x:c>
      <x:c r="H112" s="2" t="str">
        <x:f>'Master Hunt List'!G105</x:f>
        <x:v>Yes</x:v>
      </x:c>
      <x:c r="I112" s="2" t="str">
        <x:f>'Master Hunt List'!H105</x:f>
        <x:v>Yes</x:v>
      </x:c>
      <x:c r="J112" s="97" t="str">
        <x:f>'Master Hunt List'!I105</x:f>
        <x:v>2026-09-01</x:v>
      </x:c>
      <x:c r="K112" s="111" t="n">
        <x:f>'Master Hunt List'!K105</x:f>
        <x:v>10</x:v>
      </x:c>
      <x:c r="L112" s="2" t="n">
        <x:f>'Master Hunt List'!AF105</x:f>
        <x:v>0</x:v>
      </x:c>
      <x:c r="M112" s="2" t="n">
        <x:f>'Master Hunt List'!AH105</x:f>
        <x:v>0</x:v>
      </x:c>
      <x:c r="N112" s="2" t="n">
        <x:f>'Master Hunt List'!AI105</x:f>
        <x:v>0</x:v>
      </x:c>
      <x:c r="O112" s="2" t="str">
        <x:f>'Master Hunt List'!V105</x:f>
        <x:v>https://tpwd.texas.gov/huntwild/hunt/public/public_hunt_drawing/hunt-category-details.phtml?OCat=PLA</x:v>
      </x:c>
    </x:row>
    <x:row r="113">
      <x:c r="A113" s="2" t="n">
        <x:f>106</x:f>
        <x:v>106</x:v>
      </x:c>
      <x:c r="B113" s="2" t="str">
        <x:f>'Master Hunt List'!A106</x:f>
        <x:v>No</x:v>
      </x:c>
      <x:c r="C113" s="2" t="str">
        <x:f>'Master Hunt List'!B106</x:f>
        <x:v>A</x:v>
      </x:c>
      <x:c r="D113" s="2" t="str">
        <x:f>'Master Hunt List'!C106</x:f>
        <x:v>Whitetail Deer</x:v>
      </x:c>
      <x:c r="E113" s="2" t="str">
        <x:f>'Master Hunt List'!D106</x:f>
        <x:v>Travis County Ranch</x:v>
      </x:c>
      <x:c r="F113" s="2" t="str">
        <x:f>'Master Hunt List'!E106</x:f>
        <x:v>Central Texas / Austin</x:v>
      </x:c>
      <x:c r="G113" s="2" t="str">
        <x:f>'Master Hunt List'!F106</x:f>
        <x:v>Private Lands - Either Sex</x:v>
      </x:c>
      <x:c r="H113" s="2" t="str">
        <x:f>'Master Hunt List'!G106</x:f>
        <x:v>Yes</x:v>
      </x:c>
      <x:c r="I113" s="2" t="str">
        <x:f>'Master Hunt List'!H106</x:f>
        <x:v>Yes</x:v>
      </x:c>
      <x:c r="J113" s="97" t="str">
        <x:f>'Master Hunt List'!I106</x:f>
        <x:v>2026-09-01</x:v>
      </x:c>
      <x:c r="K113" s="111" t="n">
        <x:f>'Master Hunt List'!K106</x:f>
        <x:v>10</x:v>
      </x:c>
      <x:c r="L113" s="2" t="n">
        <x:f>'Master Hunt List'!AF106</x:f>
        <x:v>0</x:v>
      </x:c>
      <x:c r="M113" s="2" t="n">
        <x:f>'Master Hunt List'!AH106</x:f>
        <x:v>0</x:v>
      </x:c>
      <x:c r="N113" s="2" t="n">
        <x:f>'Master Hunt List'!AI106</x:f>
        <x:v>0</x:v>
      </x:c>
      <x:c r="O113" s="2" t="str">
        <x:f>'Master Hunt List'!V106</x:f>
        <x:v>https://tpwd.texas.gov/huntwild/hunt/public/public_hunt_drawing/hunt-category-details.phtml?OCat=PLE</x:v>
      </x:c>
    </x:row>
    <x:row r="114">
      <x:c r="A114" s="2" t="n">
        <x:f>107</x:f>
        <x:v>107</x:v>
      </x:c>
      <x:c r="B114" s="2" t="str">
        <x:f>'Master Hunt List'!A107</x:f>
        <x:v>No</x:v>
      </x:c>
      <x:c r="C114" s="2" t="str">
        <x:f>'Master Hunt List'!B107</x:f>
        <x:v>B</x:v>
      </x:c>
      <x:c r="D114" s="2" t="str">
        <x:f>'Master Hunt List'!C107</x:f>
        <x:v>Whitetail Deer</x:v>
      </x:c>
      <x:c r="E114" s="2" t="str">
        <x:f>'Master Hunt List'!D107</x:f>
        <x:v>Trinity River NWR - Brierwood</x:v>
      </x:c>
      <x:c r="F114" s="2" t="str">
        <x:f>'Master Hunt List'!E107</x:f>
        <x:v>East Texas / Pineywoods</x:v>
      </x:c>
      <x:c r="G114" s="2" t="str">
        <x:f>'Master Hunt List'!F107</x:f>
        <x:v>National Refuge Archery Deer</x:v>
      </x:c>
      <x:c r="H114" s="2" t="str">
        <x:f>'Master Hunt List'!G107</x:f>
        <x:v>Yes</x:v>
      </x:c>
      <x:c r="I114" s="2" t="str">
        <x:f>'Master Hunt List'!H107</x:f>
        <x:v>Yes</x:v>
      </x:c>
      <x:c r="J114" s="97" t="str">
        <x:f>'Master Hunt List'!I107</x:f>
        <x:v>2026-09-01</x:v>
      </x:c>
      <x:c r="K114" s="111" t="n">
        <x:f>'Master Hunt List'!K107</x:f>
        <x:v>3</x:v>
      </x:c>
      <x:c r="L114" s="2" t="n">
        <x:f>'Master Hunt List'!AF107</x:f>
        <x:v>0</x:v>
      </x:c>
      <x:c r="M114" s="2" t="n">
        <x:f>'Master Hunt List'!AH107</x:f>
        <x:v>0</x:v>
      </x:c>
      <x:c r="N114" s="2" t="n">
        <x:f>'Master Hunt List'!AI107</x:f>
        <x:v>0</x:v>
      </x:c>
      <x:c r="O114" s="2" t="str">
        <x:f>'Master Hunt List'!V107</x:f>
        <x:v>https://tpwd.texas.gov/huntwild/hunt/public/public_hunt_drawing/hunt-category-details.phtml?OCat=NAD</x:v>
      </x:c>
    </x:row>
    <x:row r="115">
      <x:c r="A115" s="2" t="n">
        <x:f>108</x:f>
        <x:v>108</x:v>
      </x:c>
      <x:c r="B115" s="2" t="str">
        <x:f>'Master Hunt List'!A108</x:f>
        <x:v>No</x:v>
      </x:c>
      <x:c r="C115" s="2" t="str">
        <x:f>'Master Hunt List'!B108</x:f>
        <x:v>B</x:v>
      </x:c>
      <x:c r="D115" s="2" t="str">
        <x:f>'Master Hunt List'!C108</x:f>
        <x:v>Whitetail Deer</x:v>
      </x:c>
      <x:c r="E115" s="2" t="str">
        <x:f>'Master Hunt List'!D108</x:f>
        <x:v>Trinity River NWR - Hirsch</x:v>
      </x:c>
      <x:c r="F115" s="2" t="str">
        <x:f>'Master Hunt List'!E108</x:f>
        <x:v>East Texas / Pineywoods</x:v>
      </x:c>
      <x:c r="G115" s="2" t="str">
        <x:f>'Master Hunt List'!F108</x:f>
        <x:v>National Refuge Archery Deer</x:v>
      </x:c>
      <x:c r="H115" s="2" t="str">
        <x:f>'Master Hunt List'!G108</x:f>
        <x:v>Yes</x:v>
      </x:c>
      <x:c r="I115" s="2" t="str">
        <x:f>'Master Hunt List'!H108</x:f>
        <x:v>Yes</x:v>
      </x:c>
      <x:c r="J115" s="97" t="str">
        <x:f>'Master Hunt List'!I108</x:f>
        <x:v>2026-09-01</x:v>
      </x:c>
      <x:c r="K115" s="111" t="n">
        <x:f>'Master Hunt List'!K108</x:f>
        <x:v>3</x:v>
      </x:c>
      <x:c r="L115" s="2" t="n">
        <x:f>'Master Hunt List'!AF108</x:f>
        <x:v>0</x:v>
      </x:c>
      <x:c r="M115" s="2" t="n">
        <x:f>'Master Hunt List'!AH108</x:f>
        <x:v>0</x:v>
      </x:c>
      <x:c r="N115" s="2" t="n">
        <x:f>'Master Hunt List'!AI108</x:f>
        <x:v>0</x:v>
      </x:c>
      <x:c r="O115" s="2" t="str">
        <x:f>'Master Hunt List'!V108</x:f>
        <x:v>https://tpwd.texas.gov/huntwild/hunt/public/public_hunt_drawing/hunt-category-details.phtml?OCat=NAD</x:v>
      </x:c>
    </x:row>
    <x:row r="116">
      <x:c r="A116" s="2" t="n">
        <x:f>109</x:f>
        <x:v>109</x:v>
      </x:c>
      <x:c r="B116" s="2" t="str">
        <x:f>'Master Hunt List'!A109</x:f>
        <x:v>No</x:v>
      </x:c>
      <x:c r="C116" s="2" t="str">
        <x:f>'Master Hunt List'!B109</x:f>
        <x:v>A</x:v>
      </x:c>
      <x:c r="D116" s="2" t="str">
        <x:f>'Master Hunt List'!C109</x:f>
        <x:v>Mule Deer</x:v>
      </x:c>
      <x:c r="E116" s="2" t="str">
        <x:f>'Master Hunt List'!D109</x:f>
        <x:v>Elephant Mountain WMA</x:v>
      </x:c>
      <x:c r="F116" s="2" t="str">
        <x:f>'Master Hunt List'!E109</x:f>
        <x:v>Trans-Pecos / West Texas</x:v>
      </x:c>
      <x:c r="G116" s="2" t="str">
        <x:f>'Master Hunt List'!F109</x:f>
        <x:v>Youth Gun Deer - Management</x:v>
      </x:c>
      <x:c r="H116" s="2" t="str">
        <x:f>'Master Hunt List'!G109</x:f>
        <x:v>No</x:v>
      </x:c>
      <x:c r="I116" s="2" t="str">
        <x:f>'Master Hunt List'!H109</x:f>
        <x:v>Yes</x:v>
      </x:c>
      <x:c r="J116" s="97" t="str">
        <x:f>'Master Hunt List'!I109</x:f>
        <x:v>2026-09-15</x:v>
      </x:c>
      <x:c r="K116" s="111" t="n">
        <x:f>'Master Hunt List'!K109</x:f>
        <x:v>0</x:v>
      </x:c>
      <x:c r="L116" s="2" t="n">
        <x:f>'Master Hunt List'!AF109</x:f>
        <x:v>0</x:v>
      </x:c>
      <x:c r="M116" s="2" t="n">
        <x:f>'Master Hunt List'!AH109</x:f>
        <x:v>0</x:v>
      </x:c>
      <x:c r="N116" s="2" t="n">
        <x:f>'Master Hunt List'!AI109</x:f>
        <x:v>0</x:v>
      </x:c>
      <x:c r="O116" s="2" t="str">
        <x:f>'Master Hunt List'!V109</x:f>
        <x:v>https://tpwd.texas.gov/huntwild/hunt/public/public_hunt_drawing/hunt-category-details.phtml?OCat=YDM</x:v>
      </x:c>
    </x:row>
    <x:row r="117">
      <x:c r="A117" s="2" t="n">
        <x:f>110</x:f>
        <x:v>110</x:v>
      </x:c>
      <x:c r="B117" s="2" t="str">
        <x:f>'Master Hunt List'!A110</x:f>
        <x:v>No</x:v>
      </x:c>
      <x:c r="C117" s="2" t="str">
        <x:f>'Master Hunt List'!B110</x:f>
        <x:v>A</x:v>
      </x:c>
      <x:c r="D117" s="2" t="str">
        <x:f>'Master Hunt List'!C110</x:f>
        <x:v>Mule Deer</x:v>
      </x:c>
      <x:c r="E117" s="2" t="str">
        <x:f>'Master Hunt List'!D110</x:f>
        <x:v>Sierra Diablo WMA</x:v>
      </x:c>
      <x:c r="F117" s="2" t="str">
        <x:f>'Master Hunt List'!E110</x:f>
        <x:v>Trans-Pecos / West Texas</x:v>
      </x:c>
      <x:c r="G117" s="2" t="str">
        <x:f>'Master Hunt List'!F110</x:f>
        <x:v>Youth Gun Deer - Management</x:v>
      </x:c>
      <x:c r="H117" s="2" t="str">
        <x:f>'Master Hunt List'!G110</x:f>
        <x:v>No</x:v>
      </x:c>
      <x:c r="I117" s="2" t="str">
        <x:f>'Master Hunt List'!H110</x:f>
        <x:v>Yes</x:v>
      </x:c>
      <x:c r="J117" s="97" t="str">
        <x:f>'Master Hunt List'!I110</x:f>
        <x:v>2026-09-15</x:v>
      </x:c>
      <x:c r="K117" s="111" t="n">
        <x:f>'Master Hunt List'!K110</x:f>
        <x:v>0</x:v>
      </x:c>
      <x:c r="L117" s="2" t="n">
        <x:f>'Master Hunt List'!AF110</x:f>
        <x:v>0</x:v>
      </x:c>
      <x:c r="M117" s="2" t="n">
        <x:f>'Master Hunt List'!AH110</x:f>
        <x:v>0</x:v>
      </x:c>
      <x:c r="N117" s="2" t="n">
        <x:f>'Master Hunt List'!AI110</x:f>
        <x:v>0</x:v>
      </x:c>
      <x:c r="O117" s="2" t="str">
        <x:f>'Master Hunt List'!V110</x:f>
        <x:v>https://tpwd.texas.gov/huntwild/hunt/public/public_hunt_drawing/hunt-category-details.phtml?OCat=YDM</x:v>
      </x:c>
    </x:row>
    <x:row r="118">
      <x:c r="A118" s="2" t="n">
        <x:f>111</x:f>
        <x:v>111</x:v>
      </x:c>
      <x:c r="B118" s="2" t="str">
        <x:f>'Master Hunt List'!A111</x:f>
        <x:v>No</x:v>
      </x:c>
      <x:c r="C118" s="2" t="str">
        <x:f>'Master Hunt List'!B111</x:f>
        <x:v>A</x:v>
      </x:c>
      <x:c r="D118" s="2" t="str">
        <x:f>'Master Hunt List'!C111</x:f>
        <x:v>Mule Deer</x:v>
      </x:c>
      <x:c r="E118" s="2" t="str">
        <x:f>'Master Hunt List'!D111</x:f>
        <x:v>Yoakum Dunes WMA</x:v>
      </x:c>
      <x:c r="F118" s="2" t="str">
        <x:f>'Master Hunt List'!E111</x:f>
        <x:v>Panhandle / Rolling Plains</x:v>
      </x:c>
      <x:c r="G118" s="2" t="str">
        <x:f>'Master Hunt List'!F111</x:f>
        <x:v>Youth Gun Deer - Management</x:v>
      </x:c>
      <x:c r="H118" s="2" t="str">
        <x:f>'Master Hunt List'!G111</x:f>
        <x:v>No</x:v>
      </x:c>
      <x:c r="I118" s="2" t="str">
        <x:f>'Master Hunt List'!H111</x:f>
        <x:v>Yes</x:v>
      </x:c>
      <x:c r="J118" s="97" t="str">
        <x:f>'Master Hunt List'!I111</x:f>
        <x:v>2026-09-15</x:v>
      </x:c>
      <x:c r="K118" s="111" t="n">
        <x:f>'Master Hunt List'!K111</x:f>
        <x:v>0</x:v>
      </x:c>
      <x:c r="L118" s="2" t="n">
        <x:f>'Master Hunt List'!AF111</x:f>
        <x:v>0</x:v>
      </x:c>
      <x:c r="M118" s="2" t="n">
        <x:f>'Master Hunt List'!AH111</x:f>
        <x:v>0</x:v>
      </x:c>
      <x:c r="N118" s="2" t="n">
        <x:f>'Master Hunt List'!AI111</x:f>
        <x:v>0</x:v>
      </x:c>
      <x:c r="O118" s="2" t="str">
        <x:f>'Master Hunt List'!V111</x:f>
        <x:v>https://tpwd.texas.gov/huntwild/hunt/public/public_hunt_drawing/hunt-category-details.phtml?OCat=YDM</x:v>
      </x:c>
    </x:row>
    <x:row r="119">
      <x:c r="A119" s="2" t="n">
        <x:f>112</x:f>
        <x:v>112</x:v>
      </x:c>
      <x:c r="B119" s="2" t="str">
        <x:f>'Master Hunt List'!A112</x:f>
        <x:v>No</x:v>
      </x:c>
      <x:c r="C119" s="2" t="str">
        <x:f>'Master Hunt List'!B112</x:f>
        <x:v>A</x:v>
      </x:c>
      <x:c r="D119" s="2" t="str">
        <x:f>'Master Hunt List'!C112</x:f>
        <x:v>Whitetail Deer</x:v>
      </x:c>
      <x:c r="E119" s="2" t="str">
        <x:f>'Master Hunt List'!D112</x:f>
        <x:v>Alabama Creek WMA</x:v>
      </x:c>
      <x:c r="F119" s="2" t="str">
        <x:f>'Master Hunt List'!E112</x:f>
        <x:v>East Texas / Pineywoods</x:v>
      </x:c>
      <x:c r="G119" s="2" t="str">
        <x:f>'Master Hunt List'!F112</x:f>
        <x:v>USFS Antlerless Deer Permit - Youth</x:v>
      </x:c>
      <x:c r="H119" s="2" t="str">
        <x:f>'Master Hunt List'!G112</x:f>
        <x:v>No</x:v>
      </x:c>
      <x:c r="I119" s="2" t="str">
        <x:f>'Master Hunt List'!H112</x:f>
        <x:v>Yes</x:v>
      </x:c>
      <x:c r="J119" s="97" t="str">
        <x:f>'Master Hunt List'!I112</x:f>
        <x:v>2026-09-15</x:v>
      </x:c>
      <x:c r="K119" s="111" t="n">
        <x:f>'Master Hunt List'!K112</x:f>
        <x:v>0</x:v>
      </x:c>
      <x:c r="L119" s="2" t="n">
        <x:f>'Master Hunt List'!AF112</x:f>
        <x:v>0</x:v>
      </x:c>
      <x:c r="M119" s="2" t="n">
        <x:f>'Master Hunt List'!AH112</x:f>
        <x:v>0</x:v>
      </x:c>
      <x:c r="N119" s="2" t="n">
        <x:f>'Master Hunt List'!AI112</x:f>
        <x:v>0</x:v>
      </x:c>
      <x:c r="O119" s="2" t="str">
        <x:f>'Master Hunt List'!V112</x:f>
        <x:v>https://tpwd.texas.gov/huntwild/hunt/public/public_hunt_drawing/hunt-category-details.phtml?OCat=FSY</x:v>
      </x:c>
    </x:row>
    <x:row r="120">
      <x:c r="A120" s="2" t="n">
        <x:f>113</x:f>
        <x:v>113</x:v>
      </x:c>
      <x:c r="B120" s="2" t="str">
        <x:f>'Master Hunt List'!A113</x:f>
        <x:v>No</x:v>
      </x:c>
      <x:c r="C120" s="2" t="str">
        <x:f>'Master Hunt List'!B113</x:f>
        <x:v>A</x:v>
      </x:c>
      <x:c r="D120" s="2" t="str">
        <x:f>'Master Hunt List'!C113</x:f>
        <x:v>Whitetail Deer</x:v>
      </x:c>
      <x:c r="E120" s="2" t="str">
        <x:f>'Master Hunt List'!D113</x:f>
        <x:v>Alabama Creek WMA</x:v>
      </x:c>
      <x:c r="F120" s="2" t="str">
        <x:f>'Master Hunt List'!E113</x:f>
        <x:v>East Texas / Pineywoods</x:v>
      </x:c>
      <x:c r="G120" s="2" t="str">
        <x:f>'Master Hunt List'!F113</x:f>
        <x:v>USFS Buck Deer Permit - Youth</x:v>
      </x:c>
      <x:c r="H120" s="2" t="str">
        <x:f>'Master Hunt List'!G113</x:f>
        <x:v>No</x:v>
      </x:c>
      <x:c r="I120" s="2" t="str">
        <x:f>'Master Hunt List'!H113</x:f>
        <x:v>Yes</x:v>
      </x:c>
      <x:c r="J120" s="97" t="str">
        <x:f>'Master Hunt List'!I113</x:f>
        <x:v>2026-09-15</x:v>
      </x:c>
      <x:c r="K120" s="111" t="n">
        <x:f>'Master Hunt List'!K113</x:f>
        <x:v>0</x:v>
      </x:c>
      <x:c r="L120" s="2" t="n">
        <x:f>'Master Hunt List'!AF113</x:f>
        <x:v>0</x:v>
      </x:c>
      <x:c r="M120" s="2" t="n">
        <x:f>'Master Hunt List'!AH113</x:f>
        <x:v>0</x:v>
      </x:c>
      <x:c r="N120" s="2" t="n">
        <x:f>'Master Hunt List'!AI113</x:f>
        <x:v>0</x:v>
      </x:c>
      <x:c r="O120" s="2" t="str">
        <x:f>'Master Hunt List'!V113</x:f>
        <x:v>https://tpwd.texas.gov/huntwild/hunt/public/public_hunt_drawing/hunt-category-details.phtml?OCat=FBY</x:v>
      </x:c>
    </x:row>
    <x:row r="121">
      <x:c r="A121" s="2" t="n">
        <x:f>114</x:f>
        <x:v>114</x:v>
      </x:c>
      <x:c r="B121" s="2" t="str">
        <x:f>'Master Hunt List'!A114</x:f>
        <x:v>No</x:v>
      </x:c>
      <x:c r="C121" s="2" t="str">
        <x:f>'Master Hunt List'!B114</x:f>
        <x:v>A</x:v>
      </x:c>
      <x:c r="D121" s="2" t="str">
        <x:f>'Master Hunt List'!C114</x:f>
        <x:v>Whitetail Deer</x:v>
      </x:c>
      <x:c r="E121" s="2" t="str">
        <x:f>'Master Hunt List'!D114</x:f>
        <x:v>Bannister WMA</x:v>
      </x:c>
      <x:c r="F121" s="2" t="str">
        <x:f>'Master Hunt List'!E114</x:f>
        <x:v>East Texas / Pineywoods</x:v>
      </x:c>
      <x:c r="G121" s="2" t="str">
        <x:f>'Master Hunt List'!F114</x:f>
        <x:v>USFS Antlerless Deer Permit - Youth</x:v>
      </x:c>
      <x:c r="H121" s="2" t="str">
        <x:f>'Master Hunt List'!G114</x:f>
        <x:v>No</x:v>
      </x:c>
      <x:c r="I121" s="2" t="str">
        <x:f>'Master Hunt List'!H114</x:f>
        <x:v>Yes</x:v>
      </x:c>
      <x:c r="J121" s="97" t="str">
        <x:f>'Master Hunt List'!I114</x:f>
        <x:v>2026-09-15</x:v>
      </x:c>
      <x:c r="K121" s="111" t="n">
        <x:f>'Master Hunt List'!K114</x:f>
        <x:v>0</x:v>
      </x:c>
      <x:c r="L121" s="2" t="n">
        <x:f>'Master Hunt List'!AF114</x:f>
        <x:v>0</x:v>
      </x:c>
      <x:c r="M121" s="2" t="n">
        <x:f>'Master Hunt List'!AH114</x:f>
        <x:v>0</x:v>
      </x:c>
      <x:c r="N121" s="2" t="n">
        <x:f>'Master Hunt List'!AI114</x:f>
        <x:v>0</x:v>
      </x:c>
      <x:c r="O121" s="2" t="str">
        <x:f>'Master Hunt List'!V114</x:f>
        <x:v>https://tpwd.texas.gov/huntwild/hunt/public/public_hunt_drawing/hunt-category-details.phtml?OCat=FSY</x:v>
      </x:c>
    </x:row>
    <x:row r="122">
      <x:c r="A122" s="2" t="n">
        <x:f>115</x:f>
        <x:v>115</x:v>
      </x:c>
      <x:c r="B122" s="2" t="str">
        <x:f>'Master Hunt List'!A115</x:f>
        <x:v>No</x:v>
      </x:c>
      <x:c r="C122" s="2" t="str">
        <x:f>'Master Hunt List'!B115</x:f>
        <x:v>A</x:v>
      </x:c>
      <x:c r="D122" s="2" t="str">
        <x:f>'Master Hunt List'!C115</x:f>
        <x:v>Whitetail Deer</x:v>
      </x:c>
      <x:c r="E122" s="2" t="str">
        <x:f>'Master Hunt List'!D115</x:f>
        <x:v>Big Lake Bottom WMA</x:v>
      </x:c>
      <x:c r="F122" s="2" t="str">
        <x:f>'Master Hunt List'!E115</x:f>
        <x:v>Statewide / Other</x:v>
      </x:c>
      <x:c r="G122" s="2" t="str">
        <x:f>'Master Hunt List'!F115</x:f>
        <x:v>E-Postcard Youth Deer</x:v>
      </x:c>
      <x:c r="H122" s="2" t="str">
        <x:f>'Master Hunt List'!G115</x:f>
        <x:v>No</x:v>
      </x:c>
      <x:c r="I122" s="2" t="str">
        <x:f>'Master Hunt List'!H115</x:f>
        <x:v>Yes</x:v>
      </x:c>
      <x:c r="J122" s="97" t="str">
        <x:f>'Master Hunt List'!I115</x:f>
        <x:v>2026-09-15</x:v>
      </x:c>
      <x:c r="K122" s="111" t="n">
        <x:f>'Master Hunt List'!K115</x:f>
        <x:v>0</x:v>
      </x:c>
      <x:c r="L122" s="2" t="n">
        <x:f>'Master Hunt List'!AF115</x:f>
        <x:v>0</x:v>
      </x:c>
      <x:c r="M122" s="2" t="n">
        <x:f>'Master Hunt List'!AH115</x:f>
        <x:v>0</x:v>
      </x:c>
      <x:c r="N122" s="2" t="n">
        <x:f>'Master Hunt List'!AI115</x:f>
        <x:v>0</x:v>
      </x:c>
      <x:c r="O122" s="2" t="str">
        <x:f>'Master Hunt List'!V115</x:f>
        <x:v>https://tpwd.texas.gov/huntwild/hunt/public/public_hunt_drawing/hunt-category-details.phtml?OCat=EYD</x:v>
      </x:c>
    </x:row>
    <x:row r="123">
      <x:c r="A123" s="2" t="n">
        <x:f>116</x:f>
        <x:v>116</x:v>
      </x:c>
      <x:c r="B123" s="2" t="str">
        <x:f>'Master Hunt List'!A116</x:f>
        <x:v>No</x:v>
      </x:c>
      <x:c r="C123" s="2" t="str">
        <x:f>'Master Hunt List'!B116</x:f>
        <x:v>A</x:v>
      </x:c>
      <x:c r="D123" s="2" t="str">
        <x:f>'Master Hunt List'!C116</x:f>
        <x:v>Whitetail Deer</x:v>
      </x:c>
      <x:c r="E123" s="2" t="str">
        <x:f>'Master Hunt List'!D116</x:f>
        <x:v>Brazos Bend SP</x:v>
      </x:c>
      <x:c r="F123" s="2" t="str">
        <x:f>'Master Hunt List'!E116</x:f>
        <x:v>Houston / Gulf Coast</x:v>
      </x:c>
      <x:c r="G123" s="2" t="str">
        <x:f>'Master Hunt List'!F116</x:f>
        <x:v>Youth Gun Deer - Antlerless/Spike</x:v>
      </x:c>
      <x:c r="H123" s="2" t="str">
        <x:f>'Master Hunt List'!G116</x:f>
        <x:v>No</x:v>
      </x:c>
      <x:c r="I123" s="2" t="str">
        <x:f>'Master Hunt List'!H116</x:f>
        <x:v>Yes</x:v>
      </x:c>
      <x:c r="J123" s="97" t="str">
        <x:f>'Master Hunt List'!I116</x:f>
        <x:v>2026-09-15</x:v>
      </x:c>
      <x:c r="K123" s="111" t="n">
        <x:f>'Master Hunt List'!K116</x:f>
        <x:v>0</x:v>
      </x:c>
      <x:c r="L123" s="2" t="n">
        <x:f>'Master Hunt List'!AF116</x:f>
        <x:v>0</x:v>
      </x:c>
      <x:c r="M123" s="2" t="n">
        <x:f>'Master Hunt List'!AH116</x:f>
        <x:v>0</x:v>
      </x:c>
      <x:c r="N123" s="2" t="n">
        <x:f>'Master Hunt List'!AI116</x:f>
        <x:v>0</x:v>
      </x:c>
      <x:c r="O123" s="2" t="str">
        <x:f>'Master Hunt List'!V116</x:f>
        <x:v>https://tpwd.texas.gov/huntwild/hunt/public/public_hunt_drawing/hunt-category-details.phtml?OCat=YDA</x:v>
      </x:c>
    </x:row>
    <x:row r="124">
      <x:c r="A124" s="2" t="n">
        <x:f>117</x:f>
        <x:v>117</x:v>
      </x:c>
      <x:c r="B124" s="2" t="str">
        <x:f>'Master Hunt List'!A117</x:f>
        <x:v>No</x:v>
      </x:c>
      <x:c r="C124" s="2" t="str">
        <x:f>'Master Hunt List'!B117</x:f>
        <x:v>A</x:v>
      </x:c>
      <x:c r="D124" s="2" t="str">
        <x:f>'Master Hunt List'!C117</x:f>
        <x:v>Whitetail Deer</x:v>
      </x:c>
      <x:c r="E124" s="2" t="str">
        <x:f>'Master Hunt List'!D117</x:f>
        <x:v>Caddo Lake WMA</x:v>
      </x:c>
      <x:c r="F124" s="2" t="str">
        <x:f>'Master Hunt List'!E117</x:f>
        <x:v>East Texas / Pineywoods</x:v>
      </x:c>
      <x:c r="G124" s="2" t="str">
        <x:f>'Master Hunt List'!F117</x:f>
        <x:v>E-Postcard Youth Deer</x:v>
      </x:c>
      <x:c r="H124" s="2" t="str">
        <x:f>'Master Hunt List'!G117</x:f>
        <x:v>No</x:v>
      </x:c>
      <x:c r="I124" s="2" t="str">
        <x:f>'Master Hunt List'!H117</x:f>
        <x:v>Yes</x:v>
      </x:c>
      <x:c r="J124" s="97" t="str">
        <x:f>'Master Hunt List'!I117</x:f>
        <x:v>2026-09-15</x:v>
      </x:c>
      <x:c r="K124" s="111" t="n">
        <x:f>'Master Hunt List'!K117</x:f>
        <x:v>0</x:v>
      </x:c>
      <x:c r="L124" s="2" t="n">
        <x:f>'Master Hunt List'!AF117</x:f>
        <x:v>0</x:v>
      </x:c>
      <x:c r="M124" s="2" t="n">
        <x:f>'Master Hunt List'!AH117</x:f>
        <x:v>0</x:v>
      </x:c>
      <x:c r="N124" s="2" t="n">
        <x:f>'Master Hunt List'!AI117</x:f>
        <x:v>0</x:v>
      </x:c>
      <x:c r="O124" s="2" t="str">
        <x:f>'Master Hunt List'!V117</x:f>
        <x:v>https://tpwd.texas.gov/huntwild/hunt/public/public_hunt_drawing/hunt-category-details.phtml?OCat=EYD</x:v>
      </x:c>
    </x:row>
    <x:row r="125">
      <x:c r="A125" s="2" t="n">
        <x:f>118</x:f>
        <x:v>118</x:v>
      </x:c>
      <x:c r="B125" s="2" t="str">
        <x:f>'Master Hunt List'!A118</x:f>
        <x:v>No</x:v>
      </x:c>
      <x:c r="C125" s="2" t="str">
        <x:f>'Master Hunt List'!B118</x:f>
        <x:v>A</x:v>
      </x:c>
      <x:c r="D125" s="2" t="str">
        <x:f>'Master Hunt List'!C118</x:f>
        <x:v>Whitetail Deer</x:v>
      </x:c>
      <x:c r="E125" s="2" t="str">
        <x:f>'Master Hunt List'!D118</x:f>
        <x:v>Caddo National Grasslands WMA - Bois d'Arc Unit</x:v>
      </x:c>
      <x:c r="F125" s="2" t="str">
        <x:f>'Master Hunt List'!E118</x:f>
        <x:v>North Texas / DFW</x:v>
      </x:c>
      <x:c r="G125" s="2" t="str">
        <x:f>'Master Hunt List'!F118</x:f>
        <x:v>USFS Antlerless Deer Permit - Youth</x:v>
      </x:c>
      <x:c r="H125" s="2" t="str">
        <x:f>'Master Hunt List'!G118</x:f>
        <x:v>No</x:v>
      </x:c>
      <x:c r="I125" s="2" t="str">
        <x:f>'Master Hunt List'!H118</x:f>
        <x:v>Yes</x:v>
      </x:c>
      <x:c r="J125" s="97" t="str">
        <x:f>'Master Hunt List'!I118</x:f>
        <x:v>2026-09-15</x:v>
      </x:c>
      <x:c r="K125" s="111" t="n">
        <x:f>'Master Hunt List'!K118</x:f>
        <x:v>0</x:v>
      </x:c>
      <x:c r="L125" s="2" t="n">
        <x:f>'Master Hunt List'!AF118</x:f>
        <x:v>0</x:v>
      </x:c>
      <x:c r="M125" s="2" t="n">
        <x:f>'Master Hunt List'!AH118</x:f>
        <x:v>0</x:v>
      </x:c>
      <x:c r="N125" s="2" t="n">
        <x:f>'Master Hunt List'!AI118</x:f>
        <x:v>0</x:v>
      </x:c>
      <x:c r="O125" s="2" t="str">
        <x:f>'Master Hunt List'!V118</x:f>
        <x:v>https://tpwd.texas.gov/huntwild/hunt/public/public_hunt_drawing/hunt-category-details.phtml?OCat=FSY</x:v>
      </x:c>
    </x:row>
    <x:row r="126">
      <x:c r="A126" s="2" t="n">
        <x:f>119</x:f>
        <x:v>119</x:v>
      </x:c>
      <x:c r="B126" s="2" t="str">
        <x:f>'Master Hunt List'!A119</x:f>
        <x:v>No</x:v>
      </x:c>
      <x:c r="C126" s="2" t="str">
        <x:f>'Master Hunt List'!B119</x:f>
        <x:v>A</x:v>
      </x:c>
      <x:c r="D126" s="2" t="str">
        <x:f>'Master Hunt List'!C119</x:f>
        <x:v>Whitetail Deer</x:v>
      </x:c>
      <x:c r="E126" s="2" t="str">
        <x:f>'Master Hunt List'!D119</x:f>
        <x:v>Caddo National Grasslands WMA - Ladonia Unit</x:v>
      </x:c>
      <x:c r="F126" s="2" t="str">
        <x:f>'Master Hunt List'!E119</x:f>
        <x:v>North Texas / DFW</x:v>
      </x:c>
      <x:c r="G126" s="2" t="str">
        <x:f>'Master Hunt List'!F119</x:f>
        <x:v>USFS Antlerless Deer Permit - Youth</x:v>
      </x:c>
      <x:c r="H126" s="2" t="str">
        <x:f>'Master Hunt List'!G119</x:f>
        <x:v>No</x:v>
      </x:c>
      <x:c r="I126" s="2" t="str">
        <x:f>'Master Hunt List'!H119</x:f>
        <x:v>Yes</x:v>
      </x:c>
      <x:c r="J126" s="97" t="str">
        <x:f>'Master Hunt List'!I119</x:f>
        <x:v>2026-09-15</x:v>
      </x:c>
      <x:c r="K126" s="111" t="n">
        <x:f>'Master Hunt List'!K119</x:f>
        <x:v>0</x:v>
      </x:c>
      <x:c r="L126" s="2" t="n">
        <x:f>'Master Hunt List'!AF119</x:f>
        <x:v>0</x:v>
      </x:c>
      <x:c r="M126" s="2" t="n">
        <x:f>'Master Hunt List'!AH119</x:f>
        <x:v>0</x:v>
      </x:c>
      <x:c r="N126" s="2" t="n">
        <x:f>'Master Hunt List'!AI119</x:f>
        <x:v>0</x:v>
      </x:c>
      <x:c r="O126" s="2" t="str">
        <x:f>'Master Hunt List'!V119</x:f>
        <x:v>https://tpwd.texas.gov/huntwild/hunt/public/public_hunt_drawing/hunt-category-details.phtml?OCat=FSY</x:v>
      </x:c>
    </x:row>
    <x:row r="127">
      <x:c r="A127" s="2" t="n">
        <x:f>120</x:f>
        <x:v>120</x:v>
      </x:c>
      <x:c r="B127" s="2" t="str">
        <x:f>'Master Hunt List'!A120</x:f>
        <x:v>No</x:v>
      </x:c>
      <x:c r="C127" s="2" t="str">
        <x:f>'Master Hunt List'!B120</x:f>
        <x:v>A</x:v>
      </x:c>
      <x:c r="D127" s="2" t="str">
        <x:f>'Master Hunt List'!C120</x:f>
        <x:v>Whitetail Deer</x:v>
      </x:c>
      <x:c r="E127" s="2" t="str">
        <x:f>'Master Hunt List'!D120</x:f>
        <x:v>Chaparral WMA</x:v>
      </x:c>
      <x:c r="F127" s="2" t="str">
        <x:f>'Master Hunt List'!E120</x:f>
        <x:v>South Texas / Rio Grande Valley</x:v>
      </x:c>
      <x:c r="G127" s="2" t="str">
        <x:f>'Master Hunt List'!F120</x:f>
        <x:v>Youth Gun Deer - Antlerless/Spike</x:v>
      </x:c>
      <x:c r="H127" s="2" t="str">
        <x:f>'Master Hunt List'!G120</x:f>
        <x:v>No</x:v>
      </x:c>
      <x:c r="I127" s="2" t="str">
        <x:f>'Master Hunt List'!H120</x:f>
        <x:v>Yes</x:v>
      </x:c>
      <x:c r="J127" s="97" t="str">
        <x:f>'Master Hunt List'!I120</x:f>
        <x:v>2026-09-15</x:v>
      </x:c>
      <x:c r="K127" s="111" t="n">
        <x:f>'Master Hunt List'!K120</x:f>
        <x:v>0</x:v>
      </x:c>
      <x:c r="L127" s="2" t="n">
        <x:f>'Master Hunt List'!AF120</x:f>
        <x:v>0</x:v>
      </x:c>
      <x:c r="M127" s="2" t="n">
        <x:f>'Master Hunt List'!AH120</x:f>
        <x:v>0</x:v>
      </x:c>
      <x:c r="N127" s="2" t="n">
        <x:f>'Master Hunt List'!AI120</x:f>
        <x:v>0</x:v>
      </x:c>
      <x:c r="O127" s="2" t="str">
        <x:f>'Master Hunt List'!V120</x:f>
        <x:v>https://tpwd.texas.gov/huntwild/hunt/public/public_hunt_drawing/hunt-category-details.phtml?OCat=YDA</x:v>
      </x:c>
    </x:row>
    <x:row r="128">
      <x:c r="A128" s="2" t="n">
        <x:f>121</x:f>
        <x:v>121</x:v>
      </x:c>
      <x:c r="B128" s="2" t="str">
        <x:f>'Master Hunt List'!A121</x:f>
        <x:v>No</x:v>
      </x:c>
      <x:c r="C128" s="2" t="str">
        <x:f>'Master Hunt List'!B121</x:f>
        <x:v>A</x:v>
      </x:c>
      <x:c r="D128" s="2" t="str">
        <x:f>'Master Hunt List'!C121</x:f>
        <x:v>Whitetail Deer</x:v>
      </x:c>
      <x:c r="E128" s="2" t="str">
        <x:f>'Master Hunt List'!D121</x:f>
        <x:v>Choke Canyon SP - North Shore Unit</x:v>
      </x:c>
      <x:c r="F128" s="2" t="str">
        <x:f>'Master Hunt List'!E121</x:f>
        <x:v>South Texas / Rio Grande Valley</x:v>
      </x:c>
      <x:c r="G128" s="2" t="str">
        <x:f>'Master Hunt List'!F121</x:f>
        <x:v>Youth Gun Deer - Antlerless/Spike</x:v>
      </x:c>
      <x:c r="H128" s="2" t="str">
        <x:f>'Master Hunt List'!G121</x:f>
        <x:v>No</x:v>
      </x:c>
      <x:c r="I128" s="2" t="str">
        <x:f>'Master Hunt List'!H121</x:f>
        <x:v>Yes</x:v>
      </x:c>
      <x:c r="J128" s="97" t="str">
        <x:f>'Master Hunt List'!I121</x:f>
        <x:v>2026-09-15</x:v>
      </x:c>
      <x:c r="K128" s="111" t="n">
        <x:f>'Master Hunt List'!K121</x:f>
        <x:v>0</x:v>
      </x:c>
      <x:c r="L128" s="2" t="n">
        <x:f>'Master Hunt List'!AF121</x:f>
        <x:v>0</x:v>
      </x:c>
      <x:c r="M128" s="2" t="n">
        <x:f>'Master Hunt List'!AH121</x:f>
        <x:v>0</x:v>
      </x:c>
      <x:c r="N128" s="2" t="n">
        <x:f>'Master Hunt List'!AI121</x:f>
        <x:v>0</x:v>
      </x:c>
      <x:c r="O128" s="2" t="str">
        <x:f>'Master Hunt List'!V121</x:f>
        <x:v>https://tpwd.texas.gov/huntwild/hunt/public/public_hunt_drawing/hunt-category-details.phtml?OCat=YDA</x:v>
      </x:c>
    </x:row>
    <x:row r="129">
      <x:c r="A129" s="2" t="n">
        <x:f>122</x:f>
        <x:v>122</x:v>
      </x:c>
      <x:c r="B129" s="2" t="str">
        <x:f>'Master Hunt List'!A122</x:f>
        <x:v>No</x:v>
      </x:c>
      <x:c r="C129" s="2" t="str">
        <x:f>'Master Hunt List'!B122</x:f>
        <x:v>A</x:v>
      </x:c>
      <x:c r="D129" s="2" t="str">
        <x:f>'Master Hunt List'!C122</x:f>
        <x:v>Whitetail Deer</x:v>
      </x:c>
      <x:c r="E129" s="2" t="str">
        <x:f>'Master Hunt List'!D122</x:f>
        <x:v>Choke Canyon SP - North Shore Unit</x:v>
      </x:c>
      <x:c r="F129" s="2" t="str">
        <x:f>'Master Hunt List'!E122</x:f>
        <x:v>South Texas / Rio Grande Valley</x:v>
      </x:c>
      <x:c r="G129" s="2" t="str">
        <x:f>'Master Hunt List'!F122</x:f>
        <x:v>Youth Gun Deer - Management</x:v>
      </x:c>
      <x:c r="H129" s="2" t="str">
        <x:f>'Master Hunt List'!G122</x:f>
        <x:v>No</x:v>
      </x:c>
      <x:c r="I129" s="2" t="str">
        <x:f>'Master Hunt List'!H122</x:f>
        <x:v>Yes</x:v>
      </x:c>
      <x:c r="J129" s="97" t="str">
        <x:f>'Master Hunt List'!I122</x:f>
        <x:v>2026-09-15</x:v>
      </x:c>
      <x:c r="K129" s="111" t="n">
        <x:f>'Master Hunt List'!K122</x:f>
        <x:v>0</x:v>
      </x:c>
      <x:c r="L129" s="2" t="n">
        <x:f>'Master Hunt List'!AF122</x:f>
        <x:v>0</x:v>
      </x:c>
      <x:c r="M129" s="2" t="n">
        <x:f>'Master Hunt List'!AH122</x:f>
        <x:v>0</x:v>
      </x:c>
      <x:c r="N129" s="2" t="n">
        <x:f>'Master Hunt List'!AI122</x:f>
        <x:v>0</x:v>
      </x:c>
      <x:c r="O129" s="2" t="str">
        <x:f>'Master Hunt List'!V122</x:f>
        <x:v>https://tpwd.texas.gov/huntwild/hunt/public/public_hunt_drawing/hunt-category-details.phtml?OCat=YDM</x:v>
      </x:c>
    </x:row>
    <x:row r="130">
      <x:c r="A130" s="2" t="n">
        <x:f>123</x:f>
        <x:v>123</x:v>
      </x:c>
      <x:c r="B130" s="2" t="str">
        <x:f>'Master Hunt List'!A123</x:f>
        <x:v>No</x:v>
      </x:c>
      <x:c r="C130" s="2" t="str">
        <x:f>'Master Hunt List'!B123</x:f>
        <x:v>A</x:v>
      </x:c>
      <x:c r="D130" s="2" t="str">
        <x:f>'Master Hunt List'!C123</x:f>
        <x:v>Whitetail Deer</x:v>
      </x:c>
      <x:c r="E130" s="2" t="str">
        <x:f>'Master Hunt List'!D123</x:f>
        <x:v>Cooper Lake State Park</x:v>
      </x:c>
      <x:c r="F130" s="2" t="str">
        <x:f>'Master Hunt List'!E123</x:f>
        <x:v>North Texas / DFW</x:v>
      </x:c>
      <x:c r="G130" s="2" t="str">
        <x:f>'Master Hunt List'!F123</x:f>
        <x:v>Youth Gun Deer - Antlerless/Spike</x:v>
      </x:c>
      <x:c r="H130" s="2" t="str">
        <x:f>'Master Hunt List'!G123</x:f>
        <x:v>No</x:v>
      </x:c>
      <x:c r="I130" s="2" t="str">
        <x:f>'Master Hunt List'!H123</x:f>
        <x:v>Yes</x:v>
      </x:c>
      <x:c r="J130" s="97" t="str">
        <x:f>'Master Hunt List'!I123</x:f>
        <x:v>2026-09-15</x:v>
      </x:c>
      <x:c r="K130" s="111" t="n">
        <x:f>'Master Hunt List'!K123</x:f>
        <x:v>0</x:v>
      </x:c>
      <x:c r="L130" s="2" t="n">
        <x:f>'Master Hunt List'!AF123</x:f>
        <x:v>0</x:v>
      </x:c>
      <x:c r="M130" s="2" t="n">
        <x:f>'Master Hunt List'!AH123</x:f>
        <x:v>0</x:v>
      </x:c>
      <x:c r="N130" s="2" t="n">
        <x:f>'Master Hunt List'!AI123</x:f>
        <x:v>0</x:v>
      </x:c>
      <x:c r="O130" s="2" t="str">
        <x:f>'Master Hunt List'!V123</x:f>
        <x:v>https://tpwd.texas.gov/huntwild/hunt/public/public_hunt_drawing/hunt-category-details.phtml?OCat=YDA</x:v>
      </x:c>
    </x:row>
    <x:row r="131">
      <x:c r="A131" s="2" t="n">
        <x:f>124</x:f>
        <x:v>124</x:v>
      </x:c>
      <x:c r="B131" s="2" t="str">
        <x:f>'Master Hunt List'!A124</x:f>
        <x:v>No</x:v>
      </x:c>
      <x:c r="C131" s="2" t="str">
        <x:f>'Master Hunt List'!B124</x:f>
        <x:v>A</x:v>
      </x:c>
      <x:c r="D131" s="2" t="str">
        <x:f>'Master Hunt List'!C124</x:f>
        <x:v>Whitetail Deer</x:v>
      </x:c>
      <x:c r="E131" s="2" t="str">
        <x:f>'Master Hunt List'!D124</x:f>
        <x:v>Gene Howe WMA</x:v>
      </x:c>
      <x:c r="F131" s="2" t="str">
        <x:f>'Master Hunt List'!E124</x:f>
        <x:v>Panhandle / Rolling Plains</x:v>
      </x:c>
      <x:c r="G131" s="2" t="str">
        <x:f>'Master Hunt List'!F124</x:f>
        <x:v>Youth Gun Deer - Antlerless/Spike</x:v>
      </x:c>
      <x:c r="H131" s="2" t="str">
        <x:f>'Master Hunt List'!G124</x:f>
        <x:v>No</x:v>
      </x:c>
      <x:c r="I131" s="2" t="str">
        <x:f>'Master Hunt List'!H124</x:f>
        <x:v>Yes</x:v>
      </x:c>
      <x:c r="J131" s="97" t="str">
        <x:f>'Master Hunt List'!I124</x:f>
        <x:v>2026-09-15</x:v>
      </x:c>
      <x:c r="K131" s="111" t="n">
        <x:f>'Master Hunt List'!K124</x:f>
        <x:v>0</x:v>
      </x:c>
      <x:c r="L131" s="2" t="n">
        <x:f>'Master Hunt List'!AF124</x:f>
        <x:v>0</x:v>
      </x:c>
      <x:c r="M131" s="2" t="n">
        <x:f>'Master Hunt List'!AH124</x:f>
        <x:v>0</x:v>
      </x:c>
      <x:c r="N131" s="2" t="n">
        <x:f>'Master Hunt List'!AI124</x:f>
        <x:v>0</x:v>
      </x:c>
      <x:c r="O131" s="2" t="str">
        <x:f>'Master Hunt List'!V124</x:f>
        <x:v>https://tpwd.texas.gov/huntwild/hunt/public/public_hunt_drawing/hunt-category-details.phtml?OCat=YDA</x:v>
      </x:c>
    </x:row>
    <x:row r="132">
      <x:c r="A132" s="2" t="n">
        <x:f>125</x:f>
        <x:v>125</x:v>
      </x:c>
      <x:c r="B132" s="2" t="str">
        <x:f>'Master Hunt List'!A125</x:f>
        <x:v>No</x:v>
      </x:c>
      <x:c r="C132" s="2" t="str">
        <x:f>'Master Hunt List'!B125</x:f>
        <x:v>A</x:v>
      </x:c>
      <x:c r="D132" s="2" t="str">
        <x:f>'Master Hunt List'!C125</x:f>
        <x:v>Whitetail Deer</x:v>
      </x:c>
      <x:c r="E132" s="2" t="str">
        <x:f>'Master Hunt List'!D125</x:f>
        <x:v>Granger PHL</x:v>
      </x:c>
      <x:c r="F132" s="2" t="str">
        <x:f>'Master Hunt List'!E125</x:f>
        <x:v>Central Texas / Austin</x:v>
      </x:c>
      <x:c r="G132" s="2" t="str">
        <x:f>'Master Hunt List'!F125</x:f>
        <x:v>Youth Gun Deer - Antlerless/Spike</x:v>
      </x:c>
      <x:c r="H132" s="2" t="str">
        <x:f>'Master Hunt List'!G125</x:f>
        <x:v>No</x:v>
      </x:c>
      <x:c r="I132" s="2" t="str">
        <x:f>'Master Hunt List'!H125</x:f>
        <x:v>Yes</x:v>
      </x:c>
      <x:c r="J132" s="97" t="str">
        <x:f>'Master Hunt List'!I125</x:f>
        <x:v>2026-09-15</x:v>
      </x:c>
      <x:c r="K132" s="111" t="n">
        <x:f>'Master Hunt List'!K125</x:f>
        <x:v>0</x:v>
      </x:c>
      <x:c r="L132" s="2" t="n">
        <x:f>'Master Hunt List'!AF125</x:f>
        <x:v>0</x:v>
      </x:c>
      <x:c r="M132" s="2" t="n">
        <x:f>'Master Hunt List'!AH125</x:f>
        <x:v>0</x:v>
      </x:c>
      <x:c r="N132" s="2" t="n">
        <x:f>'Master Hunt List'!AI125</x:f>
        <x:v>0</x:v>
      </x:c>
      <x:c r="O132" s="2" t="str">
        <x:f>'Master Hunt List'!V125</x:f>
        <x:v>https://tpwd.texas.gov/huntwild/hunt/public/public_hunt_drawing/hunt-category-details.phtml?OCat=YDA</x:v>
      </x:c>
    </x:row>
    <x:row r="133">
      <x:c r="A133" s="2" t="n">
        <x:f>126</x:f>
        <x:v>126</x:v>
      </x:c>
      <x:c r="B133" s="2" t="str">
        <x:f>'Master Hunt List'!A126</x:f>
        <x:v>No</x:v>
      </x:c>
      <x:c r="C133" s="2" t="str">
        <x:f>'Master Hunt List'!B126</x:f>
        <x:v>A</x:v>
      </x:c>
      <x:c r="D133" s="2" t="str">
        <x:f>'Master Hunt List'!C126</x:f>
        <x:v>Whitetail Deer</x:v>
      </x:c>
      <x:c r="E133" s="2" t="str">
        <x:f>'Master Hunt List'!D126</x:f>
        <x:v>Granger PHL</x:v>
      </x:c>
      <x:c r="F133" s="2" t="str">
        <x:f>'Master Hunt List'!E126</x:f>
        <x:v>Central Texas / Austin</x:v>
      </x:c>
      <x:c r="G133" s="2" t="str">
        <x:f>'Master Hunt List'!F126</x:f>
        <x:v>Youth Gun Deer - Management</x:v>
      </x:c>
      <x:c r="H133" s="2" t="str">
        <x:f>'Master Hunt List'!G126</x:f>
        <x:v>No</x:v>
      </x:c>
      <x:c r="I133" s="2" t="str">
        <x:f>'Master Hunt List'!H126</x:f>
        <x:v>Yes</x:v>
      </x:c>
      <x:c r="J133" s="97" t="str">
        <x:f>'Master Hunt List'!I126</x:f>
        <x:v>2026-09-15</x:v>
      </x:c>
      <x:c r="K133" s="111" t="n">
        <x:f>'Master Hunt List'!K126</x:f>
        <x:v>0</x:v>
      </x:c>
      <x:c r="L133" s="2" t="n">
        <x:f>'Master Hunt List'!AF126</x:f>
        <x:v>0</x:v>
      </x:c>
      <x:c r="M133" s="2" t="n">
        <x:f>'Master Hunt List'!AH126</x:f>
        <x:v>0</x:v>
      </x:c>
      <x:c r="N133" s="2" t="n">
        <x:f>'Master Hunt List'!AI126</x:f>
        <x:v>0</x:v>
      </x:c>
      <x:c r="O133" s="2" t="str">
        <x:f>'Master Hunt List'!V126</x:f>
        <x:v>https://tpwd.texas.gov/huntwild/hunt/public/public_hunt_drawing/hunt-category-details.phtml?OCat=YDM</x:v>
      </x:c>
    </x:row>
    <x:row r="134">
      <x:c r="A134" s="2" t="n">
        <x:f>127</x:f>
        <x:v>127</x:v>
      </x:c>
      <x:c r="B134" s="2" t="str">
        <x:f>'Master Hunt List'!A127</x:f>
        <x:v>No</x:v>
      </x:c>
      <x:c r="C134" s="2" t="str">
        <x:f>'Master Hunt List'!B127</x:f>
        <x:v>A</x:v>
      </x:c>
      <x:c r="D134" s="2" t="str">
        <x:f>'Master Hunt List'!C127</x:f>
        <x:v>Whitetail Deer</x:v>
      </x:c>
      <x:c r="E134" s="2" t="str">
        <x:f>'Master Hunt List'!D127</x:f>
        <x:v>Gus Engeling WMA</x:v>
      </x:c>
      <x:c r="F134" s="2" t="str">
        <x:f>'Master Hunt List'!E127</x:f>
        <x:v>Statewide / Other</x:v>
      </x:c>
      <x:c r="G134" s="2" t="str">
        <x:f>'Master Hunt List'!F127</x:f>
        <x:v>Youth Gun Deer - Antlerless/Spike</x:v>
      </x:c>
      <x:c r="H134" s="2" t="str">
        <x:f>'Master Hunt List'!G127</x:f>
        <x:v>No</x:v>
      </x:c>
      <x:c r="I134" s="2" t="str">
        <x:f>'Master Hunt List'!H127</x:f>
        <x:v>Yes</x:v>
      </x:c>
      <x:c r="J134" s="97" t="str">
        <x:f>'Master Hunt List'!I127</x:f>
        <x:v>2026-09-15</x:v>
      </x:c>
      <x:c r="K134" s="111" t="n">
        <x:f>'Master Hunt List'!K127</x:f>
        <x:v>0</x:v>
      </x:c>
      <x:c r="L134" s="2" t="n">
        <x:f>'Master Hunt List'!AF127</x:f>
        <x:v>0</x:v>
      </x:c>
      <x:c r="M134" s="2" t="n">
        <x:f>'Master Hunt List'!AH127</x:f>
        <x:v>0</x:v>
      </x:c>
      <x:c r="N134" s="2" t="n">
        <x:f>'Master Hunt List'!AI127</x:f>
        <x:v>0</x:v>
      </x:c>
      <x:c r="O134" s="2" t="str">
        <x:f>'Master Hunt List'!V127</x:f>
        <x:v>https://tpwd.texas.gov/huntwild/hunt/public/public_hunt_drawing/hunt-category-details.phtml?OCat=YDA</x:v>
      </x:c>
    </x:row>
    <x:row r="135">
      <x:c r="A135" s="2" t="n">
        <x:f>128</x:f>
        <x:v>128</x:v>
      </x:c>
      <x:c r="B135" s="2" t="str">
        <x:f>'Master Hunt List'!A128</x:f>
        <x:v>No</x:v>
      </x:c>
      <x:c r="C135" s="2" t="str">
        <x:f>'Master Hunt List'!B128</x:f>
        <x:v>A</x:v>
      </x:c>
      <x:c r="D135" s="2" t="str">
        <x:f>'Master Hunt List'!C128</x:f>
        <x:v>Whitetail Deer</x:v>
      </x:c>
      <x:c r="E135" s="2" t="str">
        <x:f>'Master Hunt List'!D128</x:f>
        <x:v>James Daughtrey WMA</x:v>
      </x:c>
      <x:c r="F135" s="2" t="str">
        <x:f>'Master Hunt List'!E128</x:f>
        <x:v>South Texas / Rio Grande Valley</x:v>
      </x:c>
      <x:c r="G135" s="2" t="str">
        <x:f>'Master Hunt List'!F128</x:f>
        <x:v>Youth Gun Deer - Antlerless/Spike</x:v>
      </x:c>
      <x:c r="H135" s="2" t="str">
        <x:f>'Master Hunt List'!G128</x:f>
        <x:v>No</x:v>
      </x:c>
      <x:c r="I135" s="2" t="str">
        <x:f>'Master Hunt List'!H128</x:f>
        <x:v>Yes</x:v>
      </x:c>
      <x:c r="J135" s="97" t="str">
        <x:f>'Master Hunt List'!I128</x:f>
        <x:v>2026-09-15</x:v>
      </x:c>
      <x:c r="K135" s="111" t="n">
        <x:f>'Master Hunt List'!K128</x:f>
        <x:v>0</x:v>
      </x:c>
      <x:c r="L135" s="2" t="n">
        <x:f>'Master Hunt List'!AF128</x:f>
        <x:v>0</x:v>
      </x:c>
      <x:c r="M135" s="2" t="n">
        <x:f>'Master Hunt List'!AH128</x:f>
        <x:v>0</x:v>
      </x:c>
      <x:c r="N135" s="2" t="n">
        <x:f>'Master Hunt List'!AI128</x:f>
        <x:v>0</x:v>
      </x:c>
      <x:c r="O135" s="2" t="str">
        <x:f>'Master Hunt List'!V128</x:f>
        <x:v>https://tpwd.texas.gov/huntwild/hunt/public/public_hunt_drawing/hunt-category-details.phtml?OCat=YDA</x:v>
      </x:c>
    </x:row>
    <x:row r="136">
      <x:c r="A136" s="2" t="n">
        <x:f>129</x:f>
        <x:v>129</x:v>
      </x:c>
      <x:c r="B136" s="2" t="str">
        <x:f>'Master Hunt List'!A129</x:f>
        <x:v>No</x:v>
      </x:c>
      <x:c r="C136" s="2" t="str">
        <x:f>'Master Hunt List'!B129</x:f>
        <x:v>A</x:v>
      </x:c>
      <x:c r="D136" s="2" t="str">
        <x:f>'Master Hunt List'!C129</x:f>
        <x:v>Whitetail Deer</x:v>
      </x:c>
      <x:c r="E136" s="2" t="str">
        <x:f>'Master Hunt List'!D129</x:f>
        <x:v>James Daughtrey WMA</x:v>
      </x:c>
      <x:c r="F136" s="2" t="str">
        <x:f>'Master Hunt List'!E129</x:f>
        <x:v>South Texas / Rio Grande Valley</x:v>
      </x:c>
      <x:c r="G136" s="2" t="str">
        <x:f>'Master Hunt List'!F129</x:f>
        <x:v>Youth Gun Deer - Management</x:v>
      </x:c>
      <x:c r="H136" s="2" t="str">
        <x:f>'Master Hunt List'!G129</x:f>
        <x:v>No</x:v>
      </x:c>
      <x:c r="I136" s="2" t="str">
        <x:f>'Master Hunt List'!H129</x:f>
        <x:v>Yes</x:v>
      </x:c>
      <x:c r="J136" s="97" t="str">
        <x:f>'Master Hunt List'!I129</x:f>
        <x:v>2026-09-15</x:v>
      </x:c>
      <x:c r="K136" s="111" t="n">
        <x:f>'Master Hunt List'!K129</x:f>
        <x:v>0</x:v>
      </x:c>
      <x:c r="L136" s="2" t="n">
        <x:f>'Master Hunt List'!AF129</x:f>
        <x:v>0</x:v>
      </x:c>
      <x:c r="M136" s="2" t="n">
        <x:f>'Master Hunt List'!AH129</x:f>
        <x:v>0</x:v>
      </x:c>
      <x:c r="N136" s="2" t="n">
        <x:f>'Master Hunt List'!AI129</x:f>
        <x:v>0</x:v>
      </x:c>
      <x:c r="O136" s="2" t="str">
        <x:f>'Master Hunt List'!V129</x:f>
        <x:v>https://tpwd.texas.gov/huntwild/hunt/public/public_hunt_drawing/hunt-category-details.phtml?OCat=YDM</x:v>
      </x:c>
    </x:row>
    <x:row r="137">
      <x:c r="A137" s="2" t="n">
        <x:f>130</x:f>
        <x:v>130</x:v>
      </x:c>
      <x:c r="B137" s="2" t="str">
        <x:f>'Master Hunt List'!A130</x:f>
        <x:v>No</x:v>
      </x:c>
      <x:c r="C137" s="2" t="str">
        <x:f>'Master Hunt List'!B130</x:f>
        <x:v>A</x:v>
      </x:c>
      <x:c r="D137" s="2" t="str">
        <x:f>'Master Hunt List'!C130</x:f>
        <x:v>Whitetail Deer</x:v>
      </x:c>
      <x:c r="E137" s="2" t="str">
        <x:f>'Master Hunt List'!D130</x:f>
        <x:v>Justin Hurst WMA</x:v>
      </x:c>
      <x:c r="F137" s="2" t="str">
        <x:f>'Master Hunt List'!E130</x:f>
        <x:v>Houston / Gulf Coast</x:v>
      </x:c>
      <x:c r="G137" s="2" t="str">
        <x:f>'Master Hunt List'!F130</x:f>
        <x:v>Youth Gun Deer - Antlerless/Spike</x:v>
      </x:c>
      <x:c r="H137" s="2" t="str">
        <x:f>'Master Hunt List'!G130</x:f>
        <x:v>No</x:v>
      </x:c>
      <x:c r="I137" s="2" t="str">
        <x:f>'Master Hunt List'!H130</x:f>
        <x:v>Yes</x:v>
      </x:c>
      <x:c r="J137" s="97" t="str">
        <x:f>'Master Hunt List'!I130</x:f>
        <x:v>2026-09-15</x:v>
      </x:c>
      <x:c r="K137" s="111" t="n">
        <x:f>'Master Hunt List'!K130</x:f>
        <x:v>0</x:v>
      </x:c>
      <x:c r="L137" s="2" t="n">
        <x:f>'Master Hunt List'!AF130</x:f>
        <x:v>0</x:v>
      </x:c>
      <x:c r="M137" s="2" t="n">
        <x:f>'Master Hunt List'!AH130</x:f>
        <x:v>0</x:v>
      </x:c>
      <x:c r="N137" s="2" t="n">
        <x:f>'Master Hunt List'!AI130</x:f>
        <x:v>0</x:v>
      </x:c>
      <x:c r="O137" s="2" t="str">
        <x:f>'Master Hunt List'!V130</x:f>
        <x:v>https://tpwd.texas.gov/huntwild/hunt/public/public_hunt_drawing/hunt-category-details.phtml?OCat=YDA</x:v>
      </x:c>
    </x:row>
    <x:row r="138">
      <x:c r="A138" s="2" t="n">
        <x:f>131</x:f>
        <x:v>131</x:v>
      </x:c>
      <x:c r="B138" s="2" t="str">
        <x:f>'Master Hunt List'!A131</x:f>
        <x:v>No</x:v>
      </x:c>
      <x:c r="C138" s="2" t="str">
        <x:f>'Master Hunt List'!B131</x:f>
        <x:v>A</x:v>
      </x:c>
      <x:c r="D138" s="2" t="str">
        <x:f>'Master Hunt List'!C131</x:f>
        <x:v>Whitetail Deer</x:v>
      </x:c>
      <x:c r="E138" s="2" t="str">
        <x:f>'Master Hunt List'!D131</x:f>
        <x:v>Lake McClellan Recreation Area</x:v>
      </x:c>
      <x:c r="F138" s="2" t="str">
        <x:f>'Master Hunt List'!E131</x:f>
        <x:v>Panhandle / Rolling Plains</x:v>
      </x:c>
      <x:c r="G138" s="2" t="str">
        <x:f>'Master Hunt List'!F131</x:f>
        <x:v>Youth Gun Deer - Antlerless/Spike</x:v>
      </x:c>
      <x:c r="H138" s="2" t="str">
        <x:f>'Master Hunt List'!G131</x:f>
        <x:v>No</x:v>
      </x:c>
      <x:c r="I138" s="2" t="str">
        <x:f>'Master Hunt List'!H131</x:f>
        <x:v>Yes</x:v>
      </x:c>
      <x:c r="J138" s="97" t="str">
        <x:f>'Master Hunt List'!I131</x:f>
        <x:v>2026-09-15</x:v>
      </x:c>
      <x:c r="K138" s="111" t="n">
        <x:f>'Master Hunt List'!K131</x:f>
        <x:v>0</x:v>
      </x:c>
      <x:c r="L138" s="2" t="n">
        <x:f>'Master Hunt List'!AF131</x:f>
        <x:v>0</x:v>
      </x:c>
      <x:c r="M138" s="2" t="n">
        <x:f>'Master Hunt List'!AH131</x:f>
        <x:v>0</x:v>
      </x:c>
      <x:c r="N138" s="2" t="n">
        <x:f>'Master Hunt List'!AI131</x:f>
        <x:v>0</x:v>
      </x:c>
      <x:c r="O138" s="2" t="str">
        <x:f>'Master Hunt List'!V131</x:f>
        <x:v>https://tpwd.texas.gov/huntwild/hunt/public/public_hunt_drawing/hunt-category-details.phtml?OCat=YDA</x:v>
      </x:c>
    </x:row>
    <x:row r="139">
      <x:c r="A139" s="2" t="n">
        <x:f>132</x:f>
        <x:v>132</x:v>
      </x:c>
      <x:c r="B139" s="2" t="str">
        <x:f>'Master Hunt List'!A132</x:f>
        <x:v>No</x:v>
      </x:c>
      <x:c r="C139" s="2" t="str">
        <x:f>'Master Hunt List'!B132</x:f>
        <x:v>A</x:v>
      </x:c>
      <x:c r="D139" s="2" t="str">
        <x:f>'Master Hunt List'!C132</x:f>
        <x:v>Whitetail Deer</x:v>
      </x:c>
      <x:c r="E139" s="2" t="str">
        <x:f>'Master Hunt List'!D132</x:f>
        <x:v>Lake Tawakoni State Park</x:v>
      </x:c>
      <x:c r="F139" s="2" t="str">
        <x:f>'Master Hunt List'!E132</x:f>
        <x:v>North Texas / DFW</x:v>
      </x:c>
      <x:c r="G139" s="2" t="str">
        <x:f>'Master Hunt List'!F132</x:f>
        <x:v>Youth Gun Deer - Antlerless/Spike</x:v>
      </x:c>
      <x:c r="H139" s="2" t="str">
        <x:f>'Master Hunt List'!G132</x:f>
        <x:v>No</x:v>
      </x:c>
      <x:c r="I139" s="2" t="str">
        <x:f>'Master Hunt List'!H132</x:f>
        <x:v>Yes</x:v>
      </x:c>
      <x:c r="J139" s="97" t="str">
        <x:f>'Master Hunt List'!I132</x:f>
        <x:v>2026-09-15</x:v>
      </x:c>
      <x:c r="K139" s="111" t="n">
        <x:f>'Master Hunt List'!K132</x:f>
        <x:v>0</x:v>
      </x:c>
      <x:c r="L139" s="2" t="n">
        <x:f>'Master Hunt List'!AF132</x:f>
        <x:v>0</x:v>
      </x:c>
      <x:c r="M139" s="2" t="n">
        <x:f>'Master Hunt List'!AH132</x:f>
        <x:v>0</x:v>
      </x:c>
      <x:c r="N139" s="2" t="n">
        <x:f>'Master Hunt List'!AI132</x:f>
        <x:v>0</x:v>
      </x:c>
      <x:c r="O139" s="2" t="str">
        <x:f>'Master Hunt List'!V132</x:f>
        <x:v>https://tpwd.texas.gov/huntwild/hunt/public/public_hunt_drawing/hunt-category-details.phtml?OCat=YDA</x:v>
      </x:c>
    </x:row>
    <x:row r="140">
      <x:c r="A140" s="2" t="n">
        <x:f>133</x:f>
        <x:v>133</x:v>
      </x:c>
      <x:c r="B140" s="2" t="str">
        <x:f>'Master Hunt List'!A133</x:f>
        <x:v>No</x:v>
      </x:c>
      <x:c r="C140" s="2" t="str">
        <x:f>'Master Hunt List'!B133</x:f>
        <x:v>A</x:v>
      </x:c>
      <x:c r="D140" s="2" t="str">
        <x:f>'Master Hunt List'!C133</x:f>
        <x:v>Whitetail Deer</x:v>
      </x:c>
      <x:c r="E140" s="2" t="str">
        <x:f>'Master Hunt List'!D133</x:f>
        <x:v>Las Palomas WMA - Arroyo Colorado Unit</x:v>
      </x:c>
      <x:c r="F140" s="2" t="str">
        <x:f>'Master Hunt List'!E133</x:f>
        <x:v>South Texas / Rio Grande Valley</x:v>
      </x:c>
      <x:c r="G140" s="2" t="str">
        <x:f>'Master Hunt List'!F133</x:f>
        <x:v>Youth Gun Deer - Management</x:v>
      </x:c>
      <x:c r="H140" s="2" t="str">
        <x:f>'Master Hunt List'!G133</x:f>
        <x:v>No</x:v>
      </x:c>
      <x:c r="I140" s="2" t="str">
        <x:f>'Master Hunt List'!H133</x:f>
        <x:v>Yes</x:v>
      </x:c>
      <x:c r="J140" s="97" t="str">
        <x:f>'Master Hunt List'!I133</x:f>
        <x:v>2026-09-15</x:v>
      </x:c>
      <x:c r="K140" s="111" t="n">
        <x:f>'Master Hunt List'!K133</x:f>
        <x:v>0</x:v>
      </x:c>
      <x:c r="L140" s="2" t="n">
        <x:f>'Master Hunt List'!AF133</x:f>
        <x:v>0</x:v>
      </x:c>
      <x:c r="M140" s="2" t="n">
        <x:f>'Master Hunt List'!AH133</x:f>
        <x:v>0</x:v>
      </x:c>
      <x:c r="N140" s="2" t="n">
        <x:f>'Master Hunt List'!AI133</x:f>
        <x:v>0</x:v>
      </x:c>
      <x:c r="O140" s="2" t="str">
        <x:f>'Master Hunt List'!V133</x:f>
        <x:v>https://tpwd.texas.gov/huntwild/hunt/public/public_hunt_drawing/hunt-category-details.phtml?OCat=YDM</x:v>
      </x:c>
    </x:row>
    <x:row r="141">
      <x:c r="A141" s="2" t="n">
        <x:f>134</x:f>
        <x:v>134</x:v>
      </x:c>
      <x:c r="B141" s="2" t="str">
        <x:f>'Master Hunt List'!A134</x:f>
        <x:v>No</x:v>
      </x:c>
      <x:c r="C141" s="2" t="str">
        <x:f>'Master Hunt List'!B134</x:f>
        <x:v>A</x:v>
      </x:c>
      <x:c r="D141" s="2" t="str">
        <x:f>'Master Hunt List'!C134</x:f>
        <x:v>Whitetail Deer</x:v>
      </x:c>
      <x:c r="E141" s="2" t="str">
        <x:f>'Master Hunt List'!D134</x:f>
        <x:v>Mad Island WMA</x:v>
      </x:c>
      <x:c r="F141" s="2" t="str">
        <x:f>'Master Hunt List'!E134</x:f>
        <x:v>Houston / Gulf Coast</x:v>
      </x:c>
      <x:c r="G141" s="2" t="str">
        <x:f>'Master Hunt List'!F134</x:f>
        <x:v>E-Postcard Youth Deer</x:v>
      </x:c>
      <x:c r="H141" s="2" t="str">
        <x:f>'Master Hunt List'!G134</x:f>
        <x:v>No</x:v>
      </x:c>
      <x:c r="I141" s="2" t="str">
        <x:f>'Master Hunt List'!H134</x:f>
        <x:v>Yes</x:v>
      </x:c>
      <x:c r="J141" s="97" t="str">
        <x:f>'Master Hunt List'!I134</x:f>
        <x:v>2026-09-15</x:v>
      </x:c>
      <x:c r="K141" s="111" t="n">
        <x:f>'Master Hunt List'!K134</x:f>
        <x:v>0</x:v>
      </x:c>
      <x:c r="L141" s="2" t="n">
        <x:f>'Master Hunt List'!AF134</x:f>
        <x:v>0</x:v>
      </x:c>
      <x:c r="M141" s="2" t="n">
        <x:f>'Master Hunt List'!AH134</x:f>
        <x:v>0</x:v>
      </x:c>
      <x:c r="N141" s="2" t="n">
        <x:f>'Master Hunt List'!AI134</x:f>
        <x:v>0</x:v>
      </x:c>
      <x:c r="O141" s="2" t="str">
        <x:f>'Master Hunt List'!V134</x:f>
        <x:v>https://tpwd.texas.gov/huntwild/hunt/public/public_hunt_drawing/hunt-category-details.phtml?OCat=EYD</x:v>
      </x:c>
    </x:row>
    <x:row r="142">
      <x:c r="A142" s="2" t="n">
        <x:f>135</x:f>
        <x:v>135</x:v>
      </x:c>
      <x:c r="B142" s="2" t="str">
        <x:f>'Master Hunt List'!A135</x:f>
        <x:v>No</x:v>
      </x:c>
      <x:c r="C142" s="2" t="str">
        <x:f>'Master Hunt List'!B135</x:f>
        <x:v>A</x:v>
      </x:c>
      <x:c r="D142" s="2" t="str">
        <x:f>'Master Hunt List'!C135</x:f>
        <x:v>Whitetail Deer</x:v>
      </x:c>
      <x:c r="E142" s="2" t="str">
        <x:f>'Master Hunt List'!D135</x:f>
        <x:v>Mason Mountain WMA</x:v>
      </x:c>
      <x:c r="F142" s="2" t="str">
        <x:f>'Master Hunt List'!E135</x:f>
        <x:v>Hill Country / San Antonio</x:v>
      </x:c>
      <x:c r="G142" s="2" t="str">
        <x:f>'Master Hunt List'!F135</x:f>
        <x:v>Youth Gun Deer - Management</x:v>
      </x:c>
      <x:c r="H142" s="2" t="str">
        <x:f>'Master Hunt List'!G135</x:f>
        <x:v>No</x:v>
      </x:c>
      <x:c r="I142" s="2" t="str">
        <x:f>'Master Hunt List'!H135</x:f>
        <x:v>Yes</x:v>
      </x:c>
      <x:c r="J142" s="97" t="str">
        <x:f>'Master Hunt List'!I135</x:f>
        <x:v>2026-09-15</x:v>
      </x:c>
      <x:c r="K142" s="111" t="n">
        <x:f>'Master Hunt List'!K135</x:f>
        <x:v>0</x:v>
      </x:c>
      <x:c r="L142" s="2" t="n">
        <x:f>'Master Hunt List'!AF135</x:f>
        <x:v>0</x:v>
      </x:c>
      <x:c r="M142" s="2" t="n">
        <x:f>'Master Hunt List'!AH135</x:f>
        <x:v>0</x:v>
      </x:c>
      <x:c r="N142" s="2" t="n">
        <x:f>'Master Hunt List'!AI135</x:f>
        <x:v>0</x:v>
      </x:c>
      <x:c r="O142" s="2" t="str">
        <x:f>'Master Hunt List'!V135</x:f>
        <x:v>https://tpwd.texas.gov/huntwild/hunt/public/public_hunt_drawing/hunt-category-details.phtml?OCat=YDM</x:v>
      </x:c>
    </x:row>
    <x:row r="143">
      <x:c r="A143" s="2" t="n">
        <x:f>136</x:f>
        <x:v>136</x:v>
      </x:c>
      <x:c r="B143" s="2" t="str">
        <x:f>'Master Hunt List'!A136</x:f>
        <x:v>No</x:v>
      </x:c>
      <x:c r="C143" s="2" t="str">
        <x:f>'Master Hunt List'!B136</x:f>
        <x:v>A</x:v>
      </x:c>
      <x:c r="D143" s="2" t="str">
        <x:f>'Master Hunt List'!C136</x:f>
        <x:v>Whitetail Deer</x:v>
      </x:c>
      <x:c r="E143" s="2" t="str">
        <x:f>'Master Hunt List'!D136</x:f>
        <x:v>Moore Plantation WMA</x:v>
      </x:c>
      <x:c r="F143" s="2" t="str">
        <x:f>'Master Hunt List'!E136</x:f>
        <x:v>East Texas / Pineywoods</x:v>
      </x:c>
      <x:c r="G143" s="2" t="str">
        <x:f>'Master Hunt List'!F136</x:f>
        <x:v>USFS Antlerless Deer Permit - Youth</x:v>
      </x:c>
      <x:c r="H143" s="2" t="str">
        <x:f>'Master Hunt List'!G136</x:f>
        <x:v>No</x:v>
      </x:c>
      <x:c r="I143" s="2" t="str">
        <x:f>'Master Hunt List'!H136</x:f>
        <x:v>Yes</x:v>
      </x:c>
      <x:c r="J143" s="97" t="str">
        <x:f>'Master Hunt List'!I136</x:f>
        <x:v>2026-09-15</x:v>
      </x:c>
      <x:c r="K143" s="111" t="n">
        <x:f>'Master Hunt List'!K136</x:f>
        <x:v>0</x:v>
      </x:c>
      <x:c r="L143" s="2" t="n">
        <x:f>'Master Hunt List'!AF136</x:f>
        <x:v>0</x:v>
      </x:c>
      <x:c r="M143" s="2" t="n">
        <x:f>'Master Hunt List'!AH136</x:f>
        <x:v>0</x:v>
      </x:c>
      <x:c r="N143" s="2" t="n">
        <x:f>'Master Hunt List'!AI136</x:f>
        <x:v>0</x:v>
      </x:c>
      <x:c r="O143" s="2" t="str">
        <x:f>'Master Hunt List'!V136</x:f>
        <x:v>https://tpwd.texas.gov/huntwild/hunt/public/public_hunt_drawing/hunt-category-details.phtml?OCat=FSY</x:v>
      </x:c>
    </x:row>
    <x:row r="144">
      <x:c r="A144" s="2" t="n">
        <x:f>137</x:f>
        <x:v>137</x:v>
      </x:c>
      <x:c r="B144" s="2" t="str">
        <x:f>'Master Hunt List'!A137</x:f>
        <x:v>No</x:v>
      </x:c>
      <x:c r="C144" s="2" t="str">
        <x:f>'Master Hunt List'!B137</x:f>
        <x:v>A</x:v>
      </x:c>
      <x:c r="D144" s="2" t="str">
        <x:f>'Master Hunt List'!C137</x:f>
        <x:v>Whitetail Deer</x:v>
      </x:c>
      <x:c r="E144" s="2" t="str">
        <x:f>'Master Hunt List'!D137</x:f>
        <x:v>Muse WMA</x:v>
      </x:c>
      <x:c r="F144" s="2" t="str">
        <x:f>'Master Hunt List'!E137</x:f>
        <x:v>Statewide / Other</x:v>
      </x:c>
      <x:c r="G144" s="2" t="str">
        <x:f>'Master Hunt List'!F137</x:f>
        <x:v>Youth Gun Deer - Antlerless/Spike</x:v>
      </x:c>
      <x:c r="H144" s="2" t="str">
        <x:f>'Master Hunt List'!G137</x:f>
        <x:v>No</x:v>
      </x:c>
      <x:c r="I144" s="2" t="str">
        <x:f>'Master Hunt List'!H137</x:f>
        <x:v>Yes</x:v>
      </x:c>
      <x:c r="J144" s="97" t="str">
        <x:f>'Master Hunt List'!I137</x:f>
        <x:v>2026-09-15</x:v>
      </x:c>
      <x:c r="K144" s="111" t="n">
        <x:f>'Master Hunt List'!K137</x:f>
        <x:v>0</x:v>
      </x:c>
      <x:c r="L144" s="2" t="n">
        <x:f>'Master Hunt List'!AF137</x:f>
        <x:v>0</x:v>
      </x:c>
      <x:c r="M144" s="2" t="n">
        <x:f>'Master Hunt List'!AH137</x:f>
        <x:v>0</x:v>
      </x:c>
      <x:c r="N144" s="2" t="n">
        <x:f>'Master Hunt List'!AI137</x:f>
        <x:v>0</x:v>
      </x:c>
      <x:c r="O144" s="2" t="str">
        <x:f>'Master Hunt List'!V137</x:f>
        <x:v>https://tpwd.texas.gov/huntwild/hunt/public/public_hunt_drawing/hunt-category-details.phtml?OCat=YDA</x:v>
      </x:c>
    </x:row>
    <x:row r="145">
      <x:c r="A145" s="2" t="n">
        <x:f>138</x:f>
        <x:v>138</x:v>
      </x:c>
      <x:c r="B145" s="2" t="str">
        <x:f>'Master Hunt List'!A138</x:f>
        <x:v>No</x:v>
      </x:c>
      <x:c r="C145" s="2" t="str">
        <x:f>'Master Hunt List'!B138</x:f>
        <x:v>A</x:v>
      </x:c>
      <x:c r="D145" s="2" t="str">
        <x:f>'Master Hunt List'!C138</x:f>
        <x:v>Whitetail Deer</x:v>
      </x:c>
      <x:c r="E145" s="2" t="str">
        <x:f>'Master Hunt List'!D138</x:f>
        <x:v>Nannie Stringfellow WMA</x:v>
      </x:c>
      <x:c r="F145" s="2" t="str">
        <x:f>'Master Hunt List'!E138</x:f>
        <x:v>Houston / Gulf Coast</x:v>
      </x:c>
      <x:c r="G145" s="2" t="str">
        <x:f>'Master Hunt List'!F138</x:f>
        <x:v>Youth Gun Deer - Antlerless/Spike</x:v>
      </x:c>
      <x:c r="H145" s="2" t="str">
        <x:f>'Master Hunt List'!G138</x:f>
        <x:v>No</x:v>
      </x:c>
      <x:c r="I145" s="2" t="str">
        <x:f>'Master Hunt List'!H138</x:f>
        <x:v>Yes</x:v>
      </x:c>
      <x:c r="J145" s="97" t="str">
        <x:f>'Master Hunt List'!I138</x:f>
        <x:v>2026-09-15</x:v>
      </x:c>
      <x:c r="K145" s="111" t="n">
        <x:f>'Master Hunt List'!K138</x:f>
        <x:v>0</x:v>
      </x:c>
      <x:c r="L145" s="2" t="n">
        <x:f>'Master Hunt List'!AF138</x:f>
        <x:v>0</x:v>
      </x:c>
      <x:c r="M145" s="2" t="n">
        <x:f>'Master Hunt List'!AH138</x:f>
        <x:v>0</x:v>
      </x:c>
      <x:c r="N145" s="2" t="n">
        <x:f>'Master Hunt List'!AI138</x:f>
        <x:v>0</x:v>
      </x:c>
      <x:c r="O145" s="2" t="str">
        <x:f>'Master Hunt List'!V138</x:f>
        <x:v>https://tpwd.texas.gov/huntwild/hunt/public/public_hunt_drawing/hunt-category-details.phtml?OCat=YDA</x:v>
      </x:c>
    </x:row>
    <x:row r="146">
      <x:c r="A146" s="2" t="n">
        <x:f>139</x:f>
        <x:v>139</x:v>
      </x:c>
      <x:c r="B146" s="2" t="str">
        <x:f>'Master Hunt List'!A139</x:f>
        <x:v>No</x:v>
      </x:c>
      <x:c r="C146" s="2" t="str">
        <x:f>'Master Hunt List'!B139</x:f>
        <x:v>A</x:v>
      </x:c>
      <x:c r="D146" s="2" t="str">
        <x:f>'Master Hunt List'!C139</x:f>
        <x:v>Whitetail Deer</x:v>
      </x:c>
      <x:c r="E146" s="2" t="str">
        <x:f>'Master Hunt List'!D139</x:f>
        <x:v>Palmetto SP</x:v>
      </x:c>
      <x:c r="F146" s="2" t="str">
        <x:f>'Master Hunt List'!E139</x:f>
        <x:v>Central Texas / Austin</x:v>
      </x:c>
      <x:c r="G146" s="2" t="str">
        <x:f>'Master Hunt List'!F139</x:f>
        <x:v>Youth Gun Deer - Antlerless/Spike</x:v>
      </x:c>
      <x:c r="H146" s="2" t="str">
        <x:f>'Master Hunt List'!G139</x:f>
        <x:v>No</x:v>
      </x:c>
      <x:c r="I146" s="2" t="str">
        <x:f>'Master Hunt List'!H139</x:f>
        <x:v>Yes</x:v>
      </x:c>
      <x:c r="J146" s="97" t="str">
        <x:f>'Master Hunt List'!I139</x:f>
        <x:v>2026-09-15</x:v>
      </x:c>
      <x:c r="K146" s="111" t="n">
        <x:f>'Master Hunt List'!K139</x:f>
        <x:v>0</x:v>
      </x:c>
      <x:c r="L146" s="2" t="n">
        <x:f>'Master Hunt List'!AF139</x:f>
        <x:v>0</x:v>
      </x:c>
      <x:c r="M146" s="2" t="n">
        <x:f>'Master Hunt List'!AH139</x:f>
        <x:v>0</x:v>
      </x:c>
      <x:c r="N146" s="2" t="n">
        <x:f>'Master Hunt List'!AI139</x:f>
        <x:v>0</x:v>
      </x:c>
      <x:c r="O146" s="2" t="str">
        <x:f>'Master Hunt List'!V139</x:f>
        <x:v>https://tpwd.texas.gov/huntwild/hunt/public/public_hunt_drawing/hunt-category-details.phtml?OCat=YDA</x:v>
      </x:c>
    </x:row>
    <x:row r="147">
      <x:c r="A147" s="2" t="n">
        <x:f>140</x:f>
        <x:v>140</x:v>
      </x:c>
      <x:c r="B147" s="2" t="str">
        <x:f>'Master Hunt List'!A140</x:f>
        <x:v>No</x:v>
      </x:c>
      <x:c r="C147" s="2" t="str">
        <x:f>'Master Hunt List'!B140</x:f>
        <x:v>A</x:v>
      </x:c>
      <x:c r="D147" s="2" t="str">
        <x:f>'Master Hunt List'!C140</x:f>
        <x:v>Whitetail Deer</x:v>
      </x:c>
      <x:c r="E147" s="2" t="str">
        <x:f>'Master Hunt List'!D140</x:f>
        <x:v>Palo Duro Canyon SP</x:v>
      </x:c>
      <x:c r="F147" s="2" t="str">
        <x:f>'Master Hunt List'!E140</x:f>
        <x:v>Panhandle / Rolling Plains</x:v>
      </x:c>
      <x:c r="G147" s="2" t="str">
        <x:f>'Master Hunt List'!F140</x:f>
        <x:v>Youth Gun Deer - Antlerless/Spike</x:v>
      </x:c>
      <x:c r="H147" s="2" t="str">
        <x:f>'Master Hunt List'!G140</x:f>
        <x:v>No</x:v>
      </x:c>
      <x:c r="I147" s="2" t="str">
        <x:f>'Master Hunt List'!H140</x:f>
        <x:v>Yes</x:v>
      </x:c>
      <x:c r="J147" s="97" t="str">
        <x:f>'Master Hunt List'!I140</x:f>
        <x:v>2026-09-15</x:v>
      </x:c>
      <x:c r="K147" s="111" t="n">
        <x:f>'Master Hunt List'!K140</x:f>
        <x:v>0</x:v>
      </x:c>
      <x:c r="L147" s="2" t="n">
        <x:f>'Master Hunt List'!AF140</x:f>
        <x:v>0</x:v>
      </x:c>
      <x:c r="M147" s="2" t="n">
        <x:f>'Master Hunt List'!AH140</x:f>
        <x:v>0</x:v>
      </x:c>
      <x:c r="N147" s="2" t="n">
        <x:f>'Master Hunt List'!AI140</x:f>
        <x:v>0</x:v>
      </x:c>
      <x:c r="O147" s="2" t="str">
        <x:f>'Master Hunt List'!V140</x:f>
        <x:v>https://tpwd.texas.gov/huntwild/hunt/public/public_hunt_drawing/hunt-category-details.phtml?OCat=YDA</x:v>
      </x:c>
    </x:row>
    <x:row r="148">
      <x:c r="A148" s="2" t="n">
        <x:f>141</x:f>
        <x:v>141</x:v>
      </x:c>
      <x:c r="B148" s="2" t="str">
        <x:f>'Master Hunt List'!A141</x:f>
        <x:v>No</x:v>
      </x:c>
      <x:c r="C148" s="2" t="str">
        <x:f>'Master Hunt List'!B141</x:f>
        <x:v>A</x:v>
      </x:c>
      <x:c r="D148" s="2" t="str">
        <x:f>'Master Hunt List'!C141</x:f>
        <x:v>Whitetail Deer</x:v>
      </x:c>
      <x:c r="E148" s="2" t="str">
        <x:f>'Master Hunt List'!D141</x:f>
        <x:v>Palo Duro Canyon SP</x:v>
      </x:c>
      <x:c r="F148" s="2" t="str">
        <x:f>'Master Hunt List'!E141</x:f>
        <x:v>Panhandle / Rolling Plains</x:v>
      </x:c>
      <x:c r="G148" s="2" t="str">
        <x:f>'Master Hunt List'!F141</x:f>
        <x:v>Youth Gun Deer - Management</x:v>
      </x:c>
      <x:c r="H148" s="2" t="str">
        <x:f>'Master Hunt List'!G141</x:f>
        <x:v>No</x:v>
      </x:c>
      <x:c r="I148" s="2" t="str">
        <x:f>'Master Hunt List'!H141</x:f>
        <x:v>Yes</x:v>
      </x:c>
      <x:c r="J148" s="97" t="str">
        <x:f>'Master Hunt List'!I141</x:f>
        <x:v>2026-09-15</x:v>
      </x:c>
      <x:c r="K148" s="111" t="n">
        <x:f>'Master Hunt List'!K141</x:f>
        <x:v>0</x:v>
      </x:c>
      <x:c r="L148" s="2" t="n">
        <x:f>'Master Hunt List'!AF141</x:f>
        <x:v>0</x:v>
      </x:c>
      <x:c r="M148" s="2" t="n">
        <x:f>'Master Hunt List'!AH141</x:f>
        <x:v>0</x:v>
      </x:c>
      <x:c r="N148" s="2" t="n">
        <x:f>'Master Hunt List'!AI141</x:f>
        <x:v>0</x:v>
      </x:c>
      <x:c r="O148" s="2" t="str">
        <x:f>'Master Hunt List'!V141</x:f>
        <x:v>https://tpwd.texas.gov/huntwild/hunt/public/public_hunt_drawing/hunt-category-details.phtml?OCat=YDM</x:v>
      </x:c>
    </x:row>
    <x:row r="149">
      <x:c r="A149" s="2" t="n">
        <x:f>142</x:f>
        <x:v>142</x:v>
      </x:c>
      <x:c r="B149" s="2" t="str">
        <x:f>'Master Hunt List'!A142</x:f>
        <x:v>No</x:v>
      </x:c>
      <x:c r="C149" s="2" t="str">
        <x:f>'Master Hunt List'!B142</x:f>
        <x:v>A</x:v>
      </x:c>
      <x:c r="D149" s="2" t="str">
        <x:f>'Master Hunt List'!C142</x:f>
        <x:v>Whitetail Deer</x:v>
      </x:c>
      <x:c r="E149" s="2" t="str">
        <x:f>'Master Hunt List'!D142</x:f>
        <x:v>Paul &amp; Toni Fox Burns WMA</x:v>
      </x:c>
      <x:c r="F149" s="2" t="str">
        <x:f>'Master Hunt List'!E142</x:f>
        <x:v>Statewide / Other</x:v>
      </x:c>
      <x:c r="G149" s="2" t="str">
        <x:f>'Master Hunt List'!F142</x:f>
        <x:v>Youth Gun Deer - Antlerless/Spike</x:v>
      </x:c>
      <x:c r="H149" s="2" t="str">
        <x:f>'Master Hunt List'!G142</x:f>
        <x:v>No</x:v>
      </x:c>
      <x:c r="I149" s="2" t="str">
        <x:f>'Master Hunt List'!H142</x:f>
        <x:v>Yes</x:v>
      </x:c>
      <x:c r="J149" s="97" t="str">
        <x:f>'Master Hunt List'!I142</x:f>
        <x:v>2026-09-15</x:v>
      </x:c>
      <x:c r="K149" s="111" t="n">
        <x:f>'Master Hunt List'!K142</x:f>
        <x:v>0</x:v>
      </x:c>
      <x:c r="L149" s="2" t="n">
        <x:f>'Master Hunt List'!AF142</x:f>
        <x:v>0</x:v>
      </x:c>
      <x:c r="M149" s="2" t="n">
        <x:f>'Master Hunt List'!AH142</x:f>
        <x:v>0</x:v>
      </x:c>
      <x:c r="N149" s="2" t="n">
        <x:f>'Master Hunt List'!AI142</x:f>
        <x:v>0</x:v>
      </x:c>
      <x:c r="O149" s="2" t="str">
        <x:f>'Master Hunt List'!V142</x:f>
        <x:v>https://tpwd.texas.gov/huntwild/hunt/public/public_hunt_drawing/hunt-category-details.phtml?OCat=YDA</x:v>
      </x:c>
    </x:row>
    <x:row r="150">
      <x:c r="A150" s="2" t="n">
        <x:f>143</x:f>
        <x:v>143</x:v>
      </x:c>
      <x:c r="B150" s="2" t="str">
        <x:f>'Master Hunt List'!A143</x:f>
        <x:v>No</x:v>
      </x:c>
      <x:c r="C150" s="2" t="str">
        <x:f>'Master Hunt List'!B143</x:f>
        <x:v>A</x:v>
      </x:c>
      <x:c r="D150" s="2" t="str">
        <x:f>'Master Hunt List'!C143</x:f>
        <x:v>Whitetail Deer</x:v>
      </x:c>
      <x:c r="E150" s="2" t="str">
        <x:f>'Master Hunt List'!D143</x:f>
        <x:v>Possum Kingdom SP</x:v>
      </x:c>
      <x:c r="F150" s="2" t="str">
        <x:f>'Master Hunt List'!E143</x:f>
        <x:v>Statewide / Other</x:v>
      </x:c>
      <x:c r="G150" s="2" t="str">
        <x:f>'Master Hunt List'!F143</x:f>
        <x:v>Youth Gun Deer - Antlerless/Spike</x:v>
      </x:c>
      <x:c r="H150" s="2" t="str">
        <x:f>'Master Hunt List'!G143</x:f>
        <x:v>No</x:v>
      </x:c>
      <x:c r="I150" s="2" t="str">
        <x:f>'Master Hunt List'!H143</x:f>
        <x:v>Yes</x:v>
      </x:c>
      <x:c r="J150" s="97" t="str">
        <x:f>'Master Hunt List'!I143</x:f>
        <x:v>2026-09-15</x:v>
      </x:c>
      <x:c r="K150" s="111" t="n">
        <x:f>'Master Hunt List'!K143</x:f>
        <x:v>0</x:v>
      </x:c>
      <x:c r="L150" s="2" t="n">
        <x:f>'Master Hunt List'!AF143</x:f>
        <x:v>0</x:v>
      </x:c>
      <x:c r="M150" s="2" t="n">
        <x:f>'Master Hunt List'!AH143</x:f>
        <x:v>0</x:v>
      </x:c>
      <x:c r="N150" s="2" t="n">
        <x:f>'Master Hunt List'!AI143</x:f>
        <x:v>0</x:v>
      </x:c>
      <x:c r="O150" s="2" t="str">
        <x:f>'Master Hunt List'!V143</x:f>
        <x:v>https://tpwd.texas.gov/huntwild/hunt/public/public_hunt_drawing/hunt-category-details.phtml?OCat=YDA</x:v>
      </x:c>
    </x:row>
    <x:row r="151">
      <x:c r="A151" s="2" t="n">
        <x:f>144</x:f>
        <x:v>144</x:v>
      </x:c>
      <x:c r="B151" s="2" t="str">
        <x:f>'Master Hunt List'!A144</x:f>
        <x:v>No</x:v>
      </x:c>
      <x:c r="C151" s="2" t="str">
        <x:f>'Master Hunt List'!B144</x:f>
        <x:v>A</x:v>
      </x:c>
      <x:c r="D151" s="2" t="str">
        <x:f>'Master Hunt List'!C144</x:f>
        <x:v>Whitetail Deer</x:v>
      </x:c>
      <x:c r="E151" s="2" t="str">
        <x:f>'Master Hunt List'!D144</x:f>
        <x:v>Ray Roberts Lake State Park - Isle du Bois</x:v>
      </x:c>
      <x:c r="F151" s="2" t="str">
        <x:f>'Master Hunt List'!E144</x:f>
        <x:v>North Texas / DFW</x:v>
      </x:c>
      <x:c r="G151" s="2" t="str">
        <x:f>'Master Hunt List'!F144</x:f>
        <x:v>Youth Gun Deer - Antlerless/Spike</x:v>
      </x:c>
      <x:c r="H151" s="2" t="str">
        <x:f>'Master Hunt List'!G144</x:f>
        <x:v>No</x:v>
      </x:c>
      <x:c r="I151" s="2" t="str">
        <x:f>'Master Hunt List'!H144</x:f>
        <x:v>Yes</x:v>
      </x:c>
      <x:c r="J151" s="97" t="str">
        <x:f>'Master Hunt List'!I144</x:f>
        <x:v>2026-09-15</x:v>
      </x:c>
      <x:c r="K151" s="111" t="n">
        <x:f>'Master Hunt List'!K144</x:f>
        <x:v>0</x:v>
      </x:c>
      <x:c r="L151" s="2" t="n">
        <x:f>'Master Hunt List'!AF144</x:f>
        <x:v>0</x:v>
      </x:c>
      <x:c r="M151" s="2" t="n">
        <x:f>'Master Hunt List'!AH144</x:f>
        <x:v>0</x:v>
      </x:c>
      <x:c r="N151" s="2" t="n">
        <x:f>'Master Hunt List'!AI144</x:f>
        <x:v>0</x:v>
      </x:c>
      <x:c r="O151" s="2" t="str">
        <x:f>'Master Hunt List'!V144</x:f>
        <x:v>https://tpwd.texas.gov/huntwild/hunt/public/public_hunt_drawing/hunt-category-details.phtml?OCat=YDA</x:v>
      </x:c>
    </x:row>
    <x:row r="152">
      <x:c r="A152" s="2" t="n">
        <x:f>145</x:f>
        <x:v>145</x:v>
      </x:c>
      <x:c r="B152" s="2" t="str">
        <x:f>'Master Hunt List'!A145</x:f>
        <x:v>No</x:v>
      </x:c>
      <x:c r="C152" s="2" t="str">
        <x:f>'Master Hunt List'!B145</x:f>
        <x:v>A</x:v>
      </x:c>
      <x:c r="D152" s="2" t="str">
        <x:f>'Master Hunt List'!C145</x:f>
        <x:v>Whitetail Deer</x:v>
      </x:c>
      <x:c r="E152" s="2" t="str">
        <x:f>'Master Hunt List'!D145</x:f>
        <x:v>Roger Fawcett WMA</x:v>
      </x:c>
      <x:c r="F152" s="2" t="str">
        <x:f>'Master Hunt List'!E145</x:f>
        <x:v>West-Central Texas</x:v>
      </x:c>
      <x:c r="G152" s="2" t="str">
        <x:f>'Master Hunt List'!F145</x:f>
        <x:v>Youth Gun Deer - Antlerless/Spike</x:v>
      </x:c>
      <x:c r="H152" s="2" t="str">
        <x:f>'Master Hunt List'!G145</x:f>
        <x:v>No</x:v>
      </x:c>
      <x:c r="I152" s="2" t="str">
        <x:f>'Master Hunt List'!H145</x:f>
        <x:v>Yes</x:v>
      </x:c>
      <x:c r="J152" s="97" t="str">
        <x:f>'Master Hunt List'!I145</x:f>
        <x:v>2026-09-15</x:v>
      </x:c>
      <x:c r="K152" s="111" t="n">
        <x:f>'Master Hunt List'!K145</x:f>
        <x:v>0</x:v>
      </x:c>
      <x:c r="L152" s="2" t="n">
        <x:f>'Master Hunt List'!AF145</x:f>
        <x:v>0</x:v>
      </x:c>
      <x:c r="M152" s="2" t="n">
        <x:f>'Master Hunt List'!AH145</x:f>
        <x:v>0</x:v>
      </x:c>
      <x:c r="N152" s="2" t="n">
        <x:f>'Master Hunt List'!AI145</x:f>
        <x:v>0</x:v>
      </x:c>
      <x:c r="O152" s="2" t="str">
        <x:f>'Master Hunt List'!V145</x:f>
        <x:v>https://tpwd.texas.gov/huntwild/hunt/public/public_hunt_drawing/hunt-category-details.phtml?OCat=YDA</x:v>
      </x:c>
    </x:row>
    <x:row r="153">
      <x:c r="A153" s="2" t="n">
        <x:f>146</x:f>
        <x:v>146</x:v>
      </x:c>
      <x:c r="B153" s="2" t="str">
        <x:f>'Master Hunt List'!A146</x:f>
        <x:v>No</x:v>
      </x:c>
      <x:c r="C153" s="2" t="str">
        <x:f>'Master Hunt List'!B146</x:f>
        <x:v>A</x:v>
      </x:c>
      <x:c r="D153" s="2" t="str">
        <x:f>'Master Hunt List'!C146</x:f>
        <x:v>Whitetail Deer</x:v>
      </x:c>
      <x:c r="E153" s="2" t="str">
        <x:f>'Master Hunt List'!D146</x:f>
        <x:v>Sam Houston National Forest WMA</x:v>
      </x:c>
      <x:c r="F153" s="2" t="str">
        <x:f>'Master Hunt List'!E146</x:f>
        <x:v>East Texas / Pineywoods</x:v>
      </x:c>
      <x:c r="G153" s="2" t="str">
        <x:f>'Master Hunt List'!F146</x:f>
        <x:v>USFS Antlerless Deer Permit - Youth</x:v>
      </x:c>
      <x:c r="H153" s="2" t="str">
        <x:f>'Master Hunt List'!G146</x:f>
        <x:v>No</x:v>
      </x:c>
      <x:c r="I153" s="2" t="str">
        <x:f>'Master Hunt List'!H146</x:f>
        <x:v>Yes</x:v>
      </x:c>
      <x:c r="J153" s="97" t="str">
        <x:f>'Master Hunt List'!I146</x:f>
        <x:v>2026-09-15</x:v>
      </x:c>
      <x:c r="K153" s="111" t="n">
        <x:f>'Master Hunt List'!K146</x:f>
        <x:v>0</x:v>
      </x:c>
      <x:c r="L153" s="2" t="n">
        <x:f>'Master Hunt List'!AF146</x:f>
        <x:v>0</x:v>
      </x:c>
      <x:c r="M153" s="2" t="n">
        <x:f>'Master Hunt List'!AH146</x:f>
        <x:v>0</x:v>
      </x:c>
      <x:c r="N153" s="2" t="n">
        <x:f>'Master Hunt List'!AI146</x:f>
        <x:v>0</x:v>
      </x:c>
      <x:c r="O153" s="2" t="str">
        <x:f>'Master Hunt List'!V146</x:f>
        <x:v>https://tpwd.texas.gov/huntwild/hunt/public/public_hunt_drawing/hunt-category-details.phtml?OCat=FSY</x:v>
      </x:c>
    </x:row>
    <x:row r="154">
      <x:c r="A154" s="2" t="n">
        <x:f>147</x:f>
        <x:v>147</x:v>
      </x:c>
      <x:c r="B154" s="2" t="str">
        <x:f>'Master Hunt List'!A147</x:f>
        <x:v>No</x:v>
      </x:c>
      <x:c r="C154" s="2" t="str">
        <x:f>'Master Hunt List'!B147</x:f>
        <x:v>A</x:v>
      </x:c>
      <x:c r="D154" s="2" t="str">
        <x:f>'Master Hunt List'!C147</x:f>
        <x:v>Whitetail Deer</x:v>
      </x:c>
      <x:c r="E154" s="2" t="str">
        <x:f>'Master Hunt List'!D147</x:f>
        <x:v>San Angelo SP</x:v>
      </x:c>
      <x:c r="F154" s="2" t="str">
        <x:f>'Master Hunt List'!E147</x:f>
        <x:v>West-Central Texas</x:v>
      </x:c>
      <x:c r="G154" s="2" t="str">
        <x:f>'Master Hunt List'!F147</x:f>
        <x:v>Youth Gun Deer - Antlerless/Spike</x:v>
      </x:c>
      <x:c r="H154" s="2" t="str">
        <x:f>'Master Hunt List'!G147</x:f>
        <x:v>No</x:v>
      </x:c>
      <x:c r="I154" s="2" t="str">
        <x:f>'Master Hunt List'!H147</x:f>
        <x:v>Yes</x:v>
      </x:c>
      <x:c r="J154" s="97" t="str">
        <x:f>'Master Hunt List'!I147</x:f>
        <x:v>2026-09-15</x:v>
      </x:c>
      <x:c r="K154" s="111" t="n">
        <x:f>'Master Hunt List'!K147</x:f>
        <x:v>0</x:v>
      </x:c>
      <x:c r="L154" s="2" t="n">
        <x:f>'Master Hunt List'!AF147</x:f>
        <x:v>0</x:v>
      </x:c>
      <x:c r="M154" s="2" t="n">
        <x:f>'Master Hunt List'!AH147</x:f>
        <x:v>0</x:v>
      </x:c>
      <x:c r="N154" s="2" t="n">
        <x:f>'Master Hunt List'!AI147</x:f>
        <x:v>0</x:v>
      </x:c>
      <x:c r="O154" s="2" t="str">
        <x:f>'Master Hunt List'!V147</x:f>
        <x:v>https://tpwd.texas.gov/huntwild/hunt/public/public_hunt_drawing/hunt-category-details.phtml?OCat=YDA</x:v>
      </x:c>
    </x:row>
    <x:row r="155">
      <x:c r="A155" s="2" t="n">
        <x:f>148</x:f>
        <x:v>148</x:v>
      </x:c>
      <x:c r="B155" s="2" t="str">
        <x:f>'Master Hunt List'!A148</x:f>
        <x:v>No</x:v>
      </x:c>
      <x:c r="C155" s="2" t="str">
        <x:f>'Master Hunt List'!B148</x:f>
        <x:v>A</x:v>
      </x:c>
      <x:c r="D155" s="2" t="str">
        <x:f>'Master Hunt List'!C148</x:f>
        <x:v>Whitetail Deer</x:v>
      </x:c>
      <x:c r="E155" s="2" t="str">
        <x:f>'Master Hunt List'!D148</x:f>
        <x:v>Abilene SP</x:v>
      </x:c>
      <x:c r="F155" s="2" t="str">
        <x:f>'Master Hunt List'!E148</x:f>
        <x:v>West-Central Texas</x:v>
      </x:c>
      <x:c r="G155" s="2" t="str">
        <x:f>'Master Hunt List'!F148</x:f>
        <x:v>Gun Deer - Either Sex</x:v>
      </x:c>
      <x:c r="H155" s="2" t="str">
        <x:f>'Master Hunt List'!G148</x:f>
        <x:v>Yes</x:v>
      </x:c>
      <x:c r="I155" s="2" t="str">
        <x:f>'Master Hunt List'!H148</x:f>
        <x:v>Yes</x:v>
      </x:c>
      <x:c r="J155" s="97" t="str">
        <x:f>'Master Hunt List'!I148</x:f>
        <x:v>2026-09-15</x:v>
      </x:c>
      <x:c r="K155" s="111" t="n">
        <x:f>'Master Hunt List'!K148</x:f>
        <x:v>3</x:v>
      </x:c>
      <x:c r="L155" s="2" t="n">
        <x:f>'Master Hunt List'!AF148</x:f>
        <x:v>0</x:v>
      </x:c>
      <x:c r="M155" s="2" t="n">
        <x:f>'Master Hunt List'!AH148</x:f>
        <x:v>0</x:v>
      </x:c>
      <x:c r="N155" s="2" t="n">
        <x:f>'Master Hunt List'!AI148</x:f>
        <x:v>0</x:v>
      </x:c>
      <x:c r="O155" s="2" t="str">
        <x:f>'Master Hunt List'!V148</x:f>
        <x:v>https://tpwd.texas.gov/huntwild/hunt/public/public_hunt_drawing/hunt-category-details.phtml?OCat=GDE</x:v>
      </x:c>
    </x:row>
    <x:row r="156">
      <x:c r="A156" s="2" t="n">
        <x:f>149</x:f>
        <x:v>149</x:v>
      </x:c>
      <x:c r="B156" s="2" t="str">
        <x:f>'Master Hunt List'!A149</x:f>
        <x:v>No</x:v>
      </x:c>
      <x:c r="C156" s="2" t="str">
        <x:f>'Master Hunt List'!B149</x:f>
        <x:v>A</x:v>
      </x:c>
      <x:c r="D156" s="2" t="str">
        <x:f>'Master Hunt List'!C149</x:f>
        <x:v>Whitetail Deer</x:v>
      </x:c>
      <x:c r="E156" s="2" t="str">
        <x:f>'Master Hunt List'!D149</x:f>
        <x:v>Alabama Creek WMA</x:v>
      </x:c>
      <x:c r="F156" s="2" t="str">
        <x:f>'Master Hunt List'!E149</x:f>
        <x:v>East Texas / Pineywoods</x:v>
      </x:c>
      <x:c r="G156" s="2" t="str">
        <x:f>'Master Hunt List'!F149</x:f>
        <x:v>USFS Antlerless Deer Permit - Adult</x:v>
      </x:c>
      <x:c r="H156" s="2" t="str">
        <x:f>'Master Hunt List'!G149</x:f>
        <x:v>Yes</x:v>
      </x:c>
      <x:c r="I156" s="2" t="str">
        <x:f>'Master Hunt List'!H149</x:f>
        <x:v>No</x:v>
      </x:c>
      <x:c r="J156" s="97" t="str">
        <x:f>'Master Hunt List'!I149</x:f>
        <x:v>2026-09-15</x:v>
      </x:c>
      <x:c r="K156" s="111" t="n">
        <x:f>'Master Hunt List'!K149</x:f>
        <x:v>0</x:v>
      </x:c>
      <x:c r="L156" s="2" t="n">
        <x:f>'Master Hunt List'!AF149</x:f>
        <x:v>0</x:v>
      </x:c>
      <x:c r="M156" s="2" t="n">
        <x:f>'Master Hunt List'!AH149</x:f>
        <x:v>0</x:v>
      </x:c>
      <x:c r="N156" s="2" t="n">
        <x:f>'Master Hunt List'!AI149</x:f>
        <x:v>0</x:v>
      </x:c>
      <x:c r="O156" s="2" t="str">
        <x:f>'Master Hunt List'!V149</x:f>
        <x:v>https://tpwd.texas.gov/huntwild/hunt/public/public_hunt_drawing/hunt-category-details.phtml?OCat=FSD</x:v>
      </x:c>
    </x:row>
    <x:row r="157">
      <x:c r="A157" s="2" t="n">
        <x:f>150</x:f>
        <x:v>150</x:v>
      </x:c>
      <x:c r="B157" s="2" t="str">
        <x:f>'Master Hunt List'!A150</x:f>
        <x:v>No</x:v>
      </x:c>
      <x:c r="C157" s="2" t="str">
        <x:f>'Master Hunt List'!B150</x:f>
        <x:v>A</x:v>
      </x:c>
      <x:c r="D157" s="2" t="str">
        <x:f>'Master Hunt List'!C150</x:f>
        <x:v>Whitetail Deer</x:v>
      </x:c>
      <x:c r="E157" s="2" t="str">
        <x:f>'Master Hunt List'!D150</x:f>
        <x:v>Alabama Creek WMA</x:v>
      </x:c>
      <x:c r="F157" s="2" t="str">
        <x:f>'Master Hunt List'!E150</x:f>
        <x:v>East Texas / Pineywoods</x:v>
      </x:c>
      <x:c r="G157" s="2" t="str">
        <x:f>'Master Hunt List'!F150</x:f>
        <x:v>USFS Buck Deer Permit - Adult</x:v>
      </x:c>
      <x:c r="H157" s="2" t="str">
        <x:f>'Master Hunt List'!G150</x:f>
        <x:v>Yes</x:v>
      </x:c>
      <x:c r="I157" s="2" t="str">
        <x:f>'Master Hunt List'!H150</x:f>
        <x:v>No</x:v>
      </x:c>
      <x:c r="J157" s="97" t="str">
        <x:f>'Master Hunt List'!I150</x:f>
        <x:v>2026-09-15</x:v>
      </x:c>
      <x:c r="K157" s="111" t="n">
        <x:f>'Master Hunt List'!K150</x:f>
        <x:v>0</x:v>
      </x:c>
      <x:c r="L157" s="2" t="n">
        <x:f>'Master Hunt List'!AF150</x:f>
        <x:v>0</x:v>
      </x:c>
      <x:c r="M157" s="2" t="n">
        <x:f>'Master Hunt List'!AH150</x:f>
        <x:v>0</x:v>
      </x:c>
      <x:c r="N157" s="2" t="n">
        <x:f>'Master Hunt List'!AI150</x:f>
        <x:v>0</x:v>
      </x:c>
      <x:c r="O157" s="2" t="str">
        <x:f>'Master Hunt List'!V150</x:f>
        <x:v>https://tpwd.texas.gov/huntwild/hunt/public/public_hunt_drawing/hunt-category-details.phtml?OCat=FBA</x:v>
      </x:c>
    </x:row>
    <x:row r="158">
      <x:c r="A158" s="2" t="n">
        <x:f>151</x:f>
        <x:v>151</x:v>
      </x:c>
      <x:c r="B158" s="2" t="str">
        <x:f>'Master Hunt List'!A151</x:f>
        <x:v>No</x:v>
      </x:c>
      <x:c r="C158" s="2" t="str">
        <x:f>'Master Hunt List'!B151</x:f>
        <x:v>A</x:v>
      </x:c>
      <x:c r="D158" s="2" t="str">
        <x:f>'Master Hunt List'!C151</x:f>
        <x:v>Whitetail Deer</x:v>
      </x:c>
      <x:c r="E158" s="2" t="str">
        <x:f>'Master Hunt List'!D151</x:f>
        <x:v>Alazan Bayou WMA</x:v>
      </x:c>
      <x:c r="F158" s="2" t="str">
        <x:f>'Master Hunt List'!E151</x:f>
        <x:v>East Texas / Pineywoods</x:v>
      </x:c>
      <x:c r="G158" s="2" t="str">
        <x:f>'Master Hunt List'!F151</x:f>
        <x:v>Gun Deer - Either Sex</x:v>
      </x:c>
      <x:c r="H158" s="2" t="str">
        <x:f>'Master Hunt List'!G151</x:f>
        <x:v>Yes</x:v>
      </x:c>
      <x:c r="I158" s="2" t="str">
        <x:f>'Master Hunt List'!H151</x:f>
        <x:v>Yes</x:v>
      </x:c>
      <x:c r="J158" s="97" t="str">
        <x:f>'Master Hunt List'!I151</x:f>
        <x:v>2026-09-15</x:v>
      </x:c>
      <x:c r="K158" s="111" t="n">
        <x:f>'Master Hunt List'!K151</x:f>
        <x:v>3</x:v>
      </x:c>
      <x:c r="L158" s="2" t="n">
        <x:f>'Master Hunt List'!AF151</x:f>
        <x:v>0</x:v>
      </x:c>
      <x:c r="M158" s="2" t="n">
        <x:f>'Master Hunt List'!AH151</x:f>
        <x:v>0</x:v>
      </x:c>
      <x:c r="N158" s="2" t="n">
        <x:f>'Master Hunt List'!AI151</x:f>
        <x:v>0</x:v>
      </x:c>
      <x:c r="O158" s="2" t="str">
        <x:f>'Master Hunt List'!V151</x:f>
        <x:v>https://tpwd.texas.gov/huntwild/hunt/public/public_hunt_drawing/hunt-category-details.phtml?OCat=GDE</x:v>
      </x:c>
    </x:row>
    <x:row r="159">
      <x:c r="A159" s="2" t="n">
        <x:f>152</x:f>
        <x:v>152</x:v>
      </x:c>
      <x:c r="B159" s="2" t="str">
        <x:f>'Master Hunt List'!A152</x:f>
        <x:v>No</x:v>
      </x:c>
      <x:c r="C159" s="2" t="str">
        <x:f>'Master Hunt List'!B152</x:f>
        <x:v>A</x:v>
      </x:c>
      <x:c r="D159" s="2" t="str">
        <x:f>'Master Hunt List'!C152</x:f>
        <x:v>Whitetail Deer</x:v>
      </x:c>
      <x:c r="E159" s="2" t="str">
        <x:f>'Master Hunt List'!D152</x:f>
        <x:v>Aransas NWR</x:v>
      </x:c>
      <x:c r="F159" s="2" t="str">
        <x:f>'Master Hunt List'!E152</x:f>
        <x:v>Houston / Gulf Coast</x:v>
      </x:c>
      <x:c r="G159" s="2" t="str">
        <x:f>'Master Hunt List'!F152</x:f>
        <x:v>National Refuge General Deer</x:v>
      </x:c>
      <x:c r="H159" s="2" t="str">
        <x:f>'Master Hunt List'!G152</x:f>
        <x:v>Yes</x:v>
      </x:c>
      <x:c r="I159" s="2" t="str">
        <x:f>'Master Hunt List'!H152</x:f>
        <x:v>Yes</x:v>
      </x:c>
      <x:c r="J159" s="97" t="str">
        <x:f>'Master Hunt List'!I152</x:f>
        <x:v>2026-09-15</x:v>
      </x:c>
      <x:c r="K159" s="111" t="n">
        <x:f>'Master Hunt List'!K152</x:f>
        <x:v>3</x:v>
      </x:c>
      <x:c r="L159" s="2" t="n">
        <x:f>'Master Hunt List'!AF152</x:f>
        <x:v>0</x:v>
      </x:c>
      <x:c r="M159" s="2" t="n">
        <x:f>'Master Hunt List'!AH152</x:f>
        <x:v>0</x:v>
      </x:c>
      <x:c r="N159" s="2" t="n">
        <x:f>'Master Hunt List'!AI152</x:f>
        <x:v>0</x:v>
      </x:c>
      <x:c r="O159" s="2" t="str">
        <x:f>'Master Hunt List'!V152</x:f>
        <x:v>https://tpwd.texas.gov/huntwild/hunt/public/public_hunt_drawing/hunt-category-details.phtml?OCat=NGE</x:v>
      </x:c>
    </x:row>
    <x:row r="160">
      <x:c r="A160" s="2" t="n">
        <x:f>153</x:f>
        <x:v>153</x:v>
      </x:c>
      <x:c r="B160" s="2" t="str">
        <x:f>'Master Hunt List'!A153</x:f>
        <x:v>No</x:v>
      </x:c>
      <x:c r="C160" s="2" t="str">
        <x:f>'Master Hunt List'!B153</x:f>
        <x:v>A</x:v>
      </x:c>
      <x:c r="D160" s="2" t="str">
        <x:f>'Master Hunt List'!C153</x:f>
        <x:v>Whitetail Deer</x:v>
      </x:c>
      <x:c r="E160" s="2" t="str">
        <x:f>'Master Hunt List'!D153</x:f>
        <x:v>Atlanta SP</x:v>
      </x:c>
      <x:c r="F160" s="2" t="str">
        <x:f>'Master Hunt List'!E153</x:f>
        <x:v>East Texas / Pineywoods</x:v>
      </x:c>
      <x:c r="G160" s="2" t="str">
        <x:f>'Master Hunt List'!F153</x:f>
        <x:v>Gun Deer - Antlerless/Spike</x:v>
      </x:c>
      <x:c r="H160" s="2" t="str">
        <x:f>'Master Hunt List'!G153</x:f>
        <x:v>Yes</x:v>
      </x:c>
      <x:c r="I160" s="2" t="str">
        <x:f>'Master Hunt List'!H153</x:f>
        <x:v>Yes</x:v>
      </x:c>
      <x:c r="J160" s="97" t="str">
        <x:f>'Master Hunt List'!I153</x:f>
        <x:v>2026-09-15</x:v>
      </x:c>
      <x:c r="K160" s="111" t="n">
        <x:f>'Master Hunt List'!K153</x:f>
        <x:v>3</x:v>
      </x:c>
      <x:c r="L160" s="2" t="n">
        <x:f>'Master Hunt List'!AF153</x:f>
        <x:v>0</x:v>
      </x:c>
      <x:c r="M160" s="2" t="n">
        <x:f>'Master Hunt List'!AH153</x:f>
        <x:v>0</x:v>
      </x:c>
      <x:c r="N160" s="2" t="n">
        <x:f>'Master Hunt List'!AI153</x:f>
        <x:v>0</x:v>
      </x:c>
      <x:c r="O160" s="2" t="str">
        <x:f>'Master Hunt List'!V153</x:f>
        <x:v>https://tpwd.texas.gov/huntwild/hunt/public/public_hunt_drawing/hunt-category-details.phtml?OCat=GDA</x:v>
      </x:c>
    </x:row>
    <x:row r="161">
      <x:c r="A161" s="2" t="n">
        <x:f>154</x:f>
        <x:v>154</x:v>
      </x:c>
      <x:c r="B161" s="2" t="str">
        <x:f>'Master Hunt List'!A154</x:f>
        <x:v>No</x:v>
      </x:c>
      <x:c r="C161" s="2" t="str">
        <x:f>'Master Hunt List'!B154</x:f>
        <x:v>A</x:v>
      </x:c>
      <x:c r="D161" s="2" t="str">
        <x:f>'Master Hunt List'!C154</x:f>
        <x:v>Whitetail Deer</x:v>
      </x:c>
      <x:c r="E161" s="2" t="str">
        <x:f>'Master Hunt List'!D154</x:f>
        <x:v>Atlanta SP</x:v>
      </x:c>
      <x:c r="F161" s="2" t="str">
        <x:f>'Master Hunt List'!E154</x:f>
        <x:v>East Texas / Pineywoods</x:v>
      </x:c>
      <x:c r="G161" s="2" t="str">
        <x:f>'Master Hunt List'!F154</x:f>
        <x:v>Gun Deer - Either Sex</x:v>
      </x:c>
      <x:c r="H161" s="2" t="str">
        <x:f>'Master Hunt List'!G154</x:f>
        <x:v>Yes</x:v>
      </x:c>
      <x:c r="I161" s="2" t="str">
        <x:f>'Master Hunt List'!H154</x:f>
        <x:v>Yes</x:v>
      </x:c>
      <x:c r="J161" s="97" t="str">
        <x:f>'Master Hunt List'!I154</x:f>
        <x:v>2026-09-15</x:v>
      </x:c>
      <x:c r="K161" s="111" t="n">
        <x:f>'Master Hunt List'!K154</x:f>
        <x:v>3</x:v>
      </x:c>
      <x:c r="L161" s="2" t="n">
        <x:f>'Master Hunt List'!AF154</x:f>
        <x:v>0</x:v>
      </x:c>
      <x:c r="M161" s="2" t="n">
        <x:f>'Master Hunt List'!AH154</x:f>
        <x:v>0</x:v>
      </x:c>
      <x:c r="N161" s="2" t="n">
        <x:f>'Master Hunt List'!AI154</x:f>
        <x:v>0</x:v>
      </x:c>
      <x:c r="O161" s="2" t="str">
        <x:f>'Master Hunt List'!V154</x:f>
        <x:v>https://tpwd.texas.gov/huntwild/hunt/public/public_hunt_drawing/hunt-category-details.phtml?OCat=GDE</x:v>
      </x:c>
    </x:row>
    <x:row r="162">
      <x:c r="A162" s="2" t="n">
        <x:f>155</x:f>
        <x:v>155</x:v>
      </x:c>
      <x:c r="B162" s="2" t="str">
        <x:f>'Master Hunt List'!A155</x:f>
        <x:v>No</x:v>
      </x:c>
      <x:c r="C162" s="2" t="str">
        <x:f>'Master Hunt List'!B155</x:f>
        <x:v>A</x:v>
      </x:c>
      <x:c r="D162" s="2" t="str">
        <x:f>'Master Hunt List'!C155</x:f>
        <x:v>Whitetail Deer</x:v>
      </x:c>
      <x:c r="E162" s="2" t="str">
        <x:f>'Master Hunt List'!D155</x:f>
        <x:v>Balcones Canyonlands NWR</x:v>
      </x:c>
      <x:c r="F162" s="2" t="str">
        <x:f>'Master Hunt List'!E155</x:f>
        <x:v>Statewide / Other</x:v>
      </x:c>
      <x:c r="G162" s="2" t="str">
        <x:f>'Master Hunt List'!F155</x:f>
        <x:v>National Refuge General Deer</x:v>
      </x:c>
      <x:c r="H162" s="2" t="str">
        <x:f>'Master Hunt List'!G155</x:f>
        <x:v>Yes</x:v>
      </x:c>
      <x:c r="I162" s="2" t="str">
        <x:f>'Master Hunt List'!H155</x:f>
        <x:v>Yes</x:v>
      </x:c>
      <x:c r="J162" s="97" t="str">
        <x:f>'Master Hunt List'!I155</x:f>
        <x:v>2026-09-15</x:v>
      </x:c>
      <x:c r="K162" s="111" t="n">
        <x:f>'Master Hunt List'!K155</x:f>
        <x:v>3</x:v>
      </x:c>
      <x:c r="L162" s="2" t="n">
        <x:f>'Master Hunt List'!AF155</x:f>
        <x:v>0</x:v>
      </x:c>
      <x:c r="M162" s="2" t="n">
        <x:f>'Master Hunt List'!AH155</x:f>
        <x:v>0</x:v>
      </x:c>
      <x:c r="N162" s="2" t="n">
        <x:f>'Master Hunt List'!AI155</x:f>
        <x:v>0</x:v>
      </x:c>
      <x:c r="O162" s="2" t="str">
        <x:f>'Master Hunt List'!V155</x:f>
        <x:v>https://tpwd.texas.gov/huntwild/hunt/public/public_hunt_drawing/hunt-category-details.phtml?OCat=NGE</x:v>
      </x:c>
    </x:row>
    <x:row r="163">
      <x:c r="A163" s="2" t="n">
        <x:f>156</x:f>
        <x:v>156</x:v>
      </x:c>
      <x:c r="B163" s="2" t="str">
        <x:f>'Master Hunt List'!A156</x:f>
        <x:v>No</x:v>
      </x:c>
      <x:c r="C163" s="2" t="str">
        <x:f>'Master Hunt List'!B156</x:f>
        <x:v>A</x:v>
      </x:c>
      <x:c r="D163" s="2" t="str">
        <x:f>'Master Hunt List'!C156</x:f>
        <x:v>Whitetail Deer</x:v>
      </x:c>
      <x:c r="E163" s="2" t="str">
        <x:f>'Master Hunt List'!D156</x:f>
        <x:v>Bannister WMA</x:v>
      </x:c>
      <x:c r="F163" s="2" t="str">
        <x:f>'Master Hunt List'!E156</x:f>
        <x:v>East Texas / Pineywoods</x:v>
      </x:c>
      <x:c r="G163" s="2" t="str">
        <x:f>'Master Hunt List'!F156</x:f>
        <x:v>USFS Antlerless Deer Permit - Adult</x:v>
      </x:c>
      <x:c r="H163" s="2" t="str">
        <x:f>'Master Hunt List'!G156</x:f>
        <x:v>Yes</x:v>
      </x:c>
      <x:c r="I163" s="2" t="str">
        <x:f>'Master Hunt List'!H156</x:f>
        <x:v>No</x:v>
      </x:c>
      <x:c r="J163" s="97" t="str">
        <x:f>'Master Hunt List'!I156</x:f>
        <x:v>2026-09-15</x:v>
      </x:c>
      <x:c r="K163" s="111" t="n">
        <x:f>'Master Hunt List'!K156</x:f>
        <x:v>0</x:v>
      </x:c>
      <x:c r="L163" s="2" t="n">
        <x:f>'Master Hunt List'!AF156</x:f>
        <x:v>0</x:v>
      </x:c>
      <x:c r="M163" s="2" t="n">
        <x:f>'Master Hunt List'!AH156</x:f>
        <x:v>0</x:v>
      </x:c>
      <x:c r="N163" s="2" t="n">
        <x:f>'Master Hunt List'!AI156</x:f>
        <x:v>0</x:v>
      </x:c>
      <x:c r="O163" s="2" t="str">
        <x:f>'Master Hunt List'!V156</x:f>
        <x:v>https://tpwd.texas.gov/huntwild/hunt/public/public_hunt_drawing/hunt-category-details.phtml?OCat=FSD</x:v>
      </x:c>
    </x:row>
    <x:row r="164">
      <x:c r="A164" s="2" t="n">
        <x:f>157</x:f>
        <x:v>157</x:v>
      </x:c>
      <x:c r="B164" s="2" t="str">
        <x:f>'Master Hunt List'!A157</x:f>
        <x:v>No</x:v>
      </x:c>
      <x:c r="C164" s="2" t="str">
        <x:f>'Master Hunt List'!B157</x:f>
        <x:v>A</x:v>
      </x:c>
      <x:c r="D164" s="2" t="str">
        <x:f>'Master Hunt List'!C157</x:f>
        <x:v>Whitetail Deer</x:v>
      </x:c>
      <x:c r="E164" s="2" t="str">
        <x:f>'Master Hunt List'!D157</x:f>
        <x:v>Bastrop SP</x:v>
      </x:c>
      <x:c r="F164" s="2" t="str">
        <x:f>'Master Hunt List'!E157</x:f>
        <x:v>Central Texas / Austin</x:v>
      </x:c>
      <x:c r="G164" s="2" t="str">
        <x:f>'Master Hunt List'!F157</x:f>
        <x:v>Gun Deer - Antlerless/Spike</x:v>
      </x:c>
      <x:c r="H164" s="2" t="str">
        <x:f>'Master Hunt List'!G157</x:f>
        <x:v>Yes</x:v>
      </x:c>
      <x:c r="I164" s="2" t="str">
        <x:f>'Master Hunt List'!H157</x:f>
        <x:v>Yes</x:v>
      </x:c>
      <x:c r="J164" s="97" t="str">
        <x:f>'Master Hunt List'!I157</x:f>
        <x:v>2026-09-15</x:v>
      </x:c>
      <x:c r="K164" s="111" t="n">
        <x:f>'Master Hunt List'!K157</x:f>
        <x:v>3</x:v>
      </x:c>
      <x:c r="L164" s="2" t="n">
        <x:f>'Master Hunt List'!AF157</x:f>
        <x:v>0</x:v>
      </x:c>
      <x:c r="M164" s="2" t="n">
        <x:f>'Master Hunt List'!AH157</x:f>
        <x:v>0</x:v>
      </x:c>
      <x:c r="N164" s="2" t="n">
        <x:f>'Master Hunt List'!AI157</x:f>
        <x:v>0</x:v>
      </x:c>
      <x:c r="O164" s="2" t="str">
        <x:f>'Master Hunt List'!V157</x:f>
        <x:v>https://tpwd.texas.gov/huntwild/hunt/public/public_hunt_drawing/hunt-category-details.phtml?OCat=GDA</x:v>
      </x:c>
    </x:row>
    <x:row r="165">
      <x:c r="A165" s="2" t="n">
        <x:f>158</x:f>
        <x:v>158</x:v>
      </x:c>
      <x:c r="B165" s="2" t="str">
        <x:f>'Master Hunt List'!A158</x:f>
        <x:v>No</x:v>
      </x:c>
      <x:c r="C165" s="2" t="str">
        <x:f>'Master Hunt List'!B158</x:f>
        <x:v>A</x:v>
      </x:c>
      <x:c r="D165" s="2" t="str">
        <x:f>'Master Hunt List'!C158</x:f>
        <x:v>Whitetail Deer</x:v>
      </x:c>
      <x:c r="E165" s="2" t="str">
        <x:f>'Master Hunt List'!D158</x:f>
        <x:v>Bear Creek State Park</x:v>
      </x:c>
      <x:c r="F165" s="2" t="str">
        <x:f>'Master Hunt List'!E158</x:f>
        <x:v>East Texas / Pineywoods</x:v>
      </x:c>
      <x:c r="G165" s="2" t="str">
        <x:f>'Master Hunt List'!F158</x:f>
        <x:v>Gun Deer - Either Sex</x:v>
      </x:c>
      <x:c r="H165" s="2" t="str">
        <x:f>'Master Hunt List'!G158</x:f>
        <x:v>Yes</x:v>
      </x:c>
      <x:c r="I165" s="2" t="str">
        <x:f>'Master Hunt List'!H158</x:f>
        <x:v>Yes</x:v>
      </x:c>
      <x:c r="J165" s="97" t="str">
        <x:f>'Master Hunt List'!I158</x:f>
        <x:v>2026-09-15</x:v>
      </x:c>
      <x:c r="K165" s="111" t="n">
        <x:f>'Master Hunt List'!K158</x:f>
        <x:v>3</x:v>
      </x:c>
      <x:c r="L165" s="2" t="n">
        <x:f>'Master Hunt List'!AF158</x:f>
        <x:v>0</x:v>
      </x:c>
      <x:c r="M165" s="2" t="n">
        <x:f>'Master Hunt List'!AH158</x:f>
        <x:v>0</x:v>
      </x:c>
      <x:c r="N165" s="2" t="n">
        <x:f>'Master Hunt List'!AI158</x:f>
        <x:v>0</x:v>
      </x:c>
      <x:c r="O165" s="2" t="str">
        <x:f>'Master Hunt List'!V158</x:f>
        <x:v>https://tpwd.texas.gov/huntwild/hunt/public/public_hunt_drawing/hunt-category-details.phtml?OCat=GDE</x:v>
      </x:c>
    </x:row>
    <x:row r="166">
      <x:c r="A166" s="2" t="n">
        <x:f>159</x:f>
        <x:v>159</x:v>
      </x:c>
      <x:c r="B166" s="2" t="str">
        <x:f>'Master Hunt List'!A159</x:f>
        <x:v>No</x:v>
      </x:c>
      <x:c r="C166" s="2" t="str">
        <x:f>'Master Hunt List'!B159</x:f>
        <x:v>A</x:v>
      </x:c>
      <x:c r="D166" s="2" t="str">
        <x:f>'Master Hunt List'!C159</x:f>
        <x:v>Whitetail Deer</x:v>
      </x:c>
      <x:c r="E166" s="2" t="str">
        <x:f>'Master Hunt List'!D159</x:f>
        <x:v>Big Lake Bottom WMA</x:v>
      </x:c>
      <x:c r="F166" s="2" t="str">
        <x:f>'Master Hunt List'!E159</x:f>
        <x:v>Statewide / Other</x:v>
      </x:c>
      <x:c r="G166" s="2" t="str">
        <x:f>'Master Hunt List'!F159</x:f>
        <x:v>E-Postcard Deer</x:v>
      </x:c>
      <x:c r="H166" s="2" t="str">
        <x:f>'Master Hunt List'!G159</x:f>
        <x:v>Yes</x:v>
      </x:c>
      <x:c r="I166" s="2" t="str">
        <x:f>'Master Hunt List'!H159</x:f>
        <x:v>Yes</x:v>
      </x:c>
      <x:c r="J166" s="97" t="str">
        <x:f>'Master Hunt List'!I159</x:f>
        <x:v>2026-09-15</x:v>
      </x:c>
      <x:c r="K166" s="111" t="n">
        <x:f>'Master Hunt List'!K159</x:f>
        <x:v>0</x:v>
      </x:c>
      <x:c r="L166" s="2" t="n">
        <x:f>'Master Hunt List'!AF159</x:f>
        <x:v>0</x:v>
      </x:c>
      <x:c r="M166" s="2" t="n">
        <x:f>'Master Hunt List'!AH159</x:f>
        <x:v>0</x:v>
      </x:c>
      <x:c r="N166" s="2" t="n">
        <x:f>'Master Hunt List'!AI159</x:f>
        <x:v>0</x:v>
      </x:c>
      <x:c r="O166" s="2" t="str">
        <x:f>'Master Hunt List'!V159</x:f>
        <x:v>https://tpwd.texas.gov/huntwild/hunt/public/public_hunt_drawing/hunt-category-details.phtml?OCat=EDR</x:v>
      </x:c>
    </x:row>
    <x:row r="167">
      <x:c r="A167" s="2" t="n">
        <x:f>160</x:f>
        <x:v>160</x:v>
      </x:c>
      <x:c r="B167" s="2" t="str">
        <x:f>'Master Hunt List'!A160</x:f>
        <x:v>No</x:v>
      </x:c>
      <x:c r="C167" s="2" t="str">
        <x:f>'Master Hunt List'!B160</x:f>
        <x:v>A</x:v>
      </x:c>
      <x:c r="D167" s="2" t="str">
        <x:f>'Master Hunt List'!C160</x:f>
        <x:v>Whitetail Deer</x:v>
      </x:c>
      <x:c r="E167" s="2" t="str">
        <x:f>'Master Hunt List'!D160</x:f>
        <x:v>Brazos Bend SP</x:v>
      </x:c>
      <x:c r="F167" s="2" t="str">
        <x:f>'Master Hunt List'!E160</x:f>
        <x:v>Houston / Gulf Coast</x:v>
      </x:c>
      <x:c r="G167" s="2" t="str">
        <x:f>'Master Hunt List'!F160</x:f>
        <x:v>Gun Deer - Antlerless/Spike</x:v>
      </x:c>
      <x:c r="H167" s="2" t="str">
        <x:f>'Master Hunt List'!G160</x:f>
        <x:v>Yes</x:v>
      </x:c>
      <x:c r="I167" s="2" t="str">
        <x:f>'Master Hunt List'!H160</x:f>
        <x:v>Yes</x:v>
      </x:c>
      <x:c r="J167" s="97" t="str">
        <x:f>'Master Hunt List'!I160</x:f>
        <x:v>2026-09-15</x:v>
      </x:c>
      <x:c r="K167" s="111" t="n">
        <x:f>'Master Hunt List'!K160</x:f>
        <x:v>3</x:v>
      </x:c>
      <x:c r="L167" s="2" t="n">
        <x:f>'Master Hunt List'!AF160</x:f>
        <x:v>0</x:v>
      </x:c>
      <x:c r="M167" s="2" t="n">
        <x:f>'Master Hunt List'!AH160</x:f>
        <x:v>0</x:v>
      </x:c>
      <x:c r="N167" s="2" t="n">
        <x:f>'Master Hunt List'!AI160</x:f>
        <x:v>0</x:v>
      </x:c>
      <x:c r="O167" s="2" t="str">
        <x:f>'Master Hunt List'!V160</x:f>
        <x:v>https://tpwd.texas.gov/huntwild/hunt/public/public_hunt_drawing/hunt-category-details.phtml?OCat=GDA</x:v>
      </x:c>
    </x:row>
    <x:row r="168">
      <x:c r="A168" s="2" t="n">
        <x:f>161</x:f>
        <x:v>161</x:v>
      </x:c>
      <x:c r="B168" s="2" t="str">
        <x:f>'Master Hunt List'!A161</x:f>
        <x:v>No</x:v>
      </x:c>
      <x:c r="C168" s="2" t="str">
        <x:f>'Master Hunt List'!B161</x:f>
        <x:v>A</x:v>
      </x:c>
      <x:c r="D168" s="2" t="str">
        <x:f>'Master Hunt List'!C161</x:f>
        <x:v>Whitetail Deer</x:v>
      </x:c>
      <x:c r="E168" s="2" t="str">
        <x:f>'Master Hunt List'!D161</x:f>
        <x:v>Brazos Bend SP</x:v>
      </x:c>
      <x:c r="F168" s="2" t="str">
        <x:f>'Master Hunt List'!E161</x:f>
        <x:v>Houston / Gulf Coast</x:v>
      </x:c>
      <x:c r="G168" s="2" t="str">
        <x:f>'Master Hunt List'!F161</x:f>
        <x:v>Gun Deer - Either Sex</x:v>
      </x:c>
      <x:c r="H168" s="2" t="str">
        <x:f>'Master Hunt List'!G161</x:f>
        <x:v>Yes</x:v>
      </x:c>
      <x:c r="I168" s="2" t="str">
        <x:f>'Master Hunt List'!H161</x:f>
        <x:v>Yes</x:v>
      </x:c>
      <x:c r="J168" s="97" t="str">
        <x:f>'Master Hunt List'!I161</x:f>
        <x:v>2026-09-15</x:v>
      </x:c>
      <x:c r="K168" s="111" t="n">
        <x:f>'Master Hunt List'!K161</x:f>
        <x:v>3</x:v>
      </x:c>
      <x:c r="L168" s="2" t="n">
        <x:f>'Master Hunt List'!AF161</x:f>
        <x:v>0</x:v>
      </x:c>
      <x:c r="M168" s="2" t="n">
        <x:f>'Master Hunt List'!AH161</x:f>
        <x:v>0</x:v>
      </x:c>
      <x:c r="N168" s="2" t="n">
        <x:f>'Master Hunt List'!AI161</x:f>
        <x:v>0</x:v>
      </x:c>
      <x:c r="O168" s="2" t="str">
        <x:f>'Master Hunt List'!V161</x:f>
        <x:v>https://tpwd.texas.gov/huntwild/hunt/public/public_hunt_drawing/hunt-category-details.phtml?OCat=GDE</x:v>
      </x:c>
    </x:row>
    <x:row r="169">
      <x:c r="A169" s="2" t="n">
        <x:f>162</x:f>
        <x:v>162</x:v>
      </x:c>
      <x:c r="B169" s="2" t="str">
        <x:f>'Master Hunt List'!A162</x:f>
        <x:v>No</x:v>
      </x:c>
      <x:c r="C169" s="2" t="str">
        <x:f>'Master Hunt List'!B162</x:f>
        <x:v>A</x:v>
      </x:c>
      <x:c r="D169" s="2" t="str">
        <x:f>'Master Hunt List'!C162</x:f>
        <x:v>Whitetail Deer</x:v>
      </x:c>
      <x:c r="E169" s="2" t="str">
        <x:f>'Master Hunt List'!D162</x:f>
        <x:v>Caddo Lake NWR</x:v>
      </x:c>
      <x:c r="F169" s="2" t="str">
        <x:f>'Master Hunt List'!E162</x:f>
        <x:v>East Texas / Pineywoods</x:v>
      </x:c>
      <x:c r="G169" s="2" t="str">
        <x:f>'Master Hunt List'!F162</x:f>
        <x:v>National Refuge General Deer</x:v>
      </x:c>
      <x:c r="H169" s="2" t="str">
        <x:f>'Master Hunt List'!G162</x:f>
        <x:v>Yes</x:v>
      </x:c>
      <x:c r="I169" s="2" t="str">
        <x:f>'Master Hunt List'!H162</x:f>
        <x:v>Yes</x:v>
      </x:c>
      <x:c r="J169" s="97" t="str">
        <x:f>'Master Hunt List'!I162</x:f>
        <x:v>2026-09-15</x:v>
      </x:c>
      <x:c r="K169" s="111" t="n">
        <x:f>'Master Hunt List'!K162</x:f>
        <x:v>3</x:v>
      </x:c>
      <x:c r="L169" s="2" t="n">
        <x:f>'Master Hunt List'!AF162</x:f>
        <x:v>0</x:v>
      </x:c>
      <x:c r="M169" s="2" t="n">
        <x:f>'Master Hunt List'!AH162</x:f>
        <x:v>0</x:v>
      </x:c>
      <x:c r="N169" s="2" t="n">
        <x:f>'Master Hunt List'!AI162</x:f>
        <x:v>0</x:v>
      </x:c>
      <x:c r="O169" s="2" t="str">
        <x:f>'Master Hunt List'!V162</x:f>
        <x:v>https://tpwd.texas.gov/huntwild/hunt/public/public_hunt_drawing/hunt-category-details.phtml?OCat=NGE</x:v>
      </x:c>
    </x:row>
    <x:row r="170">
      <x:c r="A170" s="2" t="n">
        <x:f>163</x:f>
        <x:v>163</x:v>
      </x:c>
      <x:c r="B170" s="2" t="str">
        <x:f>'Master Hunt List'!A163</x:f>
        <x:v>No</x:v>
      </x:c>
      <x:c r="C170" s="2" t="str">
        <x:f>'Master Hunt List'!B163</x:f>
        <x:v>A</x:v>
      </x:c>
      <x:c r="D170" s="2" t="str">
        <x:f>'Master Hunt List'!C163</x:f>
        <x:v>Whitetail Deer</x:v>
      </x:c>
      <x:c r="E170" s="2" t="str">
        <x:f>'Master Hunt List'!D163</x:f>
        <x:v>Caddo Lake WMA</x:v>
      </x:c>
      <x:c r="F170" s="2" t="str">
        <x:f>'Master Hunt List'!E163</x:f>
        <x:v>East Texas / Pineywoods</x:v>
      </x:c>
      <x:c r="G170" s="2" t="str">
        <x:f>'Master Hunt List'!F163</x:f>
        <x:v>E-Postcard Deer</x:v>
      </x:c>
      <x:c r="H170" s="2" t="str">
        <x:f>'Master Hunt List'!G163</x:f>
        <x:v>Yes</x:v>
      </x:c>
      <x:c r="I170" s="2" t="str">
        <x:f>'Master Hunt List'!H163</x:f>
        <x:v>Yes</x:v>
      </x:c>
      <x:c r="J170" s="97" t="str">
        <x:f>'Master Hunt List'!I163</x:f>
        <x:v>2026-09-15</x:v>
      </x:c>
      <x:c r="K170" s="111" t="n">
        <x:f>'Master Hunt List'!K163</x:f>
        <x:v>0</x:v>
      </x:c>
      <x:c r="L170" s="2" t="n">
        <x:f>'Master Hunt List'!AF163</x:f>
        <x:v>0</x:v>
      </x:c>
      <x:c r="M170" s="2" t="n">
        <x:f>'Master Hunt List'!AH163</x:f>
        <x:v>0</x:v>
      </x:c>
      <x:c r="N170" s="2" t="n">
        <x:f>'Master Hunt List'!AI163</x:f>
        <x:v>0</x:v>
      </x:c>
      <x:c r="O170" s="2" t="str">
        <x:f>'Master Hunt List'!V163</x:f>
        <x:v>https://tpwd.texas.gov/huntwild/hunt/public/public_hunt_drawing/hunt-category-details.phtml?OCat=EDR</x:v>
      </x:c>
    </x:row>
    <x:row r="171">
      <x:c r="A171" s="2" t="n">
        <x:f>164</x:f>
        <x:v>164</x:v>
      </x:c>
      <x:c r="B171" s="2" t="str">
        <x:f>'Master Hunt List'!A164</x:f>
        <x:v>No</x:v>
      </x:c>
      <x:c r="C171" s="2" t="str">
        <x:f>'Master Hunt List'!B164</x:f>
        <x:v>A</x:v>
      </x:c>
      <x:c r="D171" s="2" t="str">
        <x:f>'Master Hunt List'!C164</x:f>
        <x:v>Whitetail Deer</x:v>
      </x:c>
      <x:c r="E171" s="2" t="str">
        <x:f>'Master Hunt List'!D164</x:f>
        <x:v>Caddo National Grasslands WMA - Bois d'Arc Unit</x:v>
      </x:c>
      <x:c r="F171" s="2" t="str">
        <x:f>'Master Hunt List'!E164</x:f>
        <x:v>North Texas / DFW</x:v>
      </x:c>
      <x:c r="G171" s="2" t="str">
        <x:f>'Master Hunt List'!F164</x:f>
        <x:v>USFS Antlerless Deer Permit - Adult</x:v>
      </x:c>
      <x:c r="H171" s="2" t="str">
        <x:f>'Master Hunt List'!G164</x:f>
        <x:v>Yes</x:v>
      </x:c>
      <x:c r="I171" s="2" t="str">
        <x:f>'Master Hunt List'!H164</x:f>
        <x:v>No</x:v>
      </x:c>
      <x:c r="J171" s="97" t="str">
        <x:f>'Master Hunt List'!I164</x:f>
        <x:v>2026-09-15</x:v>
      </x:c>
      <x:c r="K171" s="111" t="n">
        <x:f>'Master Hunt List'!K164</x:f>
        <x:v>0</x:v>
      </x:c>
      <x:c r="L171" s="2" t="n">
        <x:f>'Master Hunt List'!AF164</x:f>
        <x:v>0</x:v>
      </x:c>
      <x:c r="M171" s="2" t="n">
        <x:f>'Master Hunt List'!AH164</x:f>
        <x:v>0</x:v>
      </x:c>
      <x:c r="N171" s="2" t="n">
        <x:f>'Master Hunt List'!AI164</x:f>
        <x:v>0</x:v>
      </x:c>
      <x:c r="O171" s="2" t="str">
        <x:f>'Master Hunt List'!V164</x:f>
        <x:v>https://tpwd.texas.gov/huntwild/hunt/public/public_hunt_drawing/hunt-category-details.phtml?OCat=FSD</x:v>
      </x:c>
    </x:row>
    <x:row r="172">
      <x:c r="A172" s="2" t="n">
        <x:f>165</x:f>
        <x:v>165</x:v>
      </x:c>
      <x:c r="B172" s="2" t="str">
        <x:f>'Master Hunt List'!A165</x:f>
        <x:v>No</x:v>
      </x:c>
      <x:c r="C172" s="2" t="str">
        <x:f>'Master Hunt List'!B165</x:f>
        <x:v>A</x:v>
      </x:c>
      <x:c r="D172" s="2" t="str">
        <x:f>'Master Hunt List'!C165</x:f>
        <x:v>Whitetail Deer</x:v>
      </x:c>
      <x:c r="E172" s="2" t="str">
        <x:f>'Master Hunt List'!D165</x:f>
        <x:v>Caddo National Grasslands WMA - Ladonia Unit</x:v>
      </x:c>
      <x:c r="F172" s="2" t="str">
        <x:f>'Master Hunt List'!E165</x:f>
        <x:v>North Texas / DFW</x:v>
      </x:c>
      <x:c r="G172" s="2" t="str">
        <x:f>'Master Hunt List'!F165</x:f>
        <x:v>USFS Antlerless Deer Permit - Adult</x:v>
      </x:c>
      <x:c r="H172" s="2" t="str">
        <x:f>'Master Hunt List'!G165</x:f>
        <x:v>Yes</x:v>
      </x:c>
      <x:c r="I172" s="2" t="str">
        <x:f>'Master Hunt List'!H165</x:f>
        <x:v>No</x:v>
      </x:c>
      <x:c r="J172" s="97" t="str">
        <x:f>'Master Hunt List'!I165</x:f>
        <x:v>2026-09-15</x:v>
      </x:c>
      <x:c r="K172" s="111" t="n">
        <x:f>'Master Hunt List'!K165</x:f>
        <x:v>0</x:v>
      </x:c>
      <x:c r="L172" s="2" t="n">
        <x:f>'Master Hunt List'!AF165</x:f>
        <x:v>0</x:v>
      </x:c>
      <x:c r="M172" s="2" t="n">
        <x:f>'Master Hunt List'!AH165</x:f>
        <x:v>0</x:v>
      </x:c>
      <x:c r="N172" s="2" t="n">
        <x:f>'Master Hunt List'!AI165</x:f>
        <x:v>0</x:v>
      </x:c>
      <x:c r="O172" s="2" t="str">
        <x:f>'Master Hunt List'!V165</x:f>
        <x:v>https://tpwd.texas.gov/huntwild/hunt/public/public_hunt_drawing/hunt-category-details.phtml?OCat=FSD</x:v>
      </x:c>
    </x:row>
    <x:row r="173">
      <x:c r="A173" s="2" t="n">
        <x:f>166</x:f>
        <x:v>166</x:v>
      </x:c>
      <x:c r="B173" s="2" t="str">
        <x:f>'Master Hunt List'!A166</x:f>
        <x:v>No</x:v>
      </x:c>
      <x:c r="C173" s="2" t="str">
        <x:f>'Master Hunt List'!B166</x:f>
        <x:v>A</x:v>
      </x:c>
      <x:c r="D173" s="2" t="str">
        <x:f>'Master Hunt List'!C166</x:f>
        <x:v>Whitetail Deer</x:v>
      </x:c>
      <x:c r="E173" s="2" t="str">
        <x:f>'Master Hunt List'!D166</x:f>
        <x:v>Caprock Canyons SP</x:v>
      </x:c>
      <x:c r="F173" s="2" t="str">
        <x:f>'Master Hunt List'!E166</x:f>
        <x:v>Panhandle / Rolling Plains</x:v>
      </x:c>
      <x:c r="G173" s="2" t="str">
        <x:f>'Master Hunt List'!F166</x:f>
        <x:v>E-Postcard Deer</x:v>
      </x:c>
      <x:c r="H173" s="2" t="str">
        <x:f>'Master Hunt List'!G166</x:f>
        <x:v>Yes</x:v>
      </x:c>
      <x:c r="I173" s="2" t="str">
        <x:f>'Master Hunt List'!H166</x:f>
        <x:v>Yes</x:v>
      </x:c>
      <x:c r="J173" s="97" t="str">
        <x:f>'Master Hunt List'!I166</x:f>
        <x:v>2026-09-15</x:v>
      </x:c>
      <x:c r="K173" s="111" t="n">
        <x:f>'Master Hunt List'!K166</x:f>
        <x:v>0</x:v>
      </x:c>
      <x:c r="L173" s="2" t="n">
        <x:f>'Master Hunt List'!AF166</x:f>
        <x:v>0</x:v>
      </x:c>
      <x:c r="M173" s="2" t="n">
        <x:f>'Master Hunt List'!AH166</x:f>
        <x:v>0</x:v>
      </x:c>
      <x:c r="N173" s="2" t="n">
        <x:f>'Master Hunt List'!AI166</x:f>
        <x:v>0</x:v>
      </x:c>
      <x:c r="O173" s="2" t="str">
        <x:f>'Master Hunt List'!V166</x:f>
        <x:v>https://tpwd.texas.gov/huntwild/hunt/public/public_hunt_drawing/hunt-category-details.phtml?OCat=EDR</x:v>
      </x:c>
    </x:row>
    <x:row r="174">
      <x:c r="A174" s="2" t="n">
        <x:f>167</x:f>
        <x:v>167</x:v>
      </x:c>
      <x:c r="B174" s="2" t="str">
        <x:f>'Master Hunt List'!A167</x:f>
        <x:v>No</x:v>
      </x:c>
      <x:c r="C174" s="2" t="str">
        <x:f>'Master Hunt List'!B167</x:f>
        <x:v>A</x:v>
      </x:c>
      <x:c r="D174" s="2" t="str">
        <x:f>'Master Hunt List'!C167</x:f>
        <x:v>Whitetail Deer</x:v>
      </x:c>
      <x:c r="E174" s="2" t="str">
        <x:f>'Master Hunt List'!D167</x:f>
        <x:v>Chaparral WMA</x:v>
      </x:c>
      <x:c r="F174" s="2" t="str">
        <x:f>'Master Hunt List'!E167</x:f>
        <x:v>South Texas / Rio Grande Valley</x:v>
      </x:c>
      <x:c r="G174" s="2" t="str">
        <x:f>'Master Hunt List'!F167</x:f>
        <x:v>Gun Deer - Either Sex</x:v>
      </x:c>
      <x:c r="H174" s="2" t="str">
        <x:f>'Master Hunt List'!G167</x:f>
        <x:v>Yes</x:v>
      </x:c>
      <x:c r="I174" s="2" t="str">
        <x:f>'Master Hunt List'!H167</x:f>
        <x:v>Yes</x:v>
      </x:c>
      <x:c r="J174" s="97" t="str">
        <x:f>'Master Hunt List'!I167</x:f>
        <x:v>2026-09-15</x:v>
      </x:c>
      <x:c r="K174" s="111" t="n">
        <x:f>'Master Hunt List'!K167</x:f>
        <x:v>3</x:v>
      </x:c>
      <x:c r="L174" s="2" t="n">
        <x:f>'Master Hunt List'!AF167</x:f>
        <x:v>0</x:v>
      </x:c>
      <x:c r="M174" s="2" t="n">
        <x:f>'Master Hunt List'!AH167</x:f>
        <x:v>0</x:v>
      </x:c>
      <x:c r="N174" s="2" t="n">
        <x:f>'Master Hunt List'!AI167</x:f>
        <x:v>0</x:v>
      </x:c>
      <x:c r="O174" s="2" t="str">
        <x:f>'Master Hunt List'!V167</x:f>
        <x:v>https://tpwd.texas.gov/huntwild/hunt/public/public_hunt_drawing/hunt-category-details.phtml?OCat=GDE</x:v>
      </x:c>
    </x:row>
    <x:row r="175">
      <x:c r="A175" s="2" t="n">
        <x:f>168</x:f>
        <x:v>168</x:v>
      </x:c>
      <x:c r="B175" s="2" t="str">
        <x:f>'Master Hunt List'!A168</x:f>
        <x:v>No</x:v>
      </x:c>
      <x:c r="C175" s="2" t="str">
        <x:f>'Master Hunt List'!B168</x:f>
        <x:v>A</x:v>
      </x:c>
      <x:c r="D175" s="2" t="str">
        <x:f>'Master Hunt List'!C168</x:f>
        <x:v>Whitetail Deer</x:v>
      </x:c>
      <x:c r="E175" s="2" t="str">
        <x:f>'Master Hunt List'!D168</x:f>
        <x:v>Choke Canyon SP - Calliham Unit</x:v>
      </x:c>
      <x:c r="F175" s="2" t="str">
        <x:f>'Master Hunt List'!E168</x:f>
        <x:v>South Texas / Rio Grande Valley</x:v>
      </x:c>
      <x:c r="G175" s="2" t="str">
        <x:f>'Master Hunt List'!F168</x:f>
        <x:v>Gun Deer - Management</x:v>
      </x:c>
      <x:c r="H175" s="2" t="str">
        <x:f>'Master Hunt List'!G168</x:f>
        <x:v>Yes</x:v>
      </x:c>
      <x:c r="I175" s="2" t="str">
        <x:f>'Master Hunt List'!H168</x:f>
        <x:v>Yes</x:v>
      </x:c>
      <x:c r="J175" s="97" t="str">
        <x:f>'Master Hunt List'!I168</x:f>
        <x:v>2026-09-15</x:v>
      </x:c>
      <x:c r="K175" s="111" t="n">
        <x:f>'Master Hunt List'!K168</x:f>
        <x:v>3</x:v>
      </x:c>
      <x:c r="L175" s="2" t="n">
        <x:f>'Master Hunt List'!AF168</x:f>
        <x:v>0</x:v>
      </x:c>
      <x:c r="M175" s="2" t="n">
        <x:f>'Master Hunt List'!AH168</x:f>
        <x:v>0</x:v>
      </x:c>
      <x:c r="N175" s="2" t="n">
        <x:f>'Master Hunt List'!AI168</x:f>
        <x:v>0</x:v>
      </x:c>
      <x:c r="O175" s="2" t="str">
        <x:f>'Master Hunt List'!V168</x:f>
        <x:v>https://tpwd.texas.gov/huntwild/hunt/public/public_hunt_drawing/hunt-category-details.phtml?OCat=GDM</x:v>
      </x:c>
    </x:row>
    <x:row r="176">
      <x:c r="A176" s="2" t="n">
        <x:f>169</x:f>
        <x:v>169</x:v>
      </x:c>
      <x:c r="B176" s="2" t="str">
        <x:f>'Master Hunt List'!A169</x:f>
        <x:v>No</x:v>
      </x:c>
      <x:c r="C176" s="2" t="str">
        <x:f>'Master Hunt List'!B169</x:f>
        <x:v>A</x:v>
      </x:c>
      <x:c r="D176" s="2" t="str">
        <x:f>'Master Hunt List'!C169</x:f>
        <x:v>Whitetail Deer</x:v>
      </x:c>
      <x:c r="E176" s="2" t="str">
        <x:f>'Master Hunt List'!D169</x:f>
        <x:v>Choke Canyon SP - North Shore Unit</x:v>
      </x:c>
      <x:c r="F176" s="2" t="str">
        <x:f>'Master Hunt List'!E169</x:f>
        <x:v>South Texas / Rio Grande Valley</x:v>
      </x:c>
      <x:c r="G176" s="2" t="str">
        <x:f>'Master Hunt List'!F169</x:f>
        <x:v>Gun Deer - Either Sex</x:v>
      </x:c>
      <x:c r="H176" s="2" t="str">
        <x:f>'Master Hunt List'!G169</x:f>
        <x:v>Yes</x:v>
      </x:c>
      <x:c r="I176" s="2" t="str">
        <x:f>'Master Hunt List'!H169</x:f>
        <x:v>Yes</x:v>
      </x:c>
      <x:c r="J176" s="97" t="str">
        <x:f>'Master Hunt List'!I169</x:f>
        <x:v>2026-09-15</x:v>
      </x:c>
      <x:c r="K176" s="111" t="n">
        <x:f>'Master Hunt List'!K169</x:f>
        <x:v>3</x:v>
      </x:c>
      <x:c r="L176" s="2" t="n">
        <x:f>'Master Hunt List'!AF169</x:f>
        <x:v>0</x:v>
      </x:c>
      <x:c r="M176" s="2" t="n">
        <x:f>'Master Hunt List'!AH169</x:f>
        <x:v>0</x:v>
      </x:c>
      <x:c r="N176" s="2" t="n">
        <x:f>'Master Hunt List'!AI169</x:f>
        <x:v>0</x:v>
      </x:c>
      <x:c r="O176" s="2" t="str">
        <x:f>'Master Hunt List'!V169</x:f>
        <x:v>https://tpwd.texas.gov/huntwild/hunt/public/public_hunt_drawing/hunt-category-details.phtml?OCat=GDE</x:v>
      </x:c>
    </x:row>
    <x:row r="177">
      <x:c r="A177" s="2" t="n">
        <x:f>170</x:f>
        <x:v>170</x:v>
      </x:c>
      <x:c r="B177" s="2" t="str">
        <x:f>'Master Hunt List'!A170</x:f>
        <x:v>No</x:v>
      </x:c>
      <x:c r="C177" s="2" t="str">
        <x:f>'Master Hunt List'!B170</x:f>
        <x:v>A</x:v>
      </x:c>
      <x:c r="D177" s="2" t="str">
        <x:f>'Master Hunt List'!C170</x:f>
        <x:v>Whitetail Deer</x:v>
      </x:c>
      <x:c r="E177" s="2" t="str">
        <x:f>'Master Hunt List'!D170</x:f>
        <x:v>Choke Canyon SP - North Shore Unit</x:v>
      </x:c>
      <x:c r="F177" s="2" t="str">
        <x:f>'Master Hunt List'!E170</x:f>
        <x:v>South Texas / Rio Grande Valley</x:v>
      </x:c>
      <x:c r="G177" s="2" t="str">
        <x:f>'Master Hunt List'!F170</x:f>
        <x:v>Gun Deer - Management</x:v>
      </x:c>
      <x:c r="H177" s="2" t="str">
        <x:f>'Master Hunt List'!G170</x:f>
        <x:v>Yes</x:v>
      </x:c>
      <x:c r="I177" s="2" t="str">
        <x:f>'Master Hunt List'!H170</x:f>
        <x:v>Yes</x:v>
      </x:c>
      <x:c r="J177" s="97" t="str">
        <x:f>'Master Hunt List'!I170</x:f>
        <x:v>2026-09-15</x:v>
      </x:c>
      <x:c r="K177" s="111" t="n">
        <x:f>'Master Hunt List'!K170</x:f>
        <x:v>3</x:v>
      </x:c>
      <x:c r="L177" s="2" t="n">
        <x:f>'Master Hunt List'!AF170</x:f>
        <x:v>0</x:v>
      </x:c>
      <x:c r="M177" s="2" t="n">
        <x:f>'Master Hunt List'!AH170</x:f>
        <x:v>0</x:v>
      </x:c>
      <x:c r="N177" s="2" t="n">
        <x:f>'Master Hunt List'!AI170</x:f>
        <x:v>0</x:v>
      </x:c>
      <x:c r="O177" s="2" t="str">
        <x:f>'Master Hunt List'!V170</x:f>
        <x:v>https://tpwd.texas.gov/huntwild/hunt/public/public_hunt_drawing/hunt-category-details.phtml?OCat=GDM</x:v>
      </x:c>
    </x:row>
    <x:row r="178">
      <x:c r="A178" s="2" t="n">
        <x:f>171</x:f>
        <x:v>171</x:v>
      </x:c>
      <x:c r="B178" s="2" t="str">
        <x:f>'Master Hunt List'!A171</x:f>
        <x:v>No</x:v>
      </x:c>
      <x:c r="C178" s="2" t="str">
        <x:f>'Master Hunt List'!B171</x:f>
        <x:v>A</x:v>
      </x:c>
      <x:c r="D178" s="2" t="str">
        <x:f>'Master Hunt List'!C171</x:f>
        <x:v>Whitetail Deer</x:v>
      </x:c>
      <x:c r="E178" s="2" t="str">
        <x:f>'Master Hunt List'!D171</x:f>
        <x:v>Choke Canyon SP - South Shore Unit</x:v>
      </x:c>
      <x:c r="F178" s="2" t="str">
        <x:f>'Master Hunt List'!E171</x:f>
        <x:v>South Texas / Rio Grande Valley</x:v>
      </x:c>
      <x:c r="G178" s="2" t="str">
        <x:f>'Master Hunt List'!F171</x:f>
        <x:v>Gun Deer - Management</x:v>
      </x:c>
      <x:c r="H178" s="2" t="str">
        <x:f>'Master Hunt List'!G171</x:f>
        <x:v>Yes</x:v>
      </x:c>
      <x:c r="I178" s="2" t="str">
        <x:f>'Master Hunt List'!H171</x:f>
        <x:v>Yes</x:v>
      </x:c>
      <x:c r="J178" s="97" t="str">
        <x:f>'Master Hunt List'!I171</x:f>
        <x:v>2026-09-15</x:v>
      </x:c>
      <x:c r="K178" s="111" t="n">
        <x:f>'Master Hunt List'!K171</x:f>
        <x:v>3</x:v>
      </x:c>
      <x:c r="L178" s="2" t="n">
        <x:f>'Master Hunt List'!AF171</x:f>
        <x:v>0</x:v>
      </x:c>
      <x:c r="M178" s="2" t="n">
        <x:f>'Master Hunt List'!AH171</x:f>
        <x:v>0</x:v>
      </x:c>
      <x:c r="N178" s="2" t="n">
        <x:f>'Master Hunt List'!AI171</x:f>
        <x:v>0</x:v>
      </x:c>
      <x:c r="O178" s="2" t="str">
        <x:f>'Master Hunt List'!V171</x:f>
        <x:v>https://tpwd.texas.gov/huntwild/hunt/public/public_hunt_drawing/hunt-category-details.phtml?OCat=GDM</x:v>
      </x:c>
    </x:row>
    <x:row r="179">
      <x:c r="A179" s="2" t="n">
        <x:f>172</x:f>
        <x:v>172</x:v>
      </x:c>
      <x:c r="B179" s="2" t="str">
        <x:f>'Master Hunt List'!A172</x:f>
        <x:v>No</x:v>
      </x:c>
      <x:c r="C179" s="2" t="str">
        <x:f>'Master Hunt List'!B172</x:f>
        <x:v>A</x:v>
      </x:c>
      <x:c r="D179" s="2" t="str">
        <x:f>'Master Hunt List'!C172</x:f>
        <x:v>Whitetail Deer</x:v>
      </x:c>
      <x:c r="E179" s="2" t="str">
        <x:f>'Master Hunt List'!D172</x:f>
        <x:v>Colorado Bend SP</x:v>
      </x:c>
      <x:c r="F179" s="2" t="str">
        <x:f>'Master Hunt List'!E172</x:f>
        <x:v>Central Texas / Austin</x:v>
      </x:c>
      <x:c r="G179" s="2" t="str">
        <x:f>'Master Hunt List'!F172</x:f>
        <x:v>Gun Deer - Antlerless/Spike</x:v>
      </x:c>
      <x:c r="H179" s="2" t="str">
        <x:f>'Master Hunt List'!G172</x:f>
        <x:v>Yes</x:v>
      </x:c>
      <x:c r="I179" s="2" t="str">
        <x:f>'Master Hunt List'!H172</x:f>
        <x:v>Yes</x:v>
      </x:c>
      <x:c r="J179" s="97" t="str">
        <x:f>'Master Hunt List'!I172</x:f>
        <x:v>2026-09-15</x:v>
      </x:c>
      <x:c r="K179" s="111" t="n">
        <x:f>'Master Hunt List'!K172</x:f>
        <x:v>3</x:v>
      </x:c>
      <x:c r="L179" s="2" t="n">
        <x:f>'Master Hunt List'!AF172</x:f>
        <x:v>0</x:v>
      </x:c>
      <x:c r="M179" s="2" t="n">
        <x:f>'Master Hunt List'!AH172</x:f>
        <x:v>0</x:v>
      </x:c>
      <x:c r="N179" s="2" t="n">
        <x:f>'Master Hunt List'!AI172</x:f>
        <x:v>0</x:v>
      </x:c>
      <x:c r="O179" s="2" t="str">
        <x:f>'Master Hunt List'!V172</x:f>
        <x:v>https://tpwd.texas.gov/huntwild/hunt/public/public_hunt_drawing/hunt-category-details.phtml?OCat=GDA</x:v>
      </x:c>
    </x:row>
    <x:row r="180">
      <x:c r="A180" s="2" t="n">
        <x:f>173</x:f>
        <x:v>173</x:v>
      </x:c>
      <x:c r="B180" s="2" t="str">
        <x:f>'Master Hunt List'!A173</x:f>
        <x:v>No</x:v>
      </x:c>
      <x:c r="C180" s="2" t="str">
        <x:f>'Master Hunt List'!B173</x:f>
        <x:v>A</x:v>
      </x:c>
      <x:c r="D180" s="2" t="str">
        <x:f>'Master Hunt List'!C173</x:f>
        <x:v>Whitetail Deer</x:v>
      </x:c>
      <x:c r="E180" s="2" t="str">
        <x:f>'Master Hunt List'!D173</x:f>
        <x:v>Cooper WMA</x:v>
      </x:c>
      <x:c r="F180" s="2" t="str">
        <x:f>'Master Hunt List'!E173</x:f>
        <x:v>North Texas / DFW</x:v>
      </x:c>
      <x:c r="G180" s="2" t="str">
        <x:f>'Master Hunt List'!F173</x:f>
        <x:v>Gun Deer - Antlerless/Spike</x:v>
      </x:c>
      <x:c r="H180" s="2" t="str">
        <x:f>'Master Hunt List'!G173</x:f>
        <x:v>Yes</x:v>
      </x:c>
      <x:c r="I180" s="2" t="str">
        <x:f>'Master Hunt List'!H173</x:f>
        <x:v>Yes</x:v>
      </x:c>
      <x:c r="J180" s="97" t="str">
        <x:f>'Master Hunt List'!I173</x:f>
        <x:v>2026-09-15</x:v>
      </x:c>
      <x:c r="K180" s="111" t="n">
        <x:f>'Master Hunt List'!K173</x:f>
        <x:v>3</x:v>
      </x:c>
      <x:c r="L180" s="2" t="n">
        <x:f>'Master Hunt List'!AF173</x:f>
        <x:v>0</x:v>
      </x:c>
      <x:c r="M180" s="2" t="n">
        <x:f>'Master Hunt List'!AH173</x:f>
        <x:v>0</x:v>
      </x:c>
      <x:c r="N180" s="2" t="n">
        <x:f>'Master Hunt List'!AI173</x:f>
        <x:v>0</x:v>
      </x:c>
      <x:c r="O180" s="2" t="str">
        <x:f>'Master Hunt List'!V173</x:f>
        <x:v>https://tpwd.texas.gov/huntwild/hunt/public/public_hunt_drawing/hunt-category-details.phtml?OCat=GDA</x:v>
      </x:c>
    </x:row>
    <x:row r="181">
      <x:c r="A181" s="2" t="n">
        <x:f>174</x:f>
        <x:v>174</x:v>
      </x:c>
      <x:c r="B181" s="2" t="str">
        <x:f>'Master Hunt List'!A174</x:f>
        <x:v>No</x:v>
      </x:c>
      <x:c r="C181" s="2" t="str">
        <x:f>'Master Hunt List'!B174</x:f>
        <x:v>A</x:v>
      </x:c>
      <x:c r="D181" s="2" t="str">
        <x:f>'Master Hunt List'!C174</x:f>
        <x:v>Whitetail Deer</x:v>
      </x:c>
      <x:c r="E181" s="2" t="str">
        <x:f>'Master Hunt List'!D174</x:f>
        <x:v>Copper Breaks SP</x:v>
      </x:c>
      <x:c r="F181" s="2" t="str">
        <x:f>'Master Hunt List'!E174</x:f>
        <x:v>West-Central Texas</x:v>
      </x:c>
      <x:c r="G181" s="2" t="str">
        <x:f>'Master Hunt List'!F174</x:f>
        <x:v>Gun Deer - Antlerless/Spike</x:v>
      </x:c>
      <x:c r="H181" s="2" t="str">
        <x:f>'Master Hunt List'!G174</x:f>
        <x:v>Yes</x:v>
      </x:c>
      <x:c r="I181" s="2" t="str">
        <x:f>'Master Hunt List'!H174</x:f>
        <x:v>Yes</x:v>
      </x:c>
      <x:c r="J181" s="97" t="str">
        <x:f>'Master Hunt List'!I174</x:f>
        <x:v>2026-09-15</x:v>
      </x:c>
      <x:c r="K181" s="111" t="n">
        <x:f>'Master Hunt List'!K174</x:f>
        <x:v>3</x:v>
      </x:c>
      <x:c r="L181" s="2" t="n">
        <x:f>'Master Hunt List'!AF174</x:f>
        <x:v>0</x:v>
      </x:c>
      <x:c r="M181" s="2" t="n">
        <x:f>'Master Hunt List'!AH174</x:f>
        <x:v>0</x:v>
      </x:c>
      <x:c r="N181" s="2" t="n">
        <x:f>'Master Hunt List'!AI174</x:f>
        <x:v>0</x:v>
      </x:c>
      <x:c r="O181" s="2" t="str">
        <x:f>'Master Hunt List'!V174</x:f>
        <x:v>https://tpwd.texas.gov/huntwild/hunt/public/public_hunt_drawing/hunt-category-details.phtml?OCat=GDA</x:v>
      </x:c>
    </x:row>
    <x:row r="182">
      <x:c r="A182" s="2" t="n">
        <x:f>175</x:f>
        <x:v>175</x:v>
      </x:c>
      <x:c r="B182" s="2" t="str">
        <x:f>'Master Hunt List'!A175</x:f>
        <x:v>No</x:v>
      </x:c>
      <x:c r="C182" s="2" t="str">
        <x:f>'Master Hunt List'!B175</x:f>
        <x:v>A</x:v>
      </x:c>
      <x:c r="D182" s="2" t="str">
        <x:f>'Master Hunt List'!C175</x:f>
        <x:v>Whitetail Deer</x:v>
      </x:c>
      <x:c r="E182" s="2" t="str">
        <x:f>'Master Hunt List'!D175</x:f>
        <x:v>Devil's Sinkhole SNA</x:v>
      </x:c>
      <x:c r="F182" s="2" t="str">
        <x:f>'Master Hunt List'!E175</x:f>
        <x:v>Hill Country / San Antonio</x:v>
      </x:c>
      <x:c r="G182" s="2" t="str">
        <x:f>'Master Hunt List'!F175</x:f>
        <x:v>Gun Deer - Antlerless/Spike</x:v>
      </x:c>
      <x:c r="H182" s="2" t="str">
        <x:f>'Master Hunt List'!G175</x:f>
        <x:v>Yes</x:v>
      </x:c>
      <x:c r="I182" s="2" t="str">
        <x:f>'Master Hunt List'!H175</x:f>
        <x:v>Yes</x:v>
      </x:c>
      <x:c r="J182" s="97" t="str">
        <x:f>'Master Hunt List'!I175</x:f>
        <x:v>2026-09-15</x:v>
      </x:c>
      <x:c r="K182" s="111" t="n">
        <x:f>'Master Hunt List'!K175</x:f>
        <x:v>3</x:v>
      </x:c>
      <x:c r="L182" s="2" t="n">
        <x:f>'Master Hunt List'!AF175</x:f>
        <x:v>0</x:v>
      </x:c>
      <x:c r="M182" s="2" t="n">
        <x:f>'Master Hunt List'!AH175</x:f>
        <x:v>0</x:v>
      </x:c>
      <x:c r="N182" s="2" t="n">
        <x:f>'Master Hunt List'!AI175</x:f>
        <x:v>0</x:v>
      </x:c>
      <x:c r="O182" s="2" t="str">
        <x:f>'Master Hunt List'!V175</x:f>
        <x:v>https://tpwd.texas.gov/huntwild/hunt/public/public_hunt_drawing/hunt-category-details.phtml?OCat=GDA</x:v>
      </x:c>
    </x:row>
    <x:row r="183">
      <x:c r="A183" s="2" t="n">
        <x:f>176</x:f>
        <x:v>176</x:v>
      </x:c>
      <x:c r="B183" s="2" t="str">
        <x:f>'Master Hunt List'!A176</x:f>
        <x:v>No</x:v>
      </x:c>
      <x:c r="C183" s="2" t="str">
        <x:f>'Master Hunt List'!B176</x:f>
        <x:v>A</x:v>
      </x:c>
      <x:c r="D183" s="2" t="str">
        <x:f>'Master Hunt List'!C176</x:f>
        <x:v>Whitetail Deer</x:v>
      </x:c>
      <x:c r="E183" s="2" t="str">
        <x:f>'Master Hunt List'!D176</x:f>
        <x:v>Devils River SNA - Del Norte Unit</x:v>
      </x:c>
      <x:c r="F183" s="2" t="str">
        <x:f>'Master Hunt List'!E176</x:f>
        <x:v>Trans-Pecos / West Texas</x:v>
      </x:c>
      <x:c r="G183" s="2" t="str">
        <x:f>'Master Hunt List'!F176</x:f>
        <x:v>Gun Deer - Management</x:v>
      </x:c>
      <x:c r="H183" s="2" t="str">
        <x:f>'Master Hunt List'!G176</x:f>
        <x:v>Yes</x:v>
      </x:c>
      <x:c r="I183" s="2" t="str">
        <x:f>'Master Hunt List'!H176</x:f>
        <x:v>Yes</x:v>
      </x:c>
      <x:c r="J183" s="97" t="str">
        <x:f>'Master Hunt List'!I176</x:f>
        <x:v>2026-09-15</x:v>
      </x:c>
      <x:c r="K183" s="111" t="n">
        <x:f>'Master Hunt List'!K176</x:f>
        <x:v>3</x:v>
      </x:c>
      <x:c r="L183" s="2" t="n">
        <x:f>'Master Hunt List'!AF176</x:f>
        <x:v>0</x:v>
      </x:c>
      <x:c r="M183" s="2" t="n">
        <x:f>'Master Hunt List'!AH176</x:f>
        <x:v>0</x:v>
      </x:c>
      <x:c r="N183" s="2" t="n">
        <x:f>'Master Hunt List'!AI176</x:f>
        <x:v>0</x:v>
      </x:c>
      <x:c r="O183" s="2" t="str">
        <x:f>'Master Hunt List'!V176</x:f>
        <x:v>https://tpwd.texas.gov/huntwild/hunt/public/public_hunt_drawing/hunt-category-details.phtml?OCat=GDM</x:v>
      </x:c>
    </x:row>
    <x:row r="184">
      <x:c r="A184" s="2" t="n">
        <x:f>177</x:f>
        <x:v>177</x:v>
      </x:c>
      <x:c r="B184" s="2" t="str">
        <x:f>'Master Hunt List'!A177</x:f>
        <x:v>No</x:v>
      </x:c>
      <x:c r="C184" s="2" t="str">
        <x:f>'Master Hunt List'!B177</x:f>
        <x:v>A</x:v>
      </x:c>
      <x:c r="D184" s="2" t="str">
        <x:f>'Master Hunt List'!C177</x:f>
        <x:v>Whitetail Deer</x:v>
      </x:c>
      <x:c r="E184" s="2" t="str">
        <x:f>'Master Hunt List'!D177</x:f>
        <x:v>Dinosaur Valley SP</x:v>
      </x:c>
      <x:c r="F184" s="2" t="str">
        <x:f>'Master Hunt List'!E177</x:f>
        <x:v>Statewide / Other</x:v>
      </x:c>
      <x:c r="G184" s="2" t="str">
        <x:f>'Master Hunt List'!F177</x:f>
        <x:v>Gun Deer - Antlerless/Spike</x:v>
      </x:c>
      <x:c r="H184" s="2" t="str">
        <x:f>'Master Hunt List'!G177</x:f>
        <x:v>Yes</x:v>
      </x:c>
      <x:c r="I184" s="2" t="str">
        <x:f>'Master Hunt List'!H177</x:f>
        <x:v>Yes</x:v>
      </x:c>
      <x:c r="J184" s="97" t="str">
        <x:f>'Master Hunt List'!I177</x:f>
        <x:v>2026-09-15</x:v>
      </x:c>
      <x:c r="K184" s="111" t="n">
        <x:f>'Master Hunt List'!K177</x:f>
        <x:v>3</x:v>
      </x:c>
      <x:c r="L184" s="2" t="n">
        <x:f>'Master Hunt List'!AF177</x:f>
        <x:v>0</x:v>
      </x:c>
      <x:c r="M184" s="2" t="n">
        <x:f>'Master Hunt List'!AH177</x:f>
        <x:v>0</x:v>
      </x:c>
      <x:c r="N184" s="2" t="n">
        <x:f>'Master Hunt List'!AI177</x:f>
        <x:v>0</x:v>
      </x:c>
      <x:c r="O184" s="2" t="str">
        <x:f>'Master Hunt List'!V177</x:f>
        <x:v>https://tpwd.texas.gov/huntwild/hunt/public/public_hunt_drawing/hunt-category-details.phtml?OCat=GDA</x:v>
      </x:c>
    </x:row>
    <x:row r="185">
      <x:c r="A185" s="2" t="n">
        <x:f>178</x:f>
        <x:v>178</x:v>
      </x:c>
      <x:c r="B185" s="2" t="str">
        <x:f>'Master Hunt List'!A178</x:f>
        <x:v>No</x:v>
      </x:c>
      <x:c r="C185" s="2" t="str">
        <x:f>'Master Hunt List'!B178</x:f>
        <x:v>A</x:v>
      </x:c>
      <x:c r="D185" s="2" t="str">
        <x:f>'Master Hunt List'!C178</x:f>
        <x:v>Whitetail Deer</x:v>
      </x:c>
      <x:c r="E185" s="2" t="str">
        <x:f>'Master Hunt List'!D178</x:f>
        <x:v>Dinosaur Valley SP</x:v>
      </x:c>
      <x:c r="F185" s="2" t="str">
        <x:f>'Master Hunt List'!E178</x:f>
        <x:v>Statewide / Other</x:v>
      </x:c>
      <x:c r="G185" s="2" t="str">
        <x:f>'Master Hunt List'!F178</x:f>
        <x:v>Gun Deer - Either Sex</x:v>
      </x:c>
      <x:c r="H185" s="2" t="str">
        <x:f>'Master Hunt List'!G178</x:f>
        <x:v>Yes</x:v>
      </x:c>
      <x:c r="I185" s="2" t="str">
        <x:f>'Master Hunt List'!H178</x:f>
        <x:v>Yes</x:v>
      </x:c>
      <x:c r="J185" s="97" t="str">
        <x:f>'Master Hunt List'!I178</x:f>
        <x:v>2026-09-15</x:v>
      </x:c>
      <x:c r="K185" s="111" t="n">
        <x:f>'Master Hunt List'!K178</x:f>
        <x:v>3</x:v>
      </x:c>
      <x:c r="L185" s="2" t="n">
        <x:f>'Master Hunt List'!AF178</x:f>
        <x:v>0</x:v>
      </x:c>
      <x:c r="M185" s="2" t="n">
        <x:f>'Master Hunt List'!AH178</x:f>
        <x:v>0</x:v>
      </x:c>
      <x:c r="N185" s="2" t="n">
        <x:f>'Master Hunt List'!AI178</x:f>
        <x:v>0</x:v>
      </x:c>
      <x:c r="O185" s="2" t="str">
        <x:f>'Master Hunt List'!V178</x:f>
        <x:v>https://tpwd.texas.gov/huntwild/hunt/public/public_hunt_drawing/hunt-category-details.phtml?OCat=GDE</x:v>
      </x:c>
    </x:row>
    <x:row r="186">
      <x:c r="A186" s="2" t="n">
        <x:f>179</x:f>
        <x:v>179</x:v>
      </x:c>
      <x:c r="B186" s="2" t="str">
        <x:f>'Master Hunt List'!A179</x:f>
        <x:v>No</x:v>
      </x:c>
      <x:c r="C186" s="2" t="str">
        <x:f>'Master Hunt List'!B179</x:f>
        <x:v>A</x:v>
      </x:c>
      <x:c r="D186" s="2" t="str">
        <x:f>'Master Hunt List'!C179</x:f>
        <x:v>Whitetail Deer</x:v>
      </x:c>
      <x:c r="E186" s="2" t="str">
        <x:f>'Master Hunt List'!D179</x:f>
        <x:v>Elephant Mountain WMA</x:v>
      </x:c>
      <x:c r="F186" s="2" t="str">
        <x:f>'Master Hunt List'!E179</x:f>
        <x:v>Trans-Pecos / West Texas</x:v>
      </x:c>
      <x:c r="G186" s="2" t="str">
        <x:f>'Master Hunt List'!F179</x:f>
        <x:v>Gun Deer - Management</x:v>
      </x:c>
      <x:c r="H186" s="2" t="str">
        <x:f>'Master Hunt List'!G179</x:f>
        <x:v>Yes</x:v>
      </x:c>
      <x:c r="I186" s="2" t="str">
        <x:f>'Master Hunt List'!H179</x:f>
        <x:v>Yes</x:v>
      </x:c>
      <x:c r="J186" s="97" t="str">
        <x:f>'Master Hunt List'!I179</x:f>
        <x:v>2026-09-15</x:v>
      </x:c>
      <x:c r="K186" s="111" t="n">
        <x:f>'Master Hunt List'!K179</x:f>
        <x:v>3</x:v>
      </x:c>
      <x:c r="L186" s="2" t="n">
        <x:f>'Master Hunt List'!AF179</x:f>
        <x:v>0</x:v>
      </x:c>
      <x:c r="M186" s="2" t="n">
        <x:f>'Master Hunt List'!AH179</x:f>
        <x:v>0</x:v>
      </x:c>
      <x:c r="N186" s="2" t="n">
        <x:f>'Master Hunt List'!AI179</x:f>
        <x:v>0</x:v>
      </x:c>
      <x:c r="O186" s="2" t="str">
        <x:f>'Master Hunt List'!V179</x:f>
        <x:v>https://tpwd.texas.gov/huntwild/hunt/public/public_hunt_drawing/hunt-category-details.phtml?OCat=GDM</x:v>
      </x:c>
    </x:row>
    <x:row r="187">
      <x:c r="A187" s="2" t="n">
        <x:f>180</x:f>
        <x:v>180</x:v>
      </x:c>
      <x:c r="B187" s="2" t="str">
        <x:f>'Master Hunt List'!A180</x:f>
        <x:v>No</x:v>
      </x:c>
      <x:c r="C187" s="2" t="str">
        <x:f>'Master Hunt List'!B180</x:f>
        <x:v>A</x:v>
      </x:c>
      <x:c r="D187" s="2" t="str">
        <x:f>'Master Hunt List'!C180</x:f>
        <x:v>Whitetail Deer</x:v>
      </x:c>
      <x:c r="E187" s="2" t="str">
        <x:f>'Master Hunt List'!D180</x:f>
        <x:v>Enchanted Rock SNA</x:v>
      </x:c>
      <x:c r="F187" s="2" t="str">
        <x:f>'Master Hunt List'!E180</x:f>
        <x:v>Hill Country / San Antonio</x:v>
      </x:c>
      <x:c r="G187" s="2" t="str">
        <x:f>'Master Hunt List'!F180</x:f>
        <x:v>Gun Deer - Antlerless/Spike</x:v>
      </x:c>
      <x:c r="H187" s="2" t="str">
        <x:f>'Master Hunt List'!G180</x:f>
        <x:v>Yes</x:v>
      </x:c>
      <x:c r="I187" s="2" t="str">
        <x:f>'Master Hunt List'!H180</x:f>
        <x:v>Yes</x:v>
      </x:c>
      <x:c r="J187" s="97" t="str">
        <x:f>'Master Hunt List'!I180</x:f>
        <x:v>2026-09-15</x:v>
      </x:c>
      <x:c r="K187" s="111" t="n">
        <x:f>'Master Hunt List'!K180</x:f>
        <x:v>3</x:v>
      </x:c>
      <x:c r="L187" s="2" t="n">
        <x:f>'Master Hunt List'!AF180</x:f>
        <x:v>0</x:v>
      </x:c>
      <x:c r="M187" s="2" t="n">
        <x:f>'Master Hunt List'!AH180</x:f>
        <x:v>0</x:v>
      </x:c>
      <x:c r="N187" s="2" t="n">
        <x:f>'Master Hunt List'!AI180</x:f>
        <x:v>0</x:v>
      </x:c>
      <x:c r="O187" s="2" t="str">
        <x:f>'Master Hunt List'!V180</x:f>
        <x:v>https://tpwd.texas.gov/huntwild/hunt/public/public_hunt_drawing/hunt-category-details.phtml?OCat=GDA</x:v>
      </x:c>
    </x:row>
    <x:row r="188">
      <x:c r="A188" s="2" t="n">
        <x:f>181</x:f>
        <x:v>181</x:v>
      </x:c>
      <x:c r="B188" s="2" t="str">
        <x:f>'Master Hunt List'!A181</x:f>
        <x:v>No</x:v>
      </x:c>
      <x:c r="C188" s="2" t="str">
        <x:f>'Master Hunt List'!B181</x:f>
        <x:v>A</x:v>
      </x:c>
      <x:c r="D188" s="2" t="str">
        <x:f>'Master Hunt List'!C181</x:f>
        <x:v>Whitetail Deer</x:v>
      </x:c>
      <x:c r="E188" s="2" t="str">
        <x:f>'Master Hunt List'!D181</x:f>
        <x:v>Enchanted Rock SNA</x:v>
      </x:c>
      <x:c r="F188" s="2" t="str">
        <x:f>'Master Hunt List'!E181</x:f>
        <x:v>Hill Country / San Antonio</x:v>
      </x:c>
      <x:c r="G188" s="2" t="str">
        <x:f>'Master Hunt List'!F181</x:f>
        <x:v>Gun Deer - Either Sex</x:v>
      </x:c>
      <x:c r="H188" s="2" t="str">
        <x:f>'Master Hunt List'!G181</x:f>
        <x:v>Yes</x:v>
      </x:c>
      <x:c r="I188" s="2" t="str">
        <x:f>'Master Hunt List'!H181</x:f>
        <x:v>Yes</x:v>
      </x:c>
      <x:c r="J188" s="97" t="str">
        <x:f>'Master Hunt List'!I181</x:f>
        <x:v>2026-09-15</x:v>
      </x:c>
      <x:c r="K188" s="111" t="n">
        <x:f>'Master Hunt List'!K181</x:f>
        <x:v>3</x:v>
      </x:c>
      <x:c r="L188" s="2" t="n">
        <x:f>'Master Hunt List'!AF181</x:f>
        <x:v>0</x:v>
      </x:c>
      <x:c r="M188" s="2" t="n">
        <x:f>'Master Hunt List'!AH181</x:f>
        <x:v>0</x:v>
      </x:c>
      <x:c r="N188" s="2" t="n">
        <x:f>'Master Hunt List'!AI181</x:f>
        <x:v>0</x:v>
      </x:c>
      <x:c r="O188" s="2" t="str">
        <x:f>'Master Hunt List'!V181</x:f>
        <x:v>https://tpwd.texas.gov/huntwild/hunt/public/public_hunt_drawing/hunt-category-details.phtml?OCat=GDE</x:v>
      </x:c>
    </x:row>
    <x:row r="189">
      <x:c r="A189" s="2" t="n">
        <x:f>182</x:f>
        <x:v>182</x:v>
      </x:c>
      <x:c r="B189" s="2" t="str">
        <x:f>'Master Hunt List'!A182</x:f>
        <x:v>No</x:v>
      </x:c>
      <x:c r="C189" s="2" t="str">
        <x:f>'Master Hunt List'!B182</x:f>
        <x:v>A</x:v>
      </x:c>
      <x:c r="D189" s="2" t="str">
        <x:f>'Master Hunt List'!C182</x:f>
        <x:v>Whitetail Deer</x:v>
      </x:c>
      <x:c r="E189" s="2" t="str">
        <x:f>'Master Hunt List'!D182</x:f>
        <x:v>Fort Boggy SP</x:v>
      </x:c>
      <x:c r="F189" s="2" t="str">
        <x:f>'Master Hunt List'!E182</x:f>
        <x:v>North Texas / DFW</x:v>
      </x:c>
      <x:c r="G189" s="2" t="str">
        <x:f>'Master Hunt List'!F182</x:f>
        <x:v>Gun Deer - Either Sex</x:v>
      </x:c>
      <x:c r="H189" s="2" t="str">
        <x:f>'Master Hunt List'!G182</x:f>
        <x:v>Yes</x:v>
      </x:c>
      <x:c r="I189" s="2" t="str">
        <x:f>'Master Hunt List'!H182</x:f>
        <x:v>Yes</x:v>
      </x:c>
      <x:c r="J189" s="97" t="str">
        <x:f>'Master Hunt List'!I182</x:f>
        <x:v>2026-09-15</x:v>
      </x:c>
      <x:c r="K189" s="111" t="n">
        <x:f>'Master Hunt List'!K182</x:f>
        <x:v>3</x:v>
      </x:c>
      <x:c r="L189" s="2" t="n">
        <x:f>'Master Hunt List'!AF182</x:f>
        <x:v>0</x:v>
      </x:c>
      <x:c r="M189" s="2" t="n">
        <x:f>'Master Hunt List'!AH182</x:f>
        <x:v>0</x:v>
      </x:c>
      <x:c r="N189" s="2" t="n">
        <x:f>'Master Hunt List'!AI182</x:f>
        <x:v>0</x:v>
      </x:c>
      <x:c r="O189" s="2" t="str">
        <x:f>'Master Hunt List'!V182</x:f>
        <x:v>https://tpwd.texas.gov/huntwild/hunt/public/public_hunt_drawing/hunt-category-details.phtml?OCat=GDE</x:v>
      </x:c>
    </x:row>
    <x:row r="190">
      <x:c r="A190" s="2" t="n">
        <x:f>183</x:f>
        <x:v>183</x:v>
      </x:c>
      <x:c r="B190" s="2" t="str">
        <x:f>'Master Hunt List'!A183</x:f>
        <x:v>No</x:v>
      </x:c>
      <x:c r="C190" s="2" t="str">
        <x:f>'Master Hunt List'!B183</x:f>
        <x:v>A</x:v>
      </x:c>
      <x:c r="D190" s="2" t="str">
        <x:f>'Master Hunt List'!C183</x:f>
        <x:v>Whitetail Deer</x:v>
      </x:c>
      <x:c r="E190" s="2" t="str">
        <x:f>'Master Hunt List'!D183</x:f>
        <x:v>Gene Howe WMA</x:v>
      </x:c>
      <x:c r="F190" s="2" t="str">
        <x:f>'Master Hunt List'!E183</x:f>
        <x:v>Panhandle / Rolling Plains</x:v>
      </x:c>
      <x:c r="G190" s="2" t="str">
        <x:f>'Master Hunt List'!F183</x:f>
        <x:v>Gun Deer - Antlerless/Spike</x:v>
      </x:c>
      <x:c r="H190" s="2" t="str">
        <x:f>'Master Hunt List'!G183</x:f>
        <x:v>Yes</x:v>
      </x:c>
      <x:c r="I190" s="2" t="str">
        <x:f>'Master Hunt List'!H183</x:f>
        <x:v>Yes</x:v>
      </x:c>
      <x:c r="J190" s="97" t="str">
        <x:f>'Master Hunt List'!I183</x:f>
        <x:v>2026-09-15</x:v>
      </x:c>
      <x:c r="K190" s="111" t="n">
        <x:f>'Master Hunt List'!K183</x:f>
        <x:v>3</x:v>
      </x:c>
      <x:c r="L190" s="2" t="n">
        <x:f>'Master Hunt List'!AF183</x:f>
        <x:v>0</x:v>
      </x:c>
      <x:c r="M190" s="2" t="n">
        <x:f>'Master Hunt List'!AH183</x:f>
        <x:v>0</x:v>
      </x:c>
      <x:c r="N190" s="2" t="n">
        <x:f>'Master Hunt List'!AI183</x:f>
        <x:v>0</x:v>
      </x:c>
      <x:c r="O190" s="2" t="str">
        <x:f>'Master Hunt List'!V183</x:f>
        <x:v>https://tpwd.texas.gov/huntwild/hunt/public/public_hunt_drawing/hunt-category-details.phtml?OCat=GDA</x:v>
      </x:c>
    </x:row>
    <x:row r="191">
      <x:c r="A191" s="2" t="n">
        <x:f>184</x:f>
        <x:v>184</x:v>
      </x:c>
      <x:c r="B191" s="2" t="str">
        <x:f>'Master Hunt List'!A184</x:f>
        <x:v>No</x:v>
      </x:c>
      <x:c r="C191" s="2" t="str">
        <x:f>'Master Hunt List'!B184</x:f>
        <x:v>A</x:v>
      </x:c>
      <x:c r="D191" s="2" t="str">
        <x:f>'Master Hunt List'!C184</x:f>
        <x:v>Whitetail Deer</x:v>
      </x:c>
      <x:c r="E191" s="2" t="str">
        <x:f>'Master Hunt List'!D184</x:f>
        <x:v>Gene Howe WMA</x:v>
      </x:c>
      <x:c r="F191" s="2" t="str">
        <x:f>'Master Hunt List'!E184</x:f>
        <x:v>Panhandle / Rolling Plains</x:v>
      </x:c>
      <x:c r="G191" s="2" t="str">
        <x:f>'Master Hunt List'!F184</x:f>
        <x:v>Gun Deer - Either Sex</x:v>
      </x:c>
      <x:c r="H191" s="2" t="str">
        <x:f>'Master Hunt List'!G184</x:f>
        <x:v>Yes</x:v>
      </x:c>
      <x:c r="I191" s="2" t="str">
        <x:f>'Master Hunt List'!H184</x:f>
        <x:v>Yes</x:v>
      </x:c>
      <x:c r="J191" s="97" t="str">
        <x:f>'Master Hunt List'!I184</x:f>
        <x:v>2026-09-15</x:v>
      </x:c>
      <x:c r="K191" s="111" t="n">
        <x:f>'Master Hunt List'!K184</x:f>
        <x:v>3</x:v>
      </x:c>
      <x:c r="L191" s="2" t="n">
        <x:f>'Master Hunt List'!AF184</x:f>
        <x:v>0</x:v>
      </x:c>
      <x:c r="M191" s="2" t="n">
        <x:f>'Master Hunt List'!AH184</x:f>
        <x:v>0</x:v>
      </x:c>
      <x:c r="N191" s="2" t="n">
        <x:f>'Master Hunt List'!AI184</x:f>
        <x:v>0</x:v>
      </x:c>
      <x:c r="O191" s="2" t="str">
        <x:f>'Master Hunt List'!V184</x:f>
        <x:v>https://tpwd.texas.gov/huntwild/hunt/public/public_hunt_drawing/hunt-category-details.phtml?OCat=GDE</x:v>
      </x:c>
    </x:row>
    <x:row r="192">
      <x:c r="A192" s="2" t="n">
        <x:f>185</x:f>
        <x:v>185</x:v>
      </x:c>
      <x:c r="B192" s="2" t="str">
        <x:f>'Master Hunt List'!A185</x:f>
        <x:v>No</x:v>
      </x:c>
      <x:c r="C192" s="2" t="str">
        <x:f>'Master Hunt List'!B185</x:f>
        <x:v>A</x:v>
      </x:c>
      <x:c r="D192" s="2" t="str">
        <x:f>'Master Hunt List'!C185</x:f>
        <x:v>Whitetail Deer</x:v>
      </x:c>
      <x:c r="E192" s="2" t="str">
        <x:f>'Master Hunt List'!D185</x:f>
        <x:v>Government Canyon SNA</x:v>
      </x:c>
      <x:c r="F192" s="2" t="str">
        <x:f>'Master Hunt List'!E185</x:f>
        <x:v>Hill Country / San Antonio</x:v>
      </x:c>
      <x:c r="G192" s="2" t="str">
        <x:f>'Master Hunt List'!F185</x:f>
        <x:v>Gun Deer - Either Sex</x:v>
      </x:c>
      <x:c r="H192" s="2" t="str">
        <x:f>'Master Hunt List'!G185</x:f>
        <x:v>Yes</x:v>
      </x:c>
      <x:c r="I192" s="2" t="str">
        <x:f>'Master Hunt List'!H185</x:f>
        <x:v>Yes</x:v>
      </x:c>
      <x:c r="J192" s="97" t="str">
        <x:f>'Master Hunt List'!I185</x:f>
        <x:v>2026-09-15</x:v>
      </x:c>
      <x:c r="K192" s="111" t="n">
        <x:f>'Master Hunt List'!K185</x:f>
        <x:v>3</x:v>
      </x:c>
      <x:c r="L192" s="2" t="n">
        <x:f>'Master Hunt List'!AF185</x:f>
        <x:v>0</x:v>
      </x:c>
      <x:c r="M192" s="2" t="n">
        <x:f>'Master Hunt List'!AH185</x:f>
        <x:v>0</x:v>
      </x:c>
      <x:c r="N192" s="2" t="n">
        <x:f>'Master Hunt List'!AI185</x:f>
        <x:v>0</x:v>
      </x:c>
      <x:c r="O192" s="2" t="str">
        <x:f>'Master Hunt List'!V185</x:f>
        <x:v>https://tpwd.texas.gov/huntwild/hunt/public/public_hunt_drawing/hunt-category-details.phtml?OCat=GDE</x:v>
      </x:c>
    </x:row>
    <x:row r="193">
      <x:c r="A193" s="2" t="n">
        <x:f>186</x:f>
        <x:v>186</x:v>
      </x:c>
      <x:c r="B193" s="2" t="str">
        <x:f>'Master Hunt List'!A186</x:f>
        <x:v>No</x:v>
      </x:c>
      <x:c r="C193" s="2" t="str">
        <x:f>'Master Hunt List'!B186</x:f>
        <x:v>A</x:v>
      </x:c>
      <x:c r="D193" s="2" t="str">
        <x:f>'Master Hunt List'!C186</x:f>
        <x:v>Whitetail Deer</x:v>
      </x:c>
      <x:c r="E193" s="2" t="str">
        <x:f>'Master Hunt List'!D186</x:f>
        <x:v>Guadalupe River SP</x:v>
      </x:c>
      <x:c r="F193" s="2" t="str">
        <x:f>'Master Hunt List'!E186</x:f>
        <x:v>Hill Country / San Antonio</x:v>
      </x:c>
      <x:c r="G193" s="2" t="str">
        <x:f>'Master Hunt List'!F186</x:f>
        <x:v>Gun Deer - Either Sex</x:v>
      </x:c>
      <x:c r="H193" s="2" t="str">
        <x:f>'Master Hunt List'!G186</x:f>
        <x:v>Yes</x:v>
      </x:c>
      <x:c r="I193" s="2" t="str">
        <x:f>'Master Hunt List'!H186</x:f>
        <x:v>Yes</x:v>
      </x:c>
      <x:c r="J193" s="97" t="str">
        <x:f>'Master Hunt List'!I186</x:f>
        <x:v>2026-09-15</x:v>
      </x:c>
      <x:c r="K193" s="111" t="n">
        <x:f>'Master Hunt List'!K186</x:f>
        <x:v>3</x:v>
      </x:c>
      <x:c r="L193" s="2" t="n">
        <x:f>'Master Hunt List'!AF186</x:f>
        <x:v>0</x:v>
      </x:c>
      <x:c r="M193" s="2" t="n">
        <x:f>'Master Hunt List'!AH186</x:f>
        <x:v>0</x:v>
      </x:c>
      <x:c r="N193" s="2" t="n">
        <x:f>'Master Hunt List'!AI186</x:f>
        <x:v>0</x:v>
      </x:c>
      <x:c r="O193" s="2" t="str">
        <x:f>'Master Hunt List'!V186</x:f>
        <x:v>https://tpwd.texas.gov/huntwild/hunt/public/public_hunt_drawing/hunt-category-details.phtml?OCat=GDE</x:v>
      </x:c>
    </x:row>
    <x:row r="194">
      <x:c r="A194" s="2" t="n">
        <x:f>187</x:f>
        <x:v>187</x:v>
      </x:c>
      <x:c r="B194" s="2" t="str">
        <x:f>'Master Hunt List'!A187</x:f>
        <x:v>No</x:v>
      </x:c>
      <x:c r="C194" s="2" t="str">
        <x:f>'Master Hunt List'!B187</x:f>
        <x:v>A</x:v>
      </x:c>
      <x:c r="D194" s="2" t="str">
        <x:f>'Master Hunt List'!C187</x:f>
        <x:v>Whitetail Deer</x:v>
      </x:c>
      <x:c r="E194" s="2" t="str">
        <x:f>'Master Hunt List'!D187</x:f>
        <x:v>Gus Engeling WMA</x:v>
      </x:c>
      <x:c r="F194" s="2" t="str">
        <x:f>'Master Hunt List'!E187</x:f>
        <x:v>Statewide / Other</x:v>
      </x:c>
      <x:c r="G194" s="2" t="str">
        <x:f>'Master Hunt List'!F187</x:f>
        <x:v>Gun Deer - Antlerless/Spike</x:v>
      </x:c>
      <x:c r="H194" s="2" t="str">
        <x:f>'Master Hunt List'!G187</x:f>
        <x:v>Yes</x:v>
      </x:c>
      <x:c r="I194" s="2" t="str">
        <x:f>'Master Hunt List'!H187</x:f>
        <x:v>Yes</x:v>
      </x:c>
      <x:c r="J194" s="97" t="str">
        <x:f>'Master Hunt List'!I187</x:f>
        <x:v>2026-09-15</x:v>
      </x:c>
      <x:c r="K194" s="111" t="n">
        <x:f>'Master Hunt List'!K187</x:f>
        <x:v>3</x:v>
      </x:c>
      <x:c r="L194" s="2" t="n">
        <x:f>'Master Hunt List'!AF187</x:f>
        <x:v>0</x:v>
      </x:c>
      <x:c r="M194" s="2" t="n">
        <x:f>'Master Hunt List'!AH187</x:f>
        <x:v>0</x:v>
      </x:c>
      <x:c r="N194" s="2" t="n">
        <x:f>'Master Hunt List'!AI187</x:f>
        <x:v>0</x:v>
      </x:c>
      <x:c r="O194" s="2" t="str">
        <x:f>'Master Hunt List'!V187</x:f>
        <x:v>https://tpwd.texas.gov/huntwild/hunt/public/public_hunt_drawing/hunt-category-details.phtml?OCat=GDA</x:v>
      </x:c>
    </x:row>
    <x:row r="195">
      <x:c r="A195" s="2" t="n">
        <x:f>188</x:f>
        <x:v>188</x:v>
      </x:c>
      <x:c r="B195" s="2" t="str">
        <x:f>'Master Hunt List'!A188</x:f>
        <x:v>No</x:v>
      </x:c>
      <x:c r="C195" s="2" t="str">
        <x:f>'Master Hunt List'!B188</x:f>
        <x:v>A</x:v>
      </x:c>
      <x:c r="D195" s="2" t="str">
        <x:f>'Master Hunt List'!C188</x:f>
        <x:v>Whitetail Deer</x:v>
      </x:c>
      <x:c r="E195" s="2" t="str">
        <x:f>'Master Hunt List'!D188</x:f>
        <x:v>Gus Engeling WMA</x:v>
      </x:c>
      <x:c r="F195" s="2" t="str">
        <x:f>'Master Hunt List'!E188</x:f>
        <x:v>Statewide / Other</x:v>
      </x:c>
      <x:c r="G195" s="2" t="str">
        <x:f>'Master Hunt List'!F188</x:f>
        <x:v>Gun Deer - Either Sex</x:v>
      </x:c>
      <x:c r="H195" s="2" t="str">
        <x:f>'Master Hunt List'!G188</x:f>
        <x:v>Yes</x:v>
      </x:c>
      <x:c r="I195" s="2" t="str">
        <x:f>'Master Hunt List'!H188</x:f>
        <x:v>Yes</x:v>
      </x:c>
      <x:c r="J195" s="97" t="str">
        <x:f>'Master Hunt List'!I188</x:f>
        <x:v>2026-09-15</x:v>
      </x:c>
      <x:c r="K195" s="111" t="n">
        <x:f>'Master Hunt List'!K188</x:f>
        <x:v>3</x:v>
      </x:c>
      <x:c r="L195" s="2" t="n">
        <x:f>'Master Hunt List'!AF188</x:f>
        <x:v>0</x:v>
      </x:c>
      <x:c r="M195" s="2" t="n">
        <x:f>'Master Hunt List'!AH188</x:f>
        <x:v>0</x:v>
      </x:c>
      <x:c r="N195" s="2" t="n">
        <x:f>'Master Hunt List'!AI188</x:f>
        <x:v>0</x:v>
      </x:c>
      <x:c r="O195" s="2" t="str">
        <x:f>'Master Hunt List'!V188</x:f>
        <x:v>https://tpwd.texas.gov/huntwild/hunt/public/public_hunt_drawing/hunt-category-details.phtml?OCat=GDE</x:v>
      </x:c>
    </x:row>
    <x:row r="196">
      <x:c r="A196" s="2" t="n">
        <x:f>189</x:f>
        <x:v>189</x:v>
      </x:c>
      <x:c r="B196" s="2" t="str">
        <x:f>'Master Hunt List'!A189</x:f>
        <x:v>No</x:v>
      </x:c>
      <x:c r="C196" s="2" t="str">
        <x:f>'Master Hunt List'!B189</x:f>
        <x:v>A</x:v>
      </x:c>
      <x:c r="D196" s="2" t="str">
        <x:f>'Master Hunt List'!C189</x:f>
        <x:v>Whitetail Deer</x:v>
      </x:c>
      <x:c r="E196" s="2" t="str">
        <x:f>'Master Hunt List'!D189</x:f>
        <x:v>Hill Country SNA</x:v>
      </x:c>
      <x:c r="F196" s="2" t="str">
        <x:f>'Master Hunt List'!E189</x:f>
        <x:v>Hill Country / San Antonio</x:v>
      </x:c>
      <x:c r="G196" s="2" t="str">
        <x:f>'Master Hunt List'!F189</x:f>
        <x:v>Gun Deer - Antlerless/Spike</x:v>
      </x:c>
      <x:c r="H196" s="2" t="str">
        <x:f>'Master Hunt List'!G189</x:f>
        <x:v>Yes</x:v>
      </x:c>
      <x:c r="I196" s="2" t="str">
        <x:f>'Master Hunt List'!H189</x:f>
        <x:v>Yes</x:v>
      </x:c>
      <x:c r="J196" s="97" t="str">
        <x:f>'Master Hunt List'!I189</x:f>
        <x:v>2026-09-15</x:v>
      </x:c>
      <x:c r="K196" s="111" t="n">
        <x:f>'Master Hunt List'!K189</x:f>
        <x:v>3</x:v>
      </x:c>
      <x:c r="L196" s="2" t="n">
        <x:f>'Master Hunt List'!AF189</x:f>
        <x:v>0</x:v>
      </x:c>
      <x:c r="M196" s="2" t="n">
        <x:f>'Master Hunt List'!AH189</x:f>
        <x:v>0</x:v>
      </x:c>
      <x:c r="N196" s="2" t="n">
        <x:f>'Master Hunt List'!AI189</x:f>
        <x:v>0</x:v>
      </x:c>
      <x:c r="O196" s="2" t="str">
        <x:f>'Master Hunt List'!V189</x:f>
        <x:v>https://tpwd.texas.gov/huntwild/hunt/public/public_hunt_drawing/hunt-category-details.phtml?OCat=GDA</x:v>
      </x:c>
    </x:row>
    <x:row r="197">
      <x:c r="A197" s="2" t="n">
        <x:f>190</x:f>
        <x:v>190</x:v>
      </x:c>
      <x:c r="B197" s="2" t="str">
        <x:f>'Master Hunt List'!A190</x:f>
        <x:v>No</x:v>
      </x:c>
      <x:c r="C197" s="2" t="str">
        <x:f>'Master Hunt List'!B190</x:f>
        <x:v>A</x:v>
      </x:c>
      <x:c r="D197" s="2" t="str">
        <x:f>'Master Hunt List'!C190</x:f>
        <x:v>Whitetail Deer</x:v>
      </x:c>
      <x:c r="E197" s="2" t="str">
        <x:f>'Master Hunt List'!D190</x:f>
        <x:v>Honey Creek SNA</x:v>
      </x:c>
      <x:c r="F197" s="2" t="str">
        <x:f>'Master Hunt List'!E190</x:f>
        <x:v>Hill Country / San Antonio</x:v>
      </x:c>
      <x:c r="G197" s="2" t="str">
        <x:f>'Master Hunt List'!F190</x:f>
        <x:v>Gun Deer - Either Sex</x:v>
      </x:c>
      <x:c r="H197" s="2" t="str">
        <x:f>'Master Hunt List'!G190</x:f>
        <x:v>Yes</x:v>
      </x:c>
      <x:c r="I197" s="2" t="str">
        <x:f>'Master Hunt List'!H190</x:f>
        <x:v>Yes</x:v>
      </x:c>
      <x:c r="J197" s="97" t="str">
        <x:f>'Master Hunt List'!I190</x:f>
        <x:v>2026-09-15</x:v>
      </x:c>
      <x:c r="K197" s="111" t="n">
        <x:f>'Master Hunt List'!K190</x:f>
        <x:v>3</x:v>
      </x:c>
      <x:c r="L197" s="2" t="n">
        <x:f>'Master Hunt List'!AF190</x:f>
        <x:v>0</x:v>
      </x:c>
      <x:c r="M197" s="2" t="n">
        <x:f>'Master Hunt List'!AH190</x:f>
        <x:v>0</x:v>
      </x:c>
      <x:c r="N197" s="2" t="n">
        <x:f>'Master Hunt List'!AI190</x:f>
        <x:v>0</x:v>
      </x:c>
      <x:c r="O197" s="2" t="str">
        <x:f>'Master Hunt List'!V190</x:f>
        <x:v>https://tpwd.texas.gov/huntwild/hunt/public/public_hunt_drawing/hunt-category-details.phtml?OCat=GDE</x:v>
      </x:c>
    </x:row>
    <x:row r="198">
      <x:c r="A198" s="2" t="n">
        <x:f>191</x:f>
        <x:v>191</x:v>
      </x:c>
      <x:c r="B198" s="2" t="str">
        <x:f>'Master Hunt List'!A191</x:f>
        <x:v>No</x:v>
      </x:c>
      <x:c r="C198" s="2" t="str">
        <x:f>'Master Hunt List'!B191</x:f>
        <x:v>A</x:v>
      </x:c>
      <x:c r="D198" s="2" t="str">
        <x:f>'Master Hunt List'!C191</x:f>
        <x:v>Whitetail Deer</x:v>
      </x:c>
      <x:c r="E198" s="2" t="str">
        <x:f>'Master Hunt List'!D191</x:f>
        <x:v>Huntsville SP</x:v>
      </x:c>
      <x:c r="F198" s="2" t="str">
        <x:f>'Master Hunt List'!E191</x:f>
        <x:v>East Texas / Pineywoods</x:v>
      </x:c>
      <x:c r="G198" s="2" t="str">
        <x:f>'Master Hunt List'!F191</x:f>
        <x:v>Gun Deer - Either Sex</x:v>
      </x:c>
      <x:c r="H198" s="2" t="str">
        <x:f>'Master Hunt List'!G191</x:f>
        <x:v>Yes</x:v>
      </x:c>
      <x:c r="I198" s="2" t="str">
        <x:f>'Master Hunt List'!H191</x:f>
        <x:v>Yes</x:v>
      </x:c>
      <x:c r="J198" s="97" t="str">
        <x:f>'Master Hunt List'!I191</x:f>
        <x:v>2026-09-15</x:v>
      </x:c>
      <x:c r="K198" s="111" t="n">
        <x:f>'Master Hunt List'!K191</x:f>
        <x:v>3</x:v>
      </x:c>
      <x:c r="L198" s="2" t="n">
        <x:f>'Master Hunt List'!AF191</x:f>
        <x:v>0</x:v>
      </x:c>
      <x:c r="M198" s="2" t="n">
        <x:f>'Master Hunt List'!AH191</x:f>
        <x:v>0</x:v>
      </x:c>
      <x:c r="N198" s="2" t="n">
        <x:f>'Master Hunt List'!AI191</x:f>
        <x:v>0</x:v>
      </x:c>
      <x:c r="O198" s="2" t="str">
        <x:f>'Master Hunt List'!V191</x:f>
        <x:v>https://tpwd.texas.gov/huntwild/hunt/public/public_hunt_drawing/hunt-category-details.phtml?OCat=GDE</x:v>
      </x:c>
    </x:row>
    <x:row r="199">
      <x:c r="A199" s="2" t="n">
        <x:f>192</x:f>
        <x:v>192</x:v>
      </x:c>
      <x:c r="B199" s="2" t="str">
        <x:f>'Master Hunt List'!A192</x:f>
        <x:v>No</x:v>
      </x:c>
      <x:c r="C199" s="2" t="str">
        <x:f>'Master Hunt List'!B192</x:f>
        <x:v>A</x:v>
      </x:c>
      <x:c r="D199" s="2" t="str">
        <x:f>'Master Hunt List'!C192</x:f>
        <x:v>Whitetail Deer</x:v>
      </x:c>
      <x:c r="E199" s="2" t="str">
        <x:f>'Master Hunt List'!D192</x:f>
        <x:v>Inks Lake/Longhorn Caverns SP</x:v>
      </x:c>
      <x:c r="F199" s="2" t="str">
        <x:f>'Master Hunt List'!E192</x:f>
        <x:v>Central Texas / Austin</x:v>
      </x:c>
      <x:c r="G199" s="2" t="str">
        <x:f>'Master Hunt List'!F192</x:f>
        <x:v>Gun Deer - Antlerless/Spike</x:v>
      </x:c>
      <x:c r="H199" s="2" t="str">
        <x:f>'Master Hunt List'!G192</x:f>
        <x:v>Yes</x:v>
      </x:c>
      <x:c r="I199" s="2" t="str">
        <x:f>'Master Hunt List'!H192</x:f>
        <x:v>Yes</x:v>
      </x:c>
      <x:c r="J199" s="97" t="str">
        <x:f>'Master Hunt List'!I192</x:f>
        <x:v>2026-09-15</x:v>
      </x:c>
      <x:c r="K199" s="111" t="n">
        <x:f>'Master Hunt List'!K192</x:f>
        <x:v>3</x:v>
      </x:c>
      <x:c r="L199" s="2" t="n">
        <x:f>'Master Hunt List'!AF192</x:f>
        <x:v>0</x:v>
      </x:c>
      <x:c r="M199" s="2" t="n">
        <x:f>'Master Hunt List'!AH192</x:f>
        <x:v>0</x:v>
      </x:c>
      <x:c r="N199" s="2" t="n">
        <x:f>'Master Hunt List'!AI192</x:f>
        <x:v>0</x:v>
      </x:c>
      <x:c r="O199" s="2" t="str">
        <x:f>'Master Hunt List'!V192</x:f>
        <x:v>https://tpwd.texas.gov/huntwild/hunt/public/public_hunt_drawing/hunt-category-details.phtml?OCat=GDA</x:v>
      </x:c>
    </x:row>
    <x:row r="200">
      <x:c r="A200" s="2" t="n">
        <x:f>193</x:f>
        <x:v>193</x:v>
      </x:c>
      <x:c r="B200" s="2" t="str">
        <x:f>'Master Hunt List'!A193</x:f>
        <x:v>No</x:v>
      </x:c>
      <x:c r="C200" s="2" t="str">
        <x:f>'Master Hunt List'!B193</x:f>
        <x:v>A</x:v>
      </x:c>
      <x:c r="D200" s="2" t="str">
        <x:f>'Master Hunt List'!C193</x:f>
        <x:v>Whitetail Deer</x:v>
      </x:c>
      <x:c r="E200" s="2" t="str">
        <x:f>'Master Hunt List'!D193</x:f>
        <x:v>Inks Lake/Longhorn Caverns SP</x:v>
      </x:c>
      <x:c r="F200" s="2" t="str">
        <x:f>'Master Hunt List'!E193</x:f>
        <x:v>Central Texas / Austin</x:v>
      </x:c>
      <x:c r="G200" s="2" t="str">
        <x:f>'Master Hunt List'!F193</x:f>
        <x:v>Gun Deer - Either Sex</x:v>
      </x:c>
      <x:c r="H200" s="2" t="str">
        <x:f>'Master Hunt List'!G193</x:f>
        <x:v>Yes</x:v>
      </x:c>
      <x:c r="I200" s="2" t="str">
        <x:f>'Master Hunt List'!H193</x:f>
        <x:v>Yes</x:v>
      </x:c>
      <x:c r="J200" s="97" t="str">
        <x:f>'Master Hunt List'!I193</x:f>
        <x:v>2026-09-15</x:v>
      </x:c>
      <x:c r="K200" s="111" t="n">
        <x:f>'Master Hunt List'!K193</x:f>
        <x:v>3</x:v>
      </x:c>
      <x:c r="L200" s="2" t="n">
        <x:f>'Master Hunt List'!AF193</x:f>
        <x:v>0</x:v>
      </x:c>
      <x:c r="M200" s="2" t="n">
        <x:f>'Master Hunt List'!AH193</x:f>
        <x:v>0</x:v>
      </x:c>
      <x:c r="N200" s="2" t="n">
        <x:f>'Master Hunt List'!AI193</x:f>
        <x:v>0</x:v>
      </x:c>
      <x:c r="O200" s="2" t="str">
        <x:f>'Master Hunt List'!V193</x:f>
        <x:v>https://tpwd.texas.gov/huntwild/hunt/public/public_hunt_drawing/hunt-category-details.phtml?OCat=GDE</x:v>
      </x:c>
    </x:row>
    <x:row r="201">
      <x:c r="A201" s="2" t="n">
        <x:f>194</x:f>
        <x:v>194</x:v>
      </x:c>
      <x:c r="B201" s="2" t="str">
        <x:f>'Master Hunt List'!A194</x:f>
        <x:v>No</x:v>
      </x:c>
      <x:c r="C201" s="2" t="str">
        <x:f>'Master Hunt List'!B194</x:f>
        <x:v>A</x:v>
      </x:c>
      <x:c r="D201" s="2" t="str">
        <x:f>'Master Hunt List'!C194</x:f>
        <x:v>Whitetail Deer</x:v>
      </x:c>
      <x:c r="E201" s="2" t="str">
        <x:f>'Master Hunt List'!D194</x:f>
        <x:v>James Daughtrey WMA</x:v>
      </x:c>
      <x:c r="F201" s="2" t="str">
        <x:f>'Master Hunt List'!E194</x:f>
        <x:v>South Texas / Rio Grande Valley</x:v>
      </x:c>
      <x:c r="G201" s="2" t="str">
        <x:f>'Master Hunt List'!F194</x:f>
        <x:v>Gun Deer - Either Sex</x:v>
      </x:c>
      <x:c r="H201" s="2" t="str">
        <x:f>'Master Hunt List'!G194</x:f>
        <x:v>Yes</x:v>
      </x:c>
      <x:c r="I201" s="2" t="str">
        <x:f>'Master Hunt List'!H194</x:f>
        <x:v>Yes</x:v>
      </x:c>
      <x:c r="J201" s="97" t="str">
        <x:f>'Master Hunt List'!I194</x:f>
        <x:v>2026-09-15</x:v>
      </x:c>
      <x:c r="K201" s="111" t="n">
        <x:f>'Master Hunt List'!K194</x:f>
        <x:v>3</x:v>
      </x:c>
      <x:c r="L201" s="2" t="n">
        <x:f>'Master Hunt List'!AF194</x:f>
        <x:v>0</x:v>
      </x:c>
      <x:c r="M201" s="2" t="n">
        <x:f>'Master Hunt List'!AH194</x:f>
        <x:v>0</x:v>
      </x:c>
      <x:c r="N201" s="2" t="n">
        <x:f>'Master Hunt List'!AI194</x:f>
        <x:v>0</x:v>
      </x:c>
      <x:c r="O201" s="2" t="str">
        <x:f>'Master Hunt List'!V194</x:f>
        <x:v>https://tpwd.texas.gov/huntwild/hunt/public/public_hunt_drawing/hunt-category-details.phtml?OCat=GDE</x:v>
      </x:c>
    </x:row>
    <x:row r="202">
      <x:c r="A202" s="2" t="n">
        <x:f>195</x:f>
        <x:v>195</x:v>
      </x:c>
      <x:c r="B202" s="2" t="str">
        <x:f>'Master Hunt List'!A195</x:f>
        <x:v>No</x:v>
      </x:c>
      <x:c r="C202" s="2" t="str">
        <x:f>'Master Hunt List'!B195</x:f>
        <x:v>A</x:v>
      </x:c>
      <x:c r="D202" s="2" t="str">
        <x:f>'Master Hunt List'!C195</x:f>
        <x:v>Whitetail Deer</x:v>
      </x:c>
      <x:c r="E202" s="2" t="str">
        <x:f>'Master Hunt List'!D195</x:f>
        <x:v>James Daughtrey WMA</x:v>
      </x:c>
      <x:c r="F202" s="2" t="str">
        <x:f>'Master Hunt List'!E195</x:f>
        <x:v>South Texas / Rio Grande Valley</x:v>
      </x:c>
      <x:c r="G202" s="2" t="str">
        <x:f>'Master Hunt List'!F195</x:f>
        <x:v>Gun Deer - Management</x:v>
      </x:c>
      <x:c r="H202" s="2" t="str">
        <x:f>'Master Hunt List'!G195</x:f>
        <x:v>Yes</x:v>
      </x:c>
      <x:c r="I202" s="2" t="str">
        <x:f>'Master Hunt List'!H195</x:f>
        <x:v>Yes</x:v>
      </x:c>
      <x:c r="J202" s="97" t="str">
        <x:f>'Master Hunt List'!I195</x:f>
        <x:v>2026-09-15</x:v>
      </x:c>
      <x:c r="K202" s="111" t="n">
        <x:f>'Master Hunt List'!K195</x:f>
        <x:v>3</x:v>
      </x:c>
      <x:c r="L202" s="2" t="n">
        <x:f>'Master Hunt List'!AF195</x:f>
        <x:v>0</x:v>
      </x:c>
      <x:c r="M202" s="2" t="n">
        <x:f>'Master Hunt List'!AH195</x:f>
        <x:v>0</x:v>
      </x:c>
      <x:c r="N202" s="2" t="n">
        <x:f>'Master Hunt List'!AI195</x:f>
        <x:v>0</x:v>
      </x:c>
      <x:c r="O202" s="2" t="str">
        <x:f>'Master Hunt List'!V195</x:f>
        <x:v>https://tpwd.texas.gov/huntwild/hunt/public/public_hunt_drawing/hunt-category-details.phtml?OCat=GDM</x:v>
      </x:c>
    </x:row>
    <x:row r="203">
      <x:c r="A203" s="2" t="n">
        <x:f>196</x:f>
        <x:v>196</x:v>
      </x:c>
      <x:c r="B203" s="2" t="str">
        <x:f>'Master Hunt List'!A196</x:f>
        <x:v>No</x:v>
      </x:c>
      <x:c r="C203" s="2" t="str">
        <x:f>'Master Hunt List'!B196</x:f>
        <x:v>A</x:v>
      </x:c>
      <x:c r="D203" s="2" t="str">
        <x:f>'Master Hunt List'!C196</x:f>
        <x:v>Whitetail Deer</x:v>
      </x:c>
      <x:c r="E203" s="2" t="str">
        <x:f>'Master Hunt List'!D196</x:f>
        <x:v>Keechi Creek WMA</x:v>
      </x:c>
      <x:c r="F203" s="2" t="str">
        <x:f>'Master Hunt List'!E196</x:f>
        <x:v>Statewide / Other</x:v>
      </x:c>
      <x:c r="G203" s="2" t="str">
        <x:f>'Master Hunt List'!F196</x:f>
        <x:v>E-Postcard Deer</x:v>
      </x:c>
      <x:c r="H203" s="2" t="str">
        <x:f>'Master Hunt List'!G196</x:f>
        <x:v>Yes</x:v>
      </x:c>
      <x:c r="I203" s="2" t="str">
        <x:f>'Master Hunt List'!H196</x:f>
        <x:v>Yes</x:v>
      </x:c>
      <x:c r="J203" s="97" t="str">
        <x:f>'Master Hunt List'!I196</x:f>
        <x:v>2026-09-15</x:v>
      </x:c>
      <x:c r="K203" s="111" t="n">
        <x:f>'Master Hunt List'!K196</x:f>
        <x:v>0</x:v>
      </x:c>
      <x:c r="L203" s="2" t="n">
        <x:f>'Master Hunt List'!AF196</x:f>
        <x:v>0</x:v>
      </x:c>
      <x:c r="M203" s="2" t="n">
        <x:f>'Master Hunt List'!AH196</x:f>
        <x:v>0</x:v>
      </x:c>
      <x:c r="N203" s="2" t="n">
        <x:f>'Master Hunt List'!AI196</x:f>
        <x:v>0</x:v>
      </x:c>
      <x:c r="O203" s="2" t="str">
        <x:f>'Master Hunt List'!V196</x:f>
        <x:v>https://tpwd.texas.gov/huntwild/hunt/public/public_hunt_drawing/hunt-category-details.phtml?OCat=EDR</x:v>
      </x:c>
    </x:row>
    <x:row r="204">
      <x:c r="A204" s="2" t="n">
        <x:f>197</x:f>
        <x:v>197</x:v>
      </x:c>
      <x:c r="B204" s="2" t="str">
        <x:f>'Master Hunt List'!A197</x:f>
        <x:v>No</x:v>
      </x:c>
      <x:c r="C204" s="2" t="str">
        <x:f>'Master Hunt List'!B197</x:f>
        <x:v>A</x:v>
      </x:c>
      <x:c r="D204" s="2" t="str">
        <x:f>'Master Hunt List'!C197</x:f>
        <x:v>Whitetail Deer</x:v>
      </x:c>
      <x:c r="E204" s="2" t="str">
        <x:f>'Master Hunt List'!D197</x:f>
        <x:v>Kerr WMA</x:v>
      </x:c>
      <x:c r="F204" s="2" t="str">
        <x:f>'Master Hunt List'!E197</x:f>
        <x:v>Hill Country / San Antonio</x:v>
      </x:c>
      <x:c r="G204" s="2" t="str">
        <x:f>'Master Hunt List'!F197</x:f>
        <x:v>Gun Deer - Either Sex</x:v>
      </x:c>
      <x:c r="H204" s="2" t="str">
        <x:f>'Master Hunt List'!G197</x:f>
        <x:v>Yes</x:v>
      </x:c>
      <x:c r="I204" s="2" t="str">
        <x:f>'Master Hunt List'!H197</x:f>
        <x:v>Yes</x:v>
      </x:c>
      <x:c r="J204" s="97" t="str">
        <x:f>'Master Hunt List'!I197</x:f>
        <x:v>2026-09-15</x:v>
      </x:c>
      <x:c r="K204" s="111" t="n">
        <x:f>'Master Hunt List'!K197</x:f>
        <x:v>3</x:v>
      </x:c>
      <x:c r="L204" s="2" t="n">
        <x:f>'Master Hunt List'!AF197</x:f>
        <x:v>0</x:v>
      </x:c>
      <x:c r="M204" s="2" t="n">
        <x:f>'Master Hunt List'!AH197</x:f>
        <x:v>0</x:v>
      </x:c>
      <x:c r="N204" s="2" t="n">
        <x:f>'Master Hunt List'!AI197</x:f>
        <x:v>0</x:v>
      </x:c>
      <x:c r="O204" s="2" t="str">
        <x:f>'Master Hunt List'!V197</x:f>
        <x:v>https://tpwd.texas.gov/huntwild/hunt/public/public_hunt_drawing/hunt-category-details.phtml?OCat=GDE</x:v>
      </x:c>
    </x:row>
    <x:row r="205">
      <x:c r="A205" s="2" t="n">
        <x:f>198</x:f>
        <x:v>198</x:v>
      </x:c>
      <x:c r="B205" s="2" t="str">
        <x:f>'Master Hunt List'!A198</x:f>
        <x:v>No</x:v>
      </x:c>
      <x:c r="C205" s="2" t="str">
        <x:f>'Master Hunt List'!B198</x:f>
        <x:v>A</x:v>
      </x:c>
      <x:c r="D205" s="2" t="str">
        <x:f>'Master Hunt List'!C198</x:f>
        <x:v>Whitetail Deer</x:v>
      </x:c>
      <x:c r="E205" s="2" t="str">
        <x:f>'Master Hunt List'!D198</x:f>
        <x:v>Kerr WMA</x:v>
      </x:c>
      <x:c r="F205" s="2" t="str">
        <x:f>'Master Hunt List'!E198</x:f>
        <x:v>Hill Country / San Antonio</x:v>
      </x:c>
      <x:c r="G205" s="2" t="str">
        <x:f>'Master Hunt List'!F198</x:f>
        <x:v>Gun Deer - Management</x:v>
      </x:c>
      <x:c r="H205" s="2" t="str">
        <x:f>'Master Hunt List'!G198</x:f>
        <x:v>Yes</x:v>
      </x:c>
      <x:c r="I205" s="2" t="str">
        <x:f>'Master Hunt List'!H198</x:f>
        <x:v>Yes</x:v>
      </x:c>
      <x:c r="J205" s="97" t="str">
        <x:f>'Master Hunt List'!I198</x:f>
        <x:v>2026-09-15</x:v>
      </x:c>
      <x:c r="K205" s="111" t="n">
        <x:f>'Master Hunt List'!K198</x:f>
        <x:v>3</x:v>
      </x:c>
      <x:c r="L205" s="2" t="n">
        <x:f>'Master Hunt List'!AF198</x:f>
        <x:v>0</x:v>
      </x:c>
      <x:c r="M205" s="2" t="n">
        <x:f>'Master Hunt List'!AH198</x:f>
        <x:v>0</x:v>
      </x:c>
      <x:c r="N205" s="2" t="n">
        <x:f>'Master Hunt List'!AI198</x:f>
        <x:v>0</x:v>
      </x:c>
      <x:c r="O205" s="2" t="str">
        <x:f>'Master Hunt List'!V198</x:f>
        <x:v>https://tpwd.texas.gov/huntwild/hunt/public/public_hunt_drawing/hunt-category-details.phtml?OCat=GDM</x:v>
      </x:c>
    </x:row>
    <x:row r="206">
      <x:c r="A206" s="2" t="n">
        <x:f>199</x:f>
        <x:v>199</x:v>
      </x:c>
      <x:c r="B206" s="2" t="str">
        <x:f>'Master Hunt List'!A199</x:f>
        <x:v>No</x:v>
      </x:c>
      <x:c r="C206" s="2" t="str">
        <x:f>'Master Hunt List'!B199</x:f>
        <x:v>A</x:v>
      </x:c>
      <x:c r="D206" s="2" t="str">
        <x:f>'Master Hunt List'!C199</x:f>
        <x:v>Whitetail Deer</x:v>
      </x:c>
      <x:c r="E206" s="2" t="str">
        <x:f>'Master Hunt List'!D199</x:f>
        <x:v>Laguna Atascosa NWR</x:v>
      </x:c>
      <x:c r="F206" s="2" t="str">
        <x:f>'Master Hunt List'!E199</x:f>
        <x:v>South Texas / Rio Grande Valley</x:v>
      </x:c>
      <x:c r="G206" s="2" t="str">
        <x:f>'Master Hunt List'!F199</x:f>
        <x:v>National Refuge General Deer</x:v>
      </x:c>
      <x:c r="H206" s="2" t="str">
        <x:f>'Master Hunt List'!G199</x:f>
        <x:v>Yes</x:v>
      </x:c>
      <x:c r="I206" s="2" t="str">
        <x:f>'Master Hunt List'!H199</x:f>
        <x:v>Yes</x:v>
      </x:c>
      <x:c r="J206" s="97" t="str">
        <x:f>'Master Hunt List'!I199</x:f>
        <x:v>2026-09-15</x:v>
      </x:c>
      <x:c r="K206" s="111" t="n">
        <x:f>'Master Hunt List'!K199</x:f>
        <x:v>3</x:v>
      </x:c>
      <x:c r="L206" s="2" t="n">
        <x:f>'Master Hunt List'!AF199</x:f>
        <x:v>0</x:v>
      </x:c>
      <x:c r="M206" s="2" t="n">
        <x:f>'Master Hunt List'!AH199</x:f>
        <x:v>0</x:v>
      </x:c>
      <x:c r="N206" s="2" t="n">
        <x:f>'Master Hunt List'!AI199</x:f>
        <x:v>0</x:v>
      </x:c>
      <x:c r="O206" s="2" t="str">
        <x:f>'Master Hunt List'!V199</x:f>
        <x:v>https://tpwd.texas.gov/huntwild/hunt/public/public_hunt_drawing/hunt-category-details.phtml?OCat=NGE</x:v>
      </x:c>
    </x:row>
    <x:row r="207">
      <x:c r="A207" s="2" t="n">
        <x:f>200</x:f>
        <x:v>200</x:v>
      </x:c>
      <x:c r="B207" s="2" t="str">
        <x:f>'Master Hunt List'!A200</x:f>
        <x:v>No</x:v>
      </x:c>
      <x:c r="C207" s="2" t="str">
        <x:f>'Master Hunt List'!B200</x:f>
        <x:v>A</x:v>
      </x:c>
      <x:c r="D207" s="2" t="str">
        <x:f>'Master Hunt List'!C200</x:f>
        <x:v>Whitetail Deer</x:v>
      </x:c>
      <x:c r="E207" s="2" t="str">
        <x:f>'Master Hunt List'!D200</x:f>
        <x:v>Lake Brownwood SP</x:v>
      </x:c>
      <x:c r="F207" s="2" t="str">
        <x:f>'Master Hunt List'!E200</x:f>
        <x:v>West-Central Texas</x:v>
      </x:c>
      <x:c r="G207" s="2" t="str">
        <x:f>'Master Hunt List'!F200</x:f>
        <x:v>Gun Deer - Antlerless/Spike</x:v>
      </x:c>
      <x:c r="H207" s="2" t="str">
        <x:f>'Master Hunt List'!G200</x:f>
        <x:v>Yes</x:v>
      </x:c>
      <x:c r="I207" s="2" t="str">
        <x:f>'Master Hunt List'!H200</x:f>
        <x:v>Yes</x:v>
      </x:c>
      <x:c r="J207" s="97" t="str">
        <x:f>'Master Hunt List'!I200</x:f>
        <x:v>2026-09-15</x:v>
      </x:c>
      <x:c r="K207" s="111" t="n">
        <x:f>'Master Hunt List'!K200</x:f>
        <x:v>3</x:v>
      </x:c>
      <x:c r="L207" s="2" t="n">
        <x:f>'Master Hunt List'!AF200</x:f>
        <x:v>0</x:v>
      </x:c>
      <x:c r="M207" s="2" t="n">
        <x:f>'Master Hunt List'!AH200</x:f>
        <x:v>0</x:v>
      </x:c>
      <x:c r="N207" s="2" t="n">
        <x:f>'Master Hunt List'!AI200</x:f>
        <x:v>0</x:v>
      </x:c>
      <x:c r="O207" s="2" t="str">
        <x:f>'Master Hunt List'!V200</x:f>
        <x:v>https://tpwd.texas.gov/huntwild/hunt/public/public_hunt_drawing/hunt-category-details.phtml?OCat=GDA</x:v>
      </x:c>
    </x:row>
    <x:row r="208">
      <x:c r="A208" s="2" t="n">
        <x:f>201</x:f>
        <x:v>201</x:v>
      </x:c>
      <x:c r="B208" s="2" t="str">
        <x:f>'Master Hunt List'!A201</x:f>
        <x:v>No</x:v>
      </x:c>
      <x:c r="C208" s="2" t="str">
        <x:f>'Master Hunt List'!B201</x:f>
        <x:v>A</x:v>
      </x:c>
      <x:c r="D208" s="2" t="str">
        <x:f>'Master Hunt List'!C201</x:f>
        <x:v>Whitetail Deer</x:v>
      </x:c>
      <x:c r="E208" s="2" t="str">
        <x:f>'Master Hunt List'!D201</x:f>
        <x:v>Lake Mineral Wells SP</x:v>
      </x:c>
      <x:c r="F208" s="2" t="str">
        <x:f>'Master Hunt List'!E201</x:f>
        <x:v>North Texas / DFW</x:v>
      </x:c>
      <x:c r="G208" s="2" t="str">
        <x:f>'Master Hunt List'!F201</x:f>
        <x:v>Gun Deer - Either Sex</x:v>
      </x:c>
      <x:c r="H208" s="2" t="str">
        <x:f>'Master Hunt List'!G201</x:f>
        <x:v>Yes</x:v>
      </x:c>
      <x:c r="I208" s="2" t="str">
        <x:f>'Master Hunt List'!H201</x:f>
        <x:v>Yes</x:v>
      </x:c>
      <x:c r="J208" s="97" t="str">
        <x:f>'Master Hunt List'!I201</x:f>
        <x:v>2026-09-15</x:v>
      </x:c>
      <x:c r="K208" s="111" t="n">
        <x:f>'Master Hunt List'!K201</x:f>
        <x:v>3</x:v>
      </x:c>
      <x:c r="L208" s="2" t="n">
        <x:f>'Master Hunt List'!AF201</x:f>
        <x:v>0</x:v>
      </x:c>
      <x:c r="M208" s="2" t="n">
        <x:f>'Master Hunt List'!AH201</x:f>
        <x:v>0</x:v>
      </x:c>
      <x:c r="N208" s="2" t="n">
        <x:f>'Master Hunt List'!AI201</x:f>
        <x:v>0</x:v>
      </x:c>
      <x:c r="O208" s="2" t="str">
        <x:f>'Master Hunt List'!V201</x:f>
        <x:v>https://tpwd.texas.gov/huntwild/hunt/public/public_hunt_drawing/hunt-category-details.phtml?OCat=GDE</x:v>
      </x:c>
    </x:row>
    <x:row r="209">
      <x:c r="A209" s="2" t="n">
        <x:f>202</x:f>
        <x:v>202</x:v>
      </x:c>
      <x:c r="B209" s="2" t="str">
        <x:f>'Master Hunt List'!A202</x:f>
        <x:v>No</x:v>
      </x:c>
      <x:c r="C209" s="2" t="str">
        <x:f>'Master Hunt List'!B202</x:f>
        <x:v>A</x:v>
      </x:c>
      <x:c r="D209" s="2" t="str">
        <x:f>'Master Hunt List'!C202</x:f>
        <x:v>Whitetail Deer</x:v>
      </x:c>
      <x:c r="E209" s="2" t="str">
        <x:f>'Master Hunt List'!D202</x:f>
        <x:v>Lake Somerville SP - Birch Creek Unit</x:v>
      </x:c>
      <x:c r="F209" s="2" t="str">
        <x:f>'Master Hunt List'!E202</x:f>
        <x:v>Central Texas / Austin</x:v>
      </x:c>
      <x:c r="G209" s="2" t="str">
        <x:f>'Master Hunt List'!F202</x:f>
        <x:v>Gun Deer - Antlerless/Spike</x:v>
      </x:c>
      <x:c r="H209" s="2" t="str">
        <x:f>'Master Hunt List'!G202</x:f>
        <x:v>Yes</x:v>
      </x:c>
      <x:c r="I209" s="2" t="str">
        <x:f>'Master Hunt List'!H202</x:f>
        <x:v>Yes</x:v>
      </x:c>
      <x:c r="J209" s="97" t="str">
        <x:f>'Master Hunt List'!I202</x:f>
        <x:v>2026-09-15</x:v>
      </x:c>
      <x:c r="K209" s="111" t="n">
        <x:f>'Master Hunt List'!K202</x:f>
        <x:v>3</x:v>
      </x:c>
      <x:c r="L209" s="2" t="n">
        <x:f>'Master Hunt List'!AF202</x:f>
        <x:v>0</x:v>
      </x:c>
      <x:c r="M209" s="2" t="n">
        <x:f>'Master Hunt List'!AH202</x:f>
        <x:v>0</x:v>
      </x:c>
      <x:c r="N209" s="2" t="n">
        <x:f>'Master Hunt List'!AI202</x:f>
        <x:v>0</x:v>
      </x:c>
      <x:c r="O209" s="2" t="str">
        <x:f>'Master Hunt List'!V202</x:f>
        <x:v>https://tpwd.texas.gov/huntwild/hunt/public/public_hunt_drawing/hunt-category-details.phtml?OCat=GDA</x:v>
      </x:c>
    </x:row>
    <x:row r="210">
      <x:c r="A210" s="2" t="n">
        <x:f>203</x:f>
        <x:v>203</x:v>
      </x:c>
      <x:c r="B210" s="2" t="str">
        <x:f>'Master Hunt List'!A203</x:f>
        <x:v>No</x:v>
      </x:c>
      <x:c r="C210" s="2" t="str">
        <x:f>'Master Hunt List'!B203</x:f>
        <x:v>A</x:v>
      </x:c>
      <x:c r="D210" s="2" t="str">
        <x:f>'Master Hunt List'!C203</x:f>
        <x:v>Whitetail Deer</x:v>
      </x:c>
      <x:c r="E210" s="2" t="str">
        <x:f>'Master Hunt List'!D203</x:f>
        <x:v>Lake Somerville SP - Nails Creek Unit</x:v>
      </x:c>
      <x:c r="F210" s="2" t="str">
        <x:f>'Master Hunt List'!E203</x:f>
        <x:v>Central Texas / Austin</x:v>
      </x:c>
      <x:c r="G210" s="2" t="str">
        <x:f>'Master Hunt List'!F203</x:f>
        <x:v>Gun Deer - Antlerless/Spike</x:v>
      </x:c>
      <x:c r="H210" s="2" t="str">
        <x:f>'Master Hunt List'!G203</x:f>
        <x:v>Yes</x:v>
      </x:c>
      <x:c r="I210" s="2" t="str">
        <x:f>'Master Hunt List'!H203</x:f>
        <x:v>Yes</x:v>
      </x:c>
      <x:c r="J210" s="97" t="str">
        <x:f>'Master Hunt List'!I203</x:f>
        <x:v>2026-09-15</x:v>
      </x:c>
      <x:c r="K210" s="111" t="n">
        <x:f>'Master Hunt List'!K203</x:f>
        <x:v>3</x:v>
      </x:c>
      <x:c r="L210" s="2" t="n">
        <x:f>'Master Hunt List'!AF203</x:f>
        <x:v>0</x:v>
      </x:c>
      <x:c r="M210" s="2" t="n">
        <x:f>'Master Hunt List'!AH203</x:f>
        <x:v>0</x:v>
      </x:c>
      <x:c r="N210" s="2" t="n">
        <x:f>'Master Hunt List'!AI203</x:f>
        <x:v>0</x:v>
      </x:c>
      <x:c r="O210" s="2" t="str">
        <x:f>'Master Hunt List'!V203</x:f>
        <x:v>https://tpwd.texas.gov/huntwild/hunt/public/public_hunt_drawing/hunt-category-details.phtml?OCat=GDA</x:v>
      </x:c>
    </x:row>
    <x:row r="211">
      <x:c r="A211" s="2" t="n">
        <x:f>204</x:f>
        <x:v>204</x:v>
      </x:c>
      <x:c r="B211" s="2" t="str">
        <x:f>'Master Hunt List'!A204</x:f>
        <x:v>No</x:v>
      </x:c>
      <x:c r="C211" s="2" t="str">
        <x:f>'Master Hunt List'!B204</x:f>
        <x:v>A</x:v>
      </x:c>
      <x:c r="D211" s="2" t="str">
        <x:f>'Master Hunt List'!C204</x:f>
        <x:v>Whitetail Deer</x:v>
      </x:c>
      <x:c r="E211" s="2" t="str">
        <x:f>'Master Hunt List'!D204</x:f>
        <x:v>Lake Whitney SP</x:v>
      </x:c>
      <x:c r="F211" s="2" t="str">
        <x:f>'Master Hunt List'!E204</x:f>
        <x:v>Central Texas / Austin</x:v>
      </x:c>
      <x:c r="G211" s="2" t="str">
        <x:f>'Master Hunt List'!F204</x:f>
        <x:v>Gun Deer - Antlerless/Spike</x:v>
      </x:c>
      <x:c r="H211" s="2" t="str">
        <x:f>'Master Hunt List'!G204</x:f>
        <x:v>Yes</x:v>
      </x:c>
      <x:c r="I211" s="2" t="str">
        <x:f>'Master Hunt List'!H204</x:f>
        <x:v>Yes</x:v>
      </x:c>
      <x:c r="J211" s="97" t="str">
        <x:f>'Master Hunt List'!I204</x:f>
        <x:v>2026-09-15</x:v>
      </x:c>
      <x:c r="K211" s="111" t="n">
        <x:f>'Master Hunt List'!K204</x:f>
        <x:v>3</x:v>
      </x:c>
      <x:c r="L211" s="2" t="n">
        <x:f>'Master Hunt List'!AF204</x:f>
        <x:v>0</x:v>
      </x:c>
      <x:c r="M211" s="2" t="n">
        <x:f>'Master Hunt List'!AH204</x:f>
        <x:v>0</x:v>
      </x:c>
      <x:c r="N211" s="2" t="n">
        <x:f>'Master Hunt List'!AI204</x:f>
        <x:v>0</x:v>
      </x:c>
      <x:c r="O211" s="2" t="str">
        <x:f>'Master Hunt List'!V204</x:f>
        <x:v>https://tpwd.texas.gov/huntwild/hunt/public/public_hunt_drawing/hunt-category-details.phtml?OCat=GDA</x:v>
      </x:c>
    </x:row>
    <x:row r="212">
      <x:c r="A212" s="2" t="n">
        <x:f>205</x:f>
        <x:v>205</x:v>
      </x:c>
      <x:c r="B212" s="2" t="str">
        <x:f>'Master Hunt List'!A205</x:f>
        <x:v>No</x:v>
      </x:c>
      <x:c r="C212" s="2" t="str">
        <x:f>'Master Hunt List'!B205</x:f>
        <x:v>A</x:v>
      </x:c>
      <x:c r="D212" s="2" t="str">
        <x:f>'Master Hunt List'!C205</x:f>
        <x:v>Whitetail Deer</x:v>
      </x:c>
      <x:c r="E212" s="2" t="str">
        <x:f>'Master Hunt List'!D205</x:f>
        <x:v>Las Palomas WMA - Arroyo Colorado Unit</x:v>
      </x:c>
      <x:c r="F212" s="2" t="str">
        <x:f>'Master Hunt List'!E205</x:f>
        <x:v>South Texas / Rio Grande Valley</x:v>
      </x:c>
      <x:c r="G212" s="2" t="str">
        <x:f>'Master Hunt List'!F205</x:f>
        <x:v>Gun Deer - Either Sex</x:v>
      </x:c>
      <x:c r="H212" s="2" t="str">
        <x:f>'Master Hunt List'!G205</x:f>
        <x:v>Yes</x:v>
      </x:c>
      <x:c r="I212" s="2" t="str">
        <x:f>'Master Hunt List'!H205</x:f>
        <x:v>Yes</x:v>
      </x:c>
      <x:c r="J212" s="97" t="str">
        <x:f>'Master Hunt List'!I205</x:f>
        <x:v>2026-09-15</x:v>
      </x:c>
      <x:c r="K212" s="111" t="n">
        <x:f>'Master Hunt List'!K205</x:f>
        <x:v>3</x:v>
      </x:c>
      <x:c r="L212" s="2" t="n">
        <x:f>'Master Hunt List'!AF205</x:f>
        <x:v>0</x:v>
      </x:c>
      <x:c r="M212" s="2" t="n">
        <x:f>'Master Hunt List'!AH205</x:f>
        <x:v>0</x:v>
      </x:c>
      <x:c r="N212" s="2" t="n">
        <x:f>'Master Hunt List'!AI205</x:f>
        <x:v>0</x:v>
      </x:c>
      <x:c r="O212" s="2" t="str">
        <x:f>'Master Hunt List'!V205</x:f>
        <x:v>https://tpwd.texas.gov/huntwild/hunt/public/public_hunt_drawing/hunt-category-details.phtml?OCat=GDE</x:v>
      </x:c>
    </x:row>
    <x:row r="213">
      <x:c r="A213" s="2" t="n">
        <x:f>206</x:f>
        <x:v>206</x:v>
      </x:c>
      <x:c r="B213" s="2" t="str">
        <x:f>'Master Hunt List'!A206</x:f>
        <x:v>No</x:v>
      </x:c>
      <x:c r="C213" s="2" t="str">
        <x:f>'Master Hunt List'!B206</x:f>
        <x:v>A</x:v>
      </x:c>
      <x:c r="D213" s="2" t="str">
        <x:f>'Master Hunt List'!C206</x:f>
        <x:v>Whitetail Deer</x:v>
      </x:c>
      <x:c r="E213" s="2" t="str">
        <x:f>'Master Hunt List'!D206</x:f>
        <x:v>Lost Maples SNA</x:v>
      </x:c>
      <x:c r="F213" s="2" t="str">
        <x:f>'Master Hunt List'!E206</x:f>
        <x:v>Hill Country / San Antonio</x:v>
      </x:c>
      <x:c r="G213" s="2" t="str">
        <x:f>'Master Hunt List'!F206</x:f>
        <x:v>Gun Deer - Antlerless/Spike</x:v>
      </x:c>
      <x:c r="H213" s="2" t="str">
        <x:f>'Master Hunt List'!G206</x:f>
        <x:v>Yes</x:v>
      </x:c>
      <x:c r="I213" s="2" t="str">
        <x:f>'Master Hunt List'!H206</x:f>
        <x:v>Yes</x:v>
      </x:c>
      <x:c r="J213" s="97" t="str">
        <x:f>'Master Hunt List'!I206</x:f>
        <x:v>2026-09-15</x:v>
      </x:c>
      <x:c r="K213" s="111" t="n">
        <x:f>'Master Hunt List'!K206</x:f>
        <x:v>3</x:v>
      </x:c>
      <x:c r="L213" s="2" t="n">
        <x:f>'Master Hunt List'!AF206</x:f>
        <x:v>0</x:v>
      </x:c>
      <x:c r="M213" s="2" t="n">
        <x:f>'Master Hunt List'!AH206</x:f>
        <x:v>0</x:v>
      </x:c>
      <x:c r="N213" s="2" t="n">
        <x:f>'Master Hunt List'!AI206</x:f>
        <x:v>0</x:v>
      </x:c>
      <x:c r="O213" s="2" t="str">
        <x:f>'Master Hunt List'!V206</x:f>
        <x:v>https://tpwd.texas.gov/huntwild/hunt/public/public_hunt_drawing/hunt-category-details.phtml?OCat=GDA</x:v>
      </x:c>
    </x:row>
    <x:row r="214">
      <x:c r="A214" s="2" t="n">
        <x:f>207</x:f>
        <x:v>207</x:v>
      </x:c>
      <x:c r="B214" s="2" t="str">
        <x:f>'Master Hunt List'!A207</x:f>
        <x:v>No</x:v>
      </x:c>
      <x:c r="C214" s="2" t="str">
        <x:f>'Master Hunt List'!B207</x:f>
        <x:v>A</x:v>
      </x:c>
      <x:c r="D214" s="2" t="str">
        <x:f>'Master Hunt List'!C207</x:f>
        <x:v>Whitetail Deer</x:v>
      </x:c>
      <x:c r="E214" s="2" t="str">
        <x:f>'Master Hunt List'!D207</x:f>
        <x:v>Lower Rio Grande Valley NWR - East Lake</x:v>
      </x:c>
      <x:c r="F214" s="2" t="str">
        <x:f>'Master Hunt List'!E207</x:f>
        <x:v>South Texas / Rio Grande Valley</x:v>
      </x:c>
      <x:c r="G214" s="2" t="str">
        <x:f>'Master Hunt List'!F207</x:f>
        <x:v>National Refuge General Deer</x:v>
      </x:c>
      <x:c r="H214" s="2" t="str">
        <x:f>'Master Hunt List'!G207</x:f>
        <x:v>Yes</x:v>
      </x:c>
      <x:c r="I214" s="2" t="str">
        <x:f>'Master Hunt List'!H207</x:f>
        <x:v>Yes</x:v>
      </x:c>
      <x:c r="J214" s="97" t="str">
        <x:f>'Master Hunt List'!I207</x:f>
        <x:v>2026-09-15</x:v>
      </x:c>
      <x:c r="K214" s="111" t="n">
        <x:f>'Master Hunt List'!K207</x:f>
        <x:v>3</x:v>
      </x:c>
      <x:c r="L214" s="2" t="n">
        <x:f>'Master Hunt List'!AF207</x:f>
        <x:v>0</x:v>
      </x:c>
      <x:c r="M214" s="2" t="n">
        <x:f>'Master Hunt List'!AH207</x:f>
        <x:v>0</x:v>
      </x:c>
      <x:c r="N214" s="2" t="n">
        <x:f>'Master Hunt List'!AI207</x:f>
        <x:v>0</x:v>
      </x:c>
      <x:c r="O214" s="2" t="str">
        <x:f>'Master Hunt List'!V207</x:f>
        <x:v>https://tpwd.texas.gov/huntwild/hunt/public/public_hunt_drawing/hunt-category-details.phtml?OCat=NGE</x:v>
      </x:c>
    </x:row>
    <x:row r="215">
      <x:c r="A215" s="2" t="n">
        <x:f>208</x:f>
        <x:v>208</x:v>
      </x:c>
      <x:c r="B215" s="2" t="str">
        <x:f>'Master Hunt List'!A208</x:f>
        <x:v>No</x:v>
      </x:c>
      <x:c r="C215" s="2" t="str">
        <x:f>'Master Hunt List'!B208</x:f>
        <x:v>A</x:v>
      </x:c>
      <x:c r="D215" s="2" t="str">
        <x:f>'Master Hunt List'!C208</x:f>
        <x:v>Whitetail Deer</x:v>
      </x:c>
      <x:c r="E215" s="2" t="str">
        <x:f>'Master Hunt List'!D208</x:f>
        <x:v>Mason Mountain WMA</x:v>
      </x:c>
      <x:c r="F215" s="2" t="str">
        <x:f>'Master Hunt List'!E208</x:f>
        <x:v>Hill Country / San Antonio</x:v>
      </x:c>
      <x:c r="G215" s="2" t="str">
        <x:f>'Master Hunt List'!F208</x:f>
        <x:v>Gun Deer - Either Sex</x:v>
      </x:c>
      <x:c r="H215" s="2" t="str">
        <x:f>'Master Hunt List'!G208</x:f>
        <x:v>Yes</x:v>
      </x:c>
      <x:c r="I215" s="2" t="str">
        <x:f>'Master Hunt List'!H208</x:f>
        <x:v>Yes</x:v>
      </x:c>
      <x:c r="J215" s="97" t="str">
        <x:f>'Master Hunt List'!I208</x:f>
        <x:v>2026-09-15</x:v>
      </x:c>
      <x:c r="K215" s="111" t="n">
        <x:f>'Master Hunt List'!K208</x:f>
        <x:v>3</x:v>
      </x:c>
      <x:c r="L215" s="2" t="n">
        <x:f>'Master Hunt List'!AF208</x:f>
        <x:v>0</x:v>
      </x:c>
      <x:c r="M215" s="2" t="n">
        <x:f>'Master Hunt List'!AH208</x:f>
        <x:v>0</x:v>
      </x:c>
      <x:c r="N215" s="2" t="n">
        <x:f>'Master Hunt List'!AI208</x:f>
        <x:v>0</x:v>
      </x:c>
      <x:c r="O215" s="2" t="str">
        <x:f>'Master Hunt List'!V208</x:f>
        <x:v>https://tpwd.texas.gov/huntwild/hunt/public/public_hunt_drawing/hunt-category-details.phtml?OCat=GDE</x:v>
      </x:c>
    </x:row>
    <x:row r="216">
      <x:c r="A216" s="2" t="n">
        <x:f>209</x:f>
        <x:v>209</x:v>
      </x:c>
      <x:c r="B216" s="2" t="str">
        <x:f>'Master Hunt List'!A209</x:f>
        <x:v>No</x:v>
      </x:c>
      <x:c r="C216" s="2" t="str">
        <x:f>'Master Hunt List'!B209</x:f>
        <x:v>A</x:v>
      </x:c>
      <x:c r="D216" s="2" t="str">
        <x:f>'Master Hunt List'!C209</x:f>
        <x:v>Whitetail Deer</x:v>
      </x:c>
      <x:c r="E216" s="2" t="str">
        <x:f>'Master Hunt List'!D209</x:f>
        <x:v>Mason Mountain WMA</x:v>
      </x:c>
      <x:c r="F216" s="2" t="str">
        <x:f>'Master Hunt List'!E209</x:f>
        <x:v>Hill Country / San Antonio</x:v>
      </x:c>
      <x:c r="G216" s="2" t="str">
        <x:f>'Master Hunt List'!F209</x:f>
        <x:v>Gun Deer - Management</x:v>
      </x:c>
      <x:c r="H216" s="2" t="str">
        <x:f>'Master Hunt List'!G209</x:f>
        <x:v>Yes</x:v>
      </x:c>
      <x:c r="I216" s="2" t="str">
        <x:f>'Master Hunt List'!H209</x:f>
        <x:v>Yes</x:v>
      </x:c>
      <x:c r="J216" s="97" t="str">
        <x:f>'Master Hunt List'!I209</x:f>
        <x:v>2026-09-15</x:v>
      </x:c>
      <x:c r="K216" s="111" t="n">
        <x:f>'Master Hunt List'!K209</x:f>
        <x:v>3</x:v>
      </x:c>
      <x:c r="L216" s="2" t="n">
        <x:f>'Master Hunt List'!AF209</x:f>
        <x:v>0</x:v>
      </x:c>
      <x:c r="M216" s="2" t="n">
        <x:f>'Master Hunt List'!AH209</x:f>
        <x:v>0</x:v>
      </x:c>
      <x:c r="N216" s="2" t="n">
        <x:f>'Master Hunt List'!AI209</x:f>
        <x:v>0</x:v>
      </x:c>
      <x:c r="O216" s="2" t="str">
        <x:f>'Master Hunt List'!V209</x:f>
        <x:v>https://tpwd.texas.gov/huntwild/hunt/public/public_hunt_drawing/hunt-category-details.phtml?OCat=GDM</x:v>
      </x:c>
    </x:row>
    <x:row r="217">
      <x:c r="A217" s="2" t="n">
        <x:f>210</x:f>
        <x:v>210</x:v>
      </x:c>
      <x:c r="B217" s="2" t="str">
        <x:f>'Master Hunt List'!A210</x:f>
        <x:v>No</x:v>
      </x:c>
      <x:c r="C217" s="2" t="str">
        <x:f>'Master Hunt List'!B210</x:f>
        <x:v>A</x:v>
      </x:c>
      <x:c r="D217" s="2" t="str">
        <x:f>'Master Hunt List'!C210</x:f>
        <x:v>Whitetail Deer</x:v>
      </x:c>
      <x:c r="E217" s="2" t="str">
        <x:f>'Master Hunt List'!D210</x:f>
        <x:v>Matador WMA</x:v>
      </x:c>
      <x:c r="F217" s="2" t="str">
        <x:f>'Master Hunt List'!E210</x:f>
        <x:v>Panhandle / Rolling Plains</x:v>
      </x:c>
      <x:c r="G217" s="2" t="str">
        <x:f>'Master Hunt List'!F210</x:f>
        <x:v>Gun Deer - Either Sex</x:v>
      </x:c>
      <x:c r="H217" s="2" t="str">
        <x:f>'Master Hunt List'!G210</x:f>
        <x:v>Yes</x:v>
      </x:c>
      <x:c r="I217" s="2" t="str">
        <x:f>'Master Hunt List'!H210</x:f>
        <x:v>Yes</x:v>
      </x:c>
      <x:c r="J217" s="97" t="str">
        <x:f>'Master Hunt List'!I210</x:f>
        <x:v>2026-09-15</x:v>
      </x:c>
      <x:c r="K217" s="111" t="n">
        <x:f>'Master Hunt List'!K210</x:f>
        <x:v>3</x:v>
      </x:c>
      <x:c r="L217" s="2" t="n">
        <x:f>'Master Hunt List'!AF210</x:f>
        <x:v>0</x:v>
      </x:c>
      <x:c r="M217" s="2" t="n">
        <x:f>'Master Hunt List'!AH210</x:f>
        <x:v>0</x:v>
      </x:c>
      <x:c r="N217" s="2" t="n">
        <x:f>'Master Hunt List'!AI210</x:f>
        <x:v>0</x:v>
      </x:c>
      <x:c r="O217" s="2" t="str">
        <x:f>'Master Hunt List'!V210</x:f>
        <x:v>https://tpwd.texas.gov/huntwild/hunt/public/public_hunt_drawing/hunt-category-details.phtml?OCat=GDE</x:v>
      </x:c>
    </x:row>
    <x:row r="218">
      <x:c r="A218" s="2" t="n">
        <x:f>211</x:f>
        <x:v>211</x:v>
      </x:c>
      <x:c r="B218" s="2" t="str">
        <x:f>'Master Hunt List'!A211</x:f>
        <x:v>No</x:v>
      </x:c>
      <x:c r="C218" s="2" t="str">
        <x:f>'Master Hunt List'!B211</x:f>
        <x:v>A</x:v>
      </x:c>
      <x:c r="D218" s="2" t="str">
        <x:f>'Master Hunt List'!C211</x:f>
        <x:v>Whitetail Deer</x:v>
      </x:c>
      <x:c r="E218" s="2" t="str">
        <x:f>'Master Hunt List'!D211</x:f>
        <x:v>Matagorda Island WMA</x:v>
      </x:c>
      <x:c r="F218" s="2" t="str">
        <x:f>'Master Hunt List'!E211</x:f>
        <x:v>Houston / Gulf Coast</x:v>
      </x:c>
      <x:c r="G218" s="2" t="str">
        <x:f>'Master Hunt List'!F211</x:f>
        <x:v>Gun Deer - Either Sex</x:v>
      </x:c>
      <x:c r="H218" s="2" t="str">
        <x:f>'Master Hunt List'!G211</x:f>
        <x:v>Yes</x:v>
      </x:c>
      <x:c r="I218" s="2" t="str">
        <x:f>'Master Hunt List'!H211</x:f>
        <x:v>Yes</x:v>
      </x:c>
      <x:c r="J218" s="97" t="str">
        <x:f>'Master Hunt List'!I211</x:f>
        <x:v>2026-09-15</x:v>
      </x:c>
      <x:c r="K218" s="111" t="n">
        <x:f>'Master Hunt List'!K211</x:f>
        <x:v>3</x:v>
      </x:c>
      <x:c r="L218" s="2" t="n">
        <x:f>'Master Hunt List'!AF211</x:f>
        <x:v>0</x:v>
      </x:c>
      <x:c r="M218" s="2" t="n">
        <x:f>'Master Hunt List'!AH211</x:f>
        <x:v>0</x:v>
      </x:c>
      <x:c r="N218" s="2" t="n">
        <x:f>'Master Hunt List'!AI211</x:f>
        <x:v>0</x:v>
      </x:c>
      <x:c r="O218" s="2" t="str">
        <x:f>'Master Hunt List'!V211</x:f>
        <x:v>https://tpwd.texas.gov/huntwild/hunt/public/public_hunt_drawing/hunt-category-details.phtml?OCat=GDE</x:v>
      </x:c>
    </x:row>
    <x:row r="219">
      <x:c r="A219" s="2" t="n">
        <x:f>212</x:f>
        <x:v>212</x:v>
      </x:c>
      <x:c r="B219" s="2" t="str">
        <x:f>'Master Hunt List'!A212</x:f>
        <x:v>No</x:v>
      </x:c>
      <x:c r="C219" s="2" t="str">
        <x:f>'Master Hunt List'!B212</x:f>
        <x:v>A</x:v>
      </x:c>
      <x:c r="D219" s="2" t="str">
        <x:f>'Master Hunt List'!C212</x:f>
        <x:v>Whitetail Deer</x:v>
      </x:c>
      <x:c r="E219" s="2" t="str">
        <x:f>'Master Hunt List'!D212</x:f>
        <x:v>Moore Plantation WMA</x:v>
      </x:c>
      <x:c r="F219" s="2" t="str">
        <x:f>'Master Hunt List'!E212</x:f>
        <x:v>East Texas / Pineywoods</x:v>
      </x:c>
      <x:c r="G219" s="2" t="str">
        <x:f>'Master Hunt List'!F212</x:f>
        <x:v>USFS Antlerless Deer Permit - Adult</x:v>
      </x:c>
      <x:c r="H219" s="2" t="str">
        <x:f>'Master Hunt List'!G212</x:f>
        <x:v>Yes</x:v>
      </x:c>
      <x:c r="I219" s="2" t="str">
        <x:f>'Master Hunt List'!H212</x:f>
        <x:v>No</x:v>
      </x:c>
      <x:c r="J219" s="97" t="str">
        <x:f>'Master Hunt List'!I212</x:f>
        <x:v>2026-09-15</x:v>
      </x:c>
      <x:c r="K219" s="111" t="n">
        <x:f>'Master Hunt List'!K212</x:f>
        <x:v>0</x:v>
      </x:c>
      <x:c r="L219" s="2" t="n">
        <x:f>'Master Hunt List'!AF212</x:f>
        <x:v>0</x:v>
      </x:c>
      <x:c r="M219" s="2" t="n">
        <x:f>'Master Hunt List'!AH212</x:f>
        <x:v>0</x:v>
      </x:c>
      <x:c r="N219" s="2" t="n">
        <x:f>'Master Hunt List'!AI212</x:f>
        <x:v>0</x:v>
      </x:c>
      <x:c r="O219" s="2" t="str">
        <x:f>'Master Hunt List'!V212</x:f>
        <x:v>https://tpwd.texas.gov/huntwild/hunt/public/public_hunt_drawing/hunt-category-details.phtml?OCat=FSD</x:v>
      </x:c>
    </x:row>
    <x:row r="220">
      <x:c r="A220" s="2" t="n">
        <x:f>213</x:f>
        <x:v>213</x:v>
      </x:c>
      <x:c r="B220" s="2" t="str">
        <x:f>'Master Hunt List'!A213</x:f>
        <x:v>No</x:v>
      </x:c>
      <x:c r="C220" s="2" t="str">
        <x:f>'Master Hunt List'!B213</x:f>
        <x:v>A</x:v>
      </x:c>
      <x:c r="D220" s="2" t="str">
        <x:f>'Master Hunt List'!C213</x:f>
        <x:v>Whitetail Deer</x:v>
      </x:c>
      <x:c r="E220" s="2" t="str">
        <x:f>'Master Hunt List'!D213</x:f>
        <x:v>Muse WMA</x:v>
      </x:c>
      <x:c r="F220" s="2" t="str">
        <x:f>'Master Hunt List'!E213</x:f>
        <x:v>Statewide / Other</x:v>
      </x:c>
      <x:c r="G220" s="2" t="str">
        <x:f>'Master Hunt List'!F213</x:f>
        <x:v>Gun Deer - Either Sex</x:v>
      </x:c>
      <x:c r="H220" s="2" t="str">
        <x:f>'Master Hunt List'!G213</x:f>
        <x:v>Yes</x:v>
      </x:c>
      <x:c r="I220" s="2" t="str">
        <x:f>'Master Hunt List'!H213</x:f>
        <x:v>Yes</x:v>
      </x:c>
      <x:c r="J220" s="97" t="str">
        <x:f>'Master Hunt List'!I213</x:f>
        <x:v>2026-09-15</x:v>
      </x:c>
      <x:c r="K220" s="111" t="n">
        <x:f>'Master Hunt List'!K213</x:f>
        <x:v>3</x:v>
      </x:c>
      <x:c r="L220" s="2" t="n">
        <x:f>'Master Hunt List'!AF213</x:f>
        <x:v>0</x:v>
      </x:c>
      <x:c r="M220" s="2" t="n">
        <x:f>'Master Hunt List'!AH213</x:f>
        <x:v>0</x:v>
      </x:c>
      <x:c r="N220" s="2" t="n">
        <x:f>'Master Hunt List'!AI213</x:f>
        <x:v>0</x:v>
      </x:c>
      <x:c r="O220" s="2" t="str">
        <x:f>'Master Hunt List'!V213</x:f>
        <x:v>https://tpwd.texas.gov/huntwild/hunt/public/public_hunt_drawing/hunt-category-details.phtml?OCat=GDE</x:v>
      </x:c>
    </x:row>
    <x:row r="221">
      <x:c r="A221" s="2" t="n">
        <x:f>214</x:f>
        <x:v>214</x:v>
      </x:c>
      <x:c r="B221" s="2" t="str">
        <x:f>'Master Hunt List'!A214</x:f>
        <x:v>No</x:v>
      </x:c>
      <x:c r="C221" s="2" t="str">
        <x:f>'Master Hunt List'!B214</x:f>
        <x:v>A</x:v>
      </x:c>
      <x:c r="D221" s="2" t="str">
        <x:f>'Master Hunt List'!C214</x:f>
        <x:v>Whitetail Deer</x:v>
      </x:c>
      <x:c r="E221" s="2" t="str">
        <x:f>'Master Hunt List'!D214</x:f>
        <x:v>Nannie Stringfellow WMA</x:v>
      </x:c>
      <x:c r="F221" s="2" t="str">
        <x:f>'Master Hunt List'!E214</x:f>
        <x:v>Houston / Gulf Coast</x:v>
      </x:c>
      <x:c r="G221" s="2" t="str">
        <x:f>'Master Hunt List'!F214</x:f>
        <x:v>Gun Deer - Antlerless/Spike</x:v>
      </x:c>
      <x:c r="H221" s="2" t="str">
        <x:f>'Master Hunt List'!G214</x:f>
        <x:v>Yes</x:v>
      </x:c>
      <x:c r="I221" s="2" t="str">
        <x:f>'Master Hunt List'!H214</x:f>
        <x:v>Yes</x:v>
      </x:c>
      <x:c r="J221" s="97" t="str">
        <x:f>'Master Hunt List'!I214</x:f>
        <x:v>2026-09-15</x:v>
      </x:c>
      <x:c r="K221" s="111" t="n">
        <x:f>'Master Hunt List'!K214</x:f>
        <x:v>3</x:v>
      </x:c>
      <x:c r="L221" s="2" t="n">
        <x:f>'Master Hunt List'!AF214</x:f>
        <x:v>0</x:v>
      </x:c>
      <x:c r="M221" s="2" t="n">
        <x:f>'Master Hunt List'!AH214</x:f>
        <x:v>0</x:v>
      </x:c>
      <x:c r="N221" s="2" t="n">
        <x:f>'Master Hunt List'!AI214</x:f>
        <x:v>0</x:v>
      </x:c>
      <x:c r="O221" s="2" t="str">
        <x:f>'Master Hunt List'!V214</x:f>
        <x:v>https://tpwd.texas.gov/huntwild/hunt/public/public_hunt_drawing/hunt-category-details.phtml?OCat=GDA</x:v>
      </x:c>
    </x:row>
    <x:row r="222">
      <x:c r="A222" s="2" t="n">
        <x:f>215</x:f>
        <x:v>215</x:v>
      </x:c>
      <x:c r="B222" s="2" t="str">
        <x:f>'Master Hunt List'!A215</x:f>
        <x:v>No</x:v>
      </x:c>
      <x:c r="C222" s="2" t="str">
        <x:f>'Master Hunt List'!B215</x:f>
        <x:v>A</x:v>
      </x:c>
      <x:c r="D222" s="2" t="str">
        <x:f>'Master Hunt List'!C215</x:f>
        <x:v>Whitetail Deer</x:v>
      </x:c>
      <x:c r="E222" s="2" t="str">
        <x:f>'Master Hunt List'!D215</x:f>
        <x:v>Neches River NWR - Dead Water Unit</x:v>
      </x:c>
      <x:c r="F222" s="2" t="str">
        <x:f>'Master Hunt List'!E215</x:f>
        <x:v>East Texas / Pineywoods</x:v>
      </x:c>
      <x:c r="G222" s="2" t="str">
        <x:f>'Master Hunt List'!F215</x:f>
        <x:v>National Refuge General Deer</x:v>
      </x:c>
      <x:c r="H222" s="2" t="str">
        <x:f>'Master Hunt List'!G215</x:f>
        <x:v>Yes</x:v>
      </x:c>
      <x:c r="I222" s="2" t="str">
        <x:f>'Master Hunt List'!H215</x:f>
        <x:v>Yes</x:v>
      </x:c>
      <x:c r="J222" s="97" t="str">
        <x:f>'Master Hunt List'!I215</x:f>
        <x:v>2026-09-15</x:v>
      </x:c>
      <x:c r="K222" s="111" t="n">
        <x:f>'Master Hunt List'!K215</x:f>
        <x:v>3</x:v>
      </x:c>
      <x:c r="L222" s="2" t="n">
        <x:f>'Master Hunt List'!AF215</x:f>
        <x:v>0</x:v>
      </x:c>
      <x:c r="M222" s="2" t="n">
        <x:f>'Master Hunt List'!AH215</x:f>
        <x:v>0</x:v>
      </x:c>
      <x:c r="N222" s="2" t="n">
        <x:f>'Master Hunt List'!AI215</x:f>
        <x:v>0</x:v>
      </x:c>
      <x:c r="O222" s="2" t="str">
        <x:f>'Master Hunt List'!V215</x:f>
        <x:v>https://tpwd.texas.gov/huntwild/hunt/public/public_hunt_drawing/hunt-category-details.phtml?OCat=NGE</x:v>
      </x:c>
    </x:row>
    <x:row r="223">
      <x:c r="A223" s="2" t="n">
        <x:f>216</x:f>
        <x:v>216</x:v>
      </x:c>
      <x:c r="B223" s="2" t="str">
        <x:f>'Master Hunt List'!A216</x:f>
        <x:v>No</x:v>
      </x:c>
      <x:c r="C223" s="2" t="str">
        <x:f>'Master Hunt List'!B216</x:f>
        <x:v>A</x:v>
      </x:c>
      <x:c r="D223" s="2" t="str">
        <x:f>'Master Hunt List'!C216</x:f>
        <x:v>Whitetail Deer</x:v>
      </x:c>
      <x:c r="E223" s="2" t="str">
        <x:f>'Master Hunt List'!D216</x:f>
        <x:v>Neches River NWR - Rocky Point Unit</x:v>
      </x:c>
      <x:c r="F223" s="2" t="str">
        <x:f>'Master Hunt List'!E216</x:f>
        <x:v>East Texas / Pineywoods</x:v>
      </x:c>
      <x:c r="G223" s="2" t="str">
        <x:f>'Master Hunt List'!F216</x:f>
        <x:v>National Refuge General Deer</x:v>
      </x:c>
      <x:c r="H223" s="2" t="str">
        <x:f>'Master Hunt List'!G216</x:f>
        <x:v>Yes</x:v>
      </x:c>
      <x:c r="I223" s="2" t="str">
        <x:f>'Master Hunt List'!H216</x:f>
        <x:v>Yes</x:v>
      </x:c>
      <x:c r="J223" s="97" t="str">
        <x:f>'Master Hunt List'!I216</x:f>
        <x:v>2026-09-15</x:v>
      </x:c>
      <x:c r="K223" s="111" t="n">
        <x:f>'Master Hunt List'!K216</x:f>
        <x:v>3</x:v>
      </x:c>
      <x:c r="L223" s="2" t="n">
        <x:f>'Master Hunt List'!AF216</x:f>
        <x:v>0</x:v>
      </x:c>
      <x:c r="M223" s="2" t="n">
        <x:f>'Master Hunt List'!AH216</x:f>
        <x:v>0</x:v>
      </x:c>
      <x:c r="N223" s="2" t="n">
        <x:f>'Master Hunt List'!AI216</x:f>
        <x:v>0</x:v>
      </x:c>
      <x:c r="O223" s="2" t="str">
        <x:f>'Master Hunt List'!V216</x:f>
        <x:v>https://tpwd.texas.gov/huntwild/hunt/public/public_hunt_drawing/hunt-category-details.phtml?OCat=NGE</x:v>
      </x:c>
    </x:row>
    <x:row r="224">
      <x:c r="A224" s="2" t="n">
        <x:f>217</x:f>
        <x:v>217</x:v>
      </x:c>
      <x:c r="B224" s="2" t="str">
        <x:f>'Master Hunt List'!A217</x:f>
        <x:v>No</x:v>
      </x:c>
      <x:c r="C224" s="2" t="str">
        <x:f>'Master Hunt List'!B217</x:f>
        <x:v>A</x:v>
      </x:c>
      <x:c r="D224" s="2" t="str">
        <x:f>'Master Hunt List'!C217</x:f>
        <x:v>Whitetail Deer</x:v>
      </x:c>
      <x:c r="E224" s="2" t="str">
        <x:f>'Master Hunt List'!D217</x:f>
        <x:v>Neches River NWR - Sandy Bluff Unit</x:v>
      </x:c>
      <x:c r="F224" s="2" t="str">
        <x:f>'Master Hunt List'!E217</x:f>
        <x:v>East Texas / Pineywoods</x:v>
      </x:c>
      <x:c r="G224" s="2" t="str">
        <x:f>'Master Hunt List'!F217</x:f>
        <x:v>National Refuge General Deer</x:v>
      </x:c>
      <x:c r="H224" s="2" t="str">
        <x:f>'Master Hunt List'!G217</x:f>
        <x:v>Yes</x:v>
      </x:c>
      <x:c r="I224" s="2" t="str">
        <x:f>'Master Hunt List'!H217</x:f>
        <x:v>Yes</x:v>
      </x:c>
      <x:c r="J224" s="97" t="str">
        <x:f>'Master Hunt List'!I217</x:f>
        <x:v>2026-09-15</x:v>
      </x:c>
      <x:c r="K224" s="111" t="n">
        <x:f>'Master Hunt List'!K217</x:f>
        <x:v>3</x:v>
      </x:c>
      <x:c r="L224" s="2" t="n">
        <x:f>'Master Hunt List'!AF217</x:f>
        <x:v>0</x:v>
      </x:c>
      <x:c r="M224" s="2" t="n">
        <x:f>'Master Hunt List'!AH217</x:f>
        <x:v>0</x:v>
      </x:c>
      <x:c r="N224" s="2" t="n">
        <x:f>'Master Hunt List'!AI217</x:f>
        <x:v>0</x:v>
      </x:c>
      <x:c r="O224" s="2" t="str">
        <x:f>'Master Hunt List'!V217</x:f>
        <x:v>https://tpwd.texas.gov/huntwild/hunt/public/public_hunt_drawing/hunt-category-details.phtml?OCat=NGE</x:v>
      </x:c>
    </x:row>
    <x:row r="225">
      <x:c r="A225" s="2" t="n">
        <x:f>218</x:f>
        <x:v>218</x:v>
      </x:c>
      <x:c r="B225" s="2" t="str">
        <x:f>'Master Hunt List'!A218</x:f>
        <x:v>No</x:v>
      </x:c>
      <x:c r="C225" s="2" t="str">
        <x:f>'Master Hunt List'!B218</x:f>
        <x:v>A</x:v>
      </x:c>
      <x:c r="D225" s="2" t="str">
        <x:f>'Master Hunt List'!C218</x:f>
        <x:v>Whitetail Deer</x:v>
      </x:c>
      <x:c r="E225" s="2" t="str">
        <x:f>'Master Hunt List'!D218</x:f>
        <x:v>Neches River NWR - Walnut Branch Unit</x:v>
      </x:c>
      <x:c r="F225" s="2" t="str">
        <x:f>'Master Hunt List'!E218</x:f>
        <x:v>East Texas / Pineywoods</x:v>
      </x:c>
      <x:c r="G225" s="2" t="str">
        <x:f>'Master Hunt List'!F218</x:f>
        <x:v>National Refuge General Deer</x:v>
      </x:c>
      <x:c r="H225" s="2" t="str">
        <x:f>'Master Hunt List'!G218</x:f>
        <x:v>Yes</x:v>
      </x:c>
      <x:c r="I225" s="2" t="str">
        <x:f>'Master Hunt List'!H218</x:f>
        <x:v>Yes</x:v>
      </x:c>
      <x:c r="J225" s="97" t="str">
        <x:f>'Master Hunt List'!I218</x:f>
        <x:v>2026-09-15</x:v>
      </x:c>
      <x:c r="K225" s="111" t="n">
        <x:f>'Master Hunt List'!K218</x:f>
        <x:v>3</x:v>
      </x:c>
      <x:c r="L225" s="2" t="n">
        <x:f>'Master Hunt List'!AF218</x:f>
        <x:v>0</x:v>
      </x:c>
      <x:c r="M225" s="2" t="n">
        <x:f>'Master Hunt List'!AH218</x:f>
        <x:v>0</x:v>
      </x:c>
      <x:c r="N225" s="2" t="n">
        <x:f>'Master Hunt List'!AI218</x:f>
        <x:v>0</x:v>
      </x:c>
      <x:c r="O225" s="2" t="str">
        <x:f>'Master Hunt List'!V218</x:f>
        <x:v>https://tpwd.texas.gov/huntwild/hunt/public/public_hunt_drawing/hunt-category-details.phtml?OCat=NGE</x:v>
      </x:c>
    </x:row>
    <x:row r="226">
      <x:c r="A226" s="2" t="n">
        <x:f>219</x:f>
        <x:v>219</x:v>
      </x:c>
      <x:c r="B226" s="2" t="str">
        <x:f>'Master Hunt List'!A219</x:f>
        <x:v>No</x:v>
      </x:c>
      <x:c r="C226" s="2" t="str">
        <x:f>'Master Hunt List'!B219</x:f>
        <x:v>A</x:v>
      </x:c>
      <x:c r="D226" s="2" t="str">
        <x:f>'Master Hunt List'!C219</x:f>
        <x:v>Whitetail Deer</x:v>
      </x:c>
      <x:c r="E226" s="2" t="str">
        <x:f>'Master Hunt List'!D219</x:f>
        <x:v>Old Sabine Bottom WMA</x:v>
      </x:c>
      <x:c r="F226" s="2" t="str">
        <x:f>'Master Hunt List'!E219</x:f>
        <x:v>East Texas / Pineywoods</x:v>
      </x:c>
      <x:c r="G226" s="2" t="str">
        <x:f>'Master Hunt List'!F219</x:f>
        <x:v>E-Postcard Deer</x:v>
      </x:c>
      <x:c r="H226" s="2" t="str">
        <x:f>'Master Hunt List'!G219</x:f>
        <x:v>Yes</x:v>
      </x:c>
      <x:c r="I226" s="2" t="str">
        <x:f>'Master Hunt List'!H219</x:f>
        <x:v>Yes</x:v>
      </x:c>
      <x:c r="J226" s="97" t="str">
        <x:f>'Master Hunt List'!I219</x:f>
        <x:v>2026-09-15</x:v>
      </x:c>
      <x:c r="K226" s="111" t="n">
        <x:f>'Master Hunt List'!K219</x:f>
        <x:v>0</x:v>
      </x:c>
      <x:c r="L226" s="2" t="n">
        <x:f>'Master Hunt List'!AF219</x:f>
        <x:v>0</x:v>
      </x:c>
      <x:c r="M226" s="2" t="n">
        <x:f>'Master Hunt List'!AH219</x:f>
        <x:v>0</x:v>
      </x:c>
      <x:c r="N226" s="2" t="n">
        <x:f>'Master Hunt List'!AI219</x:f>
        <x:v>0</x:v>
      </x:c>
      <x:c r="O226" s="2" t="str">
        <x:f>'Master Hunt List'!V219</x:f>
        <x:v>https://tpwd.texas.gov/huntwild/hunt/public/public_hunt_drawing/hunt-category-details.phtml?OCat=EDR</x:v>
      </x:c>
    </x:row>
    <x:row r="227">
      <x:c r="A227" s="2" t="n">
        <x:f>220</x:f>
        <x:v>220</x:v>
      </x:c>
      <x:c r="B227" s="2" t="str">
        <x:f>'Master Hunt List'!A220</x:f>
        <x:v>No</x:v>
      </x:c>
      <x:c r="C227" s="2" t="str">
        <x:f>'Master Hunt List'!B220</x:f>
        <x:v>A</x:v>
      </x:c>
      <x:c r="D227" s="2" t="str">
        <x:f>'Master Hunt List'!C220</x:f>
        <x:v>Whitetail Deer</x:v>
      </x:c>
      <x:c r="E227" s="2" t="str">
        <x:f>'Master Hunt List'!D220</x:f>
        <x:v>Old Sabine Bottom WMA</x:v>
      </x:c>
      <x:c r="F227" s="2" t="str">
        <x:f>'Master Hunt List'!E220</x:f>
        <x:v>East Texas / Pineywoods</x:v>
      </x:c>
      <x:c r="G227" s="2" t="str">
        <x:f>'Master Hunt List'!F220</x:f>
        <x:v>Gun Deer - Either Sex</x:v>
      </x:c>
      <x:c r="H227" s="2" t="str">
        <x:f>'Master Hunt List'!G220</x:f>
        <x:v>Yes</x:v>
      </x:c>
      <x:c r="I227" s="2" t="str">
        <x:f>'Master Hunt List'!H220</x:f>
        <x:v>Yes</x:v>
      </x:c>
      <x:c r="J227" s="97" t="str">
        <x:f>'Master Hunt List'!I220</x:f>
        <x:v>2026-09-15</x:v>
      </x:c>
      <x:c r="K227" s="111" t="n">
        <x:f>'Master Hunt List'!K220</x:f>
        <x:v>3</x:v>
      </x:c>
      <x:c r="L227" s="2" t="n">
        <x:f>'Master Hunt List'!AF220</x:f>
        <x:v>0</x:v>
      </x:c>
      <x:c r="M227" s="2" t="n">
        <x:f>'Master Hunt List'!AH220</x:f>
        <x:v>0</x:v>
      </x:c>
      <x:c r="N227" s="2" t="n">
        <x:f>'Master Hunt List'!AI220</x:f>
        <x:v>0</x:v>
      </x:c>
      <x:c r="O227" s="2" t="str">
        <x:f>'Master Hunt List'!V220</x:f>
        <x:v>https://tpwd.texas.gov/huntwild/hunt/public/public_hunt_drawing/hunt-category-details.phtml?OCat=GDE</x:v>
      </x:c>
    </x:row>
    <x:row r="228">
      <x:c r="A228" s="2" t="n">
        <x:f>221</x:f>
        <x:v>221</x:v>
      </x:c>
      <x:c r="B228" s="2" t="str">
        <x:f>'Master Hunt List'!A221</x:f>
        <x:v>No</x:v>
      </x:c>
      <x:c r="C228" s="2" t="str">
        <x:f>'Master Hunt List'!B221</x:f>
        <x:v>A</x:v>
      </x:c>
      <x:c r="D228" s="2" t="str">
        <x:f>'Master Hunt List'!C221</x:f>
        <x:v>Whitetail Deer</x:v>
      </x:c>
      <x:c r="E228" s="2" t="str">
        <x:f>'Master Hunt List'!D221</x:f>
        <x:v>Pat Mayse WMA</x:v>
      </x:c>
      <x:c r="F228" s="2" t="str">
        <x:f>'Master Hunt List'!E221</x:f>
        <x:v>North Texas / DFW</x:v>
      </x:c>
      <x:c r="G228" s="2" t="str">
        <x:f>'Master Hunt List'!F221</x:f>
        <x:v>Gun Deer - Either Sex</x:v>
      </x:c>
      <x:c r="H228" s="2" t="str">
        <x:f>'Master Hunt List'!G221</x:f>
        <x:v>Yes</x:v>
      </x:c>
      <x:c r="I228" s="2" t="str">
        <x:f>'Master Hunt List'!H221</x:f>
        <x:v>Yes</x:v>
      </x:c>
      <x:c r="J228" s="97" t="str">
        <x:f>'Master Hunt List'!I221</x:f>
        <x:v>2026-09-15</x:v>
      </x:c>
      <x:c r="K228" s="111" t="n">
        <x:f>'Master Hunt List'!K221</x:f>
        <x:v>3</x:v>
      </x:c>
      <x:c r="L228" s="2" t="n">
        <x:f>'Master Hunt List'!AF221</x:f>
        <x:v>0</x:v>
      </x:c>
      <x:c r="M228" s="2" t="n">
        <x:f>'Master Hunt List'!AH221</x:f>
        <x:v>0</x:v>
      </x:c>
      <x:c r="N228" s="2" t="n">
        <x:f>'Master Hunt List'!AI221</x:f>
        <x:v>0</x:v>
      </x:c>
      <x:c r="O228" s="2" t="str">
        <x:f>'Master Hunt List'!V221</x:f>
        <x:v>https://tpwd.texas.gov/huntwild/hunt/public/public_hunt_drawing/hunt-category-details.phtml?OCat=GDE</x:v>
      </x:c>
    </x:row>
    <x:row r="229">
      <x:c r="A229" s="2" t="n">
        <x:f>222</x:f>
        <x:v>222</x:v>
      </x:c>
      <x:c r="B229" s="2" t="str">
        <x:f>'Master Hunt List'!A222</x:f>
        <x:v>No</x:v>
      </x:c>
      <x:c r="C229" s="2" t="str">
        <x:f>'Master Hunt List'!B222</x:f>
        <x:v>A</x:v>
      </x:c>
      <x:c r="D229" s="2" t="str">
        <x:f>'Master Hunt List'!C222</x:f>
        <x:v>Whitetail Deer</x:v>
      </x:c>
      <x:c r="E229" s="2" t="str">
        <x:f>'Master Hunt List'!D222</x:f>
        <x:v>Pedernales Falls SP</x:v>
      </x:c>
      <x:c r="F229" s="2" t="str">
        <x:f>'Master Hunt List'!E222</x:f>
        <x:v>Hill Country / San Antonio</x:v>
      </x:c>
      <x:c r="G229" s="2" t="str">
        <x:f>'Master Hunt List'!F222</x:f>
        <x:v>Gun Deer - Antlerless/Spike</x:v>
      </x:c>
      <x:c r="H229" s="2" t="str">
        <x:f>'Master Hunt List'!G222</x:f>
        <x:v>Yes</x:v>
      </x:c>
      <x:c r="I229" s="2" t="str">
        <x:f>'Master Hunt List'!H222</x:f>
        <x:v>Yes</x:v>
      </x:c>
      <x:c r="J229" s="97" t="str">
        <x:f>'Master Hunt List'!I222</x:f>
        <x:v>2026-09-15</x:v>
      </x:c>
      <x:c r="K229" s="111" t="n">
        <x:f>'Master Hunt List'!K222</x:f>
        <x:v>3</x:v>
      </x:c>
      <x:c r="L229" s="2" t="n">
        <x:f>'Master Hunt List'!AF222</x:f>
        <x:v>0</x:v>
      </x:c>
      <x:c r="M229" s="2" t="n">
        <x:f>'Master Hunt List'!AH222</x:f>
        <x:v>0</x:v>
      </x:c>
      <x:c r="N229" s="2" t="n">
        <x:f>'Master Hunt List'!AI222</x:f>
        <x:v>0</x:v>
      </x:c>
      <x:c r="O229" s="2" t="str">
        <x:f>'Master Hunt List'!V222</x:f>
        <x:v>https://tpwd.texas.gov/huntwild/hunt/public/public_hunt_drawing/hunt-category-details.phtml?OCat=GDA</x:v>
      </x:c>
    </x:row>
    <x:row r="230">
      <x:c r="A230" s="2" t="n">
        <x:f>223</x:f>
        <x:v>223</x:v>
      </x:c>
      <x:c r="B230" s="2" t="str">
        <x:f>'Master Hunt List'!A223</x:f>
        <x:v>No</x:v>
      </x:c>
      <x:c r="C230" s="2" t="str">
        <x:f>'Master Hunt List'!B223</x:f>
        <x:v>A</x:v>
      </x:c>
      <x:c r="D230" s="2" t="str">
        <x:f>'Master Hunt List'!C223</x:f>
        <x:v>Whitetail Deer</x:v>
      </x:c>
      <x:c r="E230" s="2" t="str">
        <x:f>'Master Hunt List'!D223</x:f>
        <x:v>Pedernales Falls SP Annex</x:v>
      </x:c>
      <x:c r="F230" s="2" t="str">
        <x:f>'Master Hunt List'!E223</x:f>
        <x:v>Hill Country / San Antonio</x:v>
      </x:c>
      <x:c r="G230" s="2" t="str">
        <x:f>'Master Hunt List'!F223</x:f>
        <x:v>Gun Deer - Either Sex</x:v>
      </x:c>
      <x:c r="H230" s="2" t="str">
        <x:f>'Master Hunt List'!G223</x:f>
        <x:v>Yes</x:v>
      </x:c>
      <x:c r="I230" s="2" t="str">
        <x:f>'Master Hunt List'!H223</x:f>
        <x:v>Yes</x:v>
      </x:c>
      <x:c r="J230" s="97" t="str">
        <x:f>'Master Hunt List'!I223</x:f>
        <x:v>2026-09-15</x:v>
      </x:c>
      <x:c r="K230" s="111" t="n">
        <x:f>'Master Hunt List'!K223</x:f>
        <x:v>3</x:v>
      </x:c>
      <x:c r="L230" s="2" t="n">
        <x:f>'Master Hunt List'!AF223</x:f>
        <x:v>0</x:v>
      </x:c>
      <x:c r="M230" s="2" t="n">
        <x:f>'Master Hunt List'!AH223</x:f>
        <x:v>0</x:v>
      </x:c>
      <x:c r="N230" s="2" t="n">
        <x:f>'Master Hunt List'!AI223</x:f>
        <x:v>0</x:v>
      </x:c>
      <x:c r="O230" s="2" t="str">
        <x:f>'Master Hunt List'!V223</x:f>
        <x:v>https://tpwd.texas.gov/huntwild/hunt/public/public_hunt_drawing/hunt-category-details.phtml?OCat=GDE</x:v>
      </x:c>
    </x:row>
    <x:row r="231">
      <x:c r="A231" s="2" t="n">
        <x:f>224</x:f>
        <x:v>224</x:v>
      </x:c>
      <x:c r="B231" s="2" t="str">
        <x:f>'Master Hunt List'!A224</x:f>
        <x:v>No</x:v>
      </x:c>
      <x:c r="C231" s="2" t="str">
        <x:f>'Master Hunt List'!B224</x:f>
        <x:v>A</x:v>
      </x:c>
      <x:c r="D231" s="2" t="str">
        <x:f>'Master Hunt List'!C224</x:f>
        <x:v>Whitetail Deer</x:v>
      </x:c>
      <x:c r="E231" s="2" t="str">
        <x:f>'Master Hunt List'!D224</x:f>
        <x:v>Post Oak Ridge State Park</x:v>
      </x:c>
      <x:c r="F231" s="2" t="str">
        <x:f>'Master Hunt List'!E224</x:f>
        <x:v>Statewide / Other</x:v>
      </x:c>
      <x:c r="G231" s="2" t="str">
        <x:f>'Master Hunt List'!F224</x:f>
        <x:v>Gun Deer - Antlerless/Spike</x:v>
      </x:c>
      <x:c r="H231" s="2" t="str">
        <x:f>'Master Hunt List'!G224</x:f>
        <x:v>Yes</x:v>
      </x:c>
      <x:c r="I231" s="2" t="str">
        <x:f>'Master Hunt List'!H224</x:f>
        <x:v>Yes</x:v>
      </x:c>
      <x:c r="J231" s="97" t="str">
        <x:f>'Master Hunt List'!I224</x:f>
        <x:v>2026-09-15</x:v>
      </x:c>
      <x:c r="K231" s="111" t="n">
        <x:f>'Master Hunt List'!K224</x:f>
        <x:v>3</x:v>
      </x:c>
      <x:c r="L231" s="2" t="n">
        <x:f>'Master Hunt List'!AF224</x:f>
        <x:v>0</x:v>
      </x:c>
      <x:c r="M231" s="2" t="n">
        <x:f>'Master Hunt List'!AH224</x:f>
        <x:v>0</x:v>
      </x:c>
      <x:c r="N231" s="2" t="n">
        <x:f>'Master Hunt List'!AI224</x:f>
        <x:v>0</x:v>
      </x:c>
      <x:c r="O231" s="2" t="str">
        <x:f>'Master Hunt List'!V224</x:f>
        <x:v>https://tpwd.texas.gov/huntwild/hunt/public/public_hunt_drawing/hunt-category-details.phtml?OCat=GDA</x:v>
      </x:c>
    </x:row>
    <x:row r="232">
      <x:c r="A232" s="2" t="n">
        <x:f>225</x:f>
        <x:v>225</x:v>
      </x:c>
      <x:c r="B232" s="2" t="str">
        <x:f>'Master Hunt List'!A225</x:f>
        <x:v>No</x:v>
      </x:c>
      <x:c r="C232" s="2" t="str">
        <x:f>'Master Hunt List'!B225</x:f>
        <x:v>A</x:v>
      </x:c>
      <x:c r="D232" s="2" t="str">
        <x:f>'Master Hunt List'!C225</x:f>
        <x:v>Whitetail Deer</x:v>
      </x:c>
      <x:c r="E232" s="2" t="str">
        <x:f>'Master Hunt List'!D225</x:f>
        <x:v>Post Oak Ridge State Park</x:v>
      </x:c>
      <x:c r="F232" s="2" t="str">
        <x:f>'Master Hunt List'!E225</x:f>
        <x:v>Statewide / Other</x:v>
      </x:c>
      <x:c r="G232" s="2" t="str">
        <x:f>'Master Hunt List'!F225</x:f>
        <x:v>Gun Deer - Either Sex</x:v>
      </x:c>
      <x:c r="H232" s="2" t="str">
        <x:f>'Master Hunt List'!G225</x:f>
        <x:v>Yes</x:v>
      </x:c>
      <x:c r="I232" s="2" t="str">
        <x:f>'Master Hunt List'!H225</x:f>
        <x:v>Yes</x:v>
      </x:c>
      <x:c r="J232" s="97" t="str">
        <x:f>'Master Hunt List'!I225</x:f>
        <x:v>2026-09-15</x:v>
      </x:c>
      <x:c r="K232" s="111" t="n">
        <x:f>'Master Hunt List'!K225</x:f>
        <x:v>3</x:v>
      </x:c>
      <x:c r="L232" s="2" t="n">
        <x:f>'Master Hunt List'!AF225</x:f>
        <x:v>0</x:v>
      </x:c>
      <x:c r="M232" s="2" t="n">
        <x:f>'Master Hunt List'!AH225</x:f>
        <x:v>0</x:v>
      </x:c>
      <x:c r="N232" s="2" t="n">
        <x:f>'Master Hunt List'!AI225</x:f>
        <x:v>0</x:v>
      </x:c>
      <x:c r="O232" s="2" t="str">
        <x:f>'Master Hunt List'!V225</x:f>
        <x:v>https://tpwd.texas.gov/huntwild/hunt/public/public_hunt_drawing/hunt-category-details.phtml?OCat=GDE</x:v>
      </x:c>
    </x:row>
    <x:row r="233">
      <x:c r="A233" s="2" t="n">
        <x:f>226</x:f>
        <x:v>226</x:v>
      </x:c>
      <x:c r="B233" s="2" t="str">
        <x:f>'Master Hunt List'!A226</x:f>
        <x:v>No</x:v>
      </x:c>
      <x:c r="C233" s="2" t="str">
        <x:f>'Master Hunt List'!B226</x:f>
        <x:v>A</x:v>
      </x:c>
      <x:c r="D233" s="2" t="str">
        <x:f>'Master Hunt List'!C226</x:f>
        <x:v>Whitetail Deer</x:v>
      </x:c>
      <x:c r="E233" s="2" t="str">
        <x:f>'Master Hunt List'!D226</x:f>
        <x:v>Powderhorn WMA</x:v>
      </x:c>
      <x:c r="F233" s="2" t="str">
        <x:f>'Master Hunt List'!E226</x:f>
        <x:v>Houston / Gulf Coast</x:v>
      </x:c>
      <x:c r="G233" s="2" t="str">
        <x:f>'Master Hunt List'!F226</x:f>
        <x:v>Gun Deer - Either Sex</x:v>
      </x:c>
      <x:c r="H233" s="2" t="str">
        <x:f>'Master Hunt List'!G226</x:f>
        <x:v>Yes</x:v>
      </x:c>
      <x:c r="I233" s="2" t="str">
        <x:f>'Master Hunt List'!H226</x:f>
        <x:v>Yes</x:v>
      </x:c>
      <x:c r="J233" s="97" t="str">
        <x:f>'Master Hunt List'!I226</x:f>
        <x:v>2026-09-15</x:v>
      </x:c>
      <x:c r="K233" s="111" t="n">
        <x:f>'Master Hunt List'!K226</x:f>
        <x:v>3</x:v>
      </x:c>
      <x:c r="L233" s="2" t="n">
        <x:f>'Master Hunt List'!AF226</x:f>
        <x:v>0</x:v>
      </x:c>
      <x:c r="M233" s="2" t="n">
        <x:f>'Master Hunt List'!AH226</x:f>
        <x:v>0</x:v>
      </x:c>
      <x:c r="N233" s="2" t="n">
        <x:f>'Master Hunt List'!AI226</x:f>
        <x:v>0</x:v>
      </x:c>
      <x:c r="O233" s="2" t="str">
        <x:f>'Master Hunt List'!V226</x:f>
        <x:v>https://tpwd.texas.gov/huntwild/hunt/public/public_hunt_drawing/hunt-category-details.phtml?OCat=GDE</x:v>
      </x:c>
    </x:row>
    <x:row r="234">
      <x:c r="A234" s="2" t="n">
        <x:f>227</x:f>
        <x:v>227</x:v>
      </x:c>
      <x:c r="B234" s="2" t="str">
        <x:f>'Master Hunt List'!A227</x:f>
        <x:v>No</x:v>
      </x:c>
      <x:c r="C234" s="2" t="str">
        <x:f>'Master Hunt List'!B227</x:f>
        <x:v>A</x:v>
      </x:c>
      <x:c r="D234" s="2" t="str">
        <x:f>'Master Hunt List'!C227</x:f>
        <x:v>Whitetail Deer</x:v>
      </x:c>
      <x:c r="E234" s="2" t="str">
        <x:f>'Master Hunt List'!D227</x:f>
        <x:v>Richland Creek WMA - Carl Frentress Unit</x:v>
      </x:c>
      <x:c r="F234" s="2" t="str">
        <x:f>'Master Hunt List'!E227</x:f>
        <x:v>Statewide / Other</x:v>
      </x:c>
      <x:c r="G234" s="2" t="str">
        <x:f>'Master Hunt List'!F227</x:f>
        <x:v>Gun Deer - Antlerless/Spike</x:v>
      </x:c>
      <x:c r="H234" s="2" t="str">
        <x:f>'Master Hunt List'!G227</x:f>
        <x:v>Yes</x:v>
      </x:c>
      <x:c r="I234" s="2" t="str">
        <x:f>'Master Hunt List'!H227</x:f>
        <x:v>Yes</x:v>
      </x:c>
      <x:c r="J234" s="97" t="str">
        <x:f>'Master Hunt List'!I227</x:f>
        <x:v>2026-09-15</x:v>
      </x:c>
      <x:c r="K234" s="111" t="n">
        <x:f>'Master Hunt List'!K227</x:f>
        <x:v>3</x:v>
      </x:c>
      <x:c r="L234" s="2" t="n">
        <x:f>'Master Hunt List'!AF227</x:f>
        <x:v>0</x:v>
      </x:c>
      <x:c r="M234" s="2" t="n">
        <x:f>'Master Hunt List'!AH227</x:f>
        <x:v>0</x:v>
      </x:c>
      <x:c r="N234" s="2" t="n">
        <x:f>'Master Hunt List'!AI227</x:f>
        <x:v>0</x:v>
      </x:c>
      <x:c r="O234" s="2" t="str">
        <x:f>'Master Hunt List'!V227</x:f>
        <x:v>https://tpwd.texas.gov/huntwild/hunt/public/public_hunt_drawing/hunt-category-details.phtml?OCat=GDA</x:v>
      </x:c>
    </x:row>
    <x:row r="235">
      <x:c r="A235" s="2" t="n">
        <x:f>228</x:f>
        <x:v>228</x:v>
      </x:c>
      <x:c r="B235" s="2" t="str">
        <x:f>'Master Hunt List'!A228</x:f>
        <x:v>No</x:v>
      </x:c>
      <x:c r="C235" s="2" t="str">
        <x:f>'Master Hunt List'!B228</x:f>
        <x:v>A</x:v>
      </x:c>
      <x:c r="D235" s="2" t="str">
        <x:f>'Master Hunt List'!C228</x:f>
        <x:v>Whitetail Deer</x:v>
      </x:c>
      <x:c r="E235" s="2" t="str">
        <x:f>'Master Hunt List'!D228</x:f>
        <x:v>Richland Creek WMA - Carl Frentress Unit</x:v>
      </x:c>
      <x:c r="F235" s="2" t="str">
        <x:f>'Master Hunt List'!E228</x:f>
        <x:v>Statewide / Other</x:v>
      </x:c>
      <x:c r="G235" s="2" t="str">
        <x:f>'Master Hunt List'!F228</x:f>
        <x:v>Gun Deer - Either Sex</x:v>
      </x:c>
      <x:c r="H235" s="2" t="str">
        <x:f>'Master Hunt List'!G228</x:f>
        <x:v>Yes</x:v>
      </x:c>
      <x:c r="I235" s="2" t="str">
        <x:f>'Master Hunt List'!H228</x:f>
        <x:v>Yes</x:v>
      </x:c>
      <x:c r="J235" s="97" t="str">
        <x:f>'Master Hunt List'!I228</x:f>
        <x:v>2026-09-15</x:v>
      </x:c>
      <x:c r="K235" s="111" t="n">
        <x:f>'Master Hunt List'!K228</x:f>
        <x:v>3</x:v>
      </x:c>
      <x:c r="L235" s="2" t="n">
        <x:f>'Master Hunt List'!AF228</x:f>
        <x:v>0</x:v>
      </x:c>
      <x:c r="M235" s="2" t="n">
        <x:f>'Master Hunt List'!AH228</x:f>
        <x:v>0</x:v>
      </x:c>
      <x:c r="N235" s="2" t="n">
        <x:f>'Master Hunt List'!AI228</x:f>
        <x:v>0</x:v>
      </x:c>
      <x:c r="O235" s="2" t="str">
        <x:f>'Master Hunt List'!V228</x:f>
        <x:v>https://tpwd.texas.gov/huntwild/hunt/public/public_hunt_drawing/hunt-category-details.phtml?OCat=GDE</x:v>
      </x:c>
    </x:row>
    <x:row r="236">
      <x:c r="A236" s="2" t="n">
        <x:f>229</x:f>
        <x:v>229</x:v>
      </x:c>
      <x:c r="B236" s="2" t="str">
        <x:f>'Master Hunt List'!A229</x:f>
        <x:v>No</x:v>
      </x:c>
      <x:c r="C236" s="2" t="str">
        <x:f>'Master Hunt List'!B229</x:f>
        <x:v>A</x:v>
      </x:c>
      <x:c r="D236" s="2" t="str">
        <x:f>'Master Hunt List'!C229</x:f>
        <x:v>Whitetail Deer</x:v>
      </x:c>
      <x:c r="E236" s="2" t="str">
        <x:f>'Master Hunt List'!D229</x:f>
        <x:v>Richland Creek WMA - South Unit</x:v>
      </x:c>
      <x:c r="F236" s="2" t="str">
        <x:f>'Master Hunt List'!E229</x:f>
        <x:v>Statewide / Other</x:v>
      </x:c>
      <x:c r="G236" s="2" t="str">
        <x:f>'Master Hunt List'!F229</x:f>
        <x:v>Gun Deer - Antlerless/Spike</x:v>
      </x:c>
      <x:c r="H236" s="2" t="str">
        <x:f>'Master Hunt List'!G229</x:f>
        <x:v>Yes</x:v>
      </x:c>
      <x:c r="I236" s="2" t="str">
        <x:f>'Master Hunt List'!H229</x:f>
        <x:v>Yes</x:v>
      </x:c>
      <x:c r="J236" s="97" t="str">
        <x:f>'Master Hunt List'!I229</x:f>
        <x:v>2026-09-15</x:v>
      </x:c>
      <x:c r="K236" s="111" t="n">
        <x:f>'Master Hunt List'!K229</x:f>
        <x:v>3</x:v>
      </x:c>
      <x:c r="L236" s="2" t="n">
        <x:f>'Master Hunt List'!AF229</x:f>
        <x:v>0</x:v>
      </x:c>
      <x:c r="M236" s="2" t="n">
        <x:f>'Master Hunt List'!AH229</x:f>
        <x:v>0</x:v>
      </x:c>
      <x:c r="N236" s="2" t="n">
        <x:f>'Master Hunt List'!AI229</x:f>
        <x:v>0</x:v>
      </x:c>
      <x:c r="O236" s="2" t="str">
        <x:f>'Master Hunt List'!V229</x:f>
        <x:v>https://tpwd.texas.gov/huntwild/hunt/public/public_hunt_drawing/hunt-category-details.phtml?OCat=GDA</x:v>
      </x:c>
    </x:row>
    <x:row r="237">
      <x:c r="A237" s="2" t="n">
        <x:f>230</x:f>
        <x:v>230</x:v>
      </x:c>
      <x:c r="B237" s="2" t="str">
        <x:f>'Master Hunt List'!A230</x:f>
        <x:v>No</x:v>
      </x:c>
      <x:c r="C237" s="2" t="str">
        <x:f>'Master Hunt List'!B230</x:f>
        <x:v>A</x:v>
      </x:c>
      <x:c r="D237" s="2" t="str">
        <x:f>'Master Hunt List'!C230</x:f>
        <x:v>Whitetail Deer</x:v>
      </x:c>
      <x:c r="E237" s="2" t="str">
        <x:f>'Master Hunt List'!D230</x:f>
        <x:v>Richland Creek WMA - South Unit</x:v>
      </x:c>
      <x:c r="F237" s="2" t="str">
        <x:f>'Master Hunt List'!E230</x:f>
        <x:v>Statewide / Other</x:v>
      </x:c>
      <x:c r="G237" s="2" t="str">
        <x:f>'Master Hunt List'!F230</x:f>
        <x:v>Gun Deer - Either Sex</x:v>
      </x:c>
      <x:c r="H237" s="2" t="str">
        <x:f>'Master Hunt List'!G230</x:f>
        <x:v>Yes</x:v>
      </x:c>
      <x:c r="I237" s="2" t="str">
        <x:f>'Master Hunt List'!H230</x:f>
        <x:v>Yes</x:v>
      </x:c>
      <x:c r="J237" s="97" t="str">
        <x:f>'Master Hunt List'!I230</x:f>
        <x:v>2026-09-15</x:v>
      </x:c>
      <x:c r="K237" s="111" t="n">
        <x:f>'Master Hunt List'!K230</x:f>
        <x:v>3</x:v>
      </x:c>
      <x:c r="L237" s="2" t="n">
        <x:f>'Master Hunt List'!AF230</x:f>
        <x:v>0</x:v>
      </x:c>
      <x:c r="M237" s="2" t="n">
        <x:f>'Master Hunt List'!AH230</x:f>
        <x:v>0</x:v>
      </x:c>
      <x:c r="N237" s="2" t="n">
        <x:f>'Master Hunt List'!AI230</x:f>
        <x:v>0</x:v>
      </x:c>
      <x:c r="O237" s="2" t="str">
        <x:f>'Master Hunt List'!V230</x:f>
        <x:v>https://tpwd.texas.gov/huntwild/hunt/public/public_hunt_drawing/hunt-category-details.phtml?OCat=GDE</x:v>
      </x:c>
    </x:row>
    <x:row r="238">
      <x:c r="A238" s="2" t="n">
        <x:f>231</x:f>
        <x:v>231</x:v>
      </x:c>
      <x:c r="B238" s="2" t="str">
        <x:f>'Master Hunt List'!A231</x:f>
        <x:v>No</x:v>
      </x:c>
      <x:c r="C238" s="2" t="str">
        <x:f>'Master Hunt List'!B231</x:f>
        <x:v>A</x:v>
      </x:c>
      <x:c r="D238" s="2" t="str">
        <x:f>'Master Hunt List'!C231</x:f>
        <x:v>Whitetail Deer</x:v>
      </x:c>
      <x:c r="E238" s="2" t="str">
        <x:f>'Master Hunt List'!D231</x:f>
        <x:v>Roger Fawcett WMA</x:v>
      </x:c>
      <x:c r="F238" s="2" t="str">
        <x:f>'Master Hunt List'!E231</x:f>
        <x:v>West-Central Texas</x:v>
      </x:c>
      <x:c r="G238" s="2" t="str">
        <x:f>'Master Hunt List'!F231</x:f>
        <x:v>Gun Deer - Either Sex</x:v>
      </x:c>
      <x:c r="H238" s="2" t="str">
        <x:f>'Master Hunt List'!G231</x:f>
        <x:v>Yes</x:v>
      </x:c>
      <x:c r="I238" s="2" t="str">
        <x:f>'Master Hunt List'!H231</x:f>
        <x:v>Yes</x:v>
      </x:c>
      <x:c r="J238" s="97" t="str">
        <x:f>'Master Hunt List'!I231</x:f>
        <x:v>2026-09-15</x:v>
      </x:c>
      <x:c r="K238" s="111" t="n">
        <x:f>'Master Hunt List'!K231</x:f>
        <x:v>3</x:v>
      </x:c>
      <x:c r="L238" s="2" t="n">
        <x:f>'Master Hunt List'!AF231</x:f>
        <x:v>0</x:v>
      </x:c>
      <x:c r="M238" s="2" t="n">
        <x:f>'Master Hunt List'!AH231</x:f>
        <x:v>0</x:v>
      </x:c>
      <x:c r="N238" s="2" t="n">
        <x:f>'Master Hunt List'!AI231</x:f>
        <x:v>0</x:v>
      </x:c>
      <x:c r="O238" s="2" t="str">
        <x:f>'Master Hunt List'!V231</x:f>
        <x:v>https://tpwd.texas.gov/huntwild/hunt/public/public_hunt_drawing/hunt-category-details.phtml?OCat=GDE</x:v>
      </x:c>
    </x:row>
    <x:row r="239">
      <x:c r="A239" s="2" t="n">
        <x:f>232</x:f>
        <x:v>232</x:v>
      </x:c>
      <x:c r="B239" s="2" t="str">
        <x:f>'Master Hunt List'!A232</x:f>
        <x:v>No</x:v>
      </x:c>
      <x:c r="C239" s="2" t="str">
        <x:f>'Master Hunt List'!B232</x:f>
        <x:v>A</x:v>
      </x:c>
      <x:c r="D239" s="2" t="str">
        <x:f>'Master Hunt List'!C232</x:f>
        <x:v>Whitetail Deer</x:v>
      </x:c>
      <x:c r="E239" s="2" t="str">
        <x:f>'Master Hunt List'!D232</x:f>
        <x:v>Sam Houston National Forest WMA</x:v>
      </x:c>
      <x:c r="F239" s="2" t="str">
        <x:f>'Master Hunt List'!E232</x:f>
        <x:v>East Texas / Pineywoods</x:v>
      </x:c>
      <x:c r="G239" s="2" t="str">
        <x:f>'Master Hunt List'!F232</x:f>
        <x:v>USFS Antlerless Deer Permit - Adult</x:v>
      </x:c>
      <x:c r="H239" s="2" t="str">
        <x:f>'Master Hunt List'!G232</x:f>
        <x:v>Yes</x:v>
      </x:c>
      <x:c r="I239" s="2" t="str">
        <x:f>'Master Hunt List'!H232</x:f>
        <x:v>No</x:v>
      </x:c>
      <x:c r="J239" s="97" t="str">
        <x:f>'Master Hunt List'!I232</x:f>
        <x:v>2026-09-15</x:v>
      </x:c>
      <x:c r="K239" s="111" t="n">
        <x:f>'Master Hunt List'!K232</x:f>
        <x:v>0</x:v>
      </x:c>
      <x:c r="L239" s="2" t="n">
        <x:f>'Master Hunt List'!AF232</x:f>
        <x:v>0</x:v>
      </x:c>
      <x:c r="M239" s="2" t="n">
        <x:f>'Master Hunt List'!AH232</x:f>
        <x:v>0</x:v>
      </x:c>
      <x:c r="N239" s="2" t="n">
        <x:f>'Master Hunt List'!AI232</x:f>
        <x:v>0</x:v>
      </x:c>
      <x:c r="O239" s="2" t="str">
        <x:f>'Master Hunt List'!V232</x:f>
        <x:v>https://tpwd.texas.gov/huntwild/hunt/public/public_hunt_drawing/hunt-category-details.phtml?OCat=FSD</x:v>
      </x:c>
    </x:row>
    <x:row r="240">
      <x:c r="A240" s="2" t="n">
        <x:f>233</x:f>
        <x:v>233</x:v>
      </x:c>
      <x:c r="B240" s="2" t="str">
        <x:f>'Master Hunt List'!A233</x:f>
        <x:v>No</x:v>
      </x:c>
      <x:c r="C240" s="2" t="str">
        <x:f>'Master Hunt List'!B233</x:f>
        <x:v>A</x:v>
      </x:c>
      <x:c r="D240" s="2" t="str">
        <x:f>'Master Hunt List'!C233</x:f>
        <x:v>Whitetail Deer</x:v>
      </x:c>
      <x:c r="E240" s="2" t="str">
        <x:f>'Master Hunt List'!D233</x:f>
        <x:v>San Angelo SP</x:v>
      </x:c>
      <x:c r="F240" s="2" t="str">
        <x:f>'Master Hunt List'!E233</x:f>
        <x:v>West-Central Texas</x:v>
      </x:c>
      <x:c r="G240" s="2" t="str">
        <x:f>'Master Hunt List'!F233</x:f>
        <x:v>Gun Deer - Antlerless/Spike</x:v>
      </x:c>
      <x:c r="H240" s="2" t="str">
        <x:f>'Master Hunt List'!G233</x:f>
        <x:v>Yes</x:v>
      </x:c>
      <x:c r="I240" s="2" t="str">
        <x:f>'Master Hunt List'!H233</x:f>
        <x:v>Yes</x:v>
      </x:c>
      <x:c r="J240" s="97" t="str">
        <x:f>'Master Hunt List'!I233</x:f>
        <x:v>2026-09-15</x:v>
      </x:c>
      <x:c r="K240" s="111" t="n">
        <x:f>'Master Hunt List'!K233</x:f>
        <x:v>3</x:v>
      </x:c>
      <x:c r="L240" s="2" t="n">
        <x:f>'Master Hunt List'!AF233</x:f>
        <x:v>0</x:v>
      </x:c>
      <x:c r="M240" s="2" t="n">
        <x:f>'Master Hunt List'!AH233</x:f>
        <x:v>0</x:v>
      </x:c>
      <x:c r="N240" s="2" t="n">
        <x:f>'Master Hunt List'!AI233</x:f>
        <x:v>0</x:v>
      </x:c>
      <x:c r="O240" s="2" t="str">
        <x:f>'Master Hunt List'!V233</x:f>
        <x:v>https://tpwd.texas.gov/huntwild/hunt/public/public_hunt_drawing/hunt-category-details.phtml?OCat=GDA</x:v>
      </x:c>
    </x:row>
    <x:row r="241">
      <x:c r="A241" s="2" t="n">
        <x:f>234</x:f>
        <x:v>234</x:v>
      </x:c>
      <x:c r="B241" s="2" t="str">
        <x:f>'Master Hunt List'!A234</x:f>
        <x:v>No</x:v>
      </x:c>
      <x:c r="C241" s="2" t="str">
        <x:f>'Master Hunt List'!B234</x:f>
        <x:v>A</x:v>
      </x:c>
      <x:c r="D241" s="2" t="str">
        <x:f>'Master Hunt List'!C234</x:f>
        <x:v>Whitetail Deer</x:v>
      </x:c>
      <x:c r="E241" s="2" t="str">
        <x:f>'Master Hunt List'!D234</x:f>
        <x:v>San Angelo SP</x:v>
      </x:c>
      <x:c r="F241" s="2" t="str">
        <x:f>'Master Hunt List'!E234</x:f>
        <x:v>West-Central Texas</x:v>
      </x:c>
      <x:c r="G241" s="2" t="str">
        <x:f>'Master Hunt List'!F234</x:f>
        <x:v>Gun Deer - Either Sex</x:v>
      </x:c>
      <x:c r="H241" s="2" t="str">
        <x:f>'Master Hunt List'!G234</x:f>
        <x:v>Yes</x:v>
      </x:c>
      <x:c r="I241" s="2" t="str">
        <x:f>'Master Hunt List'!H234</x:f>
        <x:v>Yes</x:v>
      </x:c>
      <x:c r="J241" s="97" t="str">
        <x:f>'Master Hunt List'!I234</x:f>
        <x:v>2026-09-15</x:v>
      </x:c>
      <x:c r="K241" s="111" t="n">
        <x:f>'Master Hunt List'!K234</x:f>
        <x:v>3</x:v>
      </x:c>
      <x:c r="L241" s="2" t="n">
        <x:f>'Master Hunt List'!AF234</x:f>
        <x:v>0</x:v>
      </x:c>
      <x:c r="M241" s="2" t="n">
        <x:f>'Master Hunt List'!AH234</x:f>
        <x:v>0</x:v>
      </x:c>
      <x:c r="N241" s="2" t="n">
        <x:f>'Master Hunt List'!AI234</x:f>
        <x:v>0</x:v>
      </x:c>
      <x:c r="O241" s="2" t="str">
        <x:f>'Master Hunt List'!V234</x:f>
        <x:v>https://tpwd.texas.gov/huntwild/hunt/public/public_hunt_drawing/hunt-category-details.phtml?OCat=GDE</x:v>
      </x:c>
    </x:row>
    <x:row r="242">
      <x:c r="A242" s="2" t="n">
        <x:f>235</x:f>
        <x:v>235</x:v>
      </x:c>
      <x:c r="B242" s="2" t="str">
        <x:f>'Master Hunt List'!A235</x:f>
        <x:v>No</x:v>
      </x:c>
      <x:c r="C242" s="2" t="str">
        <x:f>'Master Hunt List'!B235</x:f>
        <x:v>A</x:v>
      </x:c>
      <x:c r="D242" s="2" t="str">
        <x:f>'Master Hunt List'!C235</x:f>
        <x:v>Whitetail Deer</x:v>
      </x:c>
      <x:c r="E242" s="2" t="str">
        <x:f>'Master Hunt List'!D235</x:f>
        <x:v>Seminole Canyon SP / HS</x:v>
      </x:c>
      <x:c r="F242" s="2" t="str">
        <x:f>'Master Hunt List'!E235</x:f>
        <x:v>Trans-Pecos / West Texas</x:v>
      </x:c>
      <x:c r="G242" s="2" t="str">
        <x:f>'Master Hunt List'!F235</x:f>
        <x:v>Gun Deer - Antlerless/Spike</x:v>
      </x:c>
      <x:c r="H242" s="2" t="str">
        <x:f>'Master Hunt List'!G235</x:f>
        <x:v>Yes</x:v>
      </x:c>
      <x:c r="I242" s="2" t="str">
        <x:f>'Master Hunt List'!H235</x:f>
        <x:v>Yes</x:v>
      </x:c>
      <x:c r="J242" s="97" t="str">
        <x:f>'Master Hunt List'!I235</x:f>
        <x:v>2026-09-15</x:v>
      </x:c>
      <x:c r="K242" s="111" t="n">
        <x:f>'Master Hunt List'!K235</x:f>
        <x:v>3</x:v>
      </x:c>
      <x:c r="L242" s="2" t="n">
        <x:f>'Master Hunt List'!AF235</x:f>
        <x:v>0</x:v>
      </x:c>
      <x:c r="M242" s="2" t="n">
        <x:f>'Master Hunt List'!AH235</x:f>
        <x:v>0</x:v>
      </x:c>
      <x:c r="N242" s="2" t="n">
        <x:f>'Master Hunt List'!AI235</x:f>
        <x:v>0</x:v>
      </x:c>
      <x:c r="O242" s="2" t="str">
        <x:f>'Master Hunt List'!V235</x:f>
        <x:v>https://tpwd.texas.gov/huntwild/hunt/public/public_hunt_drawing/hunt-category-details.phtml?OCat=GDA</x:v>
      </x:c>
    </x:row>
    <x:row r="243">
      <x:c r="A243" s="2" t="n">
        <x:f>236</x:f>
        <x:v>236</x:v>
      </x:c>
      <x:c r="B243" s="2" t="str">
        <x:f>'Master Hunt List'!A236</x:f>
        <x:v>No</x:v>
      </x:c>
      <x:c r="C243" s="2" t="str">
        <x:f>'Master Hunt List'!B236</x:f>
        <x:v>A</x:v>
      </x:c>
      <x:c r="D243" s="2" t="str">
        <x:f>'Master Hunt List'!C236</x:f>
        <x:v>Whitetail Deer</x:v>
      </x:c>
      <x:c r="E243" s="2" t="str">
        <x:f>'Master Hunt List'!D236</x:f>
        <x:v>Seminole Canyon SP / HS</x:v>
      </x:c>
      <x:c r="F243" s="2" t="str">
        <x:f>'Master Hunt List'!E236</x:f>
        <x:v>Trans-Pecos / West Texas</x:v>
      </x:c>
      <x:c r="G243" s="2" t="str">
        <x:f>'Master Hunt List'!F236</x:f>
        <x:v>Gun Deer - Either Sex</x:v>
      </x:c>
      <x:c r="H243" s="2" t="str">
        <x:f>'Master Hunt List'!G236</x:f>
        <x:v>Yes</x:v>
      </x:c>
      <x:c r="I243" s="2" t="str">
        <x:f>'Master Hunt List'!H236</x:f>
        <x:v>Yes</x:v>
      </x:c>
      <x:c r="J243" s="97" t="str">
        <x:f>'Master Hunt List'!I236</x:f>
        <x:v>2026-09-15</x:v>
      </x:c>
      <x:c r="K243" s="111" t="n">
        <x:f>'Master Hunt List'!K236</x:f>
        <x:v>3</x:v>
      </x:c>
      <x:c r="L243" s="2" t="n">
        <x:f>'Master Hunt List'!AF236</x:f>
        <x:v>0</x:v>
      </x:c>
      <x:c r="M243" s="2" t="n">
        <x:f>'Master Hunt List'!AH236</x:f>
        <x:v>0</x:v>
      </x:c>
      <x:c r="N243" s="2" t="n">
        <x:f>'Master Hunt List'!AI236</x:f>
        <x:v>0</x:v>
      </x:c>
      <x:c r="O243" s="2" t="str">
        <x:f>'Master Hunt List'!V236</x:f>
        <x:v>https://tpwd.texas.gov/huntwild/hunt/public/public_hunt_drawing/hunt-category-details.phtml?OCat=GDE</x:v>
      </x:c>
    </x:row>
    <x:row r="244">
      <x:c r="A244" s="2" t="n">
        <x:f>237</x:f>
        <x:v>237</x:v>
      </x:c>
      <x:c r="B244" s="2" t="str">
        <x:f>'Master Hunt List'!A237</x:f>
        <x:v>No</x:v>
      </x:c>
      <x:c r="C244" s="2" t="str">
        <x:f>'Master Hunt List'!B237</x:f>
        <x:v>A</x:v>
      </x:c>
      <x:c r="D244" s="2" t="str">
        <x:f>'Master Hunt List'!C237</x:f>
        <x:v>Whitetail Deer</x:v>
      </x:c>
      <x:c r="E244" s="2" t="str">
        <x:f>'Master Hunt List'!D237</x:f>
        <x:v>Silver Lake State Park</x:v>
      </x:c>
      <x:c r="F244" s="2" t="str">
        <x:f>'Master Hunt List'!E237</x:f>
        <x:v>Statewide / Other</x:v>
      </x:c>
      <x:c r="G244" s="2" t="str">
        <x:f>'Master Hunt List'!F237</x:f>
        <x:v>Gun Deer - Either Sex</x:v>
      </x:c>
      <x:c r="H244" s="2" t="str">
        <x:f>'Master Hunt List'!G237</x:f>
        <x:v>Yes</x:v>
      </x:c>
      <x:c r="I244" s="2" t="str">
        <x:f>'Master Hunt List'!H237</x:f>
        <x:v>Yes</x:v>
      </x:c>
      <x:c r="J244" s="97" t="str">
        <x:f>'Master Hunt List'!I237</x:f>
        <x:v>2026-09-15</x:v>
      </x:c>
      <x:c r="K244" s="111" t="n">
        <x:f>'Master Hunt List'!K237</x:f>
        <x:v>3</x:v>
      </x:c>
      <x:c r="L244" s="2" t="n">
        <x:f>'Master Hunt List'!AF237</x:f>
        <x:v>0</x:v>
      </x:c>
      <x:c r="M244" s="2" t="n">
        <x:f>'Master Hunt List'!AH237</x:f>
        <x:v>0</x:v>
      </x:c>
      <x:c r="N244" s="2" t="n">
        <x:f>'Master Hunt List'!AI237</x:f>
        <x:v>0</x:v>
      </x:c>
      <x:c r="O244" s="2" t="str">
        <x:f>'Master Hunt List'!V237</x:f>
        <x:v>https://tpwd.texas.gov/huntwild/hunt/public/public_hunt_drawing/hunt-category-details.phtml?OCat=GDE</x:v>
      </x:c>
    </x:row>
    <x:row r="245">
      <x:c r="A245" s="2" t="n">
        <x:f>238</x:f>
        <x:v>238</x:v>
      </x:c>
      <x:c r="B245" s="2" t="str">
        <x:f>'Master Hunt List'!A238</x:f>
        <x:v>No</x:v>
      </x:c>
      <x:c r="C245" s="2" t="str">
        <x:f>'Master Hunt List'!B238</x:f>
        <x:v>A</x:v>
      </x:c>
      <x:c r="D245" s="2" t="str">
        <x:f>'Master Hunt List'!C238</x:f>
        <x:v>Whitetail Deer</x:v>
      </x:c>
      <x:c r="E245" s="2" t="str">
        <x:f>'Master Hunt List'!D238</x:f>
        <x:v>South Llano River SP</x:v>
      </x:c>
      <x:c r="F245" s="2" t="str">
        <x:f>'Master Hunt List'!E238</x:f>
        <x:v>Hill Country / San Antonio</x:v>
      </x:c>
      <x:c r="G245" s="2" t="str">
        <x:f>'Master Hunt List'!F238</x:f>
        <x:v>Gun Deer - Antlerless/Spike</x:v>
      </x:c>
      <x:c r="H245" s="2" t="str">
        <x:f>'Master Hunt List'!G238</x:f>
        <x:v>Yes</x:v>
      </x:c>
      <x:c r="I245" s="2" t="str">
        <x:f>'Master Hunt List'!H238</x:f>
        <x:v>Yes</x:v>
      </x:c>
      <x:c r="J245" s="97" t="str">
        <x:f>'Master Hunt List'!I238</x:f>
        <x:v>2026-09-15</x:v>
      </x:c>
      <x:c r="K245" s="111" t="n">
        <x:f>'Master Hunt List'!K238</x:f>
        <x:v>3</x:v>
      </x:c>
      <x:c r="L245" s="2" t="n">
        <x:f>'Master Hunt List'!AF238</x:f>
        <x:v>0</x:v>
      </x:c>
      <x:c r="M245" s="2" t="n">
        <x:f>'Master Hunt List'!AH238</x:f>
        <x:v>0</x:v>
      </x:c>
      <x:c r="N245" s="2" t="n">
        <x:f>'Master Hunt List'!AI238</x:f>
        <x:v>0</x:v>
      </x:c>
      <x:c r="O245" s="2" t="str">
        <x:f>'Master Hunt List'!V238</x:f>
        <x:v>https://tpwd.texas.gov/huntwild/hunt/public/public_hunt_drawing/hunt-category-details.phtml?OCat=GDA</x:v>
      </x:c>
    </x:row>
    <x:row r="246">
      <x:c r="A246" s="2" t="n">
        <x:f>239</x:f>
        <x:v>239</x:v>
      </x:c>
      <x:c r="B246" s="2" t="str">
        <x:f>'Master Hunt List'!A239</x:f>
        <x:v>No</x:v>
      </x:c>
      <x:c r="C246" s="2" t="str">
        <x:f>'Master Hunt List'!B239</x:f>
        <x:v>A</x:v>
      </x:c>
      <x:c r="D246" s="2" t="str">
        <x:f>'Master Hunt List'!C239</x:f>
        <x:v>Whitetail Deer</x:v>
      </x:c>
      <x:c r="E246" s="2" t="str">
        <x:f>'Master Hunt List'!D239</x:f>
        <x:v>Stephen F. Austin SP</x:v>
      </x:c>
      <x:c r="F246" s="2" t="str">
        <x:f>'Master Hunt List'!E239</x:f>
        <x:v>Central Texas / Austin</x:v>
      </x:c>
      <x:c r="G246" s="2" t="str">
        <x:f>'Master Hunt List'!F239</x:f>
        <x:v>Gun Deer - Management</x:v>
      </x:c>
      <x:c r="H246" s="2" t="str">
        <x:f>'Master Hunt List'!G239</x:f>
        <x:v>Yes</x:v>
      </x:c>
      <x:c r="I246" s="2" t="str">
        <x:f>'Master Hunt List'!H239</x:f>
        <x:v>Yes</x:v>
      </x:c>
      <x:c r="J246" s="97" t="str">
        <x:f>'Master Hunt List'!I239</x:f>
        <x:v>2026-09-15</x:v>
      </x:c>
      <x:c r="K246" s="111" t="n">
        <x:f>'Master Hunt List'!K239</x:f>
        <x:v>3</x:v>
      </x:c>
      <x:c r="L246" s="2" t="n">
        <x:f>'Master Hunt List'!AF239</x:f>
        <x:v>0</x:v>
      </x:c>
      <x:c r="M246" s="2" t="n">
        <x:f>'Master Hunt List'!AH239</x:f>
        <x:v>0</x:v>
      </x:c>
      <x:c r="N246" s="2" t="n">
        <x:f>'Master Hunt List'!AI239</x:f>
        <x:v>0</x:v>
      </x:c>
      <x:c r="O246" s="2" t="str">
        <x:f>'Master Hunt List'!V239</x:f>
        <x:v>https://tpwd.texas.gov/huntwild/hunt/public/public_hunt_drawing/hunt-category-details.phtml?OCat=GDM</x:v>
      </x:c>
    </x:row>
    <x:row r="247">
      <x:c r="A247" s="2" t="n">
        <x:f>240</x:f>
        <x:v>240</x:v>
      </x:c>
      <x:c r="B247" s="2" t="str">
        <x:f>'Master Hunt List'!A240</x:f>
        <x:v>No</x:v>
      </x:c>
      <x:c r="C247" s="2" t="str">
        <x:f>'Master Hunt List'!B240</x:f>
        <x:v>A</x:v>
      </x:c>
      <x:c r="D247" s="2" t="str">
        <x:f>'Master Hunt List'!C240</x:f>
        <x:v>Whitetail Deer</x:v>
      </x:c>
      <x:c r="E247" s="2" t="str">
        <x:f>'Master Hunt List'!D240</x:f>
        <x:v>Teacup Mountain WMA</x:v>
      </x:c>
      <x:c r="F247" s="2" t="str">
        <x:f>'Master Hunt List'!E240</x:f>
        <x:v>Panhandle / Rolling Plains</x:v>
      </x:c>
      <x:c r="G247" s="2" t="str">
        <x:f>'Master Hunt List'!F240</x:f>
        <x:v>Gun Deer - Either Sex</x:v>
      </x:c>
      <x:c r="H247" s="2" t="str">
        <x:f>'Master Hunt List'!G240</x:f>
        <x:v>Yes</x:v>
      </x:c>
      <x:c r="I247" s="2" t="str">
        <x:f>'Master Hunt List'!H240</x:f>
        <x:v>Yes</x:v>
      </x:c>
      <x:c r="J247" s="97" t="str">
        <x:f>'Master Hunt List'!I240</x:f>
        <x:v>2026-09-15</x:v>
      </x:c>
      <x:c r="K247" s="111" t="n">
        <x:f>'Master Hunt List'!K240</x:f>
        <x:v>3</x:v>
      </x:c>
      <x:c r="L247" s="2" t="n">
        <x:f>'Master Hunt List'!AF240</x:f>
        <x:v>0</x:v>
      </x:c>
      <x:c r="M247" s="2" t="n">
        <x:f>'Master Hunt List'!AH240</x:f>
        <x:v>0</x:v>
      </x:c>
      <x:c r="N247" s="2" t="n">
        <x:f>'Master Hunt List'!AI240</x:f>
        <x:v>0</x:v>
      </x:c>
      <x:c r="O247" s="2" t="str">
        <x:f>'Master Hunt List'!V240</x:f>
        <x:v>https://tpwd.texas.gov/huntwild/hunt/public/public_hunt_drawing/hunt-category-details.phtml?OCat=GDE</x:v>
      </x:c>
    </x:row>
    <x:row r="248">
      <x:c r="A248" s="2" t="n">
        <x:f>241</x:f>
        <x:v>241</x:v>
      </x:c>
      <x:c r="B248" s="2" t="str">
        <x:f>'Master Hunt List'!A241</x:f>
        <x:v>No</x:v>
      </x:c>
      <x:c r="C248" s="2" t="str">
        <x:f>'Master Hunt List'!B241</x:f>
        <x:v>A</x:v>
      </x:c>
      <x:c r="D248" s="2" t="str">
        <x:f>'Master Hunt List'!C241</x:f>
        <x:v>Whitetail Deer</x:v>
      </x:c>
      <x:c r="E248" s="2" t="str">
        <x:f>'Master Hunt List'!D241</x:f>
        <x:v>Trinity River NWR - Boars Den</x:v>
      </x:c>
      <x:c r="F248" s="2" t="str">
        <x:f>'Master Hunt List'!E241</x:f>
        <x:v>East Texas / Pineywoods</x:v>
      </x:c>
      <x:c r="G248" s="2" t="str">
        <x:f>'Master Hunt List'!F241</x:f>
        <x:v>National Refuge General Deer</x:v>
      </x:c>
      <x:c r="H248" s="2" t="str">
        <x:f>'Master Hunt List'!G241</x:f>
        <x:v>Yes</x:v>
      </x:c>
      <x:c r="I248" s="2" t="str">
        <x:f>'Master Hunt List'!H241</x:f>
        <x:v>Yes</x:v>
      </x:c>
      <x:c r="J248" s="97" t="str">
        <x:f>'Master Hunt List'!I241</x:f>
        <x:v>2026-09-15</x:v>
      </x:c>
      <x:c r="K248" s="111" t="n">
        <x:f>'Master Hunt List'!K241</x:f>
        <x:v>3</x:v>
      </x:c>
      <x:c r="L248" s="2" t="n">
        <x:f>'Master Hunt List'!AF241</x:f>
        <x:v>0</x:v>
      </x:c>
      <x:c r="M248" s="2" t="n">
        <x:f>'Master Hunt List'!AH241</x:f>
        <x:v>0</x:v>
      </x:c>
      <x:c r="N248" s="2" t="n">
        <x:f>'Master Hunt List'!AI241</x:f>
        <x:v>0</x:v>
      </x:c>
      <x:c r="O248" s="2" t="str">
        <x:f>'Master Hunt List'!V241</x:f>
        <x:v>https://tpwd.texas.gov/huntwild/hunt/public/public_hunt_drawing/hunt-category-details.phtml?OCat=NGE</x:v>
      </x:c>
    </x:row>
    <x:row r="249">
      <x:c r="A249" s="2" t="n">
        <x:f>242</x:f>
        <x:v>242</x:v>
      </x:c>
      <x:c r="B249" s="2" t="str">
        <x:f>'Master Hunt List'!A242</x:f>
        <x:v>No</x:v>
      </x:c>
      <x:c r="C249" s="2" t="str">
        <x:f>'Master Hunt List'!B242</x:f>
        <x:v>A</x:v>
      </x:c>
      <x:c r="D249" s="2" t="str">
        <x:f>'Master Hunt List'!C242</x:f>
        <x:v>Whitetail Deer</x:v>
      </x:c>
      <x:c r="E249" s="2" t="str">
        <x:f>'Master Hunt List'!D242</x:f>
        <x:v>Trinity River NWR - Brierwood</x:v>
      </x:c>
      <x:c r="F249" s="2" t="str">
        <x:f>'Master Hunt List'!E242</x:f>
        <x:v>East Texas / Pineywoods</x:v>
      </x:c>
      <x:c r="G249" s="2" t="str">
        <x:f>'Master Hunt List'!F242</x:f>
        <x:v>National Refuge General Deer</x:v>
      </x:c>
      <x:c r="H249" s="2" t="str">
        <x:f>'Master Hunt List'!G242</x:f>
        <x:v>Yes</x:v>
      </x:c>
      <x:c r="I249" s="2" t="str">
        <x:f>'Master Hunt List'!H242</x:f>
        <x:v>Yes</x:v>
      </x:c>
      <x:c r="J249" s="97" t="str">
        <x:f>'Master Hunt List'!I242</x:f>
        <x:v>2026-09-15</x:v>
      </x:c>
      <x:c r="K249" s="111" t="n">
        <x:f>'Master Hunt List'!K242</x:f>
        <x:v>3</x:v>
      </x:c>
      <x:c r="L249" s="2" t="n">
        <x:f>'Master Hunt List'!AF242</x:f>
        <x:v>0</x:v>
      </x:c>
      <x:c r="M249" s="2" t="n">
        <x:f>'Master Hunt List'!AH242</x:f>
        <x:v>0</x:v>
      </x:c>
      <x:c r="N249" s="2" t="n">
        <x:f>'Master Hunt List'!AI242</x:f>
        <x:v>0</x:v>
      </x:c>
      <x:c r="O249" s="2" t="str">
        <x:f>'Master Hunt List'!V242</x:f>
        <x:v>https://tpwd.texas.gov/huntwild/hunt/public/public_hunt_drawing/hunt-category-details.phtml?OCat=NGE</x:v>
      </x:c>
    </x:row>
    <x:row r="250">
      <x:c r="A250" s="2" t="n">
        <x:f>243</x:f>
        <x:v>243</x:v>
      </x:c>
      <x:c r="B250" s="2" t="str">
        <x:f>'Master Hunt List'!A243</x:f>
        <x:v>No</x:v>
      </x:c>
      <x:c r="C250" s="2" t="str">
        <x:f>'Master Hunt List'!B243</x:f>
        <x:v>A</x:v>
      </x:c>
      <x:c r="D250" s="2" t="str">
        <x:f>'Master Hunt List'!C243</x:f>
        <x:v>Whitetail Deer</x:v>
      </x:c>
      <x:c r="E250" s="2" t="str">
        <x:f>'Master Hunt List'!D243</x:f>
        <x:v>Trinity River NWR - Butler</x:v>
      </x:c>
      <x:c r="F250" s="2" t="str">
        <x:f>'Master Hunt List'!E243</x:f>
        <x:v>East Texas / Pineywoods</x:v>
      </x:c>
      <x:c r="G250" s="2" t="str">
        <x:f>'Master Hunt List'!F243</x:f>
        <x:v>National Refuge General Deer</x:v>
      </x:c>
      <x:c r="H250" s="2" t="str">
        <x:f>'Master Hunt List'!G243</x:f>
        <x:v>Yes</x:v>
      </x:c>
      <x:c r="I250" s="2" t="str">
        <x:f>'Master Hunt List'!H243</x:f>
        <x:v>Yes</x:v>
      </x:c>
      <x:c r="J250" s="97" t="str">
        <x:f>'Master Hunt List'!I243</x:f>
        <x:v>2026-09-15</x:v>
      </x:c>
      <x:c r="K250" s="111" t="n">
        <x:f>'Master Hunt List'!K243</x:f>
        <x:v>3</x:v>
      </x:c>
      <x:c r="L250" s="2" t="n">
        <x:f>'Master Hunt List'!AF243</x:f>
        <x:v>0</x:v>
      </x:c>
      <x:c r="M250" s="2" t="n">
        <x:f>'Master Hunt List'!AH243</x:f>
        <x:v>0</x:v>
      </x:c>
      <x:c r="N250" s="2" t="n">
        <x:f>'Master Hunt List'!AI243</x:f>
        <x:v>0</x:v>
      </x:c>
      <x:c r="O250" s="2" t="str">
        <x:f>'Master Hunt List'!V243</x:f>
        <x:v>https://tpwd.texas.gov/huntwild/hunt/public/public_hunt_drawing/hunt-category-details.phtml?OCat=NGE</x:v>
      </x:c>
    </x:row>
    <x:row r="251">
      <x:c r="A251" s="2" t="n">
        <x:f>244</x:f>
        <x:v>244</x:v>
      </x:c>
      <x:c r="B251" s="2" t="str">
        <x:f>'Master Hunt List'!A244</x:f>
        <x:v>No</x:v>
      </x:c>
      <x:c r="C251" s="2" t="str">
        <x:f>'Master Hunt List'!B244</x:f>
        <x:v>A</x:v>
      </x:c>
      <x:c r="D251" s="2" t="str">
        <x:f>'Master Hunt List'!C244</x:f>
        <x:v>Whitetail Deer</x:v>
      </x:c>
      <x:c r="E251" s="2" t="str">
        <x:f>'Master Hunt List'!D244</x:f>
        <x:v>Trinity River NWR - Hirsch</x:v>
      </x:c>
      <x:c r="F251" s="2" t="str">
        <x:f>'Master Hunt List'!E244</x:f>
        <x:v>East Texas / Pineywoods</x:v>
      </x:c>
      <x:c r="G251" s="2" t="str">
        <x:f>'Master Hunt List'!F244</x:f>
        <x:v>National Refuge General Deer</x:v>
      </x:c>
      <x:c r="H251" s="2" t="str">
        <x:f>'Master Hunt List'!G244</x:f>
        <x:v>Yes</x:v>
      </x:c>
      <x:c r="I251" s="2" t="str">
        <x:f>'Master Hunt List'!H244</x:f>
        <x:v>Yes</x:v>
      </x:c>
      <x:c r="J251" s="97" t="str">
        <x:f>'Master Hunt List'!I244</x:f>
        <x:v>2026-09-15</x:v>
      </x:c>
      <x:c r="K251" s="111" t="n">
        <x:f>'Master Hunt List'!K244</x:f>
        <x:v>3</x:v>
      </x:c>
      <x:c r="L251" s="2" t="n">
        <x:f>'Master Hunt List'!AF244</x:f>
        <x:v>0</x:v>
      </x:c>
      <x:c r="M251" s="2" t="n">
        <x:f>'Master Hunt List'!AH244</x:f>
        <x:v>0</x:v>
      </x:c>
      <x:c r="N251" s="2" t="n">
        <x:f>'Master Hunt List'!AI244</x:f>
        <x:v>0</x:v>
      </x:c>
      <x:c r="O251" s="2" t="str">
        <x:f>'Master Hunt List'!V244</x:f>
        <x:v>https://tpwd.texas.gov/huntwild/hunt/public/public_hunt_drawing/hunt-category-details.phtml?OCat=NGE</x:v>
      </x:c>
    </x:row>
    <x:row r="252">
      <x:c r="A252" s="2" t="n">
        <x:f>245</x:f>
        <x:v>245</x:v>
      </x:c>
      <x:c r="B252" s="2" t="str">
        <x:f>'Master Hunt List'!A245</x:f>
        <x:v>No</x:v>
      </x:c>
      <x:c r="C252" s="2" t="str">
        <x:f>'Master Hunt List'!B245</x:f>
        <x:v>A</x:v>
      </x:c>
      <x:c r="D252" s="2" t="str">
        <x:f>'Master Hunt List'!C245</x:f>
        <x:v>Whitetail Deer</x:v>
      </x:c>
      <x:c r="E252" s="2" t="str">
        <x:f>'Master Hunt List'!D245</x:f>
        <x:v>Trinity River NWR - Mcguire</x:v>
      </x:c>
      <x:c r="F252" s="2" t="str">
        <x:f>'Master Hunt List'!E245</x:f>
        <x:v>East Texas / Pineywoods</x:v>
      </x:c>
      <x:c r="G252" s="2" t="str">
        <x:f>'Master Hunt List'!F245</x:f>
        <x:v>National Refuge General Deer</x:v>
      </x:c>
      <x:c r="H252" s="2" t="str">
        <x:f>'Master Hunt List'!G245</x:f>
        <x:v>Yes</x:v>
      </x:c>
      <x:c r="I252" s="2" t="str">
        <x:f>'Master Hunt List'!H245</x:f>
        <x:v>Yes</x:v>
      </x:c>
      <x:c r="J252" s="97" t="str">
        <x:f>'Master Hunt List'!I245</x:f>
        <x:v>2026-09-15</x:v>
      </x:c>
      <x:c r="K252" s="111" t="n">
        <x:f>'Master Hunt List'!K245</x:f>
        <x:v>3</x:v>
      </x:c>
      <x:c r="L252" s="2" t="n">
        <x:f>'Master Hunt List'!AF245</x:f>
        <x:v>0</x:v>
      </x:c>
      <x:c r="M252" s="2" t="n">
        <x:f>'Master Hunt List'!AH245</x:f>
        <x:v>0</x:v>
      </x:c>
      <x:c r="N252" s="2" t="n">
        <x:f>'Master Hunt List'!AI245</x:f>
        <x:v>0</x:v>
      </x:c>
      <x:c r="O252" s="2" t="str">
        <x:f>'Master Hunt List'!V245</x:f>
        <x:v>https://tpwd.texas.gov/huntwild/hunt/public/public_hunt_drawing/hunt-category-details.phtml?OCat=NGE</x:v>
      </x:c>
    </x:row>
    <x:row r="253">
      <x:c r="A253" s="2" t="n">
        <x:f>246</x:f>
        <x:v>246</x:v>
      </x:c>
      <x:c r="B253" s="2" t="str">
        <x:f>'Master Hunt List'!A246</x:f>
        <x:v>No</x:v>
      </x:c>
      <x:c r="C253" s="2" t="str">
        <x:f>'Master Hunt List'!B246</x:f>
        <x:v>A</x:v>
      </x:c>
      <x:c r="D253" s="2" t="str">
        <x:f>'Master Hunt List'!C246</x:f>
        <x:v>Whitetail Deer</x:v>
      </x:c>
      <x:c r="E253" s="2" t="str">
        <x:f>'Master Hunt List'!D246</x:f>
        <x:v>Trinity River NWR - Page</x:v>
      </x:c>
      <x:c r="F253" s="2" t="str">
        <x:f>'Master Hunt List'!E246</x:f>
        <x:v>East Texas / Pineywoods</x:v>
      </x:c>
      <x:c r="G253" s="2" t="str">
        <x:f>'Master Hunt List'!F246</x:f>
        <x:v>National Refuge General Deer</x:v>
      </x:c>
      <x:c r="H253" s="2" t="str">
        <x:f>'Master Hunt List'!G246</x:f>
        <x:v>Yes</x:v>
      </x:c>
      <x:c r="I253" s="2" t="str">
        <x:f>'Master Hunt List'!H246</x:f>
        <x:v>Yes</x:v>
      </x:c>
      <x:c r="J253" s="97" t="str">
        <x:f>'Master Hunt List'!I246</x:f>
        <x:v>2026-09-15</x:v>
      </x:c>
      <x:c r="K253" s="111" t="n">
        <x:f>'Master Hunt List'!K246</x:f>
        <x:v>3</x:v>
      </x:c>
      <x:c r="L253" s="2" t="n">
        <x:f>'Master Hunt List'!AF246</x:f>
        <x:v>0</x:v>
      </x:c>
      <x:c r="M253" s="2" t="n">
        <x:f>'Master Hunt List'!AH246</x:f>
        <x:v>0</x:v>
      </x:c>
      <x:c r="N253" s="2" t="n">
        <x:f>'Master Hunt List'!AI246</x:f>
        <x:v>0</x:v>
      </x:c>
      <x:c r="O253" s="2" t="str">
        <x:f>'Master Hunt List'!V246</x:f>
        <x:v>https://tpwd.texas.gov/huntwild/hunt/public/public_hunt_drawing/hunt-category-details.phtml?OCat=NGE</x:v>
      </x:c>
    </x:row>
    <x:row r="254">
      <x:c r="A254" s="2" t="n">
        <x:f>247</x:f>
        <x:v>247</x:v>
      </x:c>
      <x:c r="B254" s="2" t="str">
        <x:f>'Master Hunt List'!A247</x:f>
        <x:v>No</x:v>
      </x:c>
      <x:c r="C254" s="2" t="str">
        <x:f>'Master Hunt List'!B247</x:f>
        <x:v>A</x:v>
      </x:c>
      <x:c r="D254" s="2" t="str">
        <x:f>'Master Hunt List'!C247</x:f>
        <x:v>Whitetail Deer</x:v>
      </x:c>
      <x:c r="E254" s="2" t="str">
        <x:f>'Master Hunt List'!D247</x:f>
        <x:v>Trinity River WMA</x:v>
      </x:c>
      <x:c r="F254" s="2" t="str">
        <x:f>'Master Hunt List'!E247</x:f>
        <x:v>East Texas / Pineywoods</x:v>
      </x:c>
      <x:c r="G254" s="2" t="str">
        <x:f>'Master Hunt List'!F247</x:f>
        <x:v>Gun Deer - Antlerless/Spike</x:v>
      </x:c>
      <x:c r="H254" s="2" t="str">
        <x:f>'Master Hunt List'!G247</x:f>
        <x:v>Yes</x:v>
      </x:c>
      <x:c r="I254" s="2" t="str">
        <x:f>'Master Hunt List'!H247</x:f>
        <x:v>Yes</x:v>
      </x:c>
      <x:c r="J254" s="97" t="str">
        <x:f>'Master Hunt List'!I247</x:f>
        <x:v>2026-09-15</x:v>
      </x:c>
      <x:c r="K254" s="111" t="n">
        <x:f>'Master Hunt List'!K247</x:f>
        <x:v>3</x:v>
      </x:c>
      <x:c r="L254" s="2" t="n">
        <x:f>'Master Hunt List'!AF247</x:f>
        <x:v>0</x:v>
      </x:c>
      <x:c r="M254" s="2" t="n">
        <x:f>'Master Hunt List'!AH247</x:f>
        <x:v>0</x:v>
      </x:c>
      <x:c r="N254" s="2" t="n">
        <x:f>'Master Hunt List'!AI247</x:f>
        <x:v>0</x:v>
      </x:c>
      <x:c r="O254" s="2" t="str">
        <x:f>'Master Hunt List'!V247</x:f>
        <x:v>https://tpwd.texas.gov/huntwild/hunt/public/public_hunt_drawing/hunt-category-details.phtml?OCat=GDA</x:v>
      </x:c>
    </x:row>
    <x:row r="255">
      <x:c r="A255" s="2" t="n">
        <x:f>248</x:f>
        <x:v>248</x:v>
      </x:c>
      <x:c r="B255" s="2" t="str">
        <x:f>'Master Hunt List'!A248</x:f>
        <x:v>No</x:v>
      </x:c>
      <x:c r="C255" s="2" t="str">
        <x:f>'Master Hunt List'!B248</x:f>
        <x:v>A</x:v>
      </x:c>
      <x:c r="D255" s="2" t="str">
        <x:f>'Master Hunt List'!C248</x:f>
        <x:v>Whitetail Deer</x:v>
      </x:c>
      <x:c r="E255" s="2" t="str">
        <x:f>'Master Hunt List'!D248</x:f>
        <x:v>Village Creek SP</x:v>
      </x:c>
      <x:c r="F255" s="2" t="str">
        <x:f>'Master Hunt List'!E248</x:f>
        <x:v>East Texas / Pineywoods</x:v>
      </x:c>
      <x:c r="G255" s="2" t="str">
        <x:f>'Master Hunt List'!F248</x:f>
        <x:v>Gun Deer - Either Sex</x:v>
      </x:c>
      <x:c r="H255" s="2" t="str">
        <x:f>'Master Hunt List'!G248</x:f>
        <x:v>Yes</x:v>
      </x:c>
      <x:c r="I255" s="2" t="str">
        <x:f>'Master Hunt List'!H248</x:f>
        <x:v>Yes</x:v>
      </x:c>
      <x:c r="J255" s="97" t="str">
        <x:f>'Master Hunt List'!I248</x:f>
        <x:v>2026-09-15</x:v>
      </x:c>
      <x:c r="K255" s="111" t="n">
        <x:f>'Master Hunt List'!K248</x:f>
        <x:v>3</x:v>
      </x:c>
      <x:c r="L255" s="2" t="n">
        <x:f>'Master Hunt List'!AF248</x:f>
        <x:v>0</x:v>
      </x:c>
      <x:c r="M255" s="2" t="n">
        <x:f>'Master Hunt List'!AH248</x:f>
        <x:v>0</x:v>
      </x:c>
      <x:c r="N255" s="2" t="n">
        <x:f>'Master Hunt List'!AI248</x:f>
        <x:v>0</x:v>
      </x:c>
      <x:c r="O255" s="2" t="str">
        <x:f>'Master Hunt List'!V248</x:f>
        <x:v>https://tpwd.texas.gov/huntwild/hunt/public/public_hunt_drawing/hunt-category-details.phtml?OCat=GDE</x:v>
      </x:c>
    </x:row>
    <x:row r="256">
      <x:c r="A256" s="2" t="n">
        <x:f>249</x:f>
        <x:v>249</x:v>
      </x:c>
      <x:c r="B256" s="2" t="str">
        <x:f>'Master Hunt List'!A249</x:f>
        <x:v>No</x:v>
      </x:c>
      <x:c r="C256" s="2" t="str">
        <x:f>'Master Hunt List'!B249</x:f>
        <x:v>A</x:v>
      </x:c>
      <x:c r="D256" s="2" t="str">
        <x:f>'Master Hunt List'!C249</x:f>
        <x:v>Whitetail Deer</x:v>
      </x:c>
      <x:c r="E256" s="2" t="str">
        <x:f>'Master Hunt List'!D249</x:f>
        <x:v>White Oak Creek WMA</x:v>
      </x:c>
      <x:c r="F256" s="2" t="str">
        <x:f>'Master Hunt List'!E249</x:f>
        <x:v>East Texas / Pineywoods</x:v>
      </x:c>
      <x:c r="G256" s="2" t="str">
        <x:f>'Master Hunt List'!F249</x:f>
        <x:v>Gun Deer - Either Sex</x:v>
      </x:c>
      <x:c r="H256" s="2" t="str">
        <x:f>'Master Hunt List'!G249</x:f>
        <x:v>Yes</x:v>
      </x:c>
      <x:c r="I256" s="2" t="str">
        <x:f>'Master Hunt List'!H249</x:f>
        <x:v>Yes</x:v>
      </x:c>
      <x:c r="J256" s="97" t="str">
        <x:f>'Master Hunt List'!I249</x:f>
        <x:v>2026-09-15</x:v>
      </x:c>
      <x:c r="K256" s="111" t="n">
        <x:f>'Master Hunt List'!K249</x:f>
        <x:v>3</x:v>
      </x:c>
      <x:c r="L256" s="2" t="n">
        <x:f>'Master Hunt List'!AF249</x:f>
        <x:v>0</x:v>
      </x:c>
      <x:c r="M256" s="2" t="n">
        <x:f>'Master Hunt List'!AH249</x:f>
        <x:v>0</x:v>
      </x:c>
      <x:c r="N256" s="2" t="n">
        <x:f>'Master Hunt List'!AI249</x:f>
        <x:v>0</x:v>
      </x:c>
      <x:c r="O256" s="2" t="str">
        <x:f>'Master Hunt List'!V249</x:f>
        <x:v>https://tpwd.texas.gov/huntwild/hunt/public/public_hunt_drawing/hunt-category-details.phtml?OCat=GDE</x:v>
      </x:c>
    </x:row>
    <x:row r="257">
      <x:c r="A257" s="2" t="n">
        <x:f>250</x:f>
        <x:v>250</x:v>
      </x:c>
      <x:c r="B257" s="2" t="str">
        <x:f>'Master Hunt List'!A250</x:f>
        <x:v>No</x:v>
      </x:c>
      <x:c r="C257" s="2" t="str">
        <x:f>'Master Hunt List'!B250</x:f>
        <x:v>A</x:v>
      </x:c>
      <x:c r="D257" s="2" t="str">
        <x:f>'Master Hunt List'!C250</x:f>
        <x:v>Whitetail Deer</x:v>
      </x:c>
      <x:c r="E257" s="2" t="str">
        <x:f>'Master Hunt List'!D250</x:f>
        <x:v>Balcones Canyonlands NWR</x:v>
      </x:c>
      <x:c r="F257" s="2" t="str">
        <x:f>'Master Hunt List'!E250</x:f>
        <x:v>Statewide / Other</x:v>
      </x:c>
      <x:c r="G257" s="2" t="str">
        <x:f>'Master Hunt List'!F250</x:f>
        <x:v>National Refuge Youth Deer</x:v>
      </x:c>
      <x:c r="H257" s="2" t="str">
        <x:f>'Master Hunt List'!G250</x:f>
        <x:v>No</x:v>
      </x:c>
      <x:c r="I257" s="2" t="str">
        <x:f>'Master Hunt List'!H250</x:f>
        <x:v>Yes</x:v>
      </x:c>
      <x:c r="J257" s="97" t="str">
        <x:f>'Master Hunt List'!I250</x:f>
        <x:v>2026-10-01</x:v>
      </x:c>
      <x:c r="K257" s="111" t="n">
        <x:f>'Master Hunt List'!K250</x:f>
        <x:v>0</x:v>
      </x:c>
      <x:c r="L257" s="2" t="n">
        <x:f>'Master Hunt List'!AF250</x:f>
        <x:v>0</x:v>
      </x:c>
      <x:c r="M257" s="2" t="n">
        <x:f>'Master Hunt List'!AH250</x:f>
        <x:v>0</x:v>
      </x:c>
      <x:c r="N257" s="2" t="n">
        <x:f>'Master Hunt List'!AI250</x:f>
        <x:v>0</x:v>
      </x:c>
      <x:c r="O257" s="2" t="str">
        <x:f>'Master Hunt List'!V250</x:f>
        <x:v>https://tpwd.texas.gov/huntwild/hunt/public/public_hunt_drawing/hunt-category-details.phtml?OCat=NYD</x:v>
      </x:c>
    </x:row>
    <x:row r="258">
      <x:c r="A258" s="2" t="n">
        <x:f>251</x:f>
        <x:v>251</x:v>
      </x:c>
      <x:c r="B258" s="2" t="str">
        <x:f>'Master Hunt List'!A251</x:f>
        <x:v>No</x:v>
      </x:c>
      <x:c r="C258" s="2" t="str">
        <x:f>'Master Hunt List'!B251</x:f>
        <x:v>A</x:v>
      </x:c>
      <x:c r="D258" s="2" t="str">
        <x:f>'Master Hunt List'!C251</x:f>
        <x:v>Whitetail Deer</x:v>
      </x:c>
      <x:c r="E258" s="2" t="str">
        <x:f>'Master Hunt List'!D251</x:f>
        <x:v>Buffalo Lake NWR</x:v>
      </x:c>
      <x:c r="F258" s="2" t="str">
        <x:f>'Master Hunt List'!E251</x:f>
        <x:v>Panhandle / Rolling Plains</x:v>
      </x:c>
      <x:c r="G258" s="2" t="str">
        <x:f>'Master Hunt List'!F251</x:f>
        <x:v>National Refuge Youth Deer</x:v>
      </x:c>
      <x:c r="H258" s="2" t="str">
        <x:f>'Master Hunt List'!G251</x:f>
        <x:v>No</x:v>
      </x:c>
      <x:c r="I258" s="2" t="str">
        <x:f>'Master Hunt List'!H251</x:f>
        <x:v>Yes</x:v>
      </x:c>
      <x:c r="J258" s="97" t="str">
        <x:f>'Master Hunt List'!I251</x:f>
        <x:v>2026-10-01</x:v>
      </x:c>
      <x:c r="K258" s="111" t="n">
        <x:f>'Master Hunt List'!K251</x:f>
        <x:v>0</x:v>
      </x:c>
      <x:c r="L258" s="2" t="n">
        <x:f>'Master Hunt List'!AF251</x:f>
        <x:v>0</x:v>
      </x:c>
      <x:c r="M258" s="2" t="n">
        <x:f>'Master Hunt List'!AH251</x:f>
        <x:v>0</x:v>
      </x:c>
      <x:c r="N258" s="2" t="n">
        <x:f>'Master Hunt List'!AI251</x:f>
        <x:v>0</x:v>
      </x:c>
      <x:c r="O258" s="2" t="str">
        <x:f>'Master Hunt List'!V251</x:f>
        <x:v>https://tpwd.texas.gov/huntwild/hunt/public/public_hunt_drawing/hunt-category-details.phtml?OCat=NYD</x:v>
      </x:c>
    </x:row>
    <x:row r="259">
      <x:c r="A259" s="2" t="n">
        <x:f>252</x:f>
        <x:v>252</x:v>
      </x:c>
      <x:c r="B259" s="2" t="str">
        <x:f>'Master Hunt List'!A252</x:f>
        <x:v>No</x:v>
      </x:c>
      <x:c r="C259" s="2" t="str">
        <x:f>'Master Hunt List'!B252</x:f>
        <x:v>A</x:v>
      </x:c>
      <x:c r="D259" s="2" t="str">
        <x:f>'Master Hunt List'!C252</x:f>
        <x:v>Whitetail Deer</x:v>
      </x:c>
      <x:c r="E259" s="2" t="str">
        <x:f>'Master Hunt List'!D252</x:f>
        <x:v>Caddo Lake NWR</x:v>
      </x:c>
      <x:c r="F259" s="2" t="str">
        <x:f>'Master Hunt List'!E252</x:f>
        <x:v>East Texas / Pineywoods</x:v>
      </x:c>
      <x:c r="G259" s="2" t="str">
        <x:f>'Master Hunt List'!F252</x:f>
        <x:v>National Refuge Youth Deer</x:v>
      </x:c>
      <x:c r="H259" s="2" t="str">
        <x:f>'Master Hunt List'!G252</x:f>
        <x:v>No</x:v>
      </x:c>
      <x:c r="I259" s="2" t="str">
        <x:f>'Master Hunt List'!H252</x:f>
        <x:v>Yes</x:v>
      </x:c>
      <x:c r="J259" s="97" t="str">
        <x:f>'Master Hunt List'!I252</x:f>
        <x:v>2026-10-01</x:v>
      </x:c>
      <x:c r="K259" s="111" t="n">
        <x:f>'Master Hunt List'!K252</x:f>
        <x:v>0</x:v>
      </x:c>
      <x:c r="L259" s="2" t="n">
        <x:f>'Master Hunt List'!AF252</x:f>
        <x:v>0</x:v>
      </x:c>
      <x:c r="M259" s="2" t="n">
        <x:f>'Master Hunt List'!AH252</x:f>
        <x:v>0</x:v>
      </x:c>
      <x:c r="N259" s="2" t="n">
        <x:f>'Master Hunt List'!AI252</x:f>
        <x:v>0</x:v>
      </x:c>
      <x:c r="O259" s="2" t="str">
        <x:f>'Master Hunt List'!V252</x:f>
        <x:v>https://tpwd.texas.gov/huntwild/hunt/public/public_hunt_drawing/hunt-category-details.phtml?OCat=NYD</x:v>
      </x:c>
    </x:row>
    <x:row r="260">
      <x:c r="A260" s="2" t="n">
        <x:f>253</x:f>
        <x:v>253</x:v>
      </x:c>
      <x:c r="B260" s="2" t="str">
        <x:f>'Master Hunt List'!A253</x:f>
        <x:v>No</x:v>
      </x:c>
      <x:c r="C260" s="2" t="str">
        <x:f>'Master Hunt List'!B253</x:f>
        <x:v>A</x:v>
      </x:c>
      <x:c r="D260" s="2" t="str">
        <x:f>'Master Hunt List'!C253</x:f>
        <x:v>Whitetail Deer</x:v>
      </x:c>
      <x:c r="E260" s="2" t="str">
        <x:f>'Master Hunt List'!D253</x:f>
        <x:v>Laguna Atascosa NWR</x:v>
      </x:c>
      <x:c r="F260" s="2" t="str">
        <x:f>'Master Hunt List'!E253</x:f>
        <x:v>South Texas / Rio Grande Valley</x:v>
      </x:c>
      <x:c r="G260" s="2" t="str">
        <x:f>'Master Hunt List'!F253</x:f>
        <x:v>National Refuge Youth Deer</x:v>
      </x:c>
      <x:c r="H260" s="2" t="str">
        <x:f>'Master Hunt List'!G253</x:f>
        <x:v>No</x:v>
      </x:c>
      <x:c r="I260" s="2" t="str">
        <x:f>'Master Hunt List'!H253</x:f>
        <x:v>Yes</x:v>
      </x:c>
      <x:c r="J260" s="97" t="str">
        <x:f>'Master Hunt List'!I253</x:f>
        <x:v>2026-10-01</x:v>
      </x:c>
      <x:c r="K260" s="111" t="n">
        <x:f>'Master Hunt List'!K253</x:f>
        <x:v>0</x:v>
      </x:c>
      <x:c r="L260" s="2" t="n">
        <x:f>'Master Hunt List'!AF253</x:f>
        <x:v>0</x:v>
      </x:c>
      <x:c r="M260" s="2" t="n">
        <x:f>'Master Hunt List'!AH253</x:f>
        <x:v>0</x:v>
      </x:c>
      <x:c r="N260" s="2" t="n">
        <x:f>'Master Hunt List'!AI253</x:f>
        <x:v>0</x:v>
      </x:c>
      <x:c r="O260" s="2" t="str">
        <x:f>'Master Hunt List'!V253</x:f>
        <x:v>https://tpwd.texas.gov/huntwild/hunt/public/public_hunt_drawing/hunt-category-details.phtml?OCat=NYD</x:v>
      </x:c>
    </x:row>
    <x:row r="261">
      <x:c r="A261" s="2" t="n">
        <x:f>254</x:f>
        <x:v>254</x:v>
      </x:c>
      <x:c r="B261" s="2" t="str">
        <x:f>'Master Hunt List'!A254</x:f>
        <x:v>No</x:v>
      </x:c>
      <x:c r="C261" s="2" t="str">
        <x:f>'Master Hunt List'!B254</x:f>
        <x:v>A</x:v>
      </x:c>
      <x:c r="D261" s="2" t="str">
        <x:f>'Master Hunt List'!C254</x:f>
        <x:v>Whitetail Deer</x:v>
      </x:c>
      <x:c r="E261" s="2" t="str">
        <x:f>'Master Hunt List'!D254</x:f>
        <x:v>Lower Rio Grande Valley NWR - Teniente</x:v>
      </x:c>
      <x:c r="F261" s="2" t="str">
        <x:f>'Master Hunt List'!E254</x:f>
        <x:v>South Texas / Rio Grande Valley</x:v>
      </x:c>
      <x:c r="G261" s="2" t="str">
        <x:f>'Master Hunt List'!F254</x:f>
        <x:v>National Refuge Youth Deer</x:v>
      </x:c>
      <x:c r="H261" s="2" t="str">
        <x:f>'Master Hunt List'!G254</x:f>
        <x:v>No</x:v>
      </x:c>
      <x:c r="I261" s="2" t="str">
        <x:f>'Master Hunt List'!H254</x:f>
        <x:v>Yes</x:v>
      </x:c>
      <x:c r="J261" s="97" t="str">
        <x:f>'Master Hunt List'!I254</x:f>
        <x:v>2026-10-01</x:v>
      </x:c>
      <x:c r="K261" s="111" t="n">
        <x:f>'Master Hunt List'!K254</x:f>
        <x:v>0</x:v>
      </x:c>
      <x:c r="L261" s="2" t="n">
        <x:f>'Master Hunt List'!AF254</x:f>
        <x:v>0</x:v>
      </x:c>
      <x:c r="M261" s="2" t="n">
        <x:f>'Master Hunt List'!AH254</x:f>
        <x:v>0</x:v>
      </x:c>
      <x:c r="N261" s="2" t="n">
        <x:f>'Master Hunt List'!AI254</x:f>
        <x:v>0</x:v>
      </x:c>
      <x:c r="O261" s="2" t="str">
        <x:f>'Master Hunt List'!V254</x:f>
        <x:v>https://tpwd.texas.gov/huntwild/hunt/public/public_hunt_drawing/hunt-category-details.phtml?OCat=NYD</x:v>
      </x:c>
    </x:row>
    <x:row r="262">
      <x:c r="A262" s="2" t="n">
        <x:f>255</x:f>
        <x:v>255</x:v>
      </x:c>
      <x:c r="B262" s="2" t="str">
        <x:f>'Master Hunt List'!A255</x:f>
        <x:v>No</x:v>
      </x:c>
      <x:c r="C262" s="2" t="str">
        <x:f>'Master Hunt List'!B255</x:f>
        <x:v>A</x:v>
      </x:c>
      <x:c r="D262" s="2" t="str">
        <x:f>'Master Hunt List'!C255</x:f>
        <x:v>Mule Deer</x:v>
      </x:c>
      <x:c r="E262" s="2" t="str">
        <x:f>'Master Hunt List'!D255</x:f>
        <x:v>Big Bend Ranch SP</x:v>
      </x:c>
      <x:c r="F262" s="2" t="str">
        <x:f>'Master Hunt List'!E255</x:f>
        <x:v>Trans-Pecos / West Texas</x:v>
      </x:c>
      <x:c r="G262" s="2" t="str">
        <x:f>'Master Hunt List'!F255</x:f>
        <x:v>Gun Mule Deer</x:v>
      </x:c>
      <x:c r="H262" s="2" t="str">
        <x:f>'Master Hunt List'!G255</x:f>
        <x:v>Yes</x:v>
      </x:c>
      <x:c r="I262" s="2" t="str">
        <x:f>'Master Hunt List'!H255</x:f>
        <x:v>Yes</x:v>
      </x:c>
      <x:c r="J262" s="97" t="str">
        <x:f>'Master Hunt List'!I255</x:f>
        <x:v>2026-10-01</x:v>
      </x:c>
      <x:c r="K262" s="111" t="n">
        <x:f>'Master Hunt List'!K255</x:f>
        <x:v>3</x:v>
      </x:c>
      <x:c r="L262" s="2" t="n">
        <x:f>'Master Hunt List'!AF255</x:f>
        <x:v>0</x:v>
      </x:c>
      <x:c r="M262" s="2" t="n">
        <x:f>'Master Hunt List'!AH255</x:f>
        <x:v>0</x:v>
      </x:c>
      <x:c r="N262" s="2" t="n">
        <x:f>'Master Hunt List'!AI255</x:f>
        <x:v>0</x:v>
      </x:c>
      <x:c r="O262" s="2" t="str">
        <x:f>'Master Hunt List'!V255</x:f>
        <x:v>https://tpwd.texas.gov/huntwild/hunt/public/public_hunt_drawing/hunt-category-details.phtml?OCat=MDG</x:v>
      </x:c>
    </x:row>
    <x:row r="263">
      <x:c r="A263" s="2" t="n">
        <x:f>256</x:f>
        <x:v>256</x:v>
      </x:c>
      <x:c r="B263" s="2" t="str">
        <x:f>'Master Hunt List'!A256</x:f>
        <x:v>No</x:v>
      </x:c>
      <x:c r="C263" s="2" t="str">
        <x:f>'Master Hunt List'!B256</x:f>
        <x:v>A</x:v>
      </x:c>
      <x:c r="D263" s="2" t="str">
        <x:f>'Master Hunt List'!C256</x:f>
        <x:v>Mule Deer</x:v>
      </x:c>
      <x:c r="E263" s="2" t="str">
        <x:f>'Master Hunt List'!D256</x:f>
        <x:v>Black Gap WMA</x:v>
      </x:c>
      <x:c r="F263" s="2" t="str">
        <x:f>'Master Hunt List'!E256</x:f>
        <x:v>Trans-Pecos / West Texas</x:v>
      </x:c>
      <x:c r="G263" s="2" t="str">
        <x:f>'Master Hunt List'!F256</x:f>
        <x:v>Gun Mule Deer</x:v>
      </x:c>
      <x:c r="H263" s="2" t="str">
        <x:f>'Master Hunt List'!G256</x:f>
        <x:v>Yes</x:v>
      </x:c>
      <x:c r="I263" s="2" t="str">
        <x:f>'Master Hunt List'!H256</x:f>
        <x:v>Yes</x:v>
      </x:c>
      <x:c r="J263" s="97" t="str">
        <x:f>'Master Hunt List'!I256</x:f>
        <x:v>2026-10-01</x:v>
      </x:c>
      <x:c r="K263" s="111" t="n">
        <x:f>'Master Hunt List'!K256</x:f>
        <x:v>3</x:v>
      </x:c>
      <x:c r="L263" s="2" t="n">
        <x:f>'Master Hunt List'!AF256</x:f>
        <x:v>0</x:v>
      </x:c>
      <x:c r="M263" s="2" t="n">
        <x:f>'Master Hunt List'!AH256</x:f>
        <x:v>0</x:v>
      </x:c>
      <x:c r="N263" s="2" t="n">
        <x:f>'Master Hunt List'!AI256</x:f>
        <x:v>0</x:v>
      </x:c>
      <x:c r="O263" s="2" t="str">
        <x:f>'Master Hunt List'!V256</x:f>
        <x:v>https://tpwd.texas.gov/huntwild/hunt/public/public_hunt_drawing/hunt-category-details.phtml?OCat=MDG</x:v>
      </x:c>
    </x:row>
    <x:row r="264">
      <x:c r="A264" s="2" t="n">
        <x:f>257</x:f>
        <x:v>257</x:v>
      </x:c>
      <x:c r="B264" s="2" t="str">
        <x:f>'Master Hunt List'!A257</x:f>
        <x:v>No</x:v>
      </x:c>
      <x:c r="C264" s="2" t="str">
        <x:f>'Master Hunt List'!B257</x:f>
        <x:v>A</x:v>
      </x:c>
      <x:c r="D264" s="2" t="str">
        <x:f>'Master Hunt List'!C257</x:f>
        <x:v>Mule Deer</x:v>
      </x:c>
      <x:c r="E264" s="2" t="str">
        <x:f>'Master Hunt List'!D257</x:f>
        <x:v>Caprock Canyons SP</x:v>
      </x:c>
      <x:c r="F264" s="2" t="str">
        <x:f>'Master Hunt List'!E257</x:f>
        <x:v>Panhandle / Rolling Plains</x:v>
      </x:c>
      <x:c r="G264" s="2" t="str">
        <x:f>'Master Hunt List'!F257</x:f>
        <x:v>Gun Mule Deer</x:v>
      </x:c>
      <x:c r="H264" s="2" t="str">
        <x:f>'Master Hunt List'!G257</x:f>
        <x:v>Yes</x:v>
      </x:c>
      <x:c r="I264" s="2" t="str">
        <x:f>'Master Hunt List'!H257</x:f>
        <x:v>Yes</x:v>
      </x:c>
      <x:c r="J264" s="97" t="str">
        <x:f>'Master Hunt List'!I257</x:f>
        <x:v>2026-10-01</x:v>
      </x:c>
      <x:c r="K264" s="111" t="n">
        <x:f>'Master Hunt List'!K257</x:f>
        <x:v>3</x:v>
      </x:c>
      <x:c r="L264" s="2" t="n">
        <x:f>'Master Hunt List'!AF257</x:f>
        <x:v>0</x:v>
      </x:c>
      <x:c r="M264" s="2" t="n">
        <x:f>'Master Hunt List'!AH257</x:f>
        <x:v>0</x:v>
      </x:c>
      <x:c r="N264" s="2" t="n">
        <x:f>'Master Hunt List'!AI257</x:f>
        <x:v>0</x:v>
      </x:c>
      <x:c r="O264" s="2" t="str">
        <x:f>'Master Hunt List'!V257</x:f>
        <x:v>https://tpwd.texas.gov/huntwild/hunt/public/public_hunt_drawing/hunt-category-details.phtml?OCat=MDG</x:v>
      </x:c>
    </x:row>
    <x:row r="265">
      <x:c r="A265" s="2" t="n">
        <x:f>258</x:f>
        <x:v>258</x:v>
      </x:c>
      <x:c r="B265" s="2" t="str">
        <x:f>'Master Hunt List'!A258</x:f>
        <x:v>No</x:v>
      </x:c>
      <x:c r="C265" s="2" t="str">
        <x:f>'Master Hunt List'!B258</x:f>
        <x:v>A</x:v>
      </x:c>
      <x:c r="D265" s="2" t="str">
        <x:f>'Master Hunt List'!C258</x:f>
        <x:v>Mule Deer</x:v>
      </x:c>
      <x:c r="E265" s="2" t="str">
        <x:f>'Master Hunt List'!D258</x:f>
        <x:v>Elephant Mountain WMA</x:v>
      </x:c>
      <x:c r="F265" s="2" t="str">
        <x:f>'Master Hunt List'!E258</x:f>
        <x:v>Trans-Pecos / West Texas</x:v>
      </x:c>
      <x:c r="G265" s="2" t="str">
        <x:f>'Master Hunt List'!F258</x:f>
        <x:v>Gun Mule Deer</x:v>
      </x:c>
      <x:c r="H265" s="2" t="str">
        <x:f>'Master Hunt List'!G258</x:f>
        <x:v>Yes</x:v>
      </x:c>
      <x:c r="I265" s="2" t="str">
        <x:f>'Master Hunt List'!H258</x:f>
        <x:v>Yes</x:v>
      </x:c>
      <x:c r="J265" s="97" t="str">
        <x:f>'Master Hunt List'!I258</x:f>
        <x:v>2026-10-01</x:v>
      </x:c>
      <x:c r="K265" s="111" t="n">
        <x:f>'Master Hunt List'!K258</x:f>
        <x:v>3</x:v>
      </x:c>
      <x:c r="L265" s="2" t="n">
        <x:f>'Master Hunt List'!AF258</x:f>
        <x:v>0</x:v>
      </x:c>
      <x:c r="M265" s="2" t="n">
        <x:f>'Master Hunt List'!AH258</x:f>
        <x:v>0</x:v>
      </x:c>
      <x:c r="N265" s="2" t="n">
        <x:f>'Master Hunt List'!AI258</x:f>
        <x:v>0</x:v>
      </x:c>
      <x:c r="O265" s="2" t="str">
        <x:f>'Master Hunt List'!V258</x:f>
        <x:v>https://tpwd.texas.gov/huntwild/hunt/public/public_hunt_drawing/hunt-category-details.phtml?OCat=MDG</x:v>
      </x:c>
    </x:row>
    <x:row r="266">
      <x:c r="A266" s="2" t="n">
        <x:f>259</x:f>
        <x:v>259</x:v>
      </x:c>
      <x:c r="B266" s="2" t="str">
        <x:f>'Master Hunt List'!A259</x:f>
        <x:v>No</x:v>
      </x:c>
      <x:c r="C266" s="2" t="str">
        <x:f>'Master Hunt List'!B259</x:f>
        <x:v>A</x:v>
      </x:c>
      <x:c r="D266" s="2" t="str">
        <x:f>'Master Hunt List'!C259</x:f>
        <x:v>Mule Deer</x:v>
      </x:c>
      <x:c r="E266" s="2" t="str">
        <x:f>'Master Hunt List'!D259</x:f>
        <x:v>Gene Howe WMA</x:v>
      </x:c>
      <x:c r="F266" s="2" t="str">
        <x:f>'Master Hunt List'!E259</x:f>
        <x:v>Panhandle / Rolling Plains</x:v>
      </x:c>
      <x:c r="G266" s="2" t="str">
        <x:f>'Master Hunt List'!F259</x:f>
        <x:v>Gun Mule Deer</x:v>
      </x:c>
      <x:c r="H266" s="2" t="str">
        <x:f>'Master Hunt List'!G259</x:f>
        <x:v>Yes</x:v>
      </x:c>
      <x:c r="I266" s="2" t="str">
        <x:f>'Master Hunt List'!H259</x:f>
        <x:v>Yes</x:v>
      </x:c>
      <x:c r="J266" s="97" t="str">
        <x:f>'Master Hunt List'!I259</x:f>
        <x:v>2026-10-01</x:v>
      </x:c>
      <x:c r="K266" s="111" t="n">
        <x:f>'Master Hunt List'!K259</x:f>
        <x:v>3</x:v>
      </x:c>
      <x:c r="L266" s="2" t="n">
        <x:f>'Master Hunt List'!AF259</x:f>
        <x:v>0</x:v>
      </x:c>
      <x:c r="M266" s="2" t="n">
        <x:f>'Master Hunt List'!AH259</x:f>
        <x:v>0</x:v>
      </x:c>
      <x:c r="N266" s="2" t="n">
        <x:f>'Master Hunt List'!AI259</x:f>
        <x:v>0</x:v>
      </x:c>
      <x:c r="O266" s="2" t="str">
        <x:f>'Master Hunt List'!V259</x:f>
        <x:v>https://tpwd.texas.gov/huntwild/hunt/public/public_hunt_drawing/hunt-category-details.phtml?OCat=MDG</x:v>
      </x:c>
    </x:row>
    <x:row r="267">
      <x:c r="A267" s="2" t="n">
        <x:f>260</x:f>
        <x:v>260</x:v>
      </x:c>
      <x:c r="B267" s="2" t="str">
        <x:f>'Master Hunt List'!A260</x:f>
        <x:v>No</x:v>
      </x:c>
      <x:c r="C267" s="2" t="str">
        <x:f>'Master Hunt List'!B260</x:f>
        <x:v>A</x:v>
      </x:c>
      <x:c r="D267" s="2" t="str">
        <x:f>'Master Hunt List'!C260</x:f>
        <x:v>Mule Deer</x:v>
      </x:c>
      <x:c r="E267" s="2" t="str">
        <x:f>'Master Hunt List'!D260</x:f>
        <x:v>Matador WMA</x:v>
      </x:c>
      <x:c r="F267" s="2" t="str">
        <x:f>'Master Hunt List'!E260</x:f>
        <x:v>Panhandle / Rolling Plains</x:v>
      </x:c>
      <x:c r="G267" s="2" t="str">
        <x:f>'Master Hunt List'!F260</x:f>
        <x:v>Gun Mule Deer</x:v>
      </x:c>
      <x:c r="H267" s="2" t="str">
        <x:f>'Master Hunt List'!G260</x:f>
        <x:v>Yes</x:v>
      </x:c>
      <x:c r="I267" s="2" t="str">
        <x:f>'Master Hunt List'!H260</x:f>
        <x:v>Yes</x:v>
      </x:c>
      <x:c r="J267" s="97" t="str">
        <x:f>'Master Hunt List'!I260</x:f>
        <x:v>2026-10-01</x:v>
      </x:c>
      <x:c r="K267" s="111" t="n">
        <x:f>'Master Hunt List'!K260</x:f>
        <x:v>3</x:v>
      </x:c>
      <x:c r="L267" s="2" t="n">
        <x:f>'Master Hunt List'!AF260</x:f>
        <x:v>0</x:v>
      </x:c>
      <x:c r="M267" s="2" t="n">
        <x:f>'Master Hunt List'!AH260</x:f>
        <x:v>0</x:v>
      </x:c>
      <x:c r="N267" s="2" t="n">
        <x:f>'Master Hunt List'!AI260</x:f>
        <x:v>0</x:v>
      </x:c>
      <x:c r="O267" s="2" t="str">
        <x:f>'Master Hunt List'!V260</x:f>
        <x:v>https://tpwd.texas.gov/huntwild/hunt/public/public_hunt_drawing/hunt-category-details.phtml?OCat=MDG</x:v>
      </x:c>
    </x:row>
    <x:row r="268">
      <x:c r="A268" s="2" t="n">
        <x:f>261</x:f>
        <x:v>261</x:v>
      </x:c>
      <x:c r="B268" s="2" t="str">
        <x:f>'Master Hunt List'!A261</x:f>
        <x:v>No</x:v>
      </x:c>
      <x:c r="C268" s="2" t="str">
        <x:f>'Master Hunt List'!B261</x:f>
        <x:v>A</x:v>
      </x:c>
      <x:c r="D268" s="2" t="str">
        <x:f>'Master Hunt List'!C261</x:f>
        <x:v>Mule Deer</x:v>
      </x:c>
      <x:c r="E268" s="2" t="str">
        <x:f>'Master Hunt List'!D261</x:f>
        <x:v>Sierra Diablo WMA</x:v>
      </x:c>
      <x:c r="F268" s="2" t="str">
        <x:f>'Master Hunt List'!E261</x:f>
        <x:v>Trans-Pecos / West Texas</x:v>
      </x:c>
      <x:c r="G268" s="2" t="str">
        <x:f>'Master Hunt List'!F261</x:f>
        <x:v>Gun Mule Deer</x:v>
      </x:c>
      <x:c r="H268" s="2" t="str">
        <x:f>'Master Hunt List'!G261</x:f>
        <x:v>Yes</x:v>
      </x:c>
      <x:c r="I268" s="2" t="str">
        <x:f>'Master Hunt List'!H261</x:f>
        <x:v>Yes</x:v>
      </x:c>
      <x:c r="J268" s="97" t="str">
        <x:f>'Master Hunt List'!I261</x:f>
        <x:v>2026-10-01</x:v>
      </x:c>
      <x:c r="K268" s="111" t="n">
        <x:f>'Master Hunt List'!K261</x:f>
        <x:v>3</x:v>
      </x:c>
      <x:c r="L268" s="2" t="n">
        <x:f>'Master Hunt List'!AF261</x:f>
        <x:v>0</x:v>
      </x:c>
      <x:c r="M268" s="2" t="n">
        <x:f>'Master Hunt List'!AH261</x:f>
        <x:v>0</x:v>
      </x:c>
      <x:c r="N268" s="2" t="n">
        <x:f>'Master Hunt List'!AI261</x:f>
        <x:v>0</x:v>
      </x:c>
      <x:c r="O268" s="2" t="str">
        <x:f>'Master Hunt List'!V261</x:f>
        <x:v>https://tpwd.texas.gov/huntwild/hunt/public/public_hunt_drawing/hunt-category-details.phtml?OCat=MDG</x:v>
      </x:c>
    </x:row>
    <x:row r="269">
      <x:c r="A269" s="2" t="n">
        <x:f>262</x:f>
        <x:v>262</x:v>
      </x:c>
      <x:c r="B269" s="2" t="str">
        <x:f>'Master Hunt List'!A262</x:f>
        <x:v>No</x:v>
      </x:c>
      <x:c r="C269" s="2" t="str">
        <x:f>'Master Hunt List'!B262</x:f>
        <x:v>A</x:v>
      </x:c>
      <x:c r="D269" s="2" t="str">
        <x:f>'Master Hunt List'!C262</x:f>
        <x:v>Mule Deer</x:v>
      </x:c>
      <x:c r="E269" s="2" t="str">
        <x:f>'Master Hunt List'!D262</x:f>
        <x:v>Yoakum Dunes WMA</x:v>
      </x:c>
      <x:c r="F269" s="2" t="str">
        <x:f>'Master Hunt List'!E262</x:f>
        <x:v>Panhandle / Rolling Plains</x:v>
      </x:c>
      <x:c r="G269" s="2" t="str">
        <x:f>'Master Hunt List'!F262</x:f>
        <x:v>Gun Mule Deer</x:v>
      </x:c>
      <x:c r="H269" s="2" t="str">
        <x:f>'Master Hunt List'!G262</x:f>
        <x:v>Yes</x:v>
      </x:c>
      <x:c r="I269" s="2" t="str">
        <x:f>'Master Hunt List'!H262</x:f>
        <x:v>Yes</x:v>
      </x:c>
      <x:c r="J269" s="97" t="str">
        <x:f>'Master Hunt List'!I262</x:f>
        <x:v>2026-10-01</x:v>
      </x:c>
      <x:c r="K269" s="111" t="n">
        <x:f>'Master Hunt List'!K262</x:f>
        <x:v>3</x:v>
      </x:c>
      <x:c r="L269" s="2" t="n">
        <x:f>'Master Hunt List'!AF262</x:f>
        <x:v>0</x:v>
      </x:c>
      <x:c r="M269" s="2" t="n">
        <x:f>'Master Hunt List'!AH262</x:f>
        <x:v>0</x:v>
      </x:c>
      <x:c r="N269" s="2" t="n">
        <x:f>'Master Hunt List'!AI262</x:f>
        <x:v>0</x:v>
      </x:c>
      <x:c r="O269" s="2" t="str">
        <x:f>'Master Hunt List'!V262</x:f>
        <x:v>https://tpwd.texas.gov/huntwild/hunt/public/public_hunt_drawing/hunt-category-details.phtml?OCat=MDG</x:v>
      </x:c>
    </x:row>
    <x:row r="270">
      <x:c r="A270" s="2" t="n">
        <x:f>263</x:f>
        <x:v>263</x:v>
      </x:c>
      <x:c r="B270" s="2" t="str">
        <x:f>'Master Hunt List'!A263</x:f>
        <x:v>No</x:v>
      </x:c>
      <x:c r="C270" s="2" t="str">
        <x:f>'Master Hunt List'!B263</x:f>
        <x:v>A</x:v>
      </x:c>
      <x:c r="D270" s="2" t="str">
        <x:f>'Master Hunt List'!C263</x:f>
        <x:v>Whitetail Deer</x:v>
      </x:c>
      <x:c r="E270" s="2" t="str">
        <x:f>'Master Hunt List'!D263</x:f>
        <x:v>Neches River NWR - Dead Water Unit</x:v>
      </x:c>
      <x:c r="F270" s="2" t="str">
        <x:f>'Master Hunt List'!E263</x:f>
        <x:v>East Texas / Pineywoods</x:v>
      </x:c>
      <x:c r="G270" s="2" t="str">
        <x:f>'Master Hunt List'!F263</x:f>
        <x:v>National Refuge Deer Antlerless/Spike</x:v>
      </x:c>
      <x:c r="H270" s="2" t="str">
        <x:f>'Master Hunt List'!G263</x:f>
        <x:v>Yes</x:v>
      </x:c>
      <x:c r="I270" s="2" t="str">
        <x:f>'Master Hunt List'!H263</x:f>
        <x:v>Yes</x:v>
      </x:c>
      <x:c r="J270" s="97" t="str">
        <x:f>'Master Hunt List'!I263</x:f>
        <x:v>2026-10-01</x:v>
      </x:c>
      <x:c r="K270" s="111" t="n">
        <x:f>'Master Hunt List'!K263</x:f>
        <x:v>3</x:v>
      </x:c>
      <x:c r="L270" s="2" t="n">
        <x:f>'Master Hunt List'!AF263</x:f>
        <x:v>0</x:v>
      </x:c>
      <x:c r="M270" s="2" t="n">
        <x:f>'Master Hunt List'!AH263</x:f>
        <x:v>0</x:v>
      </x:c>
      <x:c r="N270" s="2" t="n">
        <x:f>'Master Hunt List'!AI263</x:f>
        <x:v>0</x:v>
      </x:c>
      <x:c r="O270" s="2" t="str">
        <x:f>'Master Hunt List'!V263</x:f>
        <x:v>https://tpwd.texas.gov/huntwild/hunt/public/public_hunt_drawing/hunt-category-details.phtml?OCat=NGA</x:v>
      </x:c>
    </x:row>
    <x:row r="271">
      <x:c r="A271" s="2" t="n">
        <x:f>264</x:f>
        <x:v>264</x:v>
      </x:c>
      <x:c r="B271" s="2" t="str">
        <x:f>'Master Hunt List'!A264</x:f>
        <x:v>No</x:v>
      </x:c>
      <x:c r="C271" s="2" t="str">
        <x:f>'Master Hunt List'!B264</x:f>
        <x:v>A</x:v>
      </x:c>
      <x:c r="D271" s="2" t="str">
        <x:f>'Master Hunt List'!C264</x:f>
        <x:v>Whitetail Deer</x:v>
      </x:c>
      <x:c r="E271" s="2" t="str">
        <x:f>'Master Hunt List'!D264</x:f>
        <x:v>Neches River NWR - Rocky Point Unit</x:v>
      </x:c>
      <x:c r="F271" s="2" t="str">
        <x:f>'Master Hunt List'!E264</x:f>
        <x:v>East Texas / Pineywoods</x:v>
      </x:c>
      <x:c r="G271" s="2" t="str">
        <x:f>'Master Hunt List'!F264</x:f>
        <x:v>National Refuge Deer Antlerless/Spike</x:v>
      </x:c>
      <x:c r="H271" s="2" t="str">
        <x:f>'Master Hunt List'!G264</x:f>
        <x:v>Yes</x:v>
      </x:c>
      <x:c r="I271" s="2" t="str">
        <x:f>'Master Hunt List'!H264</x:f>
        <x:v>Yes</x:v>
      </x:c>
      <x:c r="J271" s="97" t="str">
        <x:f>'Master Hunt List'!I264</x:f>
        <x:v>2026-10-01</x:v>
      </x:c>
      <x:c r="K271" s="111" t="n">
        <x:f>'Master Hunt List'!K264</x:f>
        <x:v>3</x:v>
      </x:c>
      <x:c r="L271" s="2" t="n">
        <x:f>'Master Hunt List'!AF264</x:f>
        <x:v>0</x:v>
      </x:c>
      <x:c r="M271" s="2" t="n">
        <x:f>'Master Hunt List'!AH264</x:f>
        <x:v>0</x:v>
      </x:c>
      <x:c r="N271" s="2" t="n">
        <x:f>'Master Hunt List'!AI264</x:f>
        <x:v>0</x:v>
      </x:c>
      <x:c r="O271" s="2" t="str">
        <x:f>'Master Hunt List'!V264</x:f>
        <x:v>https://tpwd.texas.gov/huntwild/hunt/public/public_hunt_drawing/hunt-category-details.phtml?OCat=NGA</x:v>
      </x:c>
    </x:row>
    <x:row r="272">
      <x:c r="A272" s="2" t="n">
        <x:f>265</x:f>
        <x:v>265</x:v>
      </x:c>
      <x:c r="B272" s="2" t="str">
        <x:f>'Master Hunt List'!A265</x:f>
        <x:v>No</x:v>
      </x:c>
      <x:c r="C272" s="2" t="str">
        <x:f>'Master Hunt List'!B265</x:f>
        <x:v>A</x:v>
      </x:c>
      <x:c r="D272" s="2" t="str">
        <x:f>'Master Hunt List'!C265</x:f>
        <x:v>Whitetail Deer</x:v>
      </x:c>
      <x:c r="E272" s="2" t="str">
        <x:f>'Master Hunt List'!D265</x:f>
        <x:v>Neches River NWR - Sandy Bluff Unit</x:v>
      </x:c>
      <x:c r="F272" s="2" t="str">
        <x:f>'Master Hunt List'!E265</x:f>
        <x:v>East Texas / Pineywoods</x:v>
      </x:c>
      <x:c r="G272" s="2" t="str">
        <x:f>'Master Hunt List'!F265</x:f>
        <x:v>National Refuge Deer Antlerless/Spike</x:v>
      </x:c>
      <x:c r="H272" s="2" t="str">
        <x:f>'Master Hunt List'!G265</x:f>
        <x:v>Yes</x:v>
      </x:c>
      <x:c r="I272" s="2" t="str">
        <x:f>'Master Hunt List'!H265</x:f>
        <x:v>Yes</x:v>
      </x:c>
      <x:c r="J272" s="97" t="str">
        <x:f>'Master Hunt List'!I265</x:f>
        <x:v>2026-10-01</x:v>
      </x:c>
      <x:c r="K272" s="111" t="n">
        <x:f>'Master Hunt List'!K265</x:f>
        <x:v>3</x:v>
      </x:c>
      <x:c r="L272" s="2" t="n">
        <x:f>'Master Hunt List'!AF265</x:f>
        <x:v>0</x:v>
      </x:c>
      <x:c r="M272" s="2" t="n">
        <x:f>'Master Hunt List'!AH265</x:f>
        <x:v>0</x:v>
      </x:c>
      <x:c r="N272" s="2" t="n">
        <x:f>'Master Hunt List'!AI265</x:f>
        <x:v>0</x:v>
      </x:c>
      <x:c r="O272" s="2" t="str">
        <x:f>'Master Hunt List'!V265</x:f>
        <x:v>https://tpwd.texas.gov/huntwild/hunt/public/public_hunt_drawing/hunt-category-details.phtml?OCat=NGA</x:v>
      </x:c>
    </x:row>
    <x:row r="273">
      <x:c r="A273" s="2" t="n">
        <x:f>266</x:f>
        <x:v>266</x:v>
      </x:c>
      <x:c r="B273" s="2" t="str">
        <x:f>'Master Hunt List'!A266</x:f>
        <x:v>No</x:v>
      </x:c>
      <x:c r="C273" s="2" t="str">
        <x:f>'Master Hunt List'!B266</x:f>
        <x:v>A</x:v>
      </x:c>
      <x:c r="D273" s="2" t="str">
        <x:f>'Master Hunt List'!C266</x:f>
        <x:v>Whitetail Deer</x:v>
      </x:c>
      <x:c r="E273" s="2" t="str">
        <x:f>'Master Hunt List'!D266</x:f>
        <x:v>Neches River NWR - Walnut Branch Unit</x:v>
      </x:c>
      <x:c r="F273" s="2" t="str">
        <x:f>'Master Hunt List'!E266</x:f>
        <x:v>East Texas / Pineywoods</x:v>
      </x:c>
      <x:c r="G273" s="2" t="str">
        <x:f>'Master Hunt List'!F266</x:f>
        <x:v>National Refuge Deer Antlerless/Spike</x:v>
      </x:c>
      <x:c r="H273" s="2" t="str">
        <x:f>'Master Hunt List'!G266</x:f>
        <x:v>Yes</x:v>
      </x:c>
      <x:c r="I273" s="2" t="str">
        <x:f>'Master Hunt List'!H266</x:f>
        <x:v>Yes</x:v>
      </x:c>
      <x:c r="J273" s="97" t="str">
        <x:f>'Master Hunt List'!I266</x:f>
        <x:v>2026-10-01</x:v>
      </x:c>
      <x:c r="K273" s="111" t="n">
        <x:f>'Master Hunt List'!K266</x:f>
        <x:v>3</x:v>
      </x:c>
      <x:c r="L273" s="2" t="n">
        <x:f>'Master Hunt List'!AF266</x:f>
        <x:v>0</x:v>
      </x:c>
      <x:c r="M273" s="2" t="n">
        <x:f>'Master Hunt List'!AH266</x:f>
        <x:v>0</x:v>
      </x:c>
      <x:c r="N273" s="2" t="n">
        <x:f>'Master Hunt List'!AI266</x:f>
        <x:v>0</x:v>
      </x:c>
      <x:c r="O273" s="2" t="str">
        <x:f>'Master Hunt List'!V266</x:f>
        <x:v>https://tpwd.texas.gov/huntwild/hunt/public/public_hunt_drawing/hunt-category-details.phtml?OCat=NGA</x:v>
      </x:c>
    </x:row>
    <x:row r="274">
      <x:c r="A274" s="2" t="n">
        <x:f>267</x:f>
        <x:v>267</x:v>
      </x:c>
      <x:c r="B274" s="2" t="str">
        <x:f>'Master Hunt List'!A267</x:f>
        <x:v>No</x:v>
      </x:c>
      <x:c r="C274" s="2" t="str">
        <x:f>'Master Hunt List'!B267</x:f>
        <x:v>A</x:v>
      </x:c>
      <x:c r="D274" s="2" t="str">
        <x:f>'Master Hunt List'!C267</x:f>
        <x:v>Whitetail Deer</x:v>
      </x:c>
      <x:c r="E274" s="2" t="str">
        <x:f>'Master Hunt List'!D267</x:f>
        <x:v>Trinity River NWR - Boars Den</x:v>
      </x:c>
      <x:c r="F274" s="2" t="str">
        <x:f>'Master Hunt List'!E267</x:f>
        <x:v>East Texas / Pineywoods</x:v>
      </x:c>
      <x:c r="G274" s="2" t="str">
        <x:f>'Master Hunt List'!F267</x:f>
        <x:v>National Refuge Muzzleloader Deer</x:v>
      </x:c>
      <x:c r="H274" s="2" t="str">
        <x:f>'Master Hunt List'!G267</x:f>
        <x:v>Yes</x:v>
      </x:c>
      <x:c r="I274" s="2" t="str">
        <x:f>'Master Hunt List'!H267</x:f>
        <x:v>Yes</x:v>
      </x:c>
      <x:c r="J274" s="97" t="str">
        <x:f>'Master Hunt List'!I267</x:f>
        <x:v>2026-10-15</x:v>
      </x:c>
      <x:c r="K274" s="111" t="n">
        <x:f>'Master Hunt List'!K267</x:f>
        <x:v>3</x:v>
      </x:c>
      <x:c r="L274" s="2" t="n">
        <x:f>'Master Hunt List'!AF267</x:f>
        <x:v>0</x:v>
      </x:c>
      <x:c r="M274" s="2" t="n">
        <x:f>'Master Hunt List'!AH267</x:f>
        <x:v>0</x:v>
      </x:c>
      <x:c r="N274" s="2" t="n">
        <x:f>'Master Hunt List'!AI267</x:f>
        <x:v>0</x:v>
      </x:c>
      <x:c r="O274" s="2" t="str">
        <x:f>'Master Hunt List'!V267</x:f>
        <x:v>https://tpwd.texas.gov/huntwild/hunt/public/public_hunt_drawing/hunt-category-details.phtml?OCat=NMD</x:v>
      </x:c>
    </x:row>
    <x:row r="275">
      <x:c r="A275" s="2" t="n">
        <x:f>268</x:f>
        <x:v>268</x:v>
      </x:c>
      <x:c r="B275" s="2" t="str">
        <x:f>'Master Hunt List'!A268</x:f>
        <x:v>No</x:v>
      </x:c>
      <x:c r="C275" s="2" t="str">
        <x:f>'Master Hunt List'!B268</x:f>
        <x:v>A</x:v>
      </x:c>
      <x:c r="D275" s="2" t="str">
        <x:f>'Master Hunt List'!C268</x:f>
        <x:v>Whitetail Deer</x:v>
      </x:c>
      <x:c r="E275" s="2" t="str">
        <x:f>'Master Hunt List'!D268</x:f>
        <x:v>Trinity River NWR - Brierwood</x:v>
      </x:c>
      <x:c r="F275" s="2" t="str">
        <x:f>'Master Hunt List'!E268</x:f>
        <x:v>East Texas / Pineywoods</x:v>
      </x:c>
      <x:c r="G275" s="2" t="str">
        <x:f>'Master Hunt List'!F268</x:f>
        <x:v>National Refuge Muzzleloader Deer</x:v>
      </x:c>
      <x:c r="H275" s="2" t="str">
        <x:f>'Master Hunt List'!G268</x:f>
        <x:v>Yes</x:v>
      </x:c>
      <x:c r="I275" s="2" t="str">
        <x:f>'Master Hunt List'!H268</x:f>
        <x:v>Yes</x:v>
      </x:c>
      <x:c r="J275" s="97" t="str">
        <x:f>'Master Hunt List'!I268</x:f>
        <x:v>2026-10-15</x:v>
      </x:c>
      <x:c r="K275" s="111" t="n">
        <x:f>'Master Hunt List'!K268</x:f>
        <x:v>3</x:v>
      </x:c>
      <x:c r="L275" s="2" t="n">
        <x:f>'Master Hunt List'!AF268</x:f>
        <x:v>0</x:v>
      </x:c>
      <x:c r="M275" s="2" t="n">
        <x:f>'Master Hunt List'!AH268</x:f>
        <x:v>0</x:v>
      </x:c>
      <x:c r="N275" s="2" t="n">
        <x:f>'Master Hunt List'!AI268</x:f>
        <x:v>0</x:v>
      </x:c>
      <x:c r="O275" s="2" t="str">
        <x:f>'Master Hunt List'!V268</x:f>
        <x:v>https://tpwd.texas.gov/huntwild/hunt/public/public_hunt_drawing/hunt-category-details.phtml?OCat=NMD</x:v>
      </x:c>
    </x:row>
    <x:row r="276">
      <x:c r="A276" s="2" t="n">
        <x:f>269</x:f>
        <x:v>269</x:v>
      </x:c>
      <x:c r="B276" s="2" t="str">
        <x:f>'Master Hunt List'!A269</x:f>
        <x:v>No</x:v>
      </x:c>
      <x:c r="C276" s="2" t="str">
        <x:f>'Master Hunt List'!B269</x:f>
        <x:v>A</x:v>
      </x:c>
      <x:c r="D276" s="2" t="str">
        <x:f>'Master Hunt List'!C269</x:f>
        <x:v>Whitetail Deer</x:v>
      </x:c>
      <x:c r="E276" s="2" t="str">
        <x:f>'Master Hunt List'!D269</x:f>
        <x:v>Trinity River NWR - Butler</x:v>
      </x:c>
      <x:c r="F276" s="2" t="str">
        <x:f>'Master Hunt List'!E269</x:f>
        <x:v>East Texas / Pineywoods</x:v>
      </x:c>
      <x:c r="G276" s="2" t="str">
        <x:f>'Master Hunt List'!F269</x:f>
        <x:v>National Refuge Muzzleloader Deer</x:v>
      </x:c>
      <x:c r="H276" s="2" t="str">
        <x:f>'Master Hunt List'!G269</x:f>
        <x:v>Yes</x:v>
      </x:c>
      <x:c r="I276" s="2" t="str">
        <x:f>'Master Hunt List'!H269</x:f>
        <x:v>Yes</x:v>
      </x:c>
      <x:c r="J276" s="97" t="str">
        <x:f>'Master Hunt List'!I269</x:f>
        <x:v>2026-10-15</x:v>
      </x:c>
      <x:c r="K276" s="111" t="n">
        <x:f>'Master Hunt List'!K269</x:f>
        <x:v>3</x:v>
      </x:c>
      <x:c r="L276" s="2" t="n">
        <x:f>'Master Hunt List'!AF269</x:f>
        <x:v>0</x:v>
      </x:c>
      <x:c r="M276" s="2" t="n">
        <x:f>'Master Hunt List'!AH269</x:f>
        <x:v>0</x:v>
      </x:c>
      <x:c r="N276" s="2" t="n">
        <x:f>'Master Hunt List'!AI269</x:f>
        <x:v>0</x:v>
      </x:c>
      <x:c r="O276" s="2" t="str">
        <x:f>'Master Hunt List'!V269</x:f>
        <x:v>https://tpwd.texas.gov/huntwild/hunt/public/public_hunt_drawing/hunt-category-details.phtml?OCat=NMD</x:v>
      </x:c>
    </x:row>
    <x:row r="277">
      <x:c r="A277" s="2" t="n">
        <x:f>270</x:f>
        <x:v>270</x:v>
      </x:c>
      <x:c r="B277" s="2" t="str">
        <x:f>'Master Hunt List'!A270</x:f>
        <x:v>No</x:v>
      </x:c>
      <x:c r="C277" s="2" t="str">
        <x:f>'Master Hunt List'!B270</x:f>
        <x:v>A</x:v>
      </x:c>
      <x:c r="D277" s="2" t="str">
        <x:f>'Master Hunt List'!C270</x:f>
        <x:v>Whitetail Deer</x:v>
      </x:c>
      <x:c r="E277" s="2" t="str">
        <x:f>'Master Hunt List'!D270</x:f>
        <x:v>Trinity River NWR - Hirsch</x:v>
      </x:c>
      <x:c r="F277" s="2" t="str">
        <x:f>'Master Hunt List'!E270</x:f>
        <x:v>East Texas / Pineywoods</x:v>
      </x:c>
      <x:c r="G277" s="2" t="str">
        <x:f>'Master Hunt List'!F270</x:f>
        <x:v>National Refuge Muzzleloader Deer</x:v>
      </x:c>
      <x:c r="H277" s="2" t="str">
        <x:f>'Master Hunt List'!G270</x:f>
        <x:v>Yes</x:v>
      </x:c>
      <x:c r="I277" s="2" t="str">
        <x:f>'Master Hunt List'!H270</x:f>
        <x:v>Yes</x:v>
      </x:c>
      <x:c r="J277" s="97" t="str">
        <x:f>'Master Hunt List'!I270</x:f>
        <x:v>2026-10-15</x:v>
      </x:c>
      <x:c r="K277" s="111" t="n">
        <x:f>'Master Hunt List'!K270</x:f>
        <x:v>3</x:v>
      </x:c>
      <x:c r="L277" s="2" t="n">
        <x:f>'Master Hunt List'!AF270</x:f>
        <x:v>0</x:v>
      </x:c>
      <x:c r="M277" s="2" t="n">
        <x:f>'Master Hunt List'!AH270</x:f>
        <x:v>0</x:v>
      </x:c>
      <x:c r="N277" s="2" t="n">
        <x:f>'Master Hunt List'!AI270</x:f>
        <x:v>0</x:v>
      </x:c>
      <x:c r="O277" s="2" t="str">
        <x:f>'Master Hunt List'!V270</x:f>
        <x:v>https://tpwd.texas.gov/huntwild/hunt/public/public_hunt_drawing/hunt-category-details.phtml?OCat=NMD</x:v>
      </x:c>
    </x:row>
    <x:row r="278">
      <x:c r="A278" s="2" t="n">
        <x:f>271</x:f>
        <x:v>271</x:v>
      </x:c>
      <x:c r="B278" s="2" t="str">
        <x:f>'Master Hunt List'!A271</x:f>
        <x:v>No</x:v>
      </x:c>
      <x:c r="C278" s="2" t="str">
        <x:f>'Master Hunt List'!B271</x:f>
        <x:v>A</x:v>
      </x:c>
      <x:c r="D278" s="2" t="str">
        <x:f>'Master Hunt List'!C271</x:f>
        <x:v>Whitetail Deer</x:v>
      </x:c>
      <x:c r="E278" s="2" t="str">
        <x:f>'Master Hunt List'!D271</x:f>
        <x:v>Trinity River NWR - Mcguire</x:v>
      </x:c>
      <x:c r="F278" s="2" t="str">
        <x:f>'Master Hunt List'!E271</x:f>
        <x:v>East Texas / Pineywoods</x:v>
      </x:c>
      <x:c r="G278" s="2" t="str">
        <x:f>'Master Hunt List'!F271</x:f>
        <x:v>National Refuge Muzzleloader Deer</x:v>
      </x:c>
      <x:c r="H278" s="2" t="str">
        <x:f>'Master Hunt List'!G271</x:f>
        <x:v>Yes</x:v>
      </x:c>
      <x:c r="I278" s="2" t="str">
        <x:f>'Master Hunt List'!H271</x:f>
        <x:v>Yes</x:v>
      </x:c>
      <x:c r="J278" s="97" t="str">
        <x:f>'Master Hunt List'!I271</x:f>
        <x:v>2026-10-15</x:v>
      </x:c>
      <x:c r="K278" s="111" t="n">
        <x:f>'Master Hunt List'!K271</x:f>
        <x:v>3</x:v>
      </x:c>
      <x:c r="L278" s="2" t="n">
        <x:f>'Master Hunt List'!AF271</x:f>
        <x:v>0</x:v>
      </x:c>
      <x:c r="M278" s="2" t="n">
        <x:f>'Master Hunt List'!AH271</x:f>
        <x:v>0</x:v>
      </x:c>
      <x:c r="N278" s="2" t="n">
        <x:f>'Master Hunt List'!AI271</x:f>
        <x:v>0</x:v>
      </x:c>
      <x:c r="O278" s="2" t="str">
        <x:f>'Master Hunt List'!V271</x:f>
        <x:v>https://tpwd.texas.gov/huntwild/hunt/public/public_hunt_drawing/hunt-category-details.phtml?OCat=NMD</x:v>
      </x:c>
    </x:row>
    <x:row r="279">
      <x:c r="A279" s="2" t="n">
        <x:f>272</x:f>
        <x:v>272</x:v>
      </x:c>
      <x:c r="B279" s="2" t="str">
        <x:f>'Master Hunt List'!A272</x:f>
        <x:v>No</x:v>
      </x:c>
      <x:c r="C279" s="2" t="str">
        <x:f>'Master Hunt List'!B272</x:f>
        <x:v>A</x:v>
      </x:c>
      <x:c r="D279" s="2" t="str">
        <x:f>'Master Hunt List'!C272</x:f>
        <x:v>Whitetail Deer</x:v>
      </x:c>
      <x:c r="E279" s="2" t="str">
        <x:f>'Master Hunt List'!D272</x:f>
        <x:v>Trinity River NWR - Page</x:v>
      </x:c>
      <x:c r="F279" s="2" t="str">
        <x:f>'Master Hunt List'!E272</x:f>
        <x:v>East Texas / Pineywoods</x:v>
      </x:c>
      <x:c r="G279" s="2" t="str">
        <x:f>'Master Hunt List'!F272</x:f>
        <x:v>National Refuge Muzzleloader Deer</x:v>
      </x:c>
      <x:c r="H279" s="2" t="str">
        <x:f>'Master Hunt List'!G272</x:f>
        <x:v>Yes</x:v>
      </x:c>
      <x:c r="I279" s="2" t="str">
        <x:f>'Master Hunt List'!H272</x:f>
        <x:v>Yes</x:v>
      </x:c>
      <x:c r="J279" s="97" t="str">
        <x:f>'Master Hunt List'!I272</x:f>
        <x:v>2026-10-15</x:v>
      </x:c>
      <x:c r="K279" s="111" t="n">
        <x:f>'Master Hunt List'!K272</x:f>
        <x:v>3</x:v>
      </x:c>
      <x:c r="L279" s="2" t="n">
        <x:f>'Master Hunt List'!AF272</x:f>
        <x:v>0</x:v>
      </x:c>
      <x:c r="M279" s="2" t="n">
        <x:f>'Master Hunt List'!AH272</x:f>
        <x:v>0</x:v>
      </x:c>
      <x:c r="N279" s="2" t="n">
        <x:f>'Master Hunt List'!AI272</x:f>
        <x:v>0</x:v>
      </x:c>
      <x:c r="O279" s="2" t="str">
        <x:f>'Master Hunt List'!V272</x:f>
        <x:v>https://tpwd.texas.gov/huntwild/hunt/public/public_hunt_drawing/hunt-category-details.phtml?OCat=NMD</x:v>
      </x:c>
    </x:row>
    <x:row r="280">
      <x:c r="A280" s="2" t="n">
        <x:f>273</x:f>
        <x:v>273</x:v>
      </x:c>
      <x:c r="B280" s="2" t="str">
        <x:f>'Master Hunt List'!A273</x:f>
        <x:v>No</x:v>
      </x:c>
      <x:c r="C280" s="2" t="str">
        <x:f>'Master Hunt List'!B273</x:f>
        <x:v>A</x:v>
      </x:c>
      <x:c r="D280" s="2" t="str">
        <x:f>'Master Hunt List'!C273</x:f>
        <x:v>Feral Hog</x:v>
      </x:c>
      <x:c r="E280" s="2" t="str">
        <x:f>'Master Hunt List'!D273</x:f>
        <x:v>Gene Howe WMA</x:v>
      </x:c>
      <x:c r="F280" s="2" t="str">
        <x:f>'Master Hunt List'!E273</x:f>
        <x:v>Panhandle/Rolling Plains</x:v>
      </x:c>
      <x:c r="G280" s="2" t="str">
        <x:f>'Master Hunt List'!F273</x:f>
        <x:v>Feral Hog</x:v>
      </x:c>
      <x:c r="H280" s="2" t="str">
        <x:f>'Master Hunt List'!G273</x:f>
        <x:v>Yes</x:v>
      </x:c>
      <x:c r="I280" s="2" t="str">
        <x:f>'Master Hunt List'!H273</x:f>
        <x:v>Yes</x:v>
      </x:c>
      <x:c r="J280" s="97" t="str">
        <x:f>'Master Hunt List'!I273</x:f>
        <x:v>2026-11-01</x:v>
      </x:c>
      <x:c r="K280" s="111" t="n">
        <x:f>'Master Hunt List'!K273</x:f>
        <x:v>3</x:v>
      </x:c>
      <x:c r="L280" s="2" t="n">
        <x:f>'Master Hunt List'!AF273</x:f>
        <x:v>0</x:v>
      </x:c>
      <x:c r="M280" s="2" t="n">
        <x:f>'Master Hunt List'!AH273</x:f>
        <x:v>0</x:v>
      </x:c>
      <x:c r="N280" s="2" t="n">
        <x:f>'Master Hunt List'!AI273</x:f>
        <x:v>0</x:v>
      </x:c>
      <x:c r="O280" s="2" t="str">
        <x:f>'Master Hunt List'!V273</x:f>
        <x:v>https://tpwd.texas.gov/huntwild/hunt/public/public_hunt_drawing/hunt-category-details.phtml?OCat=GFH</x:v>
      </x:c>
    </x:row>
    <x:row r="281">
      <x:c r="A281" s="2" t="n">
        <x:f>274</x:f>
        <x:v>274</x:v>
      </x:c>
      <x:c r="B281" s="2" t="str">
        <x:f>'Master Hunt List'!A274</x:f>
        <x:v>No</x:v>
      </x:c>
      <x:c r="C281" s="2" t="str">
        <x:f>'Master Hunt List'!B274</x:f>
        <x:v>A</x:v>
      </x:c>
      <x:c r="D281" s="2" t="str">
        <x:f>'Master Hunt List'!C274</x:f>
        <x:v>Turkey</x:v>
      </x:c>
      <x:c r="E281" s="2" t="str">
        <x:f>'Master Hunt List'!D274</x:f>
        <x:v>Gene Howe WMA</x:v>
      </x:c>
      <x:c r="F281" s="2" t="str">
        <x:f>'Master Hunt List'!E274</x:f>
        <x:v>Panhandle/Rolling Plains</x:v>
      </x:c>
      <x:c r="G281" s="2" t="str">
        <x:f>'Master Hunt List'!F274</x:f>
        <x:v>Spring Turkey / Youth Spring Turkey</x:v>
      </x:c>
      <x:c r="H281" s="2" t="str">
        <x:f>'Master Hunt List'!G274</x:f>
        <x:v>Yes</x:v>
      </x:c>
      <x:c r="I281" s="2" t="str">
        <x:f>'Master Hunt List'!H274</x:f>
        <x:v>Yes</x:v>
      </x:c>
      <x:c r="J281" s="97" t="str">
        <x:f>'Master Hunt List'!I274</x:f>
        <x:v>2027-01-15</x:v>
      </x:c>
      <x:c r="K281" s="111" t="n">
        <x:f>'Master Hunt List'!K274</x:f>
        <x:v>3</x:v>
      </x:c>
      <x:c r="L281" s="2" t="n">
        <x:f>'Master Hunt List'!AF274</x:f>
        <x:v>0</x:v>
      </x:c>
      <x:c r="M281" s="2" t="n">
        <x:f>'Master Hunt List'!AH274</x:f>
        <x:v>0</x:v>
      </x:c>
      <x:c r="N281" s="2" t="n">
        <x:f>'Master Hunt List'!AI274</x:f>
        <x:v>0</x:v>
      </x:c>
      <x:c r="O281" s="2" t="str">
        <x:f>'Master Hunt List'!V274</x:f>
        <x:v>https://tpwd.texas.gov/huntwild/hunt/public/public_hunt_drawing/hunt-area-details.phtml?OArea=GE</x:v>
      </x:c>
    </x:row>
    <x:row r="282">
      <x:c r="A282" s="2" t="n">
        <x:f>275</x:f>
        <x:v>275</x:v>
      </x:c>
      <x:c r="B282" s="2" t="str">
        <x:f>'Master Hunt List'!A275</x:f>
        <x:v>No</x:v>
      </x:c>
      <x:c r="C282" s="2" t="str">
        <x:f>'Master Hunt List'!B275</x:f>
        <x:v>A</x:v>
      </x:c>
      <x:c r="D282" s="2" t="str">
        <x:f>'Master Hunt List'!C275</x:f>
        <x:v>Feral Hog</x:v>
      </x:c>
      <x:c r="E282" s="2" t="str">
        <x:f>'Master Hunt List'!D275</x:f>
        <x:v>Matador WMA</x:v>
      </x:c>
      <x:c r="F282" s="2" t="str">
        <x:f>'Master Hunt List'!E275</x:f>
        <x:v>Rolling Plains</x:v>
      </x:c>
      <x:c r="G282" s="2" t="str">
        <x:f>'Master Hunt List'!F275</x:f>
        <x:v>Youth Only Feral Hog</x:v>
      </x:c>
      <x:c r="H282" s="2" t="str">
        <x:f>'Master Hunt List'!G275</x:f>
        <x:v>No</x:v>
      </x:c>
      <x:c r="I282" s="2" t="str">
        <x:f>'Master Hunt List'!H275</x:f>
        <x:v>Yes</x:v>
      </x:c>
      <x:c r="J282" s="97" t="str">
        <x:f>'Master Hunt List'!I275</x:f>
        <x:v>2026-11-01</x:v>
      </x:c>
      <x:c r="K282" s="111" t="n">
        <x:f>'Master Hunt List'!K275</x:f>
        <x:v>0</x:v>
      </x:c>
      <x:c r="L282" s="2" t="n">
        <x:f>'Master Hunt List'!AF275</x:f>
        <x:v>0</x:v>
      </x:c>
      <x:c r="M282" s="2" t="n">
        <x:f>'Master Hunt List'!AH275</x:f>
        <x:v>0</x:v>
      </x:c>
      <x:c r="N282" s="2" t="n">
        <x:f>'Master Hunt List'!AI275</x:f>
        <x:v>0</x:v>
      </x:c>
      <x:c r="O282" s="2" t="str">
        <x:f>'Master Hunt List'!V275</x:f>
        <x:v>https://tpwd.texas.gov/huntwild/hunt/public/public_hunt_drawing/hunt-category-details.phtml?OCat=YFH</x:v>
      </x:c>
    </x:row>
    <x:row r="283">
      <x:c r="A283" s="2" t="n">
        <x:f>276</x:f>
        <x:v>276</x:v>
      </x:c>
      <x:c r="B283" s="2" t="str">
        <x:f>'Master Hunt List'!A276</x:f>
        <x:v>No</x:v>
      </x:c>
      <x:c r="C283" s="2" t="str">
        <x:f>'Master Hunt List'!B276</x:f>
        <x:v>A</x:v>
      </x:c>
      <x:c r="D283" s="2" t="str">
        <x:f>'Master Hunt List'!C276</x:f>
        <x:v>Feral Hog</x:v>
      </x:c>
      <x:c r="E283" s="2" t="str">
        <x:f>'Master Hunt List'!D276</x:f>
        <x:v>Matador WMA</x:v>
      </x:c>
      <x:c r="F283" s="2" t="str">
        <x:f>'Master Hunt List'!E276</x:f>
        <x:v>Rolling Plains</x:v>
      </x:c>
      <x:c r="G283" s="2" t="str">
        <x:f>'Master Hunt List'!F276</x:f>
        <x:v>Feral Hog</x:v>
      </x:c>
      <x:c r="H283" s="2" t="str">
        <x:f>'Master Hunt List'!G276</x:f>
        <x:v>Yes</x:v>
      </x:c>
      <x:c r="I283" s="2" t="str">
        <x:f>'Master Hunt List'!H276</x:f>
        <x:v>Yes</x:v>
      </x:c>
      <x:c r="J283" s="97" t="str">
        <x:f>'Master Hunt List'!I276</x:f>
        <x:v>2026-11-01</x:v>
      </x:c>
      <x:c r="K283" s="111" t="n">
        <x:f>'Master Hunt List'!K276</x:f>
        <x:v>3</x:v>
      </x:c>
      <x:c r="L283" s="2" t="n">
        <x:f>'Master Hunt List'!AF276</x:f>
        <x:v>0</x:v>
      </x:c>
      <x:c r="M283" s="2" t="n">
        <x:f>'Master Hunt List'!AH276</x:f>
        <x:v>0</x:v>
      </x:c>
      <x:c r="N283" s="2" t="n">
        <x:f>'Master Hunt List'!AI276</x:f>
        <x:v>0</x:v>
      </x:c>
      <x:c r="O283" s="2" t="str">
        <x:f>'Master Hunt List'!V276</x:f>
        <x:v>https://tpwd.texas.gov/huntwild/hunt/public/public_hunt_drawing/hunt-category-details.phtml?OCat=GFH</x:v>
      </x:c>
    </x:row>
    <x:row r="284">
      <x:c r="A284" s="2" t="n">
        <x:f>277</x:f>
        <x:v>277</x:v>
      </x:c>
      <x:c r="B284" s="2" t="str">
        <x:f>'Master Hunt List'!A277</x:f>
        <x:v>No</x:v>
      </x:c>
      <x:c r="C284" s="2" t="str">
        <x:f>'Master Hunt List'!B277</x:f>
        <x:v>A</x:v>
      </x:c>
      <x:c r="D284" s="2" t="str">
        <x:f>'Master Hunt List'!C277</x:f>
        <x:v>Turkey</x:v>
      </x:c>
      <x:c r="E284" s="2" t="str">
        <x:f>'Master Hunt List'!D277</x:f>
        <x:v>Matador WMA</x:v>
      </x:c>
      <x:c r="F284" s="2" t="str">
        <x:f>'Master Hunt List'!E277</x:f>
        <x:v>Rolling Plains</x:v>
      </x:c>
      <x:c r="G284" s="2" t="str">
        <x:f>'Master Hunt List'!F277</x:f>
        <x:v>Spring Turkey / Youth Spring Turkey</x:v>
      </x:c>
      <x:c r="H284" s="2" t="str">
        <x:f>'Master Hunt List'!G277</x:f>
        <x:v>Yes</x:v>
      </x:c>
      <x:c r="I284" s="2" t="str">
        <x:f>'Master Hunt List'!H277</x:f>
        <x:v>Yes</x:v>
      </x:c>
      <x:c r="J284" s="97" t="str">
        <x:f>'Master Hunt List'!I277</x:f>
        <x:v>2027-01-15</x:v>
      </x:c>
      <x:c r="K284" s="111" t="n">
        <x:f>'Master Hunt List'!K277</x:f>
        <x:v>3</x:v>
      </x:c>
      <x:c r="L284" s="2" t="n">
        <x:f>'Master Hunt List'!AF277</x:f>
        <x:v>0</x:v>
      </x:c>
      <x:c r="M284" s="2" t="n">
        <x:f>'Master Hunt List'!AH277</x:f>
        <x:v>0</x:v>
      </x:c>
      <x:c r="N284" s="2" t="n">
        <x:f>'Master Hunt List'!AI277</x:f>
        <x:v>0</x:v>
      </x:c>
      <x:c r="O284" s="2" t="str">
        <x:f>'Master Hunt List'!V277</x:f>
        <x:v>https://tpwd.texas.gov/huntwild/hunt/public/public_hunt_drawing/hunt-area-details.phtml?OArea=MA</x:v>
      </x:c>
    </x:row>
    <x:row r="285">
      <x:c r="A285" s="2" t="n">
        <x:f>278</x:f>
        <x:v>278</x:v>
      </x:c>
      <x:c r="B285" s="2" t="str">
        <x:f>'Master Hunt List'!A278</x:f>
        <x:v>No</x:v>
      </x:c>
      <x:c r="C285" s="2" t="str">
        <x:f>'Master Hunt List'!B278</x:f>
        <x:v>A</x:v>
      </x:c>
      <x:c r="D285" s="2" t="str">
        <x:f>'Master Hunt List'!C278</x:f>
        <x:v>Feral Hog</x:v>
      </x:c>
      <x:c r="E285" s="2" t="str">
        <x:f>'Master Hunt List'!D278</x:f>
        <x:v>Teacup Mountain WMA</x:v>
      </x:c>
      <x:c r="F285" s="2" t="str">
        <x:f>'Master Hunt List'!E278</x:f>
        <x:v>Rolling Plains</x:v>
      </x:c>
      <x:c r="G285" s="2" t="str">
        <x:f>'Master Hunt List'!F278</x:f>
        <x:v>Youth Only Feral Hog</x:v>
      </x:c>
      <x:c r="H285" s="2" t="str">
        <x:f>'Master Hunt List'!G278</x:f>
        <x:v>No</x:v>
      </x:c>
      <x:c r="I285" s="2" t="str">
        <x:f>'Master Hunt List'!H278</x:f>
        <x:v>Yes</x:v>
      </x:c>
      <x:c r="J285" s="97" t="str">
        <x:f>'Master Hunt List'!I278</x:f>
        <x:v>2026-11-01</x:v>
      </x:c>
      <x:c r="K285" s="111" t="n">
        <x:f>'Master Hunt List'!K278</x:f>
        <x:v>0</x:v>
      </x:c>
      <x:c r="L285" s="2" t="n">
        <x:f>'Master Hunt List'!AF278</x:f>
        <x:v>0</x:v>
      </x:c>
      <x:c r="M285" s="2" t="n">
        <x:f>'Master Hunt List'!AH278</x:f>
        <x:v>0</x:v>
      </x:c>
      <x:c r="N285" s="2" t="n">
        <x:f>'Master Hunt List'!AI278</x:f>
        <x:v>0</x:v>
      </x:c>
      <x:c r="O285" s="2" t="str">
        <x:f>'Master Hunt List'!V278</x:f>
        <x:v>https://tpwd.texas.gov/huntwild/hunt/public/public_hunt_drawing/hunt-category-details.phtml?OCat=YFH</x:v>
      </x:c>
    </x:row>
    <x:row r="286">
      <x:c r="A286" s="2" t="n">
        <x:f>279</x:f>
        <x:v>279</x:v>
      </x:c>
      <x:c r="B286" s="2" t="str">
        <x:f>'Master Hunt List'!A279</x:f>
        <x:v>No</x:v>
      </x:c>
      <x:c r="C286" s="2" t="str">
        <x:f>'Master Hunt List'!B279</x:f>
        <x:v>A</x:v>
      </x:c>
      <x:c r="D286" s="2" t="str">
        <x:f>'Master Hunt List'!C279</x:f>
        <x:v>Feral Hog</x:v>
      </x:c>
      <x:c r="E286" s="2" t="str">
        <x:f>'Master Hunt List'!D279</x:f>
        <x:v>Teacup Mountain WMA</x:v>
      </x:c>
      <x:c r="F286" s="2" t="str">
        <x:f>'Master Hunt List'!E279</x:f>
        <x:v>Rolling Plains</x:v>
      </x:c>
      <x:c r="G286" s="2" t="str">
        <x:f>'Master Hunt List'!F279</x:f>
        <x:v>Feral Hog</x:v>
      </x:c>
      <x:c r="H286" s="2" t="str">
        <x:f>'Master Hunt List'!G279</x:f>
        <x:v>Yes</x:v>
      </x:c>
      <x:c r="I286" s="2" t="str">
        <x:f>'Master Hunt List'!H279</x:f>
        <x:v>Yes</x:v>
      </x:c>
      <x:c r="J286" s="97" t="str">
        <x:f>'Master Hunt List'!I279</x:f>
        <x:v>2026-11-01</x:v>
      </x:c>
      <x:c r="K286" s="111" t="n">
        <x:f>'Master Hunt List'!K279</x:f>
        <x:v>3</x:v>
      </x:c>
      <x:c r="L286" s="2" t="n">
        <x:f>'Master Hunt List'!AF279</x:f>
        <x:v>0</x:v>
      </x:c>
      <x:c r="M286" s="2" t="n">
        <x:f>'Master Hunt List'!AH279</x:f>
        <x:v>0</x:v>
      </x:c>
      <x:c r="N286" s="2" t="n">
        <x:f>'Master Hunt List'!AI279</x:f>
        <x:v>0</x:v>
      </x:c>
      <x:c r="O286" s="2" t="str">
        <x:f>'Master Hunt List'!V279</x:f>
        <x:v>https://tpwd.texas.gov/huntwild/hunt/public/public_hunt_drawing/hunt-category-details.phtml?OCat=GFH</x:v>
      </x:c>
    </x:row>
    <x:row r="287">
      <x:c r="A287" s="2" t="n">
        <x:f>280</x:f>
        <x:v>280</x:v>
      </x:c>
      <x:c r="B287" s="2" t="str">
        <x:f>'Master Hunt List'!A280</x:f>
        <x:v>No</x:v>
      </x:c>
      <x:c r="C287" s="2" t="str">
        <x:f>'Master Hunt List'!B280</x:f>
        <x:v>A</x:v>
      </x:c>
      <x:c r="D287" s="2" t="str">
        <x:f>'Master Hunt List'!C280</x:f>
        <x:v>Turkey</x:v>
      </x:c>
      <x:c r="E287" s="2" t="str">
        <x:f>'Master Hunt List'!D280</x:f>
        <x:v>Teacup Mountain WMA</x:v>
      </x:c>
      <x:c r="F287" s="2" t="str">
        <x:f>'Master Hunt List'!E280</x:f>
        <x:v>Rolling Plains</x:v>
      </x:c>
      <x:c r="G287" s="2" t="str">
        <x:f>'Master Hunt List'!F280</x:f>
        <x:v>E-Postcard Turkey</x:v>
      </x:c>
      <x:c r="H287" s="2" t="str">
        <x:f>'Master Hunt List'!G280</x:f>
        <x:v>Yes</x:v>
      </x:c>
      <x:c r="I287" s="2" t="str">
        <x:f>'Master Hunt List'!H280</x:f>
        <x:v>Yes</x:v>
      </x:c>
      <x:c r="J287" s="97" t="str">
        <x:f>'Master Hunt List'!I280</x:f>
        <x:v>2026-08-15</x:v>
      </x:c>
      <x:c r="K287" s="111" t="n">
        <x:f>'Master Hunt List'!K280</x:f>
        <x:v>0</x:v>
      </x:c>
      <x:c r="L287" s="2" t="n">
        <x:f>'Master Hunt List'!AF280</x:f>
        <x:v>0</x:v>
      </x:c>
      <x:c r="M287" s="2" t="n">
        <x:f>'Master Hunt List'!AH280</x:f>
        <x:v>0</x:v>
      </x:c>
      <x:c r="N287" s="2" t="n">
        <x:f>'Master Hunt List'!AI280</x:f>
        <x:v>0</x:v>
      </x:c>
      <x:c r="O287" s="2" t="str">
        <x:f>'Master Hunt List'!V280</x:f>
        <x:v>https://tpwd.texas.gov/huntwild/hunt/public/public_hunt_drawing/hunt-area-details.phtml?OArea=TE</x:v>
      </x:c>
    </x:row>
    <x:row r="288">
      <x:c r="A288" s="2" t="n">
        <x:f>281</x:f>
        <x:v>281</x:v>
      </x:c>
      <x:c r="B288" s="2" t="str">
        <x:f>'Master Hunt List'!A281</x:f>
        <x:v>No</x:v>
      </x:c>
      <x:c r="C288" s="2" t="str">
        <x:f>'Master Hunt List'!B281</x:f>
        <x:v>B</x:v>
      </x:c>
      <x:c r="D288" s="2" t="str">
        <x:f>'Master Hunt List'!C281</x:f>
        <x:v>Waterfowl/Upland</x:v>
      </x:c>
      <x:c r="E288" s="2" t="str">
        <x:f>'Master Hunt List'!D281</x:f>
        <x:v>Copper Breaks SP</x:v>
      </x:c>
      <x:c r="F288" s="2" t="str">
        <x:f>'Master Hunt List'!E281</x:f>
        <x:v>Rolling Plains</x:v>
      </x:c>
      <x:c r="G288" s="2" t="str">
        <x:f>'Master Hunt List'!F281</x:f>
        <x:v>E-Postcard Waterfowl</x:v>
      </x:c>
      <x:c r="H288" s="2" t="str">
        <x:f>'Master Hunt List'!G281</x:f>
        <x:v>Yes</x:v>
      </x:c>
      <x:c r="I288" s="2" t="str">
        <x:f>'Master Hunt List'!H281</x:f>
        <x:v>Yes</x:v>
      </x:c>
      <x:c r="J288" s="97" t="str">
        <x:f>'Master Hunt List'!I281</x:f>
        <x:v>2026-08-15</x:v>
      </x:c>
      <x:c r="K288" s="111" t="n">
        <x:f>'Master Hunt List'!K281</x:f>
        <x:v>0</x:v>
      </x:c>
      <x:c r="L288" s="2" t="n">
        <x:f>'Master Hunt List'!AF281</x:f>
        <x:v>0</x:v>
      </x:c>
      <x:c r="M288" s="2" t="n">
        <x:f>'Master Hunt List'!AH281</x:f>
        <x:v>0</x:v>
      </x:c>
      <x:c r="N288" s="2" t="n">
        <x:f>'Master Hunt List'!AI281</x:f>
        <x:v>0</x:v>
      </x:c>
      <x:c r="O288" s="2" t="str">
        <x:f>'Master Hunt List'!V281</x:f>
        <x:v>https://tpwd.texas.gov/huntwild/hunt/public/public_hunt_drawing/hunt-area-details.phtml?OArea=CO</x:v>
      </x:c>
    </x:row>
    <x:row r="289">
      <x:c r="A289" s="2" t="n">
        <x:f>282</x:f>
        <x:v>282</x:v>
      </x:c>
      <x:c r="B289" s="2" t="str">
        <x:f>'Master Hunt List'!A282</x:f>
        <x:v>No</x:v>
      </x:c>
      <x:c r="C289" s="2" t="str">
        <x:f>'Master Hunt List'!B282</x:f>
        <x:v>A</x:v>
      </x:c>
      <x:c r="D289" s="2" t="str">
        <x:f>'Master Hunt List'!C282</x:f>
        <x:v>Waterfowl/Upland</x:v>
      </x:c>
      <x:c r="E289" s="2" t="str">
        <x:f>'Master Hunt List'!D282</x:f>
        <x:v>Dimmitt Playa WMA</x:v>
      </x:c>
      <x:c r="F289" s="2" t="str">
        <x:f>'Master Hunt List'!E282</x:f>
        <x:v>Panhandle</x:v>
      </x:c>
      <x:c r="G289" s="2" t="str">
        <x:f>'Master Hunt List'!F282</x:f>
        <x:v>E-Postcard Waterfowl / Waterfowl-Pheasant</x:v>
      </x:c>
      <x:c r="H289" s="2" t="str">
        <x:f>'Master Hunt List'!G282</x:f>
        <x:v>Yes</x:v>
      </x:c>
      <x:c r="I289" s="2" t="str">
        <x:f>'Master Hunt List'!H282</x:f>
        <x:v>Yes</x:v>
      </x:c>
      <x:c r="J289" s="97" t="str">
        <x:f>'Master Hunt List'!I282</x:f>
        <x:v>2026-08-15</x:v>
      </x:c>
      <x:c r="K289" s="111" t="n">
        <x:f>'Master Hunt List'!K282</x:f>
        <x:v>0</x:v>
      </x:c>
      <x:c r="L289" s="2" t="n">
        <x:f>'Master Hunt List'!AF282</x:f>
        <x:v>0</x:v>
      </x:c>
      <x:c r="M289" s="2" t="n">
        <x:f>'Master Hunt List'!AH282</x:f>
        <x:v>0</x:v>
      </x:c>
      <x:c r="N289" s="2" t="n">
        <x:f>'Master Hunt List'!AI282</x:f>
        <x:v>0</x:v>
      </x:c>
      <x:c r="O289" s="2" t="str">
        <x:f>'Master Hunt List'!V282</x:f>
        <x:v>https://tpwd.texas.gov/huntwild/hunt/public/public_hunt_drawing/hunt-area-details.phtml?OArea=DP</x:v>
      </x:c>
    </x:row>
    <x:row r="290">
      <x:c r="A290" s="2" t="n">
        <x:f>283</x:f>
        <x:v>283</x:v>
      </x:c>
      <x:c r="B290" s="2" t="str">
        <x:f>'Master Hunt List'!A283</x:f>
        <x:v>No</x:v>
      </x:c>
      <x:c r="C290" s="2" t="str">
        <x:f>'Master Hunt List'!B283</x:f>
        <x:v>B</x:v>
      </x:c>
      <x:c r="D290" s="2" t="str">
        <x:f>'Master Hunt List'!C283</x:f>
        <x:v>Waterfowl/Upland</x:v>
      </x:c>
      <x:c r="E290" s="2" t="str">
        <x:f>'Master Hunt List'!D283</x:f>
        <x:v>Taylor Lakes WMA</x:v>
      </x:c>
      <x:c r="F290" s="2" t="str">
        <x:f>'Master Hunt List'!E283</x:f>
        <x:v>Panhandle</x:v>
      </x:c>
      <x:c r="G290" s="2" t="str">
        <x:f>'Master Hunt List'!F283</x:f>
        <x:v>E-Postcard Waterfowl / Youth-Adult Waterfowl</x:v>
      </x:c>
      <x:c r="H290" s="2" t="str">
        <x:f>'Master Hunt List'!G283</x:f>
        <x:v>Yes</x:v>
      </x:c>
      <x:c r="I290" s="2" t="str">
        <x:f>'Master Hunt List'!H283</x:f>
        <x:v>Yes</x:v>
      </x:c>
      <x:c r="J290" s="97" t="str">
        <x:f>'Master Hunt List'!I283</x:f>
        <x:v>2026-08-15</x:v>
      </x:c>
      <x:c r="K290" s="111" t="n">
        <x:f>'Master Hunt List'!K283</x:f>
        <x:v>0</x:v>
      </x:c>
      <x:c r="L290" s="2" t="n">
        <x:f>'Master Hunt List'!AF283</x:f>
        <x:v>0</x:v>
      </x:c>
      <x:c r="M290" s="2" t="n">
        <x:f>'Master Hunt List'!AH283</x:f>
        <x:v>0</x:v>
      </x:c>
      <x:c r="N290" s="2" t="n">
        <x:f>'Master Hunt List'!AI283</x:f>
        <x:v>0</x:v>
      </x:c>
      <x:c r="O290" s="2" t="str">
        <x:f>'Master Hunt List'!V283</x:f>
        <x:v>https://tpwd.texas.gov/huntwild/hunt/public/public_hunt_drawing/hunt-area-details.phtml?OArea=TL</x:v>
      </x:c>
    </x:row>
    <x:row r="291">
      <x:c r="A291" s="2" t="n">
        <x:f>284</x:f>
        <x:v>284</x:v>
      </x:c>
      <x:c r="B291" s="2" t="str">
        <x:f>'Master Hunt List'!A284</x:f>
        <x:v>No</x:v>
      </x:c>
      <x:c r="C291" s="2" t="str">
        <x:f>'Master Hunt List'!B284</x:f>
        <x:v>B</x:v>
      </x:c>
      <x:c r="D291" s="2" t="str">
        <x:f>'Master Hunt List'!C284</x:f>
        <x:v>Turkey</x:v>
      </x:c>
      <x:c r="E291" s="2" t="str">
        <x:f>'Master Hunt List'!D284</x:f>
        <x:v>Taylor Lakes WMA</x:v>
      </x:c>
      <x:c r="F291" s="2" t="str">
        <x:f>'Master Hunt List'!E284</x:f>
        <x:v>Panhandle</x:v>
      </x:c>
      <x:c r="G291" s="2" t="str">
        <x:f>'Master Hunt List'!F284</x:f>
        <x:v>Youth Spring Turkey</x:v>
      </x:c>
      <x:c r="H291" s="2" t="str">
        <x:f>'Master Hunt List'!G284</x:f>
        <x:v>No</x:v>
      </x:c>
      <x:c r="I291" s="2" t="str">
        <x:f>'Master Hunt List'!H284</x:f>
        <x:v>Yes</x:v>
      </x:c>
      <x:c r="J291" s="97" t="str">
        <x:f>'Master Hunt List'!I284</x:f>
        <x:v>2027-01-15</x:v>
      </x:c>
      <x:c r="K291" s="111" t="n">
        <x:f>'Master Hunt List'!K284</x:f>
        <x:v>0</x:v>
      </x:c>
      <x:c r="L291" s="2" t="n">
        <x:f>'Master Hunt List'!AF284</x:f>
        <x:v>0</x:v>
      </x:c>
      <x:c r="M291" s="2" t="n">
        <x:f>'Master Hunt List'!AH284</x:f>
        <x:v>0</x:v>
      </x:c>
      <x:c r="N291" s="2" t="n">
        <x:f>'Master Hunt List'!AI284</x:f>
        <x:v>0</x:v>
      </x:c>
      <x:c r="O291" s="2" t="str">
        <x:f>'Master Hunt List'!V284</x:f>
        <x:v>https://tpwd.texas.gov/huntwild/hunt/public/public_hunt_drawing/hunt-area-details.phtml?OArea=TL</x:v>
      </x:c>
    </x:row>
    <x:row r="292">
      <x:c r="A292" s="2" t="n">
        <x:f>285</x:f>
        <x:v>285</x:v>
      </x:c>
      <x:c r="B292" s="2" t="str">
        <x:f>'Master Hunt List'!A285</x:f>
        <x:v>No</x:v>
      </x:c>
      <x:c r="C292" s="2" t="str">
        <x:f>'Master Hunt List'!B285</x:f>
        <x:v>B</x:v>
      </x:c>
      <x:c r="D292" s="2" t="str">
        <x:f>'Master Hunt List'!C285</x:f>
        <x:v>Waterfowl/Upland</x:v>
      </x:c>
      <x:c r="E292" s="2" t="str">
        <x:f>'Master Hunt List'!D285</x:f>
        <x:v>Muleshoe NWR</x:v>
      </x:c>
      <x:c r="F292" s="2" t="str">
        <x:f>'Master Hunt List'!E285</x:f>
        <x:v>Panhandle</x:v>
      </x:c>
      <x:c r="G292" s="2" t="str">
        <x:f>'Master Hunt List'!F285</x:f>
        <x:v>National Refuge Upland Game</x:v>
      </x:c>
      <x:c r="H292" s="2" t="str">
        <x:f>'Master Hunt List'!G285</x:f>
        <x:v>Yes</x:v>
      </x:c>
      <x:c r="I292" s="2" t="str">
        <x:f>'Master Hunt List'!H285</x:f>
        <x:v>Yes</x:v>
      </x:c>
      <x:c r="J292" s="97" t="str">
        <x:f>'Master Hunt List'!I285</x:f>
        <x:v>2026-09-01</x:v>
      </x:c>
      <x:c r="K292" s="111" t="n">
        <x:f>'Master Hunt List'!K285</x:f>
        <x:v>3</x:v>
      </x:c>
      <x:c r="L292" s="2" t="n">
        <x:f>'Master Hunt List'!AF285</x:f>
        <x:v>0</x:v>
      </x:c>
      <x:c r="M292" s="2" t="n">
        <x:f>'Master Hunt List'!AH285</x:f>
        <x:v>0</x:v>
      </x:c>
      <x:c r="N292" s="2" t="n">
        <x:f>'Master Hunt List'!AI285</x:f>
        <x:v>0</x:v>
      </x:c>
      <x:c r="O292" s="2" t="str">
        <x:f>'Master Hunt List'!V285</x:f>
        <x:v>https://tpwd.texas.gov/huntwild/hunt/public/public_hunt_drawing/hunt-area-details.phtml?OArea=UN</x:v>
      </x:c>
    </x:row>
    <x:row r="293">
      <x:c r="A293" s="2" t="n">
        <x:f>286</x:f>
        <x:v>286</x:v>
      </x:c>
      <x:c r="B293" s="2" t="str">
        <x:f>'Master Hunt List'!A286</x:f>
        <x:v>No</x:v>
      </x:c>
      <x:c r="C293" s="2" t="str">
        <x:f>'Master Hunt List'!B286</x:f>
        <x:v>A</x:v>
      </x:c>
      <x:c r="D293" s="2" t="str">
        <x:f>'Master Hunt List'!C286</x:f>
        <x:v>Pronghorn</x:v>
      </x:c>
      <x:c r="E293" s="2" t="str">
        <x:f>'Master Hunt List'!D286</x:f>
        <x:v>Rita Blanca National Grasslands</x:v>
      </x:c>
      <x:c r="F293" s="2" t="str">
        <x:f>'Master Hunt List'!E286</x:f>
        <x:v>Panhandle</x:v>
      </x:c>
      <x:c r="G293" s="2" t="str">
        <x:f>'Master Hunt List'!F286</x:f>
        <x:v>Pronghorn</x:v>
      </x:c>
      <x:c r="H293" s="2" t="str">
        <x:f>'Master Hunt List'!G286</x:f>
        <x:v>Yes</x:v>
      </x:c>
      <x:c r="I293" s="2" t="str">
        <x:f>'Master Hunt List'!H286</x:f>
        <x:v>No</x:v>
      </x:c>
      <x:c r="J293" s="97" t="str">
        <x:f>'Master Hunt List'!I286</x:f>
        <x:v>2026-08-15</x:v>
      </x:c>
      <x:c r="K293" s="111" t="n">
        <x:f>'Master Hunt List'!K286</x:f>
        <x:v>3</x:v>
      </x:c>
      <x:c r="L293" s="2" t="n">
        <x:f>'Master Hunt List'!AF286</x:f>
        <x:v>0</x:v>
      </x:c>
      <x:c r="M293" s="2" t="n">
        <x:f>'Master Hunt List'!AH286</x:f>
        <x:v>0</x:v>
      </x:c>
      <x:c r="N293" s="2" t="n">
        <x:f>'Master Hunt List'!AI286</x:f>
        <x:v>0</x:v>
      </x:c>
      <x:c r="O293" s="2" t="str">
        <x:f>'Master Hunt List'!V286</x:f>
        <x:v>https://tpwd.texas.gov/huntwild/hunt/public/public_hunt_drawing/hunt-area-details.phtml?OArea=RB</x:v>
      </x:c>
    </x:row>
    <x:row r="294">
      <x:c r="A294" s="2" t="n">
        <x:f>287</x:f>
        <x:v>287</x:v>
      </x:c>
      <x:c r="B294" s="2" t="str">
        <x:f>'Master Hunt List'!A287</x:f>
        <x:v>No</x:v>
      </x:c>
      <x:c r="C294" s="2" t="str">
        <x:f>'Master Hunt List'!B287</x:f>
        <x:v>A</x:v>
      </x:c>
      <x:c r="D294" s="2" t="str">
        <x:f>'Master Hunt List'!C287</x:f>
        <x:v>Pronghorn</x:v>
      </x:c>
      <x:c r="E294" s="2" t="str">
        <x:f>'Master Hunt List'!D287</x:f>
        <x:v>Canadian River Complex</x:v>
      </x:c>
      <x:c r="F294" s="2" t="str">
        <x:f>'Master Hunt List'!E287</x:f>
        <x:v>Panhandle</x:v>
      </x:c>
      <x:c r="G294" s="2" t="str">
        <x:f>'Master Hunt List'!F287</x:f>
        <x:v>Private Lands Pronghorn</x:v>
      </x:c>
      <x:c r="H294" s="2" t="str">
        <x:f>'Master Hunt List'!G287</x:f>
        <x:v>Yes</x:v>
      </x:c>
      <x:c r="I294" s="2" t="str">
        <x:f>'Master Hunt List'!H287</x:f>
        <x:v>No</x:v>
      </x:c>
      <x:c r="J294" s="97" t="str">
        <x:f>'Master Hunt List'!I287</x:f>
        <x:v>2026-08-15</x:v>
      </x:c>
      <x:c r="K294" s="111" t="n">
        <x:f>'Master Hunt List'!K287</x:f>
        <x:v>10</x:v>
      </x:c>
      <x:c r="L294" s="2" t="n">
        <x:f>'Master Hunt List'!AF287</x:f>
        <x:v>0</x:v>
      </x:c>
      <x:c r="M294" s="2" t="n">
        <x:f>'Master Hunt List'!AH287</x:f>
        <x:v>0</x:v>
      </x:c>
      <x:c r="N294" s="2" t="n">
        <x:f>'Master Hunt List'!AI287</x:f>
        <x:v>0</x:v>
      </x:c>
      <x:c r="O294" s="2" t="str">
        <x:f>'Master Hunt List'!V287</x:f>
        <x:v>https://tpwd.texas.gov/huntwild/hunt/public/public_hunt_drawing/hunt-area-details.phtml?OArea=CI</x:v>
      </x:c>
    </x:row>
    <x:row r="295">
      <x:c r="A295" s="2" t="n">
        <x:f>288</x:f>
        <x:v>288</x:v>
      </x:c>
      <x:c r="B295" s="2" t="str">
        <x:f>'Master Hunt List'!A288</x:f>
        <x:v>No</x:v>
      </x:c>
      <x:c r="C295" s="2" t="str">
        <x:f>'Master Hunt List'!B288</x:f>
        <x:v>A</x:v>
      </x:c>
      <x:c r="D295" s="2" t="str">
        <x:f>'Master Hunt List'!C288</x:f>
        <x:v>Pronghorn</x:v>
      </x:c>
      <x:c r="E295" s="2" t="str">
        <x:f>'Master Hunt List'!D288</x:f>
        <x:v>Lipscomb/Hemphill County Ranch</x:v>
      </x:c>
      <x:c r="F295" s="2" t="str">
        <x:f>'Master Hunt List'!E288</x:f>
        <x:v>Panhandle</x:v>
      </x:c>
      <x:c r="G295" s="2" t="str">
        <x:f>'Master Hunt List'!F288</x:f>
        <x:v>Private Lands Pronghorn</x:v>
      </x:c>
      <x:c r="H295" s="2" t="str">
        <x:f>'Master Hunt List'!G288</x:f>
        <x:v>Yes</x:v>
      </x:c>
      <x:c r="I295" s="2" t="str">
        <x:f>'Master Hunt List'!H288</x:f>
        <x:v>No</x:v>
      </x:c>
      <x:c r="J295" s="97" t="str">
        <x:f>'Master Hunt List'!I288</x:f>
        <x:v>2026-08-15</x:v>
      </x:c>
      <x:c r="K295" s="111" t="n">
        <x:f>'Master Hunt List'!K288</x:f>
        <x:v>10</x:v>
      </x:c>
      <x:c r="L295" s="2" t="n">
        <x:f>'Master Hunt List'!AF288</x:f>
        <x:v>0</x:v>
      </x:c>
      <x:c r="M295" s="2" t="n">
        <x:f>'Master Hunt List'!AH288</x:f>
        <x:v>0</x:v>
      </x:c>
      <x:c r="N295" s="2" t="n">
        <x:f>'Master Hunt List'!AI288</x:f>
        <x:v>0</x:v>
      </x:c>
      <x:c r="O295" s="2" t="str">
        <x:f>'Master Hunt List'!V288</x:f>
        <x:v>https://tpwd.texas.gov/huntwild/hunt/public/public_hunt_drawing/hunt-area-details.phtml?OArea=ZI</x:v>
      </x:c>
    </x:row>
    <x:row r="296">
      <x:c r="A296" s="2" t="n">
        <x:f>289</x:f>
        <x:v>289</x:v>
      </x:c>
      <x:c r="B296" s="2" t="str">
        <x:f>'Master Hunt List'!A289</x:f>
        <x:v>No</x:v>
      </x:c>
      <x:c r="C296" s="2" t="str">
        <x:f>'Master Hunt List'!B289</x:f>
        <x:v>B</x:v>
      </x:c>
      <x:c r="D296" s="2" t="str">
        <x:f>'Master Hunt List'!C289</x:f>
        <x:v>Waterfowl/Upland</x:v>
      </x:c>
      <x:c r="E296" s="2" t="str">
        <x:f>'Master Hunt List'!D289</x:f>
        <x:v>Lipscomb County Ranch</x:v>
      </x:c>
      <x:c r="F296" s="2" t="str">
        <x:f>'Master Hunt List'!E289</x:f>
        <x:v>Panhandle</x:v>
      </x:c>
      <x:c r="G296" s="2" t="str">
        <x:f>'Master Hunt List'!F289</x:f>
        <x:v>Private Lands Quail</x:v>
      </x:c>
      <x:c r="H296" s="2" t="str">
        <x:f>'Master Hunt List'!G289</x:f>
        <x:v>Yes</x:v>
      </x:c>
      <x:c r="I296" s="2" t="str">
        <x:f>'Master Hunt List'!H289</x:f>
        <x:v>Yes</x:v>
      </x:c>
      <x:c r="J296" s="97" t="str">
        <x:f>'Master Hunt List'!I289</x:f>
        <x:v>2026-10-01</x:v>
      </x:c>
      <x:c r="K296" s="111" t="n">
        <x:f>'Master Hunt List'!K289</x:f>
        <x:v>10</x:v>
      </x:c>
      <x:c r="L296" s="2" t="n">
        <x:f>'Master Hunt List'!AF289</x:f>
        <x:v>0</x:v>
      </x:c>
      <x:c r="M296" s="2" t="n">
        <x:f>'Master Hunt List'!AH289</x:f>
        <x:v>0</x:v>
      </x:c>
      <x:c r="N296" s="2" t="n">
        <x:f>'Master Hunt List'!AI289</x:f>
        <x:v>0</x:v>
      </x:c>
      <x:c r="O296" s="2" t="str">
        <x:f>'Master Hunt List'!V289</x:f>
        <x:v>https://tpwd.texas.gov/huntwild/hunt/public/public_hunt_drawing/hunt-area-details.phtml?OArea=XV</x:v>
      </x:c>
    </x:row>
    <x:row r="297">
      <x:c r="A297" s="2" t="n">
        <x:f>290</x:f>
        <x:v>290</x:v>
      </x:c>
      <x:c r="B297" s="2" t="str">
        <x:f>'Master Hunt List'!A290</x:f>
        <x:v>No</x:v>
      </x:c>
      <x:c r="C297" s="2" t="str">
        <x:f>'Master Hunt List'!B290</x:f>
        <x:v>B</x:v>
      </x:c>
      <x:c r="D297" s="2" t="str">
        <x:f>'Master Hunt List'!C290</x:f>
        <x:v>Feral Hog</x:v>
      </x:c>
      <x:c r="E297" s="2" t="str">
        <x:f>'Master Hunt List'!D290</x:f>
        <x:v>Cooper WMA</x:v>
      </x:c>
      <x:c r="F297" s="2" t="str">
        <x:f>'Master Hunt List'!E290</x:f>
        <x:v>DFW/North Texas</x:v>
      </x:c>
      <x:c r="G297" s="2" t="str">
        <x:f>'Master Hunt List'!F290</x:f>
        <x:v>Feral Hog / E-Postcard Hog if offered</x:v>
      </x:c>
      <x:c r="H297" s="2" t="str">
        <x:f>'Master Hunt List'!G290</x:f>
        <x:v>Yes</x:v>
      </x:c>
      <x:c r="I297" s="2" t="str">
        <x:f>'Master Hunt List'!H290</x:f>
        <x:v>Yes</x:v>
      </x:c>
      <x:c r="J297" s="97" t="str">
        <x:f>'Master Hunt List'!I290</x:f>
        <x:v>2026-11-01</x:v>
      </x:c>
      <x:c r="K297" s="111" t="n">
        <x:f>'Master Hunt List'!K290</x:f>
        <x:v>3</x:v>
      </x:c>
      <x:c r="L297" s="2" t="n">
        <x:f>'Master Hunt List'!AF290</x:f>
        <x:v>0</x:v>
      </x:c>
      <x:c r="M297" s="2" t="n">
        <x:f>'Master Hunt List'!AH290</x:f>
        <x:v>0</x:v>
      </x:c>
      <x:c r="N297" s="2" t="n">
        <x:f>'Master Hunt List'!AI290</x:f>
        <x:v>0</x:v>
      </x:c>
      <x:c r="O297" s="2" t="str">
        <x:f>'Master Hunt List'!V290</x:f>
        <x:v>https://tpwd.texas.gov/huntwild/hunt/public/public_hunt_drawing/hunt-area-details.phtml?OArea=CP</x:v>
      </x:c>
    </x:row>
    <x:row r="298">
      <x:c r="A298" s="2" t="n">
        <x:f>291</x:f>
        <x:v>291</x:v>
      </x:c>
      <x:c r="B298" s="2" t="str">
        <x:f>'Master Hunt List'!A291</x:f>
        <x:v>No</x:v>
      </x:c>
      <x:c r="C298" s="2" t="str">
        <x:f>'Master Hunt List'!B291</x:f>
        <x:v>B</x:v>
      </x:c>
      <x:c r="D298" s="2" t="str">
        <x:f>'Master Hunt List'!C291</x:f>
        <x:v>Waterfowl/Upland</x:v>
      </x:c>
      <x:c r="E298" s="2" t="str">
        <x:f>'Master Hunt List'!D291</x:f>
        <x:v>Lake Tawakoni WMA</x:v>
      </x:c>
      <x:c r="F298" s="2" t="str">
        <x:f>'Master Hunt List'!E291</x:f>
        <x:v>DFW/North Texas</x:v>
      </x:c>
      <x:c r="G298" s="2" t="str">
        <x:f>'Master Hunt List'!F291</x:f>
        <x:v>Waterfowl</x:v>
      </x:c>
      <x:c r="H298" s="2" t="str">
        <x:f>'Master Hunt List'!G291</x:f>
        <x:v>Yes</x:v>
      </x:c>
      <x:c r="I298" s="2" t="str">
        <x:f>'Master Hunt List'!H291</x:f>
        <x:v>Yes</x:v>
      </x:c>
      <x:c r="J298" s="97" t="str">
        <x:f>'Master Hunt List'!I291</x:f>
        <x:v>2026-08-15</x:v>
      </x:c>
      <x:c r="K298" s="111" t="n">
        <x:f>'Master Hunt List'!K291</x:f>
        <x:v>0</x:v>
      </x:c>
      <x:c r="L298" s="2" t="n">
        <x:f>'Master Hunt List'!AF291</x:f>
        <x:v>0</x:v>
      </x:c>
      <x:c r="M298" s="2" t="n">
        <x:f>'Master Hunt List'!AH291</x:f>
        <x:v>0</x:v>
      </x:c>
      <x:c r="N298" s="2" t="n">
        <x:f>'Master Hunt List'!AI291</x:f>
        <x:v>0</x:v>
      </x:c>
      <x:c r="O298" s="2" t="str">
        <x:f>'Master Hunt List'!V291</x:f>
        <x:v>https://tpwd.texas.gov/huntwild/hunt/public/public_hunt_drawing/hunt-area-details.phtml?OArea=LW</x:v>
      </x:c>
    </x:row>
    <x:row r="299">
      <x:c r="A299" s="2" t="n">
        <x:f>292</x:f>
        <x:v>292</x:v>
      </x:c>
      <x:c r="B299" s="2" t="str">
        <x:f>'Master Hunt List'!A292</x:f>
        <x:v>No</x:v>
      </x:c>
      <x:c r="C299" s="2" t="str">
        <x:f>'Master Hunt List'!B292</x:f>
        <x:v>C</x:v>
      </x:c>
      <x:c r="D299" s="2" t="str">
        <x:f>'Master Hunt List'!C292</x:f>
        <x:v>Feral Hog</x:v>
      </x:c>
      <x:c r="E299" s="2" t="str">
        <x:f>'Master Hunt List'!D292</x:f>
        <x:v>Gus Engeling WMA</x:v>
      </x:c>
      <x:c r="F299" s="2" t="str">
        <x:f>'Master Hunt List'!E292</x:f>
        <x:v>East TX Stretch</x:v>
      </x:c>
      <x:c r="G299" s="2" t="str">
        <x:f>'Master Hunt List'!F292</x:f>
        <x:v>Feral Hog / Deer</x:v>
      </x:c>
      <x:c r="H299" s="2" t="str">
        <x:f>'Master Hunt List'!G292</x:f>
        <x:v>Yes</x:v>
      </x:c>
      <x:c r="I299" s="2" t="str">
        <x:f>'Master Hunt List'!H292</x:f>
        <x:v>Yes</x:v>
      </x:c>
      <x:c r="J299" s="97" t="str">
        <x:f>'Master Hunt List'!I292</x:f>
        <x:v>2026-09-15</x:v>
      </x:c>
      <x:c r="K299" s="111" t="n">
        <x:f>'Master Hunt List'!K292</x:f>
        <x:v>3</x:v>
      </x:c>
      <x:c r="L299" s="2" t="n">
        <x:f>'Master Hunt List'!AF292</x:f>
        <x:v>0</x:v>
      </x:c>
      <x:c r="M299" s="2" t="n">
        <x:f>'Master Hunt List'!AH292</x:f>
        <x:v>0</x:v>
      </x:c>
      <x:c r="N299" s="2" t="n">
        <x:f>'Master Hunt List'!AI292</x:f>
        <x:v>0</x:v>
      </x:c>
      <x:c r="O299" s="2" t="str">
        <x:f>'Master Hunt List'!V292</x:f>
        <x:v>https://tpwd.texas.gov/huntwild/hunt/public/public_hunt_drawing/hunt-area-details.phtml?OArea=GU</x:v>
      </x:c>
    </x:row>
    <x:row r="300">
      <x:c r="A300" s="2" t="n">
        <x:f>293</x:f>
        <x:v>293</x:v>
      </x:c>
      <x:c r="B300" s="2" t="str">
        <x:f>'Master Hunt List'!A293</x:f>
        <x:v>No</x:v>
      </x:c>
      <x:c r="C300" s="2" t="str">
        <x:f>'Master Hunt List'!B293</x:f>
        <x:v>C</x:v>
      </x:c>
      <x:c r="D300" s="2" t="str">
        <x:f>'Master Hunt List'!C293</x:f>
        <x:v>Feral Hog</x:v>
      </x:c>
      <x:c r="E300" s="2" t="str">
        <x:f>'Master Hunt List'!D293</x:f>
        <x:v>Fort Boggy SP</x:v>
      </x:c>
      <x:c r="F300" s="2" t="str">
        <x:f>'Master Hunt List'!E293</x:f>
        <x:v>East TX Stretch</x:v>
      </x:c>
      <x:c r="G300" s="2" t="str">
        <x:f>'Master Hunt List'!F293</x:f>
        <x:v>Feral Hog</x:v>
      </x:c>
      <x:c r="H300" s="2" t="str">
        <x:f>'Master Hunt List'!G293</x:f>
        <x:v>Yes</x:v>
      </x:c>
      <x:c r="I300" s="2" t="str">
        <x:f>'Master Hunt List'!H293</x:f>
        <x:v>Yes</x:v>
      </x:c>
      <x:c r="J300" s="97" t="str">
        <x:f>'Master Hunt List'!I293</x:f>
        <x:v>2026-11-01</x:v>
      </x:c>
      <x:c r="K300" s="111" t="n">
        <x:f>'Master Hunt List'!K293</x:f>
        <x:v>3</x:v>
      </x:c>
      <x:c r="L300" s="2" t="n">
        <x:f>'Master Hunt List'!AF293</x:f>
        <x:v>0</x:v>
      </x:c>
      <x:c r="M300" s="2" t="n">
        <x:f>'Master Hunt List'!AH293</x:f>
        <x:v>0</x:v>
      </x:c>
      <x:c r="N300" s="2" t="n">
        <x:f>'Master Hunt List'!AI293</x:f>
        <x:v>0</x:v>
      </x:c>
      <x:c r="O300" s="2" t="str">
        <x:f>'Master Hunt List'!V293</x:f>
        <x:v>https://tpwd.texas.gov/huntwild/hunt/public/public_hunt_drawing/hunt-category-details.phtml?OCat=GFH</x:v>
      </x:c>
    </x:row>
    <x:row r="301">
      <x:c r="A301" s="2" t="n">
        <x:f>294</x:f>
        <x:v>294</x:v>
      </x:c>
      <x:c r="B301" s="2" t="str">
        <x:f>'Master Hunt List'!A294</x:f>
        <x:v>No</x:v>
      </x:c>
      <x:c r="C301" s="2" t="str">
        <x:f>'Master Hunt List'!B294</x:f>
        <x:v>C</x:v>
      </x:c>
      <x:c r="D301" s="2" t="str">
        <x:f>'Master Hunt List'!C294</x:f>
        <x:v>Feral Hog</x:v>
      </x:c>
      <x:c r="E301" s="2" t="str">
        <x:f>'Master Hunt List'!D294</x:f>
        <x:v>Justin Hurst WMA</x:v>
      </x:c>
      <x:c r="F301" s="2" t="str">
        <x:f>'Master Hunt List'!E294</x:f>
        <x:v>Far Stretch</x:v>
      </x:c>
      <x:c r="G301" s="2" t="str">
        <x:f>'Master Hunt List'!F294</x:f>
        <x:v>Youth Only Feral Hog</x:v>
      </x:c>
      <x:c r="H301" s="2" t="str">
        <x:f>'Master Hunt List'!G294</x:f>
        <x:v>No</x:v>
      </x:c>
      <x:c r="I301" s="2" t="str">
        <x:f>'Master Hunt List'!H294</x:f>
        <x:v>Yes</x:v>
      </x:c>
      <x:c r="J301" s="97" t="str">
        <x:f>'Master Hunt List'!I294</x:f>
        <x:v>2026-11-01</x:v>
      </x:c>
      <x:c r="K301" s="111" t="n">
        <x:f>'Master Hunt List'!K294</x:f>
        <x:v>0</x:v>
      </x:c>
      <x:c r="L301" s="2" t="n">
        <x:f>'Master Hunt List'!AF294</x:f>
        <x:v>0</x:v>
      </x:c>
      <x:c r="M301" s="2" t="n">
        <x:f>'Master Hunt List'!AH294</x:f>
        <x:v>0</x:v>
      </x:c>
      <x:c r="N301" s="2" t="n">
        <x:f>'Master Hunt List'!AI294</x:f>
        <x:v>0</x:v>
      </x:c>
      <x:c r="O301" s="2" t="str">
        <x:f>'Master Hunt List'!V294</x:f>
        <x:v>https://tpwd.texas.gov/huntwild/hunt/public/public_hunt_drawing/hunt-category-details.phtml?OCat=YFH</x:v>
      </x:c>
    </x:row>
    <x:row r="302">
      <x:c r="A302" s="2" t="n">
        <x:f>295</x:f>
        <x:v>295</x:v>
      </x:c>
      <x:c r="B302" s="2" t="str">
        <x:f>'Master Hunt List'!A295</x:f>
        <x:v>No</x:v>
      </x:c>
      <x:c r="C302" s="2" t="str">
        <x:f>'Master Hunt List'!B295</x:f>
        <x:v>C</x:v>
      </x:c>
      <x:c r="D302" s="2" t="str">
        <x:f>'Master Hunt List'!C295</x:f>
        <x:v>Exotics</x:v>
      </x:c>
      <x:c r="E302" s="2" t="str">
        <x:f>'Master Hunt List'!D295</x:f>
        <x:v>Guided Exotic Packages</x:v>
      </x:c>
      <x:c r="F302" s="2" t="str">
        <x:f>'Master Hunt List'!E295</x:f>
        <x:v>Statewide/Dream</x:v>
      </x:c>
      <x:c r="G302" s="2" t="str">
        <x:f>'Master Hunt List'!F295</x:f>
        <x:v>Guided Exotic / Gemsbok / Oryx</x:v>
      </x:c>
      <x:c r="H302" s="2" t="str">
        <x:f>'Master Hunt List'!G295</x:f>
        <x:v>Yes</x:v>
      </x:c>
      <x:c r="I302" s="2" t="str">
        <x:f>'Master Hunt List'!H295</x:f>
        <x:v>Maybe</x:v>
      </x:c>
      <x:c r="J302" s="97" t="str">
        <x:f>'Master Hunt List'!I295</x:f>
        <x:v>Varies</x:v>
      </x:c>
      <x:c r="K302" s="111" t="n">
        <x:f>'Master Hunt List'!K295</x:f>
        <x:v>10</x:v>
      </x:c>
      <x:c r="L302" s="2" t="n">
        <x:f>'Master Hunt List'!AF295</x:f>
        <x:v>0</x:v>
      </x:c>
      <x:c r="M302" s="2" t="n">
        <x:f>'Master Hunt List'!AH295</x:f>
        <x:v>0</x:v>
      </x:c>
      <x:c r="N302" s="2" t="n">
        <x:f>'Master Hunt List'!AI295</x:f>
        <x:v>0</x:v>
      </x:c>
      <x:c r="O302" s="2" t="str">
        <x:f>'Master Hunt List'!V295</x:f>
        <x:v>https://tpwd.texas.gov/huntwild/hunt/public/public_hunt_drawing/hunt-categories.phtml</x:v>
      </x:c>
    </x:row>
  </x:sheetData>
  <x:mergeCells>
    <x:mergeCell ref="A1:L1"/>
    <x:mergeCell ref="A2:L2"/>
    <x:mergeCell ref="A1:O1"/>
    <x:mergeCell ref="A2:O2"/>
  </x:mergeCells>
  <x:conditionalFormatting sqref="A5:A57">
    <x:cfRule type="expression" dxfId="2" priority="1">
      <x:formula>$A5="Due Soon"</x:formula>
    </x:cfRule>
    <x:cfRule type="expression" dxfId="3" priority="2">
      <x:formula>$A5="Past Due"</x:formula>
    </x:cfRule>
    <x:cfRule type="expression" dxfId="4" priority="3">
      <x:formula>$A5="Applied"</x:formula>
    </x:cfRule>
  </x:conditionalFormatting>
  <x:conditionalFormatting sqref="H5:H57">
    <x:cfRule type="expression" dxfId="5" priority="4">
      <x:formula>$H5="Yes"</x:formula>
    </x:cfRule>
  </x:conditionalFormatting>
  <x:conditionalFormatting sqref="I5:I57">
    <x:cfRule type="expression" dxfId="6" priority="5">
      <x:formula>$I5="Drawn"</x:formula>
    </x:cfRule>
    <x:cfRule type="expression" dxfId="7" priority="6">
      <x:formula>$I5="Not Drawn"</x:formula>
    </x:cfRule>
  </x:conditionalFormatting>
  <x:conditionalFormatting sqref="B9:B302">
    <x:cfRule type="expression" dxfId="15" priority="7">
      <x:formula>B9="Yes"</x:formula>
    </x:cfRule>
  </x:conditionalFormatting>
  <x:conditionalFormatting sqref="J9:J302">
    <x:cfRule type="expression" dxfId="16" priority="8">
      <x:formula>AND($B9="No",$J9&gt;=TODAY(),$J9&lt;=TODAY()+14)</x:formula>
    </x:cfRule>
    <x:cfRule type="expression" dxfId="17" priority="9">
      <x:formula>AND($B9="No",$J9&lt;TODAY())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05cfa46ea77467c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5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63" t="str">
        <x:v>THE HASTINGS FAMILY HUNTING SYSTEM</x:v>
      </x:c>
    </x:row>
    <x:row r="3">
      <x:c r="A3" s="68" t="str">
        <x:v>A lifetime planning system with a statewide 2026-2027 Texas deer database, multi-state points, applications, field knowledge, and family legacy records.</x:v>
      </x:c>
      <x:c r="B3" s="68"/>
      <x:c r="C3" s="68"/>
      <x:c r="D3" s="68"/>
      <x:c r="E3" s="68"/>
      <x:c r="F3" s="68"/>
      <x:c r="G3" s="68"/>
      <x:c r="H3" s="68"/>
    </x:row>
    <x:row r="4">
      <x:c r="A4" s="68"/>
      <x:c r="B4" s="68"/>
      <x:c r="C4" s="68"/>
      <x:c r="D4" s="68"/>
      <x:c r="E4" s="68"/>
      <x:c r="F4" s="68"/>
      <x:c r="G4" s="68"/>
      <x:c r="H4" s="68"/>
    </x:row>
    <x:row r="6" ht="22" customHeight="1">
      <x:c r="A6" s="72" t="str">
        <x:v>How to use this workbook</x:v>
      </x:c>
      <x:c r="B6" s="72"/>
      <x:c r="C6" s="72"/>
      <x:c r="D6" s="72"/>
      <x:c r="E6" s="72"/>
      <x:c r="F6" s="72"/>
      <x:c r="G6" s="72"/>
      <x:c r="H6" s="72"/>
    </x:row>
    <x:row r="7">
      <x:c r="A7" s="75" t="str">
        <x:v>1</x:v>
      </x:c>
      <x:c r="B7" s="76" t="str">
        <x:v>Plan the year</x:v>
      </x:c>
      <x:c r="C7" s="2" t="str">
        <x:v>Use Annual Strategy to identify the primary hunt, backup hunts, applications, budget, and vacation days.</x:v>
      </x:c>
    </x:row>
    <x:row r="8">
      <x:c r="A8" s="75" t="str">
        <x:v>2</x:v>
      </x:c>
      <x:c r="B8" s="76" t="str">
        <x:v>Apply and buy points</x:v>
      </x:c>
      <x:c r="C8" s="2" t="str">
        <x:v>Track every transaction in State Applications and update State Points after the purchase or draw.</x:v>
      </x:c>
    </x:row>
    <x:row r="9">
      <x:c r="A9" s="75" t="str">
        <x:v>3</x:v>
      </x:c>
      <x:c r="B9" s="76" t="str">
        <x:v>Use the Texas system</x:v>
      </x:c>
      <x:c r="C9" s="2" t="str">
        <x:v>Continue using Application Dashboard and Master Hunt List for Texas applications and confirmations.</x:v>
      </x:c>
    </x:row>
    <x:row r="10">
      <x:c r="A10" s="75" t="str">
        <x:v>4</x:v>
      </x:c>
      <x:c r="B10" s="76" t="str">
        <x:v>Prepare and scout</x:v>
      </x:c>
      <x:c r="C10" s="2" t="str">
        <x:v>Use Gear Inventory and Camp &amp; Scouting to retain practical field intelligence.</x:v>
      </x:c>
    </x:row>
    <x:row r="11">
      <x:c r="A11" s="75" t="str">
        <x:v>5</x:v>
      </x:c>
      <x:c r="B11" s="76" t="str">
        <x:v>Record the hunt</x:v>
      </x:c>
      <x:c r="C11" s="2" t="str">
        <x:v>Add each trip to Hunt Journal, including results, lessons, stories, and photo links.</x:v>
      </x:c>
    </x:row>
    <x:row r="12">
      <x:c r="A12" s="75" t="str">
        <x:v>6</x:v>
      </x:c>
      <x:c r="B12" s="76" t="str">
        <x:v>Build the legacy</x:v>
      </x:c>
      <x:c r="C12" s="2" t="str">
        <x:v>Update Family Legacy with traditions, values, favorite memories, and guidance for future generations.</x:v>
      </x:c>
    </x:row>
    <x:row r="14" ht="22" customHeight="1">
      <x:c r="A14" s="72" t="str">
        <x:v>Current family strategy</x:v>
      </x:c>
      <x:c r="B14" s="72"/>
      <x:c r="C14" s="72"/>
      <x:c r="D14" s="72"/>
      <x:c r="E14" s="72"/>
      <x:c r="F14" s="72"/>
      <x:c r="G14" s="72"/>
      <x:c r="H14" s="72"/>
    </x:row>
    <x:row r="15">
      <x:c r="A15" s="78" t="str">
        <x:v>Texas</x:v>
      </x:c>
      <x:c r="B15" s="2" t="str">
        <x:v>Create frequent annual opportunities through a broad, disciplined draw strategy.</x:v>
      </x:c>
      <x:c r="C15" s="2" t="str"/>
      <x:c r="D15" s="2" t="str"/>
      <x:c r="E15" s="2" t="str"/>
      <x:c r="F15" s="2" t="str"/>
      <x:c r="G15" s="2" t="str"/>
      <x:c r="H15" s="2" t="str"/>
    </x:row>
    <x:row r="16">
      <x:c r="A16" s="78" t="str">
        <x:v>Wyoming</x:v>
      </x:c>
      <x:c r="B16" s="2" t="str">
        <x:v>Build to 5 preference points in 2026 for adult and youth elk, deer, and antelope; choose a future burn strategy.</x:v>
      </x:c>
      <x:c r="C16" s="2" t="str"/>
      <x:c r="D16" s="2" t="str"/>
      <x:c r="E16" s="2" t="str"/>
      <x:c r="F16" s="2" t="str"/>
      <x:c r="G16" s="2" t="str"/>
      <x:c r="H16" s="2" t="str"/>
    </x:row>
    <x:row r="17">
      <x:c r="A17" s="78" t="str">
        <x:v>Montana</x:v>
      </x:c>
      <x:c r="B17" s="2" t="str">
        <x:v>Research and begin the correct point/application track without buying points blindly.</x:v>
      </x:c>
      <x:c r="C17" s="2" t="str"/>
      <x:c r="D17" s="2" t="str"/>
      <x:c r="E17" s="2" t="str"/>
      <x:c r="F17" s="2" t="str"/>
      <x:c r="G17" s="2" t="str"/>
      <x:c r="H17" s="2" t="str"/>
    </x:row>
    <x:row r="18">
      <x:c r="A18" s="78" t="str">
        <x:v>Idaho</x:v>
      </x:c>
      <x:c r="B18" s="2" t="str">
        <x:v>Treat as an annual opportunity state; track deadlines, tag-sale rules, and backup plans rather than preference points.</x:v>
      </x:c>
      <x:c r="C18" s="2" t="str"/>
      <x:c r="D18" s="2" t="str"/>
      <x:c r="E18" s="2" t="str"/>
      <x:c r="F18" s="2" t="str"/>
      <x:c r="G18" s="2" t="str"/>
      <x:c r="H18" s="2" t="str"/>
    </x:row>
    <x:row r="19">
      <x:c r="A19" s="78" t="str">
        <x:v>Alaska</x:v>
      </x:c>
      <x:c r="B19" s="2" t="str">
        <x:v>Build long-range plans and dedicated funds for caribou, interior grizzly, and moose.</x:v>
      </x:c>
      <x:c r="C19" s="2" t="str"/>
      <x:c r="D19" s="2" t="str"/>
      <x:c r="E19" s="2" t="str"/>
      <x:c r="F19" s="2" t="str"/>
      <x:c r="G19" s="2" t="str"/>
      <x:c r="H19" s="2" t="str"/>
    </x:row>
    <x:row r="21" ht="22" customHeight="1">
      <x:c r="A21" s="72" t="str">
        <x:v>Important annual rule</x:v>
      </x:c>
      <x:c r="B21" s="72"/>
      <x:c r="C21" s="72"/>
      <x:c r="D21" s="72"/>
      <x:c r="E21" s="72"/>
      <x:c r="F21" s="72"/>
      <x:c r="G21" s="72"/>
      <x:c r="H21" s="72"/>
    </x:row>
    <x:row r="22">
      <x:c r="A22" s="83" t="str">
        <x:v>State regulations, point systems, deadlines, fees, and tag-sale procedures change. Verify every entry against the current official state agency rules before applying or purchasing.</x:v>
      </x:c>
      <x:c r="B22" s="83"/>
      <x:c r="C22" s="83"/>
      <x:c r="D22" s="83"/>
      <x:c r="E22" s="83"/>
      <x:c r="F22" s="83"/>
      <x:c r="G22" s="83"/>
      <x:c r="H22" s="83"/>
    </x:row>
    <x:row r="23">
      <x:c r="A23" s="83"/>
      <x:c r="B23" s="83"/>
      <x:c r="C23" s="83"/>
      <x:c r="D23" s="83"/>
      <x:c r="E23" s="83"/>
      <x:c r="F23" s="83"/>
      <x:c r="G23" s="83"/>
      <x:c r="H23" s="83"/>
    </x:row>
    <x:row r="24">
      <x:c r="A24" s="150" t="str">
        <x:v>V5 — Links &amp; Preference Engine</x:v>
      </x:c>
      <x:c r="B24" s="150"/>
      <x:c r="C24" s="150"/>
    </x:row>
    <x:row r="25">
      <x:c r="A25" s="2" t="str">
        <x:v>Master Hunt List</x:v>
      </x:c>
      <x:c r="B25" s="2" t="str">
        <x:v>Columns AM–AP</x:v>
      </x:c>
      <x:c r="C25" s="2" t="str">
        <x:v>Official category, TPWD area/brochure search, application portal and maps</x:v>
      </x:c>
    </x:row>
    <x:row r="26">
      <x:c r="A26" s="2" t="str">
        <x:v>Archery Whitetail &gt;200 mi</x:v>
      </x:c>
      <x:c r="B26" s="2" t="str">
        <x:v>Lower priority</x:v>
      </x:c>
      <x:c r="C26" s="2" t="str">
        <x:v>Adult C; Youth B; Hastings Score reduced by 1.0</x:v>
      </x:c>
    </x:row>
    <x:row r="27">
      <x:c r="A27" s="2" t="str">
        <x:v>Archery Mule Deer</x:v>
      </x:c>
      <x:c r="B27" s="2" t="str">
        <x:v>High priority</x:v>
      </x:c>
      <x:c r="C27" s="2" t="str">
        <x:v>Priority A; Hastings Score raised and held at 4.5–5.0</x:v>
      </x:c>
    </x:row>
    <x:row r="28">
      <x:c r="A28" s="2" t="str">
        <x:v>Boundary reminder</x:v>
      </x:c>
      <x:c r="B28" s="2" t="str">
        <x:v>Maps are approximate</x:v>
      </x:c>
      <x:c r="C28" s="2" t="str">
        <x:v>Use official TPWD brochure for legal boundaries and instructions</x:v>
      </x:c>
    </x:row>
  </x:sheetData>
  <x:mergeCells>
    <x:mergeCell ref="A1:H1"/>
    <x:mergeCell ref="A3:H4"/>
    <x:mergeCell ref="A6:H6"/>
    <x:mergeCell ref="A14:H14"/>
    <x:mergeCell ref="A21:H21"/>
    <x:mergeCell ref="A22:H23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5" hidden="0" customWidth="1"/>
    <x:col min="3" max="3" width="15" hidden="0" customWidth="1"/>
    <x:col min="4" max="4" width="4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34" customHeight="1">
      <x:c r="A1" s="63" t="str">
        <x:v>HASTINGS FAMILY — LIFETIME HUNT DASHBOARD</x:v>
      </x:c>
    </x:row>
    <x:row r="3" ht="22" customHeight="1">
      <x:c r="A3" s="72" t="str">
        <x:v>Current position</x:v>
      </x:c>
      <x:c r="B3" s="72"/>
      <x:c r="C3" s="72"/>
      <x:c r="D3" s="72" t="str">
        <x:v>This year's operating picture</x:v>
      </x:c>
      <x:c r="E3" s="72"/>
      <x:c r="F3" s="72"/>
      <x:c r="G3" s="72"/>
      <x:c r="H3" s="72"/>
      <x:c r="I3" s="72"/>
      <x:c r="J3" s="72"/>
    </x:row>
    <x:row r="4">
      <x:c r="A4" s="89" t="str">
        <x:v>Metric</x:v>
      </x:c>
      <x:c r="B4" s="89" t="str">
        <x:v>Current</x:v>
      </x:c>
      <x:c r="D4" s="89" t="str">
        <x:v>Metric</x:v>
      </x:c>
      <x:c r="E4" s="89" t="str">
        <x:v>Current</x:v>
      </x:c>
    </x:row>
    <x:row r="5">
      <x:c r="A5" t="str">
        <x:v>Wyoming points to add in 2026</x:v>
      </x:c>
      <x:c r="B5" t="n">
        <x:f>COUNTIFS('State Points'!$F$4:$F$200,2026,'State Points'!$G$4:$G$200,"Buy point")</x:f>
        <x:v>6</x:v>
      </x:c>
      <x:c r="D5" t="str">
        <x:v>Planned hunts</x:v>
      </x:c>
      <x:c r="E5" t="n">
        <x:f>COUNTIFS('Annual Strategy'!$A$4:$A$100,2026)</x:f>
        <x:v>9</x:v>
      </x:c>
    </x:row>
    <x:row r="6">
      <x:c r="A6" t="str">
        <x:v>States actively tracked</x:v>
      </x:c>
      <x:c r="B6" t="n">
        <x:f>COUNTA('State Points'!$A$4:$A$200)</x:f>
        <x:v>9</x:v>
      </x:c>
      <x:c r="D6" t="str">
        <x:v>Applications submitted</x:v>
      </x:c>
      <x:c r="E6" t="n">
        <x:f>COUNTIFS('State Applications'!$A$4:$A$500,2026,'State Applications'!$L$4:$L$500,"Submitted")</x:f>
        <x:v>0</x:v>
      </x:c>
    </x:row>
    <x:row r="7">
      <x:c r="A7" t="str">
        <x:v>Dream hunts</x:v>
      </x:c>
      <x:c r="B7" t="n">
        <x:f>COUNTA('Dream Hunts'!$A$4:$A$100)</x:f>
        <x:v>3</x:v>
      </x:c>
      <x:c r="D7" t="str">
        <x:v>Points purchased</x:v>
      </x:c>
      <x:c r="E7" t="n">
        <x:f>COUNTIFS('State Applications'!$A$4:$A$500,2026,'State Applications'!$E$4:$E$500,"Point purchase",'State Applications'!$L$4:$L$500,"Submitted")</x:f>
        <x:v>0</x:v>
      </x:c>
    </x:row>
    <x:row r="8">
      <x:c r="A8" t="str">
        <x:v>Dream hunt fund saved</x:v>
      </x:c>
      <x:c r="B8" s="90" t="n">
        <x:f>SUM('Dream Hunt Fund'!$D$4:$D$100)</x:f>
        <x:v>0</x:v>
      </x:c>
      <x:c r="D8" t="str">
        <x:v>Estimated annual spend</x:v>
      </x:c>
      <x:c r="E8" s="90" t="n">
        <x:f>SUMIFS('Annual Strategy'!$K$4:$K$100,'Annual Strategy'!$A$4:$A$100,2026)</x:f>
        <x:v>350</x:v>
      </x:c>
    </x:row>
    <x:row r="9">
      <x:c r="A9" t="str">
        <x:v>Hunts logged</x:v>
      </x:c>
      <x:c r="B9" t="n">
        <x:f>COUNTA('Hunt Journal'!$A$4:$A$500)</x:f>
        <x:v>0</x:v>
      </x:c>
      <x:c r="D9" t="str">
        <x:v>Actual annual spend</x:v>
      </x:c>
      <x:c r="E9" s="90" t="n">
        <x:f>SUMIFS('Annual Strategy'!$L$4:$L$100,'Annual Strategy'!$A$4:$A$100,2026)</x:f>
        <x:v>0</x:v>
      </x:c>
    </x:row>
    <x:row r="10">
      <x:c r="A10" t="str">
        <x:v>Applications logged</x:v>
      </x:c>
      <x:c r="B10" t="n">
        <x:f>COUNTA('State Applications'!$A$4:$A$500)</x:f>
        <x:v>0</x:v>
      </x:c>
      <x:c r="D10" t="str">
        <x:v>Vacation days planned</x:v>
      </x:c>
      <x:c r="E10" t="n">
        <x:f>SUMIFS('Annual Strategy'!$J$4:$J$100,'Annual Strategy'!$A$4:$A$100,2026)</x:f>
        <x:v>6</x:v>
      </x:c>
    </x:row>
    <x:row r="13" ht="22" customHeight="1">
      <x:c r="A13" s="72" t="str">
        <x:v>Lifetime milestones</x:v>
      </x:c>
      <x:c r="B13" s="72"/>
      <x:c r="C13" s="72"/>
      <x:c r="D13" s="72"/>
      <x:c r="E13" s="72"/>
      <x:c r="F13" s="72"/>
      <x:c r="G13" s="72"/>
      <x:c r="H13" s="72"/>
      <x:c r="I13" s="72"/>
      <x:c r="J13" s="72"/>
    </x:row>
    <x:row r="14">
      <x:c r="A14" s="89" t="str">
        <x:v>Milestone</x:v>
      </x:c>
      <x:c r="B14" s="89" t="str">
        <x:v>Target</x:v>
      </x:c>
      <x:c r="C14" s="89" t="str">
        <x:v>Status</x:v>
      </x:c>
      <x:c r="D14" s="89" t="str">
        <x:v>Notes</x:v>
      </x:c>
      <x:c r="E14" t="str"/>
      <x:c r="F14" t="str"/>
      <x:c r="G14" t="str"/>
      <x:c r="H14" t="str"/>
      <x:c r="I14" t="str"/>
      <x:c r="J14" t="str"/>
    </x:row>
    <x:row r="15">
      <x:c r="A15" s="2" t="str">
        <x:v>Annual Texas opportunity</x:v>
      </x:c>
      <x:c r="B15" s="2" t="str">
        <x:v>Every year</x:v>
      </x:c>
      <x:c r="C15" s="2" t="str">
        <x:v>In progress</x:v>
      </x:c>
      <x:c r="D15" s="2" t="str">
        <x:v>Use broad statewide draw applications.</x:v>
      </x:c>
      <x:c r="E15" t="str"/>
      <x:c r="F15" t="str"/>
      <x:c r="G15" t="str"/>
      <x:c r="H15" t="str"/>
      <x:c r="I15" t="str"/>
      <x:c r="J15" t="str"/>
    </x:row>
    <x:row r="16">
      <x:c r="A16" s="2" t="str">
        <x:v>First western family hunt from points</x:v>
      </x:c>
      <x:c r="B16" s="2" t="str">
        <x:v>2027–2029</x:v>
      </x:c>
      <x:c r="C16" s="2" t="str">
        <x:v>Planning</x:v>
      </x:c>
      <x:c r="D16" s="2" t="str">
        <x:v>Wyoming points expected to reach 5 in 2026.</x:v>
      </x:c>
      <x:c r="E16" t="str"/>
      <x:c r="F16" t="str"/>
      <x:c r="G16" t="str"/>
      <x:c r="H16" t="str"/>
      <x:c r="I16" t="str"/>
      <x:c r="J16" t="str"/>
    </x:row>
    <x:row r="17">
      <x:c r="A17" s="2" t="str">
        <x:v>Begin Montana / Idaho strategy</x:v>
      </x:c>
      <x:c r="B17" s="2" t="str">
        <x:v>2026–2027</x:v>
      </x:c>
      <x:c r="C17" s="2" t="str">
        <x:v>Planning</x:v>
      </x:c>
      <x:c r="D17" s="2" t="str">
        <x:v>Verify current systems and fees before purchase.</x:v>
      </x:c>
      <x:c r="E17" t="str"/>
      <x:c r="F17" t="str"/>
      <x:c r="G17" t="str"/>
      <x:c r="H17" t="str"/>
      <x:c r="I17" t="str"/>
      <x:c r="J17" t="str"/>
    </x:row>
    <x:row r="18">
      <x:c r="A18" s="2" t="str">
        <x:v>Alaska caribou expedition</x:v>
      </x:c>
      <x:c r="B18" s="2" t="str">
        <x:v>Long term</x:v>
      </x:c>
      <x:c r="C18" s="2" t="str">
        <x:v>Dream</x:v>
      </x:c>
      <x:c r="D18" s="2" t="str">
        <x:v>Primary Alaska dream hunt.</x:v>
      </x:c>
      <x:c r="E18" t="str"/>
      <x:c r="F18" t="str"/>
      <x:c r="G18" t="str"/>
      <x:c r="H18" t="str"/>
      <x:c r="I18" t="str"/>
      <x:c r="J18" t="str"/>
    </x:row>
  </x:sheetData>
  <x:mergeCells>
    <x:mergeCell ref="A1:J1"/>
    <x:mergeCell ref="A3:J3"/>
    <x:mergeCell ref="D3:J3"/>
    <x:mergeCell ref="A13:J13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28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32" hidden="0" customWidth="1"/>
    <x:col min="16" max="16" width="32" hidden="0" customWidth="1"/>
  </x:cols>
  <x:sheetData>
    <x:row r="1" ht="34" customHeight="1">
      <x:c r="A1" s="63" t="str">
        <x:v>ANNUAL HUNT PORTFOLIO &amp; STRATEGY</x:v>
      </x:c>
    </x:row>
    <x:row r="3">
      <x:c r="A3" s="89" t="str">
        <x:v>Year</x:v>
      </x:c>
      <x:c r="B3" s="89" t="str">
        <x:v>Priority</x:v>
      </x:c>
      <x:c r="C3" s="89" t="str">
        <x:v>State</x:v>
      </x:c>
      <x:c r="D3" s="89" t="str">
        <x:v>Species</x:v>
      </x:c>
      <x:c r="E3" s="89" t="str">
        <x:v>Hunter</x:v>
      </x:c>
      <x:c r="F3" s="89" t="str">
        <x:v>Opportunity / Unit</x:v>
      </x:c>
      <x:c r="G3" s="89" t="str">
        <x:v>Role</x:v>
      </x:c>
      <x:c r="H3" s="89" t="str">
        <x:v>Application Type</x:v>
      </x:c>
      <x:c r="I3" s="89" t="str">
        <x:v>Target Dates</x:v>
      </x:c>
      <x:c r="J3" s="89" t="str">
        <x:v>Vacation Days</x:v>
      </x:c>
      <x:c r="K3" s="89" t="str">
        <x:v>Estimated Cost</x:v>
      </x:c>
      <x:c r="L3" s="89" t="str">
        <x:v>Actual Cost</x:v>
      </x:c>
      <x:c r="M3" s="89" t="str">
        <x:v>Status</x:v>
      </x:c>
      <x:c r="N3" s="89" t="str">
        <x:v>Draw / Result</x:v>
      </x:c>
      <x:c r="O3" s="89" t="str">
        <x:v>Backup Plan</x:v>
      </x:c>
      <x:c r="P3" s="89" t="str">
        <x:v>Notes</x:v>
      </x:c>
    </x:row>
    <x:row r="4">
      <x:c r="A4" s="91" t="n">
        <x:v>2026</x:v>
      </x:c>
      <x:c r="B4" s="2" t="str">
        <x:v>Core</x:v>
      </x:c>
      <x:c r="C4" s="2" t="str">
        <x:v>Texas</x:v>
      </x:c>
      <x:c r="D4" s="2" t="str">
        <x:v>Deer</x:v>
      </x:c>
      <x:c r="E4" s="2" t="str">
        <x:v>Family</x:v>
      </x:c>
      <x:c r="F4" s="2" t="str">
        <x:v>Statewide TPWD drawn hunts</x:v>
      </x:c>
      <x:c r="G4" s="2" t="str">
        <x:v>Annual opportunity</x:v>
      </x:c>
      <x:c r="H4" s="2" t="str">
        <x:v>Draw</x:v>
      </x:c>
      <x:c r="I4" s="2" t="str">
        <x:v>Varies</x:v>
      </x:c>
      <x:c r="J4" s="2" t="n">
        <x:v>6</x:v>
      </x:c>
      <x:c r="K4" s="92" t="n">
        <x:v>350</x:v>
      </x:c>
      <x:c r="L4" s="92"/>
      <x:c r="M4" s="2" t="str">
        <x:v>Planning</x:v>
      </x:c>
      <x:c r="N4" s="2" t="str">
        <x:v>Pending</x:v>
      </x:c>
      <x:c r="O4" s="2" t="str">
        <x:v>Texas public / local hunt</x:v>
      </x:c>
      <x:c r="P4" s="2" t="str">
        <x:v>Apply broadly using Texas Command Center.</x:v>
      </x:c>
    </x:row>
    <x:row r="5">
      <x:c r="A5" s="91" t="n">
        <x:v>2026</x:v>
      </x:c>
      <x:c r="B5" s="2" t="str">
        <x:v>Build</x:v>
      </x:c>
      <x:c r="C5" s="2" t="str">
        <x:v>Wyoming</x:v>
      </x:c>
      <x:c r="D5" s="2" t="str">
        <x:v>Elk</x:v>
      </x:c>
      <x:c r="E5" s="2" t="str">
        <x:v>Adult</x:v>
      </x:c>
      <x:c r="F5" s="2" t="str">
        <x:v>Preference point</x:v>
      </x:c>
      <x:c r="G5" s="2" t="str">
        <x:v>Long-term investment</x:v>
      </x:c>
      <x:c r="H5" s="2" t="str">
        <x:v>Point purchase</x:v>
      </x:c>
      <x:c r="I5" s="2" t="str">
        <x:v>Point window</x:v>
      </x:c>
      <x:c r="J5" s="2" t="n">
        <x:v>0</x:v>
      </x:c>
      <x:c r="K5" s="92"/>
      <x:c r="L5" s="92"/>
      <x:c r="M5" s="2" t="str">
        <x:v>Planned</x:v>
      </x:c>
      <x:c r="N5" s="2" t="str">
        <x:v>N/A</x:v>
      </x:c>
      <x:c r="O5" s="2" t="str">
        <x:v>Continue building</x:v>
      </x:c>
      <x:c r="P5" s="2" t="str">
        <x:v>Expected to move from 4 to 5 points.</x:v>
      </x:c>
    </x:row>
    <x:row r="6">
      <x:c r="A6" s="91" t="n">
        <x:v>2026</x:v>
      </x:c>
      <x:c r="B6" s="2" t="str">
        <x:v>Build</x:v>
      </x:c>
      <x:c r="C6" s="2" t="str">
        <x:v>Wyoming</x:v>
      </x:c>
      <x:c r="D6" s="2" t="str">
        <x:v>Elk</x:v>
      </x:c>
      <x:c r="E6" s="2" t="str">
        <x:v>Youth</x:v>
      </x:c>
      <x:c r="F6" s="2" t="str">
        <x:v>Preference point</x:v>
      </x:c>
      <x:c r="G6" s="2" t="str">
        <x:v>Long-term investment</x:v>
      </x:c>
      <x:c r="H6" s="2" t="str">
        <x:v>Point purchase</x:v>
      </x:c>
      <x:c r="I6" s="2" t="str">
        <x:v>Point window</x:v>
      </x:c>
      <x:c r="J6" s="2" t="n">
        <x:v>0</x:v>
      </x:c>
      <x:c r="K6" s="92"/>
      <x:c r="L6" s="92"/>
      <x:c r="M6" s="2" t="str">
        <x:v>Planned</x:v>
      </x:c>
      <x:c r="N6" s="2" t="str">
        <x:v>N/A</x:v>
      </x:c>
      <x:c r="O6" s="2" t="str">
        <x:v>Continue building</x:v>
      </x:c>
      <x:c r="P6" s="2" t="str">
        <x:v>Expected to move from 4 to 5 points.</x:v>
      </x:c>
    </x:row>
    <x:row r="7">
      <x:c r="A7" s="91" t="n">
        <x:v>2026</x:v>
      </x:c>
      <x:c r="B7" s="2" t="str">
        <x:v>Build</x:v>
      </x:c>
      <x:c r="C7" s="2" t="str">
        <x:v>Wyoming</x:v>
      </x:c>
      <x:c r="D7" s="2" t="str">
        <x:v>Deer</x:v>
      </x:c>
      <x:c r="E7" s="2" t="str">
        <x:v>Adult</x:v>
      </x:c>
      <x:c r="F7" s="2" t="str">
        <x:v>Preference point</x:v>
      </x:c>
      <x:c r="G7" s="2" t="str">
        <x:v>Long-term investment</x:v>
      </x:c>
      <x:c r="H7" s="2" t="str">
        <x:v>Point purchase</x:v>
      </x:c>
      <x:c r="I7" s="2" t="str">
        <x:v>Point window</x:v>
      </x:c>
      <x:c r="J7" s="2" t="n">
        <x:v>0</x:v>
      </x:c>
      <x:c r="K7" s="92"/>
      <x:c r="L7" s="92"/>
      <x:c r="M7" s="2" t="str">
        <x:v>Planned</x:v>
      </x:c>
      <x:c r="N7" s="2" t="str">
        <x:v>N/A</x:v>
      </x:c>
      <x:c r="O7" s="2" t="str">
        <x:v>Continue building</x:v>
      </x:c>
      <x:c r="P7" s="2" t="str">
        <x:v>Expected to move from 4 to 5 points.</x:v>
      </x:c>
    </x:row>
    <x:row r="8">
      <x:c r="A8" s="91" t="n">
        <x:v>2026</x:v>
      </x:c>
      <x:c r="B8" s="2" t="str">
        <x:v>Build</x:v>
      </x:c>
      <x:c r="C8" s="2" t="str">
        <x:v>Wyoming</x:v>
      </x:c>
      <x:c r="D8" s="2" t="str">
        <x:v>Deer</x:v>
      </x:c>
      <x:c r="E8" s="2" t="str">
        <x:v>Youth</x:v>
      </x:c>
      <x:c r="F8" s="2" t="str">
        <x:v>Preference point</x:v>
      </x:c>
      <x:c r="G8" s="2" t="str">
        <x:v>Long-term investment</x:v>
      </x:c>
      <x:c r="H8" s="2" t="str">
        <x:v>Point purchase</x:v>
      </x:c>
      <x:c r="I8" s="2" t="str">
        <x:v>Point window</x:v>
      </x:c>
      <x:c r="J8" s="2" t="n">
        <x:v>0</x:v>
      </x:c>
      <x:c r="K8" s="92"/>
      <x:c r="L8" s="92"/>
      <x:c r="M8" s="2" t="str">
        <x:v>Planned</x:v>
      </x:c>
      <x:c r="N8" s="2" t="str">
        <x:v>N/A</x:v>
      </x:c>
      <x:c r="O8" s="2" t="str">
        <x:v>Continue building</x:v>
      </x:c>
      <x:c r="P8" s="2" t="str">
        <x:v>Expected to move from 4 to 5 points.</x:v>
      </x:c>
    </x:row>
    <x:row r="9">
      <x:c r="A9" s="91" t="n">
        <x:v>2026</x:v>
      </x:c>
      <x:c r="B9" s="2" t="str">
        <x:v>Build</x:v>
      </x:c>
      <x:c r="C9" s="2" t="str">
        <x:v>Wyoming</x:v>
      </x:c>
      <x:c r="D9" s="2" t="str">
        <x:v>Antelope</x:v>
      </x:c>
      <x:c r="E9" s="2" t="str">
        <x:v>Adult</x:v>
      </x:c>
      <x:c r="F9" s="2" t="str">
        <x:v>Preference point</x:v>
      </x:c>
      <x:c r="G9" s="2" t="str">
        <x:v>Long-term investment</x:v>
      </x:c>
      <x:c r="H9" s="2" t="str">
        <x:v>Point purchase</x:v>
      </x:c>
      <x:c r="I9" s="2" t="str">
        <x:v>Point window</x:v>
      </x:c>
      <x:c r="J9" s="2" t="n">
        <x:v>0</x:v>
      </x:c>
      <x:c r="K9" s="92"/>
      <x:c r="L9" s="92"/>
      <x:c r="M9" s="2" t="str">
        <x:v>Planned</x:v>
      </x:c>
      <x:c r="N9" s="2" t="str">
        <x:v>N/A</x:v>
      </x:c>
      <x:c r="O9" s="2" t="str">
        <x:v>Continue building</x:v>
      </x:c>
      <x:c r="P9" s="2" t="str">
        <x:v>Expected to move from 4 to 5 points.</x:v>
      </x:c>
    </x:row>
    <x:row r="10">
      <x:c r="A10" s="91" t="n">
        <x:v>2026</x:v>
      </x:c>
      <x:c r="B10" s="2" t="str">
        <x:v>Build</x:v>
      </x:c>
      <x:c r="C10" s="2" t="str">
        <x:v>Wyoming</x:v>
      </x:c>
      <x:c r="D10" s="2" t="str">
        <x:v>Antelope</x:v>
      </x:c>
      <x:c r="E10" s="2" t="str">
        <x:v>Youth</x:v>
      </x:c>
      <x:c r="F10" s="2" t="str">
        <x:v>Preference point</x:v>
      </x:c>
      <x:c r="G10" s="2" t="str">
        <x:v>Long-term investment</x:v>
      </x:c>
      <x:c r="H10" s="2" t="str">
        <x:v>Point purchase</x:v>
      </x:c>
      <x:c r="I10" s="2" t="str">
        <x:v>Point window</x:v>
      </x:c>
      <x:c r="J10" s="2" t="n">
        <x:v>0</x:v>
      </x:c>
      <x:c r="K10" s="92"/>
      <x:c r="L10" s="92"/>
      <x:c r="M10" s="2" t="str">
        <x:v>Planned</x:v>
      </x:c>
      <x:c r="N10" s="2" t="str">
        <x:v>N/A</x:v>
      </x:c>
      <x:c r="O10" s="2" t="str">
        <x:v>Continue building</x:v>
      </x:c>
      <x:c r="P10" s="2" t="str">
        <x:v>Expected to move from 4 to 5 points.</x:v>
      </x:c>
    </x:row>
    <x:row r="11">
      <x:c r="A11" s="91" t="n">
        <x:v>2026</x:v>
      </x:c>
      <x:c r="B11" s="2" t="str">
        <x:v>Research</x:v>
      </x:c>
      <x:c r="C11" s="2" t="str">
        <x:v>Montana</x:v>
      </x:c>
      <x:c r="D11" s="2" t="str">
        <x:v>Deer / Elk</x:v>
      </x:c>
      <x:c r="E11" s="2" t="str">
        <x:v>Family</x:v>
      </x:c>
      <x:c r="F11" s="2" t="str">
        <x:v>State system research</x:v>
      </x:c>
      <x:c r="G11" s="2" t="str">
        <x:v>New state</x:v>
      </x:c>
      <x:c r="H11" s="2" t="str">
        <x:v>Research</x:v>
      </x:c>
      <x:c r="I11" s="2" t="str">
        <x:v>2026</x:v>
      </x:c>
      <x:c r="J11" s="2" t="n">
        <x:v>0</x:v>
      </x:c>
      <x:c r="K11" s="92" t="n">
        <x:v>0</x:v>
      </x:c>
      <x:c r="L11" s="92"/>
      <x:c r="M11" s="2" t="str">
        <x:v>Researching</x:v>
      </x:c>
      <x:c r="N11" s="2" t="str">
        <x:v>N/A</x:v>
      </x:c>
      <x:c r="O11" s="2" t="str">
        <x:v>Do not purchase until strategy is chosen</x:v>
      </x:c>
      <x:c r="P11" s="2" t="str">
        <x:v>Track preference/bonus point distinctions and license structure.</x:v>
      </x:c>
    </x:row>
    <x:row r="12">
      <x:c r="A12" s="91" t="n">
        <x:v>2026</x:v>
      </x:c>
      <x:c r="B12" s="2" t="str">
        <x:v>Research</x:v>
      </x:c>
      <x:c r="C12" s="2" t="str">
        <x:v>Idaho</x:v>
      </x:c>
      <x:c r="D12" s="2" t="str">
        <x:v>Deer / Elk</x:v>
      </x:c>
      <x:c r="E12" s="2" t="str">
        <x:v>Family</x:v>
      </x:c>
      <x:c r="F12" s="2" t="str">
        <x:v>General / controlled opportunity research</x:v>
      </x:c>
      <x:c r="G12" s="2" t="str">
        <x:v>Annual opportunity</x:v>
      </x:c>
      <x:c r="H12" s="2" t="str">
        <x:v>Research</x:v>
      </x:c>
      <x:c r="I12" s="2" t="str">
        <x:v>2026</x:v>
      </x:c>
      <x:c r="J12" s="2" t="n">
        <x:v>0</x:v>
      </x:c>
      <x:c r="K12" s="92" t="n">
        <x:v>0</x:v>
      </x:c>
      <x:c r="L12" s="92"/>
      <x:c r="M12" s="2" t="str">
        <x:v>Researching</x:v>
      </x:c>
      <x:c r="N12" s="2" t="str">
        <x:v>N/A</x:v>
      </x:c>
      <x:c r="O12" s="2" t="str">
        <x:v>Texas / Wyoming</x:v>
      </x:c>
      <x:c r="P12" s="2" t="str">
        <x:v>Track tag-sale timing, controlled hunts, and current nonresident rules.</x:v>
      </x:c>
    </x:row>
    <x:row r="13">
      <x:c r="A13" s="91" t="n">
        <x:v>2032</x:v>
      </x:c>
      <x:c r="B13" s="2" t="str">
        <x:v>Dream</x:v>
      </x:c>
      <x:c r="C13" s="2" t="str">
        <x:v>Alaska</x:v>
      </x:c>
      <x:c r="D13" s="2" t="str">
        <x:v>Caribou</x:v>
      </x:c>
      <x:c r="E13" s="2" t="str">
        <x:v>Family</x:v>
      </x:c>
      <x:c r="F13" s="2" t="str">
        <x:v>Remote Alaska caribou hunt</x:v>
      </x:c>
      <x:c r="G13" s="2" t="str">
        <x:v>Dream expedition</x:v>
      </x:c>
      <x:c r="H13" s="2" t="str">
        <x:v>Savings / research</x:v>
      </x:c>
      <x:c r="I13" s="2" t="str">
        <x:v>TBD</x:v>
      </x:c>
      <x:c r="J13" s="2" t="n">
        <x:v>12</x:v>
      </x:c>
      <x:c r="K13" s="92" t="n">
        <x:v>18000</x:v>
      </x:c>
      <x:c r="L13" s="92"/>
      <x:c r="M13" s="2" t="str">
        <x:v>Dream</x:v>
      </x:c>
      <x:c r="N13" s="2" t="str">
        <x:v>N/A</x:v>
      </x:c>
      <x:c r="O13" s="2" t="str">
        <x:v>Shift year as needed</x:v>
      </x:c>
      <x:c r="P13" s="2" t="str">
        <x:v>Placeholder estimate only; obtain current outfitter/transport quotes.</x:v>
      </x:c>
    </x:row>
    <x:row r="14">
      <x:c r="A14" s="91"/>
      <x:c r="B14" s="2"/>
      <x:c r="C14" s="2"/>
      <x:c r="D14" s="2"/>
      <x:c r="E14" s="2"/>
      <x:c r="F14" s="2"/>
      <x:c r="G14" s="2"/>
      <x:c r="H14" s="2"/>
      <x:c r="I14" s="2"/>
      <x:c r="J14" s="2"/>
      <x:c r="K14" s="92"/>
      <x:c r="L14" s="92"/>
      <x:c r="M14" s="2"/>
      <x:c r="N14" s="2"/>
      <x:c r="O14" s="2"/>
      <x:c r="P14" s="2"/>
    </x:row>
    <x:row r="15">
      <x:c r="A15" s="91"/>
      <x:c r="B15" s="2"/>
      <x:c r="C15" s="2"/>
      <x:c r="D15" s="2"/>
      <x:c r="E15" s="2"/>
      <x:c r="F15" s="2"/>
      <x:c r="G15" s="2"/>
      <x:c r="H15" s="2"/>
      <x:c r="I15" s="2"/>
      <x:c r="J15" s="2"/>
      <x:c r="K15" s="92"/>
      <x:c r="L15" s="92"/>
      <x:c r="M15" s="2"/>
      <x:c r="N15" s="2"/>
      <x:c r="O15" s="2"/>
      <x:c r="P15" s="2"/>
    </x:row>
    <x:row r="16">
      <x:c r="A16" s="91"/>
      <x:c r="B16" s="2"/>
      <x:c r="C16" s="2"/>
      <x:c r="D16" s="2"/>
      <x:c r="E16" s="2"/>
      <x:c r="F16" s="2"/>
      <x:c r="G16" s="2"/>
      <x:c r="H16" s="2"/>
      <x:c r="I16" s="2"/>
      <x:c r="J16" s="2"/>
      <x:c r="K16" s="92"/>
      <x:c r="L16" s="92"/>
      <x:c r="M16" s="2"/>
      <x:c r="N16" s="2"/>
      <x:c r="O16" s="2"/>
      <x:c r="P16" s="2"/>
    </x:row>
    <x:row r="17">
      <x:c r="A17" s="91"/>
      <x:c r="B17" s="2"/>
      <x:c r="C17" s="2"/>
      <x:c r="D17" s="2"/>
      <x:c r="E17" s="2"/>
      <x:c r="F17" s="2"/>
      <x:c r="G17" s="2"/>
      <x:c r="H17" s="2"/>
      <x:c r="I17" s="2"/>
      <x:c r="J17" s="2"/>
      <x:c r="K17" s="92"/>
      <x:c r="L17" s="92"/>
      <x:c r="M17" s="2"/>
      <x:c r="N17" s="2"/>
      <x:c r="O17" s="2"/>
      <x:c r="P17" s="2"/>
    </x:row>
    <x:row r="18">
      <x:c r="A18" s="91"/>
      <x:c r="B18" s="2"/>
      <x:c r="C18" s="2"/>
      <x:c r="D18" s="2"/>
      <x:c r="E18" s="2"/>
      <x:c r="F18" s="2"/>
      <x:c r="G18" s="2"/>
      <x:c r="H18" s="2"/>
      <x:c r="I18" s="2"/>
      <x:c r="J18" s="2"/>
      <x:c r="K18" s="92"/>
      <x:c r="L18" s="92"/>
      <x:c r="M18" s="2"/>
      <x:c r="N18" s="2"/>
      <x:c r="O18" s="2"/>
      <x:c r="P18" s="2"/>
    </x:row>
    <x:row r="19">
      <x:c r="A19" s="91"/>
      <x:c r="B19" s="2"/>
      <x:c r="C19" s="2"/>
      <x:c r="D19" s="2"/>
      <x:c r="E19" s="2"/>
      <x:c r="F19" s="2"/>
      <x:c r="G19" s="2"/>
      <x:c r="H19" s="2"/>
      <x:c r="I19" s="2"/>
      <x:c r="J19" s="2"/>
      <x:c r="K19" s="92"/>
      <x:c r="L19" s="92"/>
      <x:c r="M19" s="2"/>
      <x:c r="N19" s="2"/>
      <x:c r="O19" s="2"/>
      <x:c r="P19" s="2"/>
    </x:row>
    <x:row r="20">
      <x:c r="A20" s="91"/>
      <x:c r="B20" s="2"/>
      <x:c r="C20" s="2"/>
      <x:c r="D20" s="2"/>
      <x:c r="E20" s="2"/>
      <x:c r="F20" s="2"/>
      <x:c r="G20" s="2"/>
      <x:c r="H20" s="2"/>
      <x:c r="I20" s="2"/>
      <x:c r="J20" s="2"/>
      <x:c r="K20" s="92"/>
      <x:c r="L20" s="92"/>
      <x:c r="M20" s="2"/>
      <x:c r="N20" s="2"/>
      <x:c r="O20" s="2"/>
      <x:c r="P20" s="2"/>
    </x:row>
    <x:row r="21">
      <x:c r="A21" s="91"/>
      <x:c r="B21" s="2"/>
      <x:c r="C21" s="2"/>
      <x:c r="D21" s="2"/>
      <x:c r="E21" s="2"/>
      <x:c r="F21" s="2"/>
      <x:c r="G21" s="2"/>
      <x:c r="H21" s="2"/>
      <x:c r="I21" s="2"/>
      <x:c r="J21" s="2"/>
      <x:c r="K21" s="92"/>
      <x:c r="L21" s="92"/>
      <x:c r="M21" s="2"/>
      <x:c r="N21" s="2"/>
      <x:c r="O21" s="2"/>
      <x:c r="P21" s="2"/>
    </x:row>
    <x:row r="22">
      <x:c r="A22" s="91"/>
      <x:c r="B22" s="2"/>
      <x:c r="C22" s="2"/>
      <x:c r="D22" s="2"/>
      <x:c r="E22" s="2"/>
      <x:c r="F22" s="2"/>
      <x:c r="G22" s="2"/>
      <x:c r="H22" s="2"/>
      <x:c r="I22" s="2"/>
      <x:c r="J22" s="2"/>
      <x:c r="K22" s="92"/>
      <x:c r="L22" s="92"/>
      <x:c r="M22" s="2"/>
      <x:c r="N22" s="2"/>
      <x:c r="O22" s="2"/>
      <x:c r="P22" s="2"/>
    </x:row>
    <x:row r="23">
      <x:c r="A23" s="91"/>
      <x:c r="B23" s="2"/>
      <x:c r="C23" s="2"/>
      <x:c r="D23" s="2"/>
      <x:c r="E23" s="2"/>
      <x:c r="F23" s="2"/>
      <x:c r="G23" s="2"/>
      <x:c r="H23" s="2"/>
      <x:c r="I23" s="2"/>
      <x:c r="J23" s="2"/>
      <x:c r="K23" s="92"/>
      <x:c r="L23" s="92"/>
      <x:c r="M23" s="2"/>
      <x:c r="N23" s="2"/>
      <x:c r="O23" s="2"/>
      <x:c r="P23" s="2"/>
    </x:row>
    <x:row r="24">
      <x:c r="A24" s="91"/>
      <x:c r="B24" s="2"/>
      <x:c r="C24" s="2"/>
      <x:c r="D24" s="2"/>
      <x:c r="E24" s="2"/>
      <x:c r="F24" s="2"/>
      <x:c r="G24" s="2"/>
      <x:c r="H24" s="2"/>
      <x:c r="I24" s="2"/>
      <x:c r="J24" s="2"/>
      <x:c r="K24" s="92"/>
      <x:c r="L24" s="92"/>
      <x:c r="M24" s="2"/>
      <x:c r="N24" s="2"/>
      <x:c r="O24" s="2"/>
      <x:c r="P24" s="2"/>
    </x:row>
    <x:row r="25">
      <x:c r="A25" s="91"/>
      <x:c r="B25" s="2"/>
      <x:c r="C25" s="2"/>
      <x:c r="D25" s="2"/>
      <x:c r="E25" s="2"/>
      <x:c r="F25" s="2"/>
      <x:c r="G25" s="2"/>
      <x:c r="H25" s="2"/>
      <x:c r="I25" s="2"/>
      <x:c r="J25" s="2"/>
      <x:c r="K25" s="92"/>
      <x:c r="L25" s="92"/>
      <x:c r="M25" s="2"/>
      <x:c r="N25" s="2"/>
      <x:c r="O25" s="2"/>
      <x:c r="P25" s="2"/>
    </x:row>
    <x:row r="26">
      <x:c r="A26" s="91"/>
      <x:c r="B26" s="2"/>
      <x:c r="C26" s="2"/>
      <x:c r="D26" s="2"/>
      <x:c r="E26" s="2"/>
      <x:c r="F26" s="2"/>
      <x:c r="G26" s="2"/>
      <x:c r="H26" s="2"/>
      <x:c r="I26" s="2"/>
      <x:c r="J26" s="2"/>
      <x:c r="K26" s="92"/>
      <x:c r="L26" s="92"/>
      <x:c r="M26" s="2"/>
      <x:c r="N26" s="2"/>
      <x:c r="O26" s="2"/>
      <x:c r="P26" s="2"/>
    </x:row>
    <x:row r="27">
      <x:c r="A27" s="91"/>
      <x:c r="B27" s="2"/>
      <x:c r="C27" s="2"/>
      <x:c r="D27" s="2"/>
      <x:c r="E27" s="2"/>
      <x:c r="F27" s="2"/>
      <x:c r="G27" s="2"/>
      <x:c r="H27" s="2"/>
      <x:c r="I27" s="2"/>
      <x:c r="J27" s="2"/>
      <x:c r="K27" s="92"/>
      <x:c r="L27" s="92"/>
      <x:c r="M27" s="2"/>
      <x:c r="N27" s="2"/>
      <x:c r="O27" s="2"/>
      <x:c r="P27" s="2"/>
    </x:row>
    <x:row r="28">
      <x:c r="A28" s="91"/>
      <x:c r="B28" s="2"/>
      <x:c r="C28" s="2"/>
      <x:c r="D28" s="2"/>
      <x:c r="E28" s="2"/>
      <x:c r="F28" s="2"/>
      <x:c r="G28" s="2"/>
      <x:c r="H28" s="2"/>
      <x:c r="I28" s="2"/>
      <x:c r="J28" s="2"/>
      <x:c r="K28" s="92"/>
      <x:c r="L28" s="92"/>
      <x:c r="M28" s="2"/>
      <x:c r="N28" s="2"/>
      <x:c r="O28" s="2"/>
      <x:c r="P28" s="2"/>
    </x:row>
    <x:row r="29">
      <x:c r="A29" s="91"/>
      <x:c r="B29" s="2"/>
      <x:c r="C29" s="2"/>
      <x:c r="D29" s="2"/>
      <x:c r="E29" s="2"/>
      <x:c r="F29" s="2"/>
      <x:c r="G29" s="2"/>
      <x:c r="H29" s="2"/>
      <x:c r="I29" s="2"/>
      <x:c r="J29" s="2"/>
      <x:c r="K29" s="92"/>
      <x:c r="L29" s="92"/>
      <x:c r="M29" s="2"/>
      <x:c r="N29" s="2"/>
      <x:c r="O29" s="2"/>
      <x:c r="P29" s="2"/>
    </x:row>
    <x:row r="30">
      <x:c r="A30" s="91"/>
      <x:c r="B30" s="2"/>
      <x:c r="C30" s="2"/>
      <x:c r="D30" s="2"/>
      <x:c r="E30" s="2"/>
      <x:c r="F30" s="2"/>
      <x:c r="G30" s="2"/>
      <x:c r="H30" s="2"/>
      <x:c r="I30" s="2"/>
      <x:c r="J30" s="2"/>
      <x:c r="K30" s="92"/>
      <x:c r="L30" s="92"/>
      <x:c r="M30" s="2"/>
      <x:c r="N30" s="2"/>
      <x:c r="O30" s="2"/>
      <x:c r="P30" s="2"/>
    </x:row>
    <x:row r="31">
      <x:c r="A31" s="91"/>
      <x:c r="B31" s="2"/>
      <x:c r="C31" s="2"/>
      <x:c r="D31" s="2"/>
      <x:c r="E31" s="2"/>
      <x:c r="F31" s="2"/>
      <x:c r="G31" s="2"/>
      <x:c r="H31" s="2"/>
      <x:c r="I31" s="2"/>
      <x:c r="J31" s="2"/>
      <x:c r="K31" s="92"/>
      <x:c r="L31" s="92"/>
      <x:c r="M31" s="2"/>
      <x:c r="N31" s="2"/>
      <x:c r="O31" s="2"/>
      <x:c r="P31" s="2"/>
    </x:row>
    <x:row r="32">
      <x:c r="A32" s="91"/>
      <x:c r="B32" s="2"/>
      <x:c r="C32" s="2"/>
      <x:c r="D32" s="2"/>
      <x:c r="E32" s="2"/>
      <x:c r="F32" s="2"/>
      <x:c r="G32" s="2"/>
      <x:c r="H32" s="2"/>
      <x:c r="I32" s="2"/>
      <x:c r="J32" s="2"/>
      <x:c r="K32" s="92"/>
      <x:c r="L32" s="92"/>
      <x:c r="M32" s="2"/>
      <x:c r="N32" s="2"/>
      <x:c r="O32" s="2"/>
      <x:c r="P32" s="2"/>
    </x:row>
    <x:row r="33">
      <x:c r="A33" s="91"/>
      <x:c r="B33" s="2"/>
      <x:c r="C33" s="2"/>
      <x:c r="D33" s="2"/>
      <x:c r="E33" s="2"/>
      <x:c r="F33" s="2"/>
      <x:c r="G33" s="2"/>
      <x:c r="H33" s="2"/>
      <x:c r="I33" s="2"/>
      <x:c r="J33" s="2"/>
      <x:c r="K33" s="92"/>
      <x:c r="L33" s="92"/>
      <x:c r="M33" s="2"/>
      <x:c r="N33" s="2"/>
      <x:c r="O33" s="2"/>
      <x:c r="P33" s="2"/>
    </x:row>
    <x:row r="34">
      <x:c r="A34" s="91"/>
      <x:c r="B34" s="2"/>
      <x:c r="C34" s="2"/>
      <x:c r="D34" s="2"/>
      <x:c r="E34" s="2"/>
      <x:c r="F34" s="2"/>
      <x:c r="G34" s="2"/>
      <x:c r="H34" s="2"/>
      <x:c r="I34" s="2"/>
      <x:c r="J34" s="2"/>
      <x:c r="K34" s="92"/>
      <x:c r="L34" s="92"/>
      <x:c r="M34" s="2"/>
      <x:c r="N34" s="2"/>
      <x:c r="O34" s="2"/>
      <x:c r="P34" s="2"/>
    </x:row>
    <x:row r="35">
      <x:c r="A35" s="91"/>
      <x:c r="B35" s="2"/>
      <x:c r="C35" s="2"/>
      <x:c r="D35" s="2"/>
      <x:c r="E35" s="2"/>
      <x:c r="F35" s="2"/>
      <x:c r="G35" s="2"/>
      <x:c r="H35" s="2"/>
      <x:c r="I35" s="2"/>
      <x:c r="J35" s="2"/>
      <x:c r="K35" s="92"/>
      <x:c r="L35" s="92"/>
      <x:c r="M35" s="2"/>
      <x:c r="N35" s="2"/>
      <x:c r="O35" s="2"/>
      <x:c r="P35" s="2"/>
    </x:row>
    <x:row r="36">
      <x:c r="A36" s="91"/>
      <x:c r="B36" s="2"/>
      <x:c r="C36" s="2"/>
      <x:c r="D36" s="2"/>
      <x:c r="E36" s="2"/>
      <x:c r="F36" s="2"/>
      <x:c r="G36" s="2"/>
      <x:c r="H36" s="2"/>
      <x:c r="I36" s="2"/>
      <x:c r="J36" s="2"/>
      <x:c r="K36" s="92"/>
      <x:c r="L36" s="92"/>
      <x:c r="M36" s="2"/>
      <x:c r="N36" s="2"/>
      <x:c r="O36" s="2"/>
      <x:c r="P36" s="2"/>
    </x:row>
    <x:row r="37">
      <x:c r="A37" s="91"/>
      <x:c r="B37" s="2"/>
      <x:c r="C37" s="2"/>
      <x:c r="D37" s="2"/>
      <x:c r="E37" s="2"/>
      <x:c r="F37" s="2"/>
      <x:c r="G37" s="2"/>
      <x:c r="H37" s="2"/>
      <x:c r="I37" s="2"/>
      <x:c r="J37" s="2"/>
      <x:c r="K37" s="92"/>
      <x:c r="L37" s="92"/>
      <x:c r="M37" s="2"/>
      <x:c r="N37" s="2"/>
      <x:c r="O37" s="2"/>
      <x:c r="P37" s="2"/>
    </x:row>
    <x:row r="38">
      <x:c r="A38" s="91"/>
      <x:c r="B38" s="2"/>
      <x:c r="C38" s="2"/>
      <x:c r="D38" s="2"/>
      <x:c r="E38" s="2"/>
      <x:c r="F38" s="2"/>
      <x:c r="G38" s="2"/>
      <x:c r="H38" s="2"/>
      <x:c r="I38" s="2"/>
      <x:c r="J38" s="2"/>
      <x:c r="K38" s="92"/>
      <x:c r="L38" s="92"/>
      <x:c r="M38" s="2"/>
      <x:c r="N38" s="2"/>
      <x:c r="O38" s="2"/>
      <x:c r="P38" s="2"/>
    </x:row>
    <x:row r="39">
      <x:c r="A39" s="91"/>
      <x:c r="B39" s="2"/>
      <x:c r="C39" s="2"/>
      <x:c r="D39" s="2"/>
      <x:c r="E39" s="2"/>
      <x:c r="F39" s="2"/>
      <x:c r="G39" s="2"/>
      <x:c r="H39" s="2"/>
      <x:c r="I39" s="2"/>
      <x:c r="J39" s="2"/>
      <x:c r="K39" s="92"/>
      <x:c r="L39" s="92"/>
      <x:c r="M39" s="2"/>
      <x:c r="N39" s="2"/>
      <x:c r="O39" s="2"/>
      <x:c r="P39" s="2"/>
    </x:row>
    <x:row r="40">
      <x:c r="A40" s="91"/>
      <x:c r="B40" s="2"/>
      <x:c r="C40" s="2"/>
      <x:c r="D40" s="2"/>
      <x:c r="E40" s="2"/>
      <x:c r="F40" s="2"/>
      <x:c r="G40" s="2"/>
      <x:c r="H40" s="2"/>
      <x:c r="I40" s="2"/>
      <x:c r="J40" s="2"/>
      <x:c r="K40" s="92"/>
      <x:c r="L40" s="92"/>
      <x:c r="M40" s="2"/>
      <x:c r="N40" s="2"/>
      <x:c r="O40" s="2"/>
      <x:c r="P40" s="2"/>
    </x:row>
    <x:row r="41">
      <x:c r="A41" s="91"/>
      <x:c r="B41" s="2"/>
      <x:c r="C41" s="2"/>
      <x:c r="D41" s="2"/>
      <x:c r="E41" s="2"/>
      <x:c r="F41" s="2"/>
      <x:c r="G41" s="2"/>
      <x:c r="H41" s="2"/>
      <x:c r="I41" s="2"/>
      <x:c r="J41" s="2"/>
      <x:c r="K41" s="92"/>
      <x:c r="L41" s="92"/>
      <x:c r="M41" s="2"/>
      <x:c r="N41" s="2"/>
      <x:c r="O41" s="2"/>
      <x:c r="P41" s="2"/>
    </x:row>
    <x:row r="42">
      <x:c r="A42" s="91"/>
      <x:c r="B42" s="2"/>
      <x:c r="C42" s="2"/>
      <x:c r="D42" s="2"/>
      <x:c r="E42" s="2"/>
      <x:c r="F42" s="2"/>
      <x:c r="G42" s="2"/>
      <x:c r="H42" s="2"/>
      <x:c r="I42" s="2"/>
      <x:c r="J42" s="2"/>
      <x:c r="K42" s="92"/>
      <x:c r="L42" s="92"/>
      <x:c r="M42" s="2"/>
      <x:c r="N42" s="2"/>
      <x:c r="O42" s="2"/>
      <x:c r="P42" s="2"/>
    </x:row>
    <x:row r="43">
      <x:c r="A43" s="91"/>
      <x:c r="B43" s="2"/>
      <x:c r="C43" s="2"/>
      <x:c r="D43" s="2"/>
      <x:c r="E43" s="2"/>
      <x:c r="F43" s="2"/>
      <x:c r="G43" s="2"/>
      <x:c r="H43" s="2"/>
      <x:c r="I43" s="2"/>
      <x:c r="J43" s="2"/>
      <x:c r="K43" s="92"/>
      <x:c r="L43" s="92"/>
      <x:c r="M43" s="2"/>
      <x:c r="N43" s="2"/>
      <x:c r="O43" s="2"/>
      <x:c r="P43" s="2"/>
    </x:row>
    <x:row r="44">
      <x:c r="A44" s="91"/>
      <x:c r="B44" s="2"/>
      <x:c r="C44" s="2"/>
      <x:c r="D44" s="2"/>
      <x:c r="E44" s="2"/>
      <x:c r="F44" s="2"/>
      <x:c r="G44" s="2"/>
      <x:c r="H44" s="2"/>
      <x:c r="I44" s="2"/>
      <x:c r="J44" s="2"/>
      <x:c r="K44" s="92"/>
      <x:c r="L44" s="92"/>
      <x:c r="M44" s="2"/>
      <x:c r="N44" s="2"/>
      <x:c r="O44" s="2"/>
      <x:c r="P44" s="2"/>
    </x:row>
    <x:row r="45">
      <x:c r="A45" s="91"/>
      <x:c r="B45" s="2"/>
      <x:c r="C45" s="2"/>
      <x:c r="D45" s="2"/>
      <x:c r="E45" s="2"/>
      <x:c r="F45" s="2"/>
      <x:c r="G45" s="2"/>
      <x:c r="H45" s="2"/>
      <x:c r="I45" s="2"/>
      <x:c r="J45" s="2"/>
      <x:c r="K45" s="92"/>
      <x:c r="L45" s="92"/>
      <x:c r="M45" s="2"/>
      <x:c r="N45" s="2"/>
      <x:c r="O45" s="2"/>
      <x:c r="P45" s="2"/>
    </x:row>
    <x:row r="46">
      <x:c r="A46" s="91"/>
      <x:c r="B46" s="2"/>
      <x:c r="C46" s="2"/>
      <x:c r="D46" s="2"/>
      <x:c r="E46" s="2"/>
      <x:c r="F46" s="2"/>
      <x:c r="G46" s="2"/>
      <x:c r="H46" s="2"/>
      <x:c r="I46" s="2"/>
      <x:c r="J46" s="2"/>
      <x:c r="K46" s="92"/>
      <x:c r="L46" s="92"/>
      <x:c r="M46" s="2"/>
      <x:c r="N46" s="2"/>
      <x:c r="O46" s="2"/>
      <x:c r="P46" s="2"/>
    </x:row>
    <x:row r="47">
      <x:c r="A47" s="91"/>
      <x:c r="B47" s="2"/>
      <x:c r="C47" s="2"/>
      <x:c r="D47" s="2"/>
      <x:c r="E47" s="2"/>
      <x:c r="F47" s="2"/>
      <x:c r="G47" s="2"/>
      <x:c r="H47" s="2"/>
      <x:c r="I47" s="2"/>
      <x:c r="J47" s="2"/>
      <x:c r="K47" s="92"/>
      <x:c r="L47" s="92"/>
      <x:c r="M47" s="2"/>
      <x:c r="N47" s="2"/>
      <x:c r="O47" s="2"/>
      <x:c r="P47" s="2"/>
    </x:row>
    <x:row r="48">
      <x:c r="A48" s="91"/>
      <x:c r="B48" s="2"/>
      <x:c r="C48" s="2"/>
      <x:c r="D48" s="2"/>
      <x:c r="E48" s="2"/>
      <x:c r="F48" s="2"/>
      <x:c r="G48" s="2"/>
      <x:c r="H48" s="2"/>
      <x:c r="I48" s="2"/>
      <x:c r="J48" s="2"/>
      <x:c r="K48" s="92"/>
      <x:c r="L48" s="92"/>
      <x:c r="M48" s="2"/>
      <x:c r="N48" s="2"/>
      <x:c r="O48" s="2"/>
      <x:c r="P48" s="2"/>
    </x:row>
    <x:row r="49">
      <x:c r="A49" s="91"/>
      <x:c r="B49" s="2"/>
      <x:c r="C49" s="2"/>
      <x:c r="D49" s="2"/>
      <x:c r="E49" s="2"/>
      <x:c r="F49" s="2"/>
      <x:c r="G49" s="2"/>
      <x:c r="H49" s="2"/>
      <x:c r="I49" s="2"/>
      <x:c r="J49" s="2"/>
      <x:c r="K49" s="92"/>
      <x:c r="L49" s="92"/>
      <x:c r="M49" s="2"/>
      <x:c r="N49" s="2"/>
      <x:c r="O49" s="2"/>
      <x:c r="P49" s="2"/>
    </x:row>
    <x:row r="50">
      <x:c r="A50" s="91"/>
      <x:c r="B50" s="2"/>
      <x:c r="C50" s="2"/>
      <x:c r="D50" s="2"/>
      <x:c r="E50" s="2"/>
      <x:c r="F50" s="2"/>
      <x:c r="G50" s="2"/>
      <x:c r="H50" s="2"/>
      <x:c r="I50" s="2"/>
      <x:c r="J50" s="2"/>
      <x:c r="K50" s="92"/>
      <x:c r="L50" s="92"/>
      <x:c r="M50" s="2"/>
      <x:c r="N50" s="2"/>
      <x:c r="O50" s="2"/>
      <x:c r="P50" s="2"/>
    </x:row>
    <x:row r="51">
      <x:c r="A51" s="91"/>
      <x:c r="B51" s="2"/>
      <x:c r="C51" s="2"/>
      <x:c r="D51" s="2"/>
      <x:c r="E51" s="2"/>
      <x:c r="F51" s="2"/>
      <x:c r="G51" s="2"/>
      <x:c r="H51" s="2"/>
      <x:c r="I51" s="2"/>
      <x:c r="J51" s="2"/>
      <x:c r="K51" s="92"/>
      <x:c r="L51" s="92"/>
      <x:c r="M51" s="2"/>
      <x:c r="N51" s="2"/>
      <x:c r="O51" s="2"/>
      <x:c r="P51" s="2"/>
    </x:row>
    <x:row r="52">
      <x:c r="A52" s="91"/>
      <x:c r="B52" s="2"/>
      <x:c r="C52" s="2"/>
      <x:c r="D52" s="2"/>
      <x:c r="E52" s="2"/>
      <x:c r="F52" s="2"/>
      <x:c r="G52" s="2"/>
      <x:c r="H52" s="2"/>
      <x:c r="I52" s="2"/>
      <x:c r="J52" s="2"/>
      <x:c r="K52" s="92"/>
      <x:c r="L52" s="92"/>
      <x:c r="M52" s="2"/>
      <x:c r="N52" s="2"/>
      <x:c r="O52" s="2"/>
      <x:c r="P52" s="2"/>
    </x:row>
    <x:row r="53">
      <x:c r="A53" s="91"/>
      <x:c r="B53" s="2"/>
      <x:c r="C53" s="2"/>
      <x:c r="D53" s="2"/>
      <x:c r="E53" s="2"/>
      <x:c r="F53" s="2"/>
      <x:c r="G53" s="2"/>
      <x:c r="H53" s="2"/>
      <x:c r="I53" s="2"/>
      <x:c r="J53" s="2"/>
      <x:c r="K53" s="92"/>
      <x:c r="L53" s="92"/>
      <x:c r="M53" s="2"/>
      <x:c r="N53" s="2"/>
      <x:c r="O53" s="2"/>
      <x:c r="P53" s="2"/>
    </x:row>
    <x:row r="54">
      <x:c r="A54" s="91"/>
      <x:c r="B54" s="2"/>
      <x:c r="C54" s="2"/>
      <x:c r="D54" s="2"/>
      <x:c r="E54" s="2"/>
      <x:c r="F54" s="2"/>
      <x:c r="G54" s="2"/>
      <x:c r="H54" s="2"/>
      <x:c r="I54" s="2"/>
      <x:c r="J54" s="2"/>
      <x:c r="K54" s="92"/>
      <x:c r="L54" s="92"/>
      <x:c r="M54" s="2"/>
      <x:c r="N54" s="2"/>
      <x:c r="O54" s="2"/>
      <x:c r="P54" s="2"/>
    </x:row>
    <x:row r="55">
      <x:c r="A55" s="91"/>
      <x:c r="B55" s="2"/>
      <x:c r="C55" s="2"/>
      <x:c r="D55" s="2"/>
      <x:c r="E55" s="2"/>
      <x:c r="F55" s="2"/>
      <x:c r="G55" s="2"/>
      <x:c r="H55" s="2"/>
      <x:c r="I55" s="2"/>
      <x:c r="J55" s="2"/>
      <x:c r="K55" s="92"/>
      <x:c r="L55" s="92"/>
      <x:c r="M55" s="2"/>
      <x:c r="N55" s="2"/>
      <x:c r="O55" s="2"/>
      <x:c r="P55" s="2"/>
    </x:row>
    <x:row r="56">
      <x:c r="A56" s="91"/>
      <x:c r="B56" s="2"/>
      <x:c r="C56" s="2"/>
      <x:c r="D56" s="2"/>
      <x:c r="E56" s="2"/>
      <x:c r="F56" s="2"/>
      <x:c r="G56" s="2"/>
      <x:c r="H56" s="2"/>
      <x:c r="I56" s="2"/>
      <x:c r="J56" s="2"/>
      <x:c r="K56" s="92"/>
      <x:c r="L56" s="92"/>
      <x:c r="M56" s="2"/>
      <x:c r="N56" s="2"/>
      <x:c r="O56" s="2"/>
      <x:c r="P56" s="2"/>
    </x:row>
    <x:row r="57">
      <x:c r="A57" s="91"/>
      <x:c r="B57" s="2"/>
      <x:c r="C57" s="2"/>
      <x:c r="D57" s="2"/>
      <x:c r="E57" s="2"/>
      <x:c r="F57" s="2"/>
      <x:c r="G57" s="2"/>
      <x:c r="H57" s="2"/>
      <x:c r="I57" s="2"/>
      <x:c r="J57" s="2"/>
      <x:c r="K57" s="92"/>
      <x:c r="L57" s="92"/>
      <x:c r="M57" s="2"/>
      <x:c r="N57" s="2"/>
      <x:c r="O57" s="2"/>
      <x:c r="P57" s="2"/>
    </x:row>
    <x:row r="58">
      <x:c r="A58" s="91"/>
      <x:c r="B58" s="2"/>
      <x:c r="C58" s="2"/>
      <x:c r="D58" s="2"/>
      <x:c r="E58" s="2"/>
      <x:c r="F58" s="2"/>
      <x:c r="G58" s="2"/>
      <x:c r="H58" s="2"/>
      <x:c r="I58" s="2"/>
      <x:c r="J58" s="2"/>
      <x:c r="K58" s="92"/>
      <x:c r="L58" s="92"/>
      <x:c r="M58" s="2"/>
      <x:c r="N58" s="2"/>
      <x:c r="O58" s="2"/>
      <x:c r="P58" s="2"/>
    </x:row>
    <x:row r="59">
      <x:c r="A59" s="91"/>
      <x:c r="B59" s="2"/>
      <x:c r="C59" s="2"/>
      <x:c r="D59" s="2"/>
      <x:c r="E59" s="2"/>
      <x:c r="F59" s="2"/>
      <x:c r="G59" s="2"/>
      <x:c r="H59" s="2"/>
      <x:c r="I59" s="2"/>
      <x:c r="J59" s="2"/>
      <x:c r="K59" s="92"/>
      <x:c r="L59" s="92"/>
      <x:c r="M59" s="2"/>
      <x:c r="N59" s="2"/>
      <x:c r="O59" s="2"/>
      <x:c r="P59" s="2"/>
    </x:row>
    <x:row r="60">
      <x:c r="A60" s="91"/>
      <x:c r="B60" s="2"/>
      <x:c r="C60" s="2"/>
      <x:c r="D60" s="2"/>
      <x:c r="E60" s="2"/>
      <x:c r="F60" s="2"/>
      <x:c r="G60" s="2"/>
      <x:c r="H60" s="2"/>
      <x:c r="I60" s="2"/>
      <x:c r="J60" s="2"/>
      <x:c r="K60" s="92"/>
      <x:c r="L60" s="92"/>
      <x:c r="M60" s="2"/>
      <x:c r="N60" s="2"/>
      <x:c r="O60" s="2"/>
      <x:c r="P60" s="2"/>
    </x:row>
    <x:row r="61">
      <x:c r="A61" s="91"/>
      <x:c r="B61" s="2"/>
      <x:c r="C61" s="2"/>
      <x:c r="D61" s="2"/>
      <x:c r="E61" s="2"/>
      <x:c r="F61" s="2"/>
      <x:c r="G61" s="2"/>
      <x:c r="H61" s="2"/>
      <x:c r="I61" s="2"/>
      <x:c r="J61" s="2"/>
      <x:c r="K61" s="92"/>
      <x:c r="L61" s="92"/>
      <x:c r="M61" s="2"/>
      <x:c r="N61" s="2"/>
      <x:c r="O61" s="2"/>
      <x:c r="P61" s="2"/>
    </x:row>
    <x:row r="62">
      <x:c r="A62" s="91"/>
      <x:c r="B62" s="2"/>
      <x:c r="C62" s="2"/>
      <x:c r="D62" s="2"/>
      <x:c r="E62" s="2"/>
      <x:c r="F62" s="2"/>
      <x:c r="G62" s="2"/>
      <x:c r="H62" s="2"/>
      <x:c r="I62" s="2"/>
      <x:c r="J62" s="2"/>
      <x:c r="K62" s="92"/>
      <x:c r="L62" s="92"/>
      <x:c r="M62" s="2"/>
      <x:c r="N62" s="2"/>
      <x:c r="O62" s="2"/>
      <x:c r="P62" s="2"/>
    </x:row>
    <x:row r="63">
      <x:c r="A63" s="91"/>
      <x:c r="B63" s="2"/>
      <x:c r="C63" s="2"/>
      <x:c r="D63" s="2"/>
      <x:c r="E63" s="2"/>
      <x:c r="F63" s="2"/>
      <x:c r="G63" s="2"/>
      <x:c r="H63" s="2"/>
      <x:c r="I63" s="2"/>
      <x:c r="J63" s="2"/>
      <x:c r="K63" s="92"/>
      <x:c r="L63" s="92"/>
      <x:c r="M63" s="2"/>
      <x:c r="N63" s="2"/>
      <x:c r="O63" s="2"/>
      <x:c r="P63" s="2"/>
    </x:row>
    <x:row r="64">
      <x:c r="A64" s="91"/>
      <x:c r="B64" s="2"/>
      <x:c r="C64" s="2"/>
      <x:c r="D64" s="2"/>
      <x:c r="E64" s="2"/>
      <x:c r="F64" s="2"/>
      <x:c r="G64" s="2"/>
      <x:c r="H64" s="2"/>
      <x:c r="I64" s="2"/>
      <x:c r="J64" s="2"/>
      <x:c r="K64" s="92"/>
      <x:c r="L64" s="92"/>
      <x:c r="M64" s="2"/>
      <x:c r="N64" s="2"/>
      <x:c r="O64" s="2"/>
      <x:c r="P64" s="2"/>
    </x:row>
    <x:row r="65">
      <x:c r="A65" s="91"/>
      <x:c r="B65" s="2"/>
      <x:c r="C65" s="2"/>
      <x:c r="D65" s="2"/>
      <x:c r="E65" s="2"/>
      <x:c r="F65" s="2"/>
      <x:c r="G65" s="2"/>
      <x:c r="H65" s="2"/>
      <x:c r="I65" s="2"/>
      <x:c r="J65" s="2"/>
      <x:c r="K65" s="92"/>
      <x:c r="L65" s="92"/>
      <x:c r="M65" s="2"/>
      <x:c r="N65" s="2"/>
      <x:c r="O65" s="2"/>
      <x:c r="P65" s="2"/>
    </x:row>
    <x:row r="66">
      <x:c r="A66" s="91"/>
      <x:c r="B66" s="2"/>
      <x:c r="C66" s="2"/>
      <x:c r="D66" s="2"/>
      <x:c r="E66" s="2"/>
      <x:c r="F66" s="2"/>
      <x:c r="G66" s="2"/>
      <x:c r="H66" s="2"/>
      <x:c r="I66" s="2"/>
      <x:c r="J66" s="2"/>
      <x:c r="K66" s="92"/>
      <x:c r="L66" s="92"/>
      <x:c r="M66" s="2"/>
      <x:c r="N66" s="2"/>
      <x:c r="O66" s="2"/>
      <x:c r="P66" s="2"/>
    </x:row>
    <x:row r="67">
      <x:c r="A67" s="91"/>
      <x:c r="B67" s="2"/>
      <x:c r="C67" s="2"/>
      <x:c r="D67" s="2"/>
      <x:c r="E67" s="2"/>
      <x:c r="F67" s="2"/>
      <x:c r="G67" s="2"/>
      <x:c r="H67" s="2"/>
      <x:c r="I67" s="2"/>
      <x:c r="J67" s="2"/>
      <x:c r="K67" s="92"/>
      <x:c r="L67" s="92"/>
      <x:c r="M67" s="2"/>
      <x:c r="N67" s="2"/>
      <x:c r="O67" s="2"/>
      <x:c r="P67" s="2"/>
    </x:row>
    <x:row r="68">
      <x:c r="A68" s="91"/>
      <x:c r="B68" s="2"/>
      <x:c r="C68" s="2"/>
      <x:c r="D68" s="2"/>
      <x:c r="E68" s="2"/>
      <x:c r="F68" s="2"/>
      <x:c r="G68" s="2"/>
      <x:c r="H68" s="2"/>
      <x:c r="I68" s="2"/>
      <x:c r="J68" s="2"/>
      <x:c r="K68" s="92"/>
      <x:c r="L68" s="92"/>
      <x:c r="M68" s="2"/>
      <x:c r="N68" s="2"/>
      <x:c r="O68" s="2"/>
      <x:c r="P68" s="2"/>
    </x:row>
    <x:row r="69">
      <x:c r="A69" s="91"/>
      <x:c r="B69" s="2"/>
      <x:c r="C69" s="2"/>
      <x:c r="D69" s="2"/>
      <x:c r="E69" s="2"/>
      <x:c r="F69" s="2"/>
      <x:c r="G69" s="2"/>
      <x:c r="H69" s="2"/>
      <x:c r="I69" s="2"/>
      <x:c r="J69" s="2"/>
      <x:c r="K69" s="92"/>
      <x:c r="L69" s="92"/>
      <x:c r="M69" s="2"/>
      <x:c r="N69" s="2"/>
      <x:c r="O69" s="2"/>
      <x:c r="P69" s="2"/>
    </x:row>
    <x:row r="70">
      <x:c r="A70" s="91"/>
      <x:c r="B70" s="2"/>
      <x:c r="C70" s="2"/>
      <x:c r="D70" s="2"/>
      <x:c r="E70" s="2"/>
      <x:c r="F70" s="2"/>
      <x:c r="G70" s="2"/>
      <x:c r="H70" s="2"/>
      <x:c r="I70" s="2"/>
      <x:c r="J70" s="2"/>
      <x:c r="K70" s="92"/>
      <x:c r="L70" s="92"/>
      <x:c r="M70" s="2"/>
      <x:c r="N70" s="2"/>
      <x:c r="O70" s="2"/>
      <x:c r="P70" s="2"/>
    </x:row>
    <x:row r="71">
      <x:c r="A71" s="91"/>
      <x:c r="B71" s="2"/>
      <x:c r="C71" s="2"/>
      <x:c r="D71" s="2"/>
      <x:c r="E71" s="2"/>
      <x:c r="F71" s="2"/>
      <x:c r="G71" s="2"/>
      <x:c r="H71" s="2"/>
      <x:c r="I71" s="2"/>
      <x:c r="J71" s="2"/>
      <x:c r="K71" s="92"/>
      <x:c r="L71" s="92"/>
      <x:c r="M71" s="2"/>
      <x:c r="N71" s="2"/>
      <x:c r="O71" s="2"/>
      <x:c r="P71" s="2"/>
    </x:row>
    <x:row r="72">
      <x:c r="A72" s="91"/>
      <x:c r="B72" s="2"/>
      <x:c r="C72" s="2"/>
      <x:c r="D72" s="2"/>
      <x:c r="E72" s="2"/>
      <x:c r="F72" s="2"/>
      <x:c r="G72" s="2"/>
      <x:c r="H72" s="2"/>
      <x:c r="I72" s="2"/>
      <x:c r="J72" s="2"/>
      <x:c r="K72" s="92"/>
      <x:c r="L72" s="92"/>
      <x:c r="M72" s="2"/>
      <x:c r="N72" s="2"/>
      <x:c r="O72" s="2"/>
      <x:c r="P72" s="2"/>
    </x:row>
    <x:row r="73">
      <x:c r="A73" s="91"/>
      <x:c r="B73" s="2"/>
      <x:c r="C73" s="2"/>
      <x:c r="D73" s="2"/>
      <x:c r="E73" s="2"/>
      <x:c r="F73" s="2"/>
      <x:c r="G73" s="2"/>
      <x:c r="H73" s="2"/>
      <x:c r="I73" s="2"/>
      <x:c r="J73" s="2"/>
      <x:c r="K73" s="92"/>
      <x:c r="L73" s="92"/>
      <x:c r="M73" s="2"/>
      <x:c r="N73" s="2"/>
      <x:c r="O73" s="2"/>
      <x:c r="P73" s="2"/>
    </x:row>
    <x:row r="74">
      <x:c r="A74" s="91"/>
      <x:c r="B74" s="2"/>
      <x:c r="C74" s="2"/>
      <x:c r="D74" s="2"/>
      <x:c r="E74" s="2"/>
      <x:c r="F74" s="2"/>
      <x:c r="G74" s="2"/>
      <x:c r="H74" s="2"/>
      <x:c r="I74" s="2"/>
      <x:c r="J74" s="2"/>
      <x:c r="K74" s="92"/>
      <x:c r="L74" s="92"/>
      <x:c r="M74" s="2"/>
      <x:c r="N74" s="2"/>
      <x:c r="O74" s="2"/>
      <x:c r="P74" s="2"/>
    </x:row>
    <x:row r="75">
      <x:c r="A75" s="91"/>
      <x:c r="B75" s="2"/>
      <x:c r="C75" s="2"/>
      <x:c r="D75" s="2"/>
      <x:c r="E75" s="2"/>
      <x:c r="F75" s="2"/>
      <x:c r="G75" s="2"/>
      <x:c r="H75" s="2"/>
      <x:c r="I75" s="2"/>
      <x:c r="J75" s="2"/>
      <x:c r="K75" s="92"/>
      <x:c r="L75" s="92"/>
      <x:c r="M75" s="2"/>
      <x:c r="N75" s="2"/>
      <x:c r="O75" s="2"/>
      <x:c r="P75" s="2"/>
    </x:row>
    <x:row r="76">
      <x:c r="A76" s="91"/>
      <x:c r="B76" s="2"/>
      <x:c r="C76" s="2"/>
      <x:c r="D76" s="2"/>
      <x:c r="E76" s="2"/>
      <x:c r="F76" s="2"/>
      <x:c r="G76" s="2"/>
      <x:c r="H76" s="2"/>
      <x:c r="I76" s="2"/>
      <x:c r="J76" s="2"/>
      <x:c r="K76" s="92"/>
      <x:c r="L76" s="92"/>
      <x:c r="M76" s="2"/>
      <x:c r="N76" s="2"/>
      <x:c r="O76" s="2"/>
      <x:c r="P76" s="2"/>
    </x:row>
    <x:row r="77">
      <x:c r="A77" s="91"/>
      <x:c r="B77" s="2"/>
      <x:c r="C77" s="2"/>
      <x:c r="D77" s="2"/>
      <x:c r="E77" s="2"/>
      <x:c r="F77" s="2"/>
      <x:c r="G77" s="2"/>
      <x:c r="H77" s="2"/>
      <x:c r="I77" s="2"/>
      <x:c r="J77" s="2"/>
      <x:c r="K77" s="92"/>
      <x:c r="L77" s="92"/>
      <x:c r="M77" s="2"/>
      <x:c r="N77" s="2"/>
      <x:c r="O77" s="2"/>
      <x:c r="P77" s="2"/>
    </x:row>
    <x:row r="78">
      <x:c r="A78" s="91"/>
      <x:c r="B78" s="2"/>
      <x:c r="C78" s="2"/>
      <x:c r="D78" s="2"/>
      <x:c r="E78" s="2"/>
      <x:c r="F78" s="2"/>
      <x:c r="G78" s="2"/>
      <x:c r="H78" s="2"/>
      <x:c r="I78" s="2"/>
      <x:c r="J78" s="2"/>
      <x:c r="K78" s="92"/>
      <x:c r="L78" s="92"/>
      <x:c r="M78" s="2"/>
      <x:c r="N78" s="2"/>
      <x:c r="O78" s="2"/>
      <x:c r="P78" s="2"/>
    </x:row>
    <x:row r="79">
      <x:c r="A79" s="91"/>
      <x:c r="B79" s="2"/>
      <x:c r="C79" s="2"/>
      <x:c r="D79" s="2"/>
      <x:c r="E79" s="2"/>
      <x:c r="F79" s="2"/>
      <x:c r="G79" s="2"/>
      <x:c r="H79" s="2"/>
      <x:c r="I79" s="2"/>
      <x:c r="J79" s="2"/>
      <x:c r="K79" s="92"/>
      <x:c r="L79" s="92"/>
      <x:c r="M79" s="2"/>
      <x:c r="N79" s="2"/>
      <x:c r="O79" s="2"/>
      <x:c r="P79" s="2"/>
    </x:row>
    <x:row r="80">
      <x:c r="A80" s="91"/>
      <x:c r="B80" s="2"/>
      <x:c r="C80" s="2"/>
      <x:c r="D80" s="2"/>
      <x:c r="E80" s="2"/>
      <x:c r="F80" s="2"/>
      <x:c r="G80" s="2"/>
      <x:c r="H80" s="2"/>
      <x:c r="I80" s="2"/>
      <x:c r="J80" s="2"/>
      <x:c r="K80" s="92"/>
      <x:c r="L80" s="92"/>
      <x:c r="M80" s="2"/>
      <x:c r="N80" s="2"/>
      <x:c r="O80" s="2"/>
      <x:c r="P80" s="2"/>
    </x:row>
    <x:row r="81">
      <x:c r="A81" s="91"/>
      <x:c r="B81" s="2"/>
      <x:c r="C81" s="2"/>
      <x:c r="D81" s="2"/>
      <x:c r="E81" s="2"/>
      <x:c r="F81" s="2"/>
      <x:c r="G81" s="2"/>
      <x:c r="H81" s="2"/>
      <x:c r="I81" s="2"/>
      <x:c r="J81" s="2"/>
      <x:c r="K81" s="92"/>
      <x:c r="L81" s="92"/>
      <x:c r="M81" s="2"/>
      <x:c r="N81" s="2"/>
      <x:c r="O81" s="2"/>
      <x:c r="P81" s="2"/>
    </x:row>
    <x:row r="82">
      <x:c r="A82" s="91"/>
      <x:c r="B82" s="2"/>
      <x:c r="C82" s="2"/>
      <x:c r="D82" s="2"/>
      <x:c r="E82" s="2"/>
      <x:c r="F82" s="2"/>
      <x:c r="G82" s="2"/>
      <x:c r="H82" s="2"/>
      <x:c r="I82" s="2"/>
      <x:c r="J82" s="2"/>
      <x:c r="K82" s="92"/>
      <x:c r="L82" s="92"/>
      <x:c r="M82" s="2"/>
      <x:c r="N82" s="2"/>
      <x:c r="O82" s="2"/>
      <x:c r="P82" s="2"/>
    </x:row>
    <x:row r="83">
      <x:c r="A83" s="91"/>
      <x:c r="B83" s="2"/>
      <x:c r="C83" s="2"/>
      <x:c r="D83" s="2"/>
      <x:c r="E83" s="2"/>
      <x:c r="F83" s="2"/>
      <x:c r="G83" s="2"/>
      <x:c r="H83" s="2"/>
      <x:c r="I83" s="2"/>
      <x:c r="J83" s="2"/>
      <x:c r="K83" s="92"/>
      <x:c r="L83" s="92"/>
      <x:c r="M83" s="2"/>
      <x:c r="N83" s="2"/>
      <x:c r="O83" s="2"/>
      <x:c r="P83" s="2"/>
    </x:row>
    <x:row r="84">
      <x:c r="A84" s="91"/>
      <x:c r="B84" s="2"/>
      <x:c r="C84" s="2"/>
      <x:c r="D84" s="2"/>
      <x:c r="E84" s="2"/>
      <x:c r="F84" s="2"/>
      <x:c r="G84" s="2"/>
      <x:c r="H84" s="2"/>
      <x:c r="I84" s="2"/>
      <x:c r="J84" s="2"/>
      <x:c r="K84" s="92"/>
      <x:c r="L84" s="92"/>
      <x:c r="M84" s="2"/>
      <x:c r="N84" s="2"/>
      <x:c r="O84" s="2"/>
      <x:c r="P84" s="2"/>
    </x:row>
    <x:row r="85">
      <x:c r="A85" s="91"/>
      <x:c r="B85" s="2"/>
      <x:c r="C85" s="2"/>
      <x:c r="D85" s="2"/>
      <x:c r="E85" s="2"/>
      <x:c r="F85" s="2"/>
      <x:c r="G85" s="2"/>
      <x:c r="H85" s="2"/>
      <x:c r="I85" s="2"/>
      <x:c r="J85" s="2"/>
      <x:c r="K85" s="92"/>
      <x:c r="L85" s="92"/>
      <x:c r="M85" s="2"/>
      <x:c r="N85" s="2"/>
      <x:c r="O85" s="2"/>
      <x:c r="P85" s="2"/>
    </x:row>
    <x:row r="86">
      <x:c r="A86" s="91"/>
      <x:c r="B86" s="2"/>
      <x:c r="C86" s="2"/>
      <x:c r="D86" s="2"/>
      <x:c r="E86" s="2"/>
      <x:c r="F86" s="2"/>
      <x:c r="G86" s="2"/>
      <x:c r="H86" s="2"/>
      <x:c r="I86" s="2"/>
      <x:c r="J86" s="2"/>
      <x:c r="K86" s="92"/>
      <x:c r="L86" s="92"/>
      <x:c r="M86" s="2"/>
      <x:c r="N86" s="2"/>
      <x:c r="O86" s="2"/>
      <x:c r="P86" s="2"/>
    </x:row>
    <x:row r="87">
      <x:c r="A87" s="91"/>
      <x:c r="B87" s="2"/>
      <x:c r="C87" s="2"/>
      <x:c r="D87" s="2"/>
      <x:c r="E87" s="2"/>
      <x:c r="F87" s="2"/>
      <x:c r="G87" s="2"/>
      <x:c r="H87" s="2"/>
      <x:c r="I87" s="2"/>
      <x:c r="J87" s="2"/>
      <x:c r="K87" s="92"/>
      <x:c r="L87" s="92"/>
      <x:c r="M87" s="2"/>
      <x:c r="N87" s="2"/>
      <x:c r="O87" s="2"/>
      <x:c r="P87" s="2"/>
    </x:row>
    <x:row r="88">
      <x:c r="A88" s="91"/>
      <x:c r="B88" s="2"/>
      <x:c r="C88" s="2"/>
      <x:c r="D88" s="2"/>
      <x:c r="E88" s="2"/>
      <x:c r="F88" s="2"/>
      <x:c r="G88" s="2"/>
      <x:c r="H88" s="2"/>
      <x:c r="I88" s="2"/>
      <x:c r="J88" s="2"/>
      <x:c r="K88" s="92"/>
      <x:c r="L88" s="92"/>
      <x:c r="M88" s="2"/>
      <x:c r="N88" s="2"/>
      <x:c r="O88" s="2"/>
      <x:c r="P88" s="2"/>
    </x:row>
    <x:row r="89">
      <x:c r="A89" s="91"/>
      <x:c r="B89" s="2"/>
      <x:c r="C89" s="2"/>
      <x:c r="D89" s="2"/>
      <x:c r="E89" s="2"/>
      <x:c r="F89" s="2"/>
      <x:c r="G89" s="2"/>
      <x:c r="H89" s="2"/>
      <x:c r="I89" s="2"/>
      <x:c r="J89" s="2"/>
      <x:c r="K89" s="92"/>
      <x:c r="L89" s="92"/>
      <x:c r="M89" s="2"/>
      <x:c r="N89" s="2"/>
      <x:c r="O89" s="2"/>
      <x:c r="P89" s="2"/>
    </x:row>
    <x:row r="90">
      <x:c r="A90" s="91"/>
      <x:c r="B90" s="2"/>
      <x:c r="C90" s="2"/>
      <x:c r="D90" s="2"/>
      <x:c r="E90" s="2"/>
      <x:c r="F90" s="2"/>
      <x:c r="G90" s="2"/>
      <x:c r="H90" s="2"/>
      <x:c r="I90" s="2"/>
      <x:c r="J90" s="2"/>
      <x:c r="K90" s="92"/>
      <x:c r="L90" s="92"/>
      <x:c r="M90" s="2"/>
      <x:c r="N90" s="2"/>
      <x:c r="O90" s="2"/>
      <x:c r="P90" s="2"/>
    </x:row>
    <x:row r="91">
      <x:c r="A91" s="91"/>
      <x:c r="B91" s="2"/>
      <x:c r="C91" s="2"/>
      <x:c r="D91" s="2"/>
      <x:c r="E91" s="2"/>
      <x:c r="F91" s="2"/>
      <x:c r="G91" s="2"/>
      <x:c r="H91" s="2"/>
      <x:c r="I91" s="2"/>
      <x:c r="J91" s="2"/>
      <x:c r="K91" s="92"/>
      <x:c r="L91" s="92"/>
      <x:c r="M91" s="2"/>
      <x:c r="N91" s="2"/>
      <x:c r="O91" s="2"/>
      <x:c r="P91" s="2"/>
    </x:row>
    <x:row r="92">
      <x:c r="A92" s="91"/>
      <x:c r="B92" s="2"/>
      <x:c r="C92" s="2"/>
      <x:c r="D92" s="2"/>
      <x:c r="E92" s="2"/>
      <x:c r="F92" s="2"/>
      <x:c r="G92" s="2"/>
      <x:c r="H92" s="2"/>
      <x:c r="I92" s="2"/>
      <x:c r="J92" s="2"/>
      <x:c r="K92" s="92"/>
      <x:c r="L92" s="92"/>
      <x:c r="M92" s="2"/>
      <x:c r="N92" s="2"/>
      <x:c r="O92" s="2"/>
      <x:c r="P92" s="2"/>
    </x:row>
    <x:row r="93">
      <x:c r="A93" s="91"/>
      <x:c r="B93" s="2"/>
      <x:c r="C93" s="2"/>
      <x:c r="D93" s="2"/>
      <x:c r="E93" s="2"/>
      <x:c r="F93" s="2"/>
      <x:c r="G93" s="2"/>
      <x:c r="H93" s="2"/>
      <x:c r="I93" s="2"/>
      <x:c r="J93" s="2"/>
      <x:c r="K93" s="92"/>
      <x:c r="L93" s="92"/>
      <x:c r="M93" s="2"/>
      <x:c r="N93" s="2"/>
      <x:c r="O93" s="2"/>
      <x:c r="P93" s="2"/>
    </x:row>
    <x:row r="94">
      <x:c r="A94" s="91"/>
      <x:c r="B94" s="2"/>
      <x:c r="C94" s="2"/>
      <x:c r="D94" s="2"/>
      <x:c r="E94" s="2"/>
      <x:c r="F94" s="2"/>
      <x:c r="G94" s="2"/>
      <x:c r="H94" s="2"/>
      <x:c r="I94" s="2"/>
      <x:c r="J94" s="2"/>
      <x:c r="K94" s="92"/>
      <x:c r="L94" s="92"/>
      <x:c r="M94" s="2"/>
      <x:c r="N94" s="2"/>
      <x:c r="O94" s="2"/>
      <x:c r="P94" s="2"/>
    </x:row>
    <x:row r="95">
      <x:c r="A95" s="91"/>
      <x:c r="B95" s="2"/>
      <x:c r="C95" s="2"/>
      <x:c r="D95" s="2"/>
      <x:c r="E95" s="2"/>
      <x:c r="F95" s="2"/>
      <x:c r="G95" s="2"/>
      <x:c r="H95" s="2"/>
      <x:c r="I95" s="2"/>
      <x:c r="J95" s="2"/>
      <x:c r="K95" s="92"/>
      <x:c r="L95" s="92"/>
      <x:c r="M95" s="2"/>
      <x:c r="N95" s="2"/>
      <x:c r="O95" s="2"/>
      <x:c r="P95" s="2"/>
    </x:row>
    <x:row r="96">
      <x:c r="A96" s="91"/>
      <x:c r="B96" s="2"/>
      <x:c r="C96" s="2"/>
      <x:c r="D96" s="2"/>
      <x:c r="E96" s="2"/>
      <x:c r="F96" s="2"/>
      <x:c r="G96" s="2"/>
      <x:c r="H96" s="2"/>
      <x:c r="I96" s="2"/>
      <x:c r="J96" s="2"/>
      <x:c r="K96" s="92"/>
      <x:c r="L96" s="92"/>
      <x:c r="M96" s="2"/>
      <x:c r="N96" s="2"/>
      <x:c r="O96" s="2"/>
      <x:c r="P96" s="2"/>
    </x:row>
    <x:row r="97">
      <x:c r="A97" s="91"/>
      <x:c r="B97" s="2"/>
      <x:c r="C97" s="2"/>
      <x:c r="D97" s="2"/>
      <x:c r="E97" s="2"/>
      <x:c r="F97" s="2"/>
      <x:c r="G97" s="2"/>
      <x:c r="H97" s="2"/>
      <x:c r="I97" s="2"/>
      <x:c r="J97" s="2"/>
      <x:c r="K97" s="92"/>
      <x:c r="L97" s="92"/>
      <x:c r="M97" s="2"/>
      <x:c r="N97" s="2"/>
      <x:c r="O97" s="2"/>
      <x:c r="P97" s="2"/>
    </x:row>
    <x:row r="98">
      <x:c r="A98" s="91"/>
      <x:c r="B98" s="2"/>
      <x:c r="C98" s="2"/>
      <x:c r="D98" s="2"/>
      <x:c r="E98" s="2"/>
      <x:c r="F98" s="2"/>
      <x:c r="G98" s="2"/>
      <x:c r="H98" s="2"/>
      <x:c r="I98" s="2"/>
      <x:c r="J98" s="2"/>
      <x:c r="K98" s="92"/>
      <x:c r="L98" s="92"/>
      <x:c r="M98" s="2"/>
      <x:c r="N98" s="2"/>
      <x:c r="O98" s="2"/>
      <x:c r="P98" s="2"/>
    </x:row>
    <x:row r="99">
      <x:c r="A99" s="91"/>
      <x:c r="B99" s="2"/>
      <x:c r="C99" s="2"/>
      <x:c r="D99" s="2"/>
      <x:c r="E99" s="2"/>
      <x:c r="F99" s="2"/>
      <x:c r="G99" s="2"/>
      <x:c r="H99" s="2"/>
      <x:c r="I99" s="2"/>
      <x:c r="J99" s="2"/>
      <x:c r="K99" s="92"/>
      <x:c r="L99" s="92"/>
      <x:c r="M99" s="2"/>
      <x:c r="N99" s="2"/>
      <x:c r="O99" s="2"/>
      <x:c r="P99" s="2"/>
    </x:row>
    <x:row r="100">
      <x:c r="A100" s="91"/>
      <x:c r="B100" s="2"/>
      <x:c r="C100" s="2"/>
      <x:c r="D100" s="2"/>
      <x:c r="E100" s="2"/>
      <x:c r="F100" s="2"/>
      <x:c r="G100" s="2"/>
      <x:c r="H100" s="2"/>
      <x:c r="I100" s="2"/>
      <x:c r="J100" s="2"/>
      <x:c r="K100" s="92"/>
      <x:c r="L100" s="92"/>
      <x:c r="M100" s="2"/>
      <x:c r="N100" s="2"/>
      <x:c r="O100" s="2"/>
      <x:c r="P100" s="2"/>
    </x:row>
    <x:row r="101">
      <x:c r="A101" s="91"/>
      <x:c r="B101" s="2"/>
      <x:c r="C101" s="2"/>
      <x:c r="D101" s="2"/>
      <x:c r="E101" s="2"/>
      <x:c r="F101" s="2"/>
      <x:c r="G101" s="2"/>
      <x:c r="H101" s="2"/>
      <x:c r="I101" s="2"/>
      <x:c r="J101" s="2"/>
      <x:c r="K101" s="92"/>
      <x:c r="L101" s="92"/>
      <x:c r="M101" s="2"/>
      <x:c r="N101" s="2"/>
      <x:c r="O101" s="2"/>
      <x:c r="P101" s="2"/>
    </x:row>
    <x:row r="102">
      <x:c r="A102" s="91"/>
      <x:c r="B102" s="2"/>
      <x:c r="C102" s="2"/>
      <x:c r="D102" s="2"/>
      <x:c r="E102" s="2"/>
      <x:c r="F102" s="2"/>
      <x:c r="G102" s="2"/>
      <x:c r="H102" s="2"/>
      <x:c r="I102" s="2"/>
      <x:c r="J102" s="2"/>
      <x:c r="K102" s="92"/>
      <x:c r="L102" s="92"/>
      <x:c r="M102" s="2"/>
      <x:c r="N102" s="2"/>
      <x:c r="O102" s="2"/>
      <x:c r="P102" s="2"/>
    </x:row>
    <x:row r="103">
      <x:c r="A103" s="91"/>
      <x:c r="B103" s="2"/>
      <x:c r="C103" s="2"/>
      <x:c r="D103" s="2"/>
      <x:c r="E103" s="2"/>
      <x:c r="F103" s="2"/>
      <x:c r="G103" s="2"/>
      <x:c r="H103" s="2"/>
      <x:c r="I103" s="2"/>
      <x:c r="J103" s="2"/>
      <x:c r="K103" s="92"/>
      <x:c r="L103" s="92"/>
      <x:c r="M103" s="2"/>
      <x:c r="N103" s="2"/>
      <x:c r="O103" s="2"/>
      <x:c r="P103" s="2"/>
    </x:row>
    <x:row r="104">
      <x:c r="A104" s="91"/>
      <x:c r="B104" s="2"/>
      <x:c r="C104" s="2"/>
      <x:c r="D104" s="2"/>
      <x:c r="E104" s="2"/>
      <x:c r="F104" s="2"/>
      <x:c r="G104" s="2"/>
      <x:c r="H104" s="2"/>
      <x:c r="I104" s="2"/>
      <x:c r="J104" s="2"/>
      <x:c r="K104" s="92"/>
      <x:c r="L104" s="92"/>
      <x:c r="M104" s="2"/>
      <x:c r="N104" s="2"/>
      <x:c r="O104" s="2"/>
      <x:c r="P104" s="2"/>
    </x:row>
    <x:row r="105">
      <x:c r="A105" s="91"/>
      <x:c r="B105" s="2"/>
      <x:c r="C105" s="2"/>
      <x:c r="D105" s="2"/>
      <x:c r="E105" s="2"/>
      <x:c r="F105" s="2"/>
      <x:c r="G105" s="2"/>
      <x:c r="H105" s="2"/>
      <x:c r="I105" s="2"/>
      <x:c r="J105" s="2"/>
      <x:c r="K105" s="92"/>
      <x:c r="L105" s="92"/>
      <x:c r="M105" s="2"/>
      <x:c r="N105" s="2"/>
      <x:c r="O105" s="2"/>
      <x:c r="P105" s="2"/>
    </x:row>
    <x:row r="106">
      <x:c r="A106" s="91"/>
      <x:c r="B106" s="2"/>
      <x:c r="C106" s="2"/>
      <x:c r="D106" s="2"/>
      <x:c r="E106" s="2"/>
      <x:c r="F106" s="2"/>
      <x:c r="G106" s="2"/>
      <x:c r="H106" s="2"/>
      <x:c r="I106" s="2"/>
      <x:c r="J106" s="2"/>
      <x:c r="K106" s="92"/>
      <x:c r="L106" s="92"/>
      <x:c r="M106" s="2"/>
      <x:c r="N106" s="2"/>
      <x:c r="O106" s="2"/>
      <x:c r="P106" s="2"/>
    </x:row>
    <x:row r="107">
      <x:c r="A107" s="91"/>
      <x:c r="B107" s="2"/>
      <x:c r="C107" s="2"/>
      <x:c r="D107" s="2"/>
      <x:c r="E107" s="2"/>
      <x:c r="F107" s="2"/>
      <x:c r="G107" s="2"/>
      <x:c r="H107" s="2"/>
      <x:c r="I107" s="2"/>
      <x:c r="J107" s="2"/>
      <x:c r="K107" s="92"/>
      <x:c r="L107" s="92"/>
      <x:c r="M107" s="2"/>
      <x:c r="N107" s="2"/>
      <x:c r="O107" s="2"/>
      <x:c r="P107" s="2"/>
    </x:row>
    <x:row r="108">
      <x:c r="A108" s="91"/>
      <x:c r="B108" s="2"/>
      <x:c r="C108" s="2"/>
      <x:c r="D108" s="2"/>
      <x:c r="E108" s="2"/>
      <x:c r="F108" s="2"/>
      <x:c r="G108" s="2"/>
      <x:c r="H108" s="2"/>
      <x:c r="I108" s="2"/>
      <x:c r="J108" s="2"/>
      <x:c r="K108" s="92"/>
      <x:c r="L108" s="92"/>
      <x:c r="M108" s="2"/>
      <x:c r="N108" s="2"/>
      <x:c r="O108" s="2"/>
      <x:c r="P108" s="2"/>
    </x:row>
    <x:row r="109">
      <x:c r="A109" s="91"/>
      <x:c r="B109" s="2"/>
      <x:c r="C109" s="2"/>
      <x:c r="D109" s="2"/>
      <x:c r="E109" s="2"/>
      <x:c r="F109" s="2"/>
      <x:c r="G109" s="2"/>
      <x:c r="H109" s="2"/>
      <x:c r="I109" s="2"/>
      <x:c r="J109" s="2"/>
      <x:c r="K109" s="92"/>
      <x:c r="L109" s="92"/>
      <x:c r="M109" s="2"/>
      <x:c r="N109" s="2"/>
      <x:c r="O109" s="2"/>
      <x:c r="P109" s="2"/>
    </x:row>
    <x:row r="110">
      <x:c r="A110" s="91"/>
      <x:c r="B110" s="2"/>
      <x:c r="C110" s="2"/>
      <x:c r="D110" s="2"/>
      <x:c r="E110" s="2"/>
      <x:c r="F110" s="2"/>
      <x:c r="G110" s="2"/>
      <x:c r="H110" s="2"/>
      <x:c r="I110" s="2"/>
      <x:c r="J110" s="2"/>
      <x:c r="K110" s="92"/>
      <x:c r="L110" s="92"/>
      <x:c r="M110" s="2"/>
      <x:c r="N110" s="2"/>
      <x:c r="O110" s="2"/>
      <x:c r="P110" s="2"/>
    </x:row>
    <x:row r="111">
      <x:c r="A111" s="91"/>
      <x:c r="B111" s="2"/>
      <x:c r="C111" s="2"/>
      <x:c r="D111" s="2"/>
      <x:c r="E111" s="2"/>
      <x:c r="F111" s="2"/>
      <x:c r="G111" s="2"/>
      <x:c r="H111" s="2"/>
      <x:c r="I111" s="2"/>
      <x:c r="J111" s="2"/>
      <x:c r="K111" s="92"/>
      <x:c r="L111" s="92"/>
      <x:c r="M111" s="2"/>
      <x:c r="N111" s="2"/>
      <x:c r="O111" s="2"/>
      <x:c r="P111" s="2"/>
    </x:row>
    <x:row r="112">
      <x:c r="A112" s="91"/>
      <x:c r="B112" s="2"/>
      <x:c r="C112" s="2"/>
      <x:c r="D112" s="2"/>
      <x:c r="E112" s="2"/>
      <x:c r="F112" s="2"/>
      <x:c r="G112" s="2"/>
      <x:c r="H112" s="2"/>
      <x:c r="I112" s="2"/>
      <x:c r="J112" s="2"/>
      <x:c r="K112" s="92"/>
      <x:c r="L112" s="92"/>
      <x:c r="M112" s="2"/>
      <x:c r="N112" s="2"/>
      <x:c r="O112" s="2"/>
      <x:c r="P112" s="2"/>
    </x:row>
    <x:row r="113">
      <x:c r="A113" s="91"/>
      <x:c r="B113" s="2"/>
      <x:c r="C113" s="2"/>
      <x:c r="D113" s="2"/>
      <x:c r="E113" s="2"/>
      <x:c r="F113" s="2"/>
      <x:c r="G113" s="2"/>
      <x:c r="H113" s="2"/>
      <x:c r="I113" s="2"/>
      <x:c r="J113" s="2"/>
      <x:c r="K113" s="92"/>
      <x:c r="L113" s="92"/>
      <x:c r="M113" s="2"/>
      <x:c r="N113" s="2"/>
      <x:c r="O113" s="2"/>
      <x:c r="P113" s="2"/>
    </x:row>
    <x:row r="114">
      <x:c r="A114" s="91"/>
      <x:c r="B114" s="2"/>
      <x:c r="C114" s="2"/>
      <x:c r="D114" s="2"/>
      <x:c r="E114" s="2"/>
      <x:c r="F114" s="2"/>
      <x:c r="G114" s="2"/>
      <x:c r="H114" s="2"/>
      <x:c r="I114" s="2"/>
      <x:c r="J114" s="2"/>
      <x:c r="K114" s="92"/>
      <x:c r="L114" s="92"/>
      <x:c r="M114" s="2"/>
      <x:c r="N114" s="2"/>
      <x:c r="O114" s="2"/>
      <x:c r="P114" s="2"/>
    </x:row>
    <x:row r="115">
      <x:c r="A115" s="91"/>
      <x:c r="B115" s="2"/>
      <x:c r="C115" s="2"/>
      <x:c r="D115" s="2"/>
      <x:c r="E115" s="2"/>
      <x:c r="F115" s="2"/>
      <x:c r="G115" s="2"/>
      <x:c r="H115" s="2"/>
      <x:c r="I115" s="2"/>
      <x:c r="J115" s="2"/>
      <x:c r="K115" s="92"/>
      <x:c r="L115" s="92"/>
      <x:c r="M115" s="2"/>
      <x:c r="N115" s="2"/>
      <x:c r="O115" s="2"/>
      <x:c r="P115" s="2"/>
    </x:row>
    <x:row r="116">
      <x:c r="A116" s="91"/>
      <x:c r="B116" s="2"/>
      <x:c r="C116" s="2"/>
      <x:c r="D116" s="2"/>
      <x:c r="E116" s="2"/>
      <x:c r="F116" s="2"/>
      <x:c r="G116" s="2"/>
      <x:c r="H116" s="2"/>
      <x:c r="I116" s="2"/>
      <x:c r="J116" s="2"/>
      <x:c r="K116" s="92"/>
      <x:c r="L116" s="92"/>
      <x:c r="M116" s="2"/>
      <x:c r="N116" s="2"/>
      <x:c r="O116" s="2"/>
      <x:c r="P116" s="2"/>
    </x:row>
    <x:row r="117">
      <x:c r="A117" s="91"/>
      <x:c r="B117" s="2"/>
      <x:c r="C117" s="2"/>
      <x:c r="D117" s="2"/>
      <x:c r="E117" s="2"/>
      <x:c r="F117" s="2"/>
      <x:c r="G117" s="2"/>
      <x:c r="H117" s="2"/>
      <x:c r="I117" s="2"/>
      <x:c r="J117" s="2"/>
      <x:c r="K117" s="92"/>
      <x:c r="L117" s="92"/>
      <x:c r="M117" s="2"/>
      <x:c r="N117" s="2"/>
      <x:c r="O117" s="2"/>
      <x:c r="P117" s="2"/>
    </x:row>
    <x:row r="118">
      <x:c r="A118" s="91"/>
      <x:c r="B118" s="2"/>
      <x:c r="C118" s="2"/>
      <x:c r="D118" s="2"/>
      <x:c r="E118" s="2"/>
      <x:c r="F118" s="2"/>
      <x:c r="G118" s="2"/>
      <x:c r="H118" s="2"/>
      <x:c r="I118" s="2"/>
      <x:c r="J118" s="2"/>
      <x:c r="K118" s="92"/>
      <x:c r="L118" s="92"/>
      <x:c r="M118" s="2"/>
      <x:c r="N118" s="2"/>
      <x:c r="O118" s="2"/>
      <x:c r="P118" s="2"/>
    </x:row>
    <x:row r="119">
      <x:c r="A119" s="91"/>
      <x:c r="B119" s="2"/>
      <x:c r="C119" s="2"/>
      <x:c r="D119" s="2"/>
      <x:c r="E119" s="2"/>
      <x:c r="F119" s="2"/>
      <x:c r="G119" s="2"/>
      <x:c r="H119" s="2"/>
      <x:c r="I119" s="2"/>
      <x:c r="J119" s="2"/>
      <x:c r="K119" s="92"/>
      <x:c r="L119" s="92"/>
      <x:c r="M119" s="2"/>
      <x:c r="N119" s="2"/>
      <x:c r="O119" s="2"/>
      <x:c r="P119" s="2"/>
    </x:row>
    <x:row r="120">
      <x:c r="A120" s="91"/>
      <x:c r="B120" s="2"/>
      <x:c r="C120" s="2"/>
      <x:c r="D120" s="2"/>
      <x:c r="E120" s="2"/>
      <x:c r="F120" s="2"/>
      <x:c r="G120" s="2"/>
      <x:c r="H120" s="2"/>
      <x:c r="I120" s="2"/>
      <x:c r="J120" s="2"/>
      <x:c r="K120" s="92"/>
      <x:c r="L120" s="92"/>
      <x:c r="M120" s="2"/>
      <x:c r="N120" s="2"/>
      <x:c r="O120" s="2"/>
      <x:c r="P120" s="2"/>
    </x:row>
    <x:row r="121">
      <x:c r="A121" s="91"/>
      <x:c r="B121" s="2"/>
      <x:c r="C121" s="2"/>
      <x:c r="D121" s="2"/>
      <x:c r="E121" s="2"/>
      <x:c r="F121" s="2"/>
      <x:c r="G121" s="2"/>
      <x:c r="H121" s="2"/>
      <x:c r="I121" s="2"/>
      <x:c r="J121" s="2"/>
      <x:c r="K121" s="92"/>
      <x:c r="L121" s="92"/>
      <x:c r="M121" s="2"/>
      <x:c r="N121" s="2"/>
      <x:c r="O121" s="2"/>
      <x:c r="P121" s="2"/>
    </x:row>
    <x:row r="122">
      <x:c r="A122" s="91"/>
      <x:c r="B122" s="2"/>
      <x:c r="C122" s="2"/>
      <x:c r="D122" s="2"/>
      <x:c r="E122" s="2"/>
      <x:c r="F122" s="2"/>
      <x:c r="G122" s="2"/>
      <x:c r="H122" s="2"/>
      <x:c r="I122" s="2"/>
      <x:c r="J122" s="2"/>
      <x:c r="K122" s="92"/>
      <x:c r="L122" s="92"/>
      <x:c r="M122" s="2"/>
      <x:c r="N122" s="2"/>
      <x:c r="O122" s="2"/>
      <x:c r="P122" s="2"/>
    </x:row>
    <x:row r="123">
      <x:c r="A123" s="91"/>
      <x:c r="B123" s="2"/>
      <x:c r="C123" s="2"/>
      <x:c r="D123" s="2"/>
      <x:c r="E123" s="2"/>
      <x:c r="F123" s="2"/>
      <x:c r="G123" s="2"/>
      <x:c r="H123" s="2"/>
      <x:c r="I123" s="2"/>
      <x:c r="J123" s="2"/>
      <x:c r="K123" s="92"/>
      <x:c r="L123" s="92"/>
      <x:c r="M123" s="2"/>
      <x:c r="N123" s="2"/>
      <x:c r="O123" s="2"/>
      <x:c r="P123" s="2"/>
    </x:row>
    <x:row r="124">
      <x:c r="A124" s="91"/>
      <x:c r="B124" s="2"/>
      <x:c r="C124" s="2"/>
      <x:c r="D124" s="2"/>
      <x:c r="E124" s="2"/>
      <x:c r="F124" s="2"/>
      <x:c r="G124" s="2"/>
      <x:c r="H124" s="2"/>
      <x:c r="I124" s="2"/>
      <x:c r="J124" s="2"/>
      <x:c r="K124" s="92"/>
      <x:c r="L124" s="92"/>
      <x:c r="M124" s="2"/>
      <x:c r="N124" s="2"/>
      <x:c r="O124" s="2"/>
      <x:c r="P124" s="2"/>
    </x:row>
    <x:row r="125">
      <x:c r="A125" s="91"/>
      <x:c r="B125" s="2"/>
      <x:c r="C125" s="2"/>
      <x:c r="D125" s="2"/>
      <x:c r="E125" s="2"/>
      <x:c r="F125" s="2"/>
      <x:c r="G125" s="2"/>
      <x:c r="H125" s="2"/>
      <x:c r="I125" s="2"/>
      <x:c r="J125" s="2"/>
      <x:c r="K125" s="92"/>
      <x:c r="L125" s="92"/>
      <x:c r="M125" s="2"/>
      <x:c r="N125" s="2"/>
      <x:c r="O125" s="2"/>
      <x:c r="P125" s="2"/>
    </x:row>
    <x:row r="126">
      <x:c r="A126" s="91"/>
      <x:c r="B126" s="2"/>
      <x:c r="C126" s="2"/>
      <x:c r="D126" s="2"/>
      <x:c r="E126" s="2"/>
      <x:c r="F126" s="2"/>
      <x:c r="G126" s="2"/>
      <x:c r="H126" s="2"/>
      <x:c r="I126" s="2"/>
      <x:c r="J126" s="2"/>
      <x:c r="K126" s="92"/>
      <x:c r="L126" s="92"/>
      <x:c r="M126" s="2"/>
      <x:c r="N126" s="2"/>
      <x:c r="O126" s="2"/>
      <x:c r="P126" s="2"/>
    </x:row>
    <x:row r="127">
      <x:c r="A127" s="91"/>
      <x:c r="B127" s="2"/>
      <x:c r="C127" s="2"/>
      <x:c r="D127" s="2"/>
      <x:c r="E127" s="2"/>
      <x:c r="F127" s="2"/>
      <x:c r="G127" s="2"/>
      <x:c r="H127" s="2"/>
      <x:c r="I127" s="2"/>
      <x:c r="J127" s="2"/>
      <x:c r="K127" s="92"/>
      <x:c r="L127" s="92"/>
      <x:c r="M127" s="2"/>
      <x:c r="N127" s="2"/>
      <x:c r="O127" s="2"/>
      <x:c r="P127" s="2"/>
    </x:row>
    <x:row r="128">
      <x:c r="A128" s="91"/>
      <x:c r="B128" s="2"/>
      <x:c r="C128" s="2"/>
      <x:c r="D128" s="2"/>
      <x:c r="E128" s="2"/>
      <x:c r="F128" s="2"/>
      <x:c r="G128" s="2"/>
      <x:c r="H128" s="2"/>
      <x:c r="I128" s="2"/>
      <x:c r="J128" s="2"/>
      <x:c r="K128" s="92"/>
      <x:c r="L128" s="92"/>
      <x:c r="M128" s="2"/>
      <x:c r="N128" s="2"/>
      <x:c r="O128" s="2"/>
      <x:c r="P128" s="2"/>
    </x:row>
    <x:row r="129">
      <x:c r="A129" s="91"/>
      <x:c r="B129" s="2"/>
      <x:c r="C129" s="2"/>
      <x:c r="D129" s="2"/>
      <x:c r="E129" s="2"/>
      <x:c r="F129" s="2"/>
      <x:c r="G129" s="2"/>
      <x:c r="H129" s="2"/>
      <x:c r="I129" s="2"/>
      <x:c r="J129" s="2"/>
      <x:c r="K129" s="92"/>
      <x:c r="L129" s="92"/>
      <x:c r="M129" s="2"/>
      <x:c r="N129" s="2"/>
      <x:c r="O129" s="2"/>
      <x:c r="P129" s="2"/>
    </x:row>
    <x:row r="130">
      <x:c r="A130" s="91"/>
      <x:c r="B130" s="2"/>
      <x:c r="C130" s="2"/>
      <x:c r="D130" s="2"/>
      <x:c r="E130" s="2"/>
      <x:c r="F130" s="2"/>
      <x:c r="G130" s="2"/>
      <x:c r="H130" s="2"/>
      <x:c r="I130" s="2"/>
      <x:c r="J130" s="2"/>
      <x:c r="K130" s="92"/>
      <x:c r="L130" s="92"/>
      <x:c r="M130" s="2"/>
      <x:c r="N130" s="2"/>
      <x:c r="O130" s="2"/>
      <x:c r="P130" s="2"/>
    </x:row>
    <x:row r="131">
      <x:c r="A131" s="91"/>
      <x:c r="B131" s="2"/>
      <x:c r="C131" s="2"/>
      <x:c r="D131" s="2"/>
      <x:c r="E131" s="2"/>
      <x:c r="F131" s="2"/>
      <x:c r="G131" s="2"/>
      <x:c r="H131" s="2"/>
      <x:c r="I131" s="2"/>
      <x:c r="J131" s="2"/>
      <x:c r="K131" s="92"/>
      <x:c r="L131" s="92"/>
      <x:c r="M131" s="2"/>
      <x:c r="N131" s="2"/>
      <x:c r="O131" s="2"/>
      <x:c r="P131" s="2"/>
    </x:row>
    <x:row r="132">
      <x:c r="A132" s="91"/>
      <x:c r="B132" s="2"/>
      <x:c r="C132" s="2"/>
      <x:c r="D132" s="2"/>
      <x:c r="E132" s="2"/>
      <x:c r="F132" s="2"/>
      <x:c r="G132" s="2"/>
      <x:c r="H132" s="2"/>
      <x:c r="I132" s="2"/>
      <x:c r="J132" s="2"/>
      <x:c r="K132" s="92"/>
      <x:c r="L132" s="92"/>
      <x:c r="M132" s="2"/>
      <x:c r="N132" s="2"/>
      <x:c r="O132" s="2"/>
      <x:c r="P132" s="2"/>
    </x:row>
    <x:row r="133">
      <x:c r="A133" s="91"/>
      <x:c r="B133" s="2"/>
      <x:c r="C133" s="2"/>
      <x:c r="D133" s="2"/>
      <x:c r="E133" s="2"/>
      <x:c r="F133" s="2"/>
      <x:c r="G133" s="2"/>
      <x:c r="H133" s="2"/>
      <x:c r="I133" s="2"/>
      <x:c r="J133" s="2"/>
      <x:c r="K133" s="92"/>
      <x:c r="L133" s="92"/>
      <x:c r="M133" s="2"/>
      <x:c r="N133" s="2"/>
      <x:c r="O133" s="2"/>
      <x:c r="P133" s="2"/>
    </x:row>
    <x:row r="134">
      <x:c r="A134" s="91"/>
      <x:c r="B134" s="2"/>
      <x:c r="C134" s="2"/>
      <x:c r="D134" s="2"/>
      <x:c r="E134" s="2"/>
      <x:c r="F134" s="2"/>
      <x:c r="G134" s="2"/>
      <x:c r="H134" s="2"/>
      <x:c r="I134" s="2"/>
      <x:c r="J134" s="2"/>
      <x:c r="K134" s="92"/>
      <x:c r="L134" s="92"/>
      <x:c r="M134" s="2"/>
      <x:c r="N134" s="2"/>
      <x:c r="O134" s="2"/>
      <x:c r="P134" s="2"/>
    </x:row>
    <x:row r="135">
      <x:c r="A135" s="91"/>
      <x:c r="B135" s="2"/>
      <x:c r="C135" s="2"/>
      <x:c r="D135" s="2"/>
      <x:c r="E135" s="2"/>
      <x:c r="F135" s="2"/>
      <x:c r="G135" s="2"/>
      <x:c r="H135" s="2"/>
      <x:c r="I135" s="2"/>
      <x:c r="J135" s="2"/>
      <x:c r="K135" s="92"/>
      <x:c r="L135" s="92"/>
      <x:c r="M135" s="2"/>
      <x:c r="N135" s="2"/>
      <x:c r="O135" s="2"/>
      <x:c r="P135" s="2"/>
    </x:row>
    <x:row r="136">
      <x:c r="A136" s="91"/>
      <x:c r="B136" s="2"/>
      <x:c r="C136" s="2"/>
      <x:c r="D136" s="2"/>
      <x:c r="E136" s="2"/>
      <x:c r="F136" s="2"/>
      <x:c r="G136" s="2"/>
      <x:c r="H136" s="2"/>
      <x:c r="I136" s="2"/>
      <x:c r="J136" s="2"/>
      <x:c r="K136" s="92"/>
      <x:c r="L136" s="92"/>
      <x:c r="M136" s="2"/>
      <x:c r="N136" s="2"/>
      <x:c r="O136" s="2"/>
      <x:c r="P136" s="2"/>
    </x:row>
    <x:row r="137">
      <x:c r="A137" s="91"/>
      <x:c r="B137" s="2"/>
      <x:c r="C137" s="2"/>
      <x:c r="D137" s="2"/>
      <x:c r="E137" s="2"/>
      <x:c r="F137" s="2"/>
      <x:c r="G137" s="2"/>
      <x:c r="H137" s="2"/>
      <x:c r="I137" s="2"/>
      <x:c r="J137" s="2"/>
      <x:c r="K137" s="92"/>
      <x:c r="L137" s="92"/>
      <x:c r="M137" s="2"/>
      <x:c r="N137" s="2"/>
      <x:c r="O137" s="2"/>
      <x:c r="P137" s="2"/>
    </x:row>
    <x:row r="138">
      <x:c r="A138" s="91"/>
      <x:c r="B138" s="2"/>
      <x:c r="C138" s="2"/>
      <x:c r="D138" s="2"/>
      <x:c r="E138" s="2"/>
      <x:c r="F138" s="2"/>
      <x:c r="G138" s="2"/>
      <x:c r="H138" s="2"/>
      <x:c r="I138" s="2"/>
      <x:c r="J138" s="2"/>
      <x:c r="K138" s="92"/>
      <x:c r="L138" s="92"/>
      <x:c r="M138" s="2"/>
      <x:c r="N138" s="2"/>
      <x:c r="O138" s="2"/>
      <x:c r="P138" s="2"/>
    </x:row>
    <x:row r="139">
      <x:c r="A139" s="91"/>
      <x:c r="B139" s="2"/>
      <x:c r="C139" s="2"/>
      <x:c r="D139" s="2"/>
      <x:c r="E139" s="2"/>
      <x:c r="F139" s="2"/>
      <x:c r="G139" s="2"/>
      <x:c r="H139" s="2"/>
      <x:c r="I139" s="2"/>
      <x:c r="J139" s="2"/>
      <x:c r="K139" s="92"/>
      <x:c r="L139" s="92"/>
      <x:c r="M139" s="2"/>
      <x:c r="N139" s="2"/>
      <x:c r="O139" s="2"/>
      <x:c r="P139" s="2"/>
    </x:row>
    <x:row r="140">
      <x:c r="A140" s="91"/>
      <x:c r="B140" s="2"/>
      <x:c r="C140" s="2"/>
      <x:c r="D140" s="2"/>
      <x:c r="E140" s="2"/>
      <x:c r="F140" s="2"/>
      <x:c r="G140" s="2"/>
      <x:c r="H140" s="2"/>
      <x:c r="I140" s="2"/>
      <x:c r="J140" s="2"/>
      <x:c r="K140" s="92"/>
      <x:c r="L140" s="92"/>
      <x:c r="M140" s="2"/>
      <x:c r="N140" s="2"/>
      <x:c r="O140" s="2"/>
      <x:c r="P140" s="2"/>
    </x:row>
    <x:row r="141">
      <x:c r="A141" s="91"/>
      <x:c r="B141" s="2"/>
      <x:c r="C141" s="2"/>
      <x:c r="D141" s="2"/>
      <x:c r="E141" s="2"/>
      <x:c r="F141" s="2"/>
      <x:c r="G141" s="2"/>
      <x:c r="H141" s="2"/>
      <x:c r="I141" s="2"/>
      <x:c r="J141" s="2"/>
      <x:c r="K141" s="92"/>
      <x:c r="L141" s="92"/>
      <x:c r="M141" s="2"/>
      <x:c r="N141" s="2"/>
      <x:c r="O141" s="2"/>
      <x:c r="P141" s="2"/>
    </x:row>
    <x:row r="142">
      <x:c r="A142" s="91"/>
      <x:c r="B142" s="2"/>
      <x:c r="C142" s="2"/>
      <x:c r="D142" s="2"/>
      <x:c r="E142" s="2"/>
      <x:c r="F142" s="2"/>
      <x:c r="G142" s="2"/>
      <x:c r="H142" s="2"/>
      <x:c r="I142" s="2"/>
      <x:c r="J142" s="2"/>
      <x:c r="K142" s="92"/>
      <x:c r="L142" s="92"/>
      <x:c r="M142" s="2"/>
      <x:c r="N142" s="2"/>
      <x:c r="O142" s="2"/>
      <x:c r="P142" s="2"/>
    </x:row>
    <x:row r="143">
      <x:c r="A143" s="91"/>
      <x:c r="B143" s="2"/>
      <x:c r="C143" s="2"/>
      <x:c r="D143" s="2"/>
      <x:c r="E143" s="2"/>
      <x:c r="F143" s="2"/>
      <x:c r="G143" s="2"/>
      <x:c r="H143" s="2"/>
      <x:c r="I143" s="2"/>
      <x:c r="J143" s="2"/>
      <x:c r="K143" s="92"/>
      <x:c r="L143" s="92"/>
      <x:c r="M143" s="2"/>
      <x:c r="N143" s="2"/>
      <x:c r="O143" s="2"/>
      <x:c r="P143" s="2"/>
    </x:row>
    <x:row r="144">
      <x:c r="A144" s="91"/>
      <x:c r="B144" s="2"/>
      <x:c r="C144" s="2"/>
      <x:c r="D144" s="2"/>
      <x:c r="E144" s="2"/>
      <x:c r="F144" s="2"/>
      <x:c r="G144" s="2"/>
      <x:c r="H144" s="2"/>
      <x:c r="I144" s="2"/>
      <x:c r="J144" s="2"/>
      <x:c r="K144" s="92"/>
      <x:c r="L144" s="92"/>
      <x:c r="M144" s="2"/>
      <x:c r="N144" s="2"/>
      <x:c r="O144" s="2"/>
      <x:c r="P144" s="2"/>
    </x:row>
    <x:row r="145">
      <x:c r="A145" s="91"/>
      <x:c r="B145" s="2"/>
      <x:c r="C145" s="2"/>
      <x:c r="D145" s="2"/>
      <x:c r="E145" s="2"/>
      <x:c r="F145" s="2"/>
      <x:c r="G145" s="2"/>
      <x:c r="H145" s="2"/>
      <x:c r="I145" s="2"/>
      <x:c r="J145" s="2"/>
      <x:c r="K145" s="92"/>
      <x:c r="L145" s="92"/>
      <x:c r="M145" s="2"/>
      <x:c r="N145" s="2"/>
      <x:c r="O145" s="2"/>
      <x:c r="P145" s="2"/>
    </x:row>
    <x:row r="146">
      <x:c r="A146" s="91"/>
      <x:c r="B146" s="2"/>
      <x:c r="C146" s="2"/>
      <x:c r="D146" s="2"/>
      <x:c r="E146" s="2"/>
      <x:c r="F146" s="2"/>
      <x:c r="G146" s="2"/>
      <x:c r="H146" s="2"/>
      <x:c r="I146" s="2"/>
      <x:c r="J146" s="2"/>
      <x:c r="K146" s="92"/>
      <x:c r="L146" s="92"/>
      <x:c r="M146" s="2"/>
      <x:c r="N146" s="2"/>
      <x:c r="O146" s="2"/>
      <x:c r="P146" s="2"/>
    </x:row>
    <x:row r="147">
      <x:c r="A147" s="91"/>
      <x:c r="B147" s="2"/>
      <x:c r="C147" s="2"/>
      <x:c r="D147" s="2"/>
      <x:c r="E147" s="2"/>
      <x:c r="F147" s="2"/>
      <x:c r="G147" s="2"/>
      <x:c r="H147" s="2"/>
      <x:c r="I147" s="2"/>
      <x:c r="J147" s="2"/>
      <x:c r="K147" s="92"/>
      <x:c r="L147" s="92"/>
      <x:c r="M147" s="2"/>
      <x:c r="N147" s="2"/>
      <x:c r="O147" s="2"/>
      <x:c r="P147" s="2"/>
    </x:row>
    <x:row r="148">
      <x:c r="A148" s="91"/>
      <x:c r="B148" s="2"/>
      <x:c r="C148" s="2"/>
      <x:c r="D148" s="2"/>
      <x:c r="E148" s="2"/>
      <x:c r="F148" s="2"/>
      <x:c r="G148" s="2"/>
      <x:c r="H148" s="2"/>
      <x:c r="I148" s="2"/>
      <x:c r="J148" s="2"/>
      <x:c r="K148" s="92"/>
      <x:c r="L148" s="92"/>
      <x:c r="M148" s="2"/>
      <x:c r="N148" s="2"/>
      <x:c r="O148" s="2"/>
      <x:c r="P148" s="2"/>
    </x:row>
    <x:row r="149">
      <x:c r="A149" s="91"/>
      <x:c r="B149" s="2"/>
      <x:c r="C149" s="2"/>
      <x:c r="D149" s="2"/>
      <x:c r="E149" s="2"/>
      <x:c r="F149" s="2"/>
      <x:c r="G149" s="2"/>
      <x:c r="H149" s="2"/>
      <x:c r="I149" s="2"/>
      <x:c r="J149" s="2"/>
      <x:c r="K149" s="92"/>
      <x:c r="L149" s="92"/>
      <x:c r="M149" s="2"/>
      <x:c r="N149" s="2"/>
      <x:c r="O149" s="2"/>
      <x:c r="P149" s="2"/>
    </x:row>
    <x:row r="150">
      <x:c r="A150" s="91"/>
      <x:c r="B150" s="2"/>
      <x:c r="C150" s="2"/>
      <x:c r="D150" s="2"/>
      <x:c r="E150" s="2"/>
      <x:c r="F150" s="2"/>
      <x:c r="G150" s="2"/>
      <x:c r="H150" s="2"/>
      <x:c r="I150" s="2"/>
      <x:c r="J150" s="2"/>
      <x:c r="K150" s="92"/>
      <x:c r="L150" s="92"/>
      <x:c r="M150" s="2"/>
      <x:c r="N150" s="2"/>
      <x:c r="O150" s="2"/>
      <x:c r="P150" s="2"/>
    </x:row>
    <x:row r="151">
      <x:c r="A151" s="91"/>
      <x:c r="B151" s="2"/>
      <x:c r="C151" s="2"/>
      <x:c r="D151" s="2"/>
      <x:c r="E151" s="2"/>
      <x:c r="F151" s="2"/>
      <x:c r="G151" s="2"/>
      <x:c r="H151" s="2"/>
      <x:c r="I151" s="2"/>
      <x:c r="J151" s="2"/>
      <x:c r="K151" s="92"/>
      <x:c r="L151" s="92"/>
      <x:c r="M151" s="2"/>
      <x:c r="N151" s="2"/>
      <x:c r="O151" s="2"/>
      <x:c r="P151" s="2"/>
    </x:row>
    <x:row r="152">
      <x:c r="A152" s="91"/>
      <x:c r="B152" s="2"/>
      <x:c r="C152" s="2"/>
      <x:c r="D152" s="2"/>
      <x:c r="E152" s="2"/>
      <x:c r="F152" s="2"/>
      <x:c r="G152" s="2"/>
      <x:c r="H152" s="2"/>
      <x:c r="I152" s="2"/>
      <x:c r="J152" s="2"/>
      <x:c r="K152" s="92"/>
      <x:c r="L152" s="92"/>
      <x:c r="M152" s="2"/>
      <x:c r="N152" s="2"/>
      <x:c r="O152" s="2"/>
      <x:c r="P152" s="2"/>
    </x:row>
    <x:row r="153">
      <x:c r="A153" s="91"/>
      <x:c r="B153" s="2"/>
      <x:c r="C153" s="2"/>
      <x:c r="D153" s="2"/>
      <x:c r="E153" s="2"/>
      <x:c r="F153" s="2"/>
      <x:c r="G153" s="2"/>
      <x:c r="H153" s="2"/>
      <x:c r="I153" s="2"/>
      <x:c r="J153" s="2"/>
      <x:c r="K153" s="92"/>
      <x:c r="L153" s="92"/>
      <x:c r="M153" s="2"/>
      <x:c r="N153" s="2"/>
      <x:c r="O153" s="2"/>
      <x:c r="P153" s="2"/>
    </x:row>
    <x:row r="154">
      <x:c r="A154" s="91"/>
      <x:c r="B154" s="2"/>
      <x:c r="C154" s="2"/>
      <x:c r="D154" s="2"/>
      <x:c r="E154" s="2"/>
      <x:c r="F154" s="2"/>
      <x:c r="G154" s="2"/>
      <x:c r="H154" s="2"/>
      <x:c r="I154" s="2"/>
      <x:c r="J154" s="2"/>
      <x:c r="K154" s="92"/>
      <x:c r="L154" s="92"/>
      <x:c r="M154" s="2"/>
      <x:c r="N154" s="2"/>
      <x:c r="O154" s="2"/>
      <x:c r="P154" s="2"/>
    </x:row>
    <x:row r="155">
      <x:c r="A155" s="91"/>
      <x:c r="B155" s="2"/>
      <x:c r="C155" s="2"/>
      <x:c r="D155" s="2"/>
      <x:c r="E155" s="2"/>
      <x:c r="F155" s="2"/>
      <x:c r="G155" s="2"/>
      <x:c r="H155" s="2"/>
      <x:c r="I155" s="2"/>
      <x:c r="J155" s="2"/>
      <x:c r="K155" s="92"/>
      <x:c r="L155" s="92"/>
      <x:c r="M155" s="2"/>
      <x:c r="N155" s="2"/>
      <x:c r="O155" s="2"/>
      <x:c r="P155" s="2"/>
    </x:row>
    <x:row r="156">
      <x:c r="A156" s="91"/>
      <x:c r="B156" s="2"/>
      <x:c r="C156" s="2"/>
      <x:c r="D156" s="2"/>
      <x:c r="E156" s="2"/>
      <x:c r="F156" s="2"/>
      <x:c r="G156" s="2"/>
      <x:c r="H156" s="2"/>
      <x:c r="I156" s="2"/>
      <x:c r="J156" s="2"/>
      <x:c r="K156" s="92"/>
      <x:c r="L156" s="92"/>
      <x:c r="M156" s="2"/>
      <x:c r="N156" s="2"/>
      <x:c r="O156" s="2"/>
      <x:c r="P156" s="2"/>
    </x:row>
    <x:row r="157">
      <x:c r="A157" s="91"/>
      <x:c r="B157" s="2"/>
      <x:c r="C157" s="2"/>
      <x:c r="D157" s="2"/>
      <x:c r="E157" s="2"/>
      <x:c r="F157" s="2"/>
      <x:c r="G157" s="2"/>
      <x:c r="H157" s="2"/>
      <x:c r="I157" s="2"/>
      <x:c r="J157" s="2"/>
      <x:c r="K157" s="92"/>
      <x:c r="L157" s="92"/>
      <x:c r="M157" s="2"/>
      <x:c r="N157" s="2"/>
      <x:c r="O157" s="2"/>
      <x:c r="P157" s="2"/>
    </x:row>
    <x:row r="158">
      <x:c r="A158" s="91"/>
      <x:c r="B158" s="2"/>
      <x:c r="C158" s="2"/>
      <x:c r="D158" s="2"/>
      <x:c r="E158" s="2"/>
      <x:c r="F158" s="2"/>
      <x:c r="G158" s="2"/>
      <x:c r="H158" s="2"/>
      <x:c r="I158" s="2"/>
      <x:c r="J158" s="2"/>
      <x:c r="K158" s="92"/>
      <x:c r="L158" s="92"/>
      <x:c r="M158" s="2"/>
      <x:c r="N158" s="2"/>
      <x:c r="O158" s="2"/>
      <x:c r="P158" s="2"/>
    </x:row>
    <x:row r="159">
      <x:c r="A159" s="91"/>
      <x:c r="B159" s="2"/>
      <x:c r="C159" s="2"/>
      <x:c r="D159" s="2"/>
      <x:c r="E159" s="2"/>
      <x:c r="F159" s="2"/>
      <x:c r="G159" s="2"/>
      <x:c r="H159" s="2"/>
      <x:c r="I159" s="2"/>
      <x:c r="J159" s="2"/>
      <x:c r="K159" s="92"/>
      <x:c r="L159" s="92"/>
      <x:c r="M159" s="2"/>
      <x:c r="N159" s="2"/>
      <x:c r="O159" s="2"/>
      <x:c r="P159" s="2"/>
    </x:row>
    <x:row r="160">
      <x:c r="A160" s="91"/>
      <x:c r="B160" s="2"/>
      <x:c r="C160" s="2"/>
      <x:c r="D160" s="2"/>
      <x:c r="E160" s="2"/>
      <x:c r="F160" s="2"/>
      <x:c r="G160" s="2"/>
      <x:c r="H160" s="2"/>
      <x:c r="I160" s="2"/>
      <x:c r="J160" s="2"/>
      <x:c r="K160" s="92"/>
      <x:c r="L160" s="92"/>
      <x:c r="M160" s="2"/>
      <x:c r="N160" s="2"/>
      <x:c r="O160" s="2"/>
      <x:c r="P160" s="2"/>
    </x:row>
    <x:row r="161">
      <x:c r="A161" s="91"/>
      <x:c r="B161" s="2"/>
      <x:c r="C161" s="2"/>
      <x:c r="D161" s="2"/>
      <x:c r="E161" s="2"/>
      <x:c r="F161" s="2"/>
      <x:c r="G161" s="2"/>
      <x:c r="H161" s="2"/>
      <x:c r="I161" s="2"/>
      <x:c r="J161" s="2"/>
      <x:c r="K161" s="92"/>
      <x:c r="L161" s="92"/>
      <x:c r="M161" s="2"/>
      <x:c r="N161" s="2"/>
      <x:c r="O161" s="2"/>
      <x:c r="P161" s="2"/>
    </x:row>
    <x:row r="162">
      <x:c r="A162" s="91"/>
      <x:c r="B162" s="2"/>
      <x:c r="C162" s="2"/>
      <x:c r="D162" s="2"/>
      <x:c r="E162" s="2"/>
      <x:c r="F162" s="2"/>
      <x:c r="G162" s="2"/>
      <x:c r="H162" s="2"/>
      <x:c r="I162" s="2"/>
      <x:c r="J162" s="2"/>
      <x:c r="K162" s="92"/>
      <x:c r="L162" s="92"/>
      <x:c r="M162" s="2"/>
      <x:c r="N162" s="2"/>
      <x:c r="O162" s="2"/>
      <x:c r="P162" s="2"/>
    </x:row>
    <x:row r="163">
      <x:c r="A163" s="91"/>
      <x:c r="B163" s="2"/>
      <x:c r="C163" s="2"/>
      <x:c r="D163" s="2"/>
      <x:c r="E163" s="2"/>
      <x:c r="F163" s="2"/>
      <x:c r="G163" s="2"/>
      <x:c r="H163" s="2"/>
      <x:c r="I163" s="2"/>
      <x:c r="J163" s="2"/>
      <x:c r="K163" s="92"/>
      <x:c r="L163" s="92"/>
      <x:c r="M163" s="2"/>
      <x:c r="N163" s="2"/>
      <x:c r="O163" s="2"/>
      <x:c r="P163" s="2"/>
    </x:row>
    <x:row r="164">
      <x:c r="A164" s="91"/>
      <x:c r="B164" s="2"/>
      <x:c r="C164" s="2"/>
      <x:c r="D164" s="2"/>
      <x:c r="E164" s="2"/>
      <x:c r="F164" s="2"/>
      <x:c r="G164" s="2"/>
      <x:c r="H164" s="2"/>
      <x:c r="I164" s="2"/>
      <x:c r="J164" s="2"/>
      <x:c r="K164" s="92"/>
      <x:c r="L164" s="92"/>
      <x:c r="M164" s="2"/>
      <x:c r="N164" s="2"/>
      <x:c r="O164" s="2"/>
      <x:c r="P164" s="2"/>
    </x:row>
    <x:row r="165">
      <x:c r="A165" s="91"/>
      <x:c r="B165" s="2"/>
      <x:c r="C165" s="2"/>
      <x:c r="D165" s="2"/>
      <x:c r="E165" s="2"/>
      <x:c r="F165" s="2"/>
      <x:c r="G165" s="2"/>
      <x:c r="H165" s="2"/>
      <x:c r="I165" s="2"/>
      <x:c r="J165" s="2"/>
      <x:c r="K165" s="92"/>
      <x:c r="L165" s="92"/>
      <x:c r="M165" s="2"/>
      <x:c r="N165" s="2"/>
      <x:c r="O165" s="2"/>
      <x:c r="P165" s="2"/>
    </x:row>
    <x:row r="166">
      <x:c r="A166" s="91"/>
      <x:c r="B166" s="2"/>
      <x:c r="C166" s="2"/>
      <x:c r="D166" s="2"/>
      <x:c r="E166" s="2"/>
      <x:c r="F166" s="2"/>
      <x:c r="G166" s="2"/>
      <x:c r="H166" s="2"/>
      <x:c r="I166" s="2"/>
      <x:c r="J166" s="2"/>
      <x:c r="K166" s="92"/>
      <x:c r="L166" s="92"/>
      <x:c r="M166" s="2"/>
      <x:c r="N166" s="2"/>
      <x:c r="O166" s="2"/>
      <x:c r="P166" s="2"/>
    </x:row>
    <x:row r="167">
      <x:c r="A167" s="91"/>
      <x:c r="B167" s="2"/>
      <x:c r="C167" s="2"/>
      <x:c r="D167" s="2"/>
      <x:c r="E167" s="2"/>
      <x:c r="F167" s="2"/>
      <x:c r="G167" s="2"/>
      <x:c r="H167" s="2"/>
      <x:c r="I167" s="2"/>
      <x:c r="J167" s="2"/>
      <x:c r="K167" s="92"/>
      <x:c r="L167" s="92"/>
      <x:c r="M167" s="2"/>
      <x:c r="N167" s="2"/>
      <x:c r="O167" s="2"/>
      <x:c r="P167" s="2"/>
    </x:row>
    <x:row r="168">
      <x:c r="A168" s="91"/>
      <x:c r="B168" s="2"/>
      <x:c r="C168" s="2"/>
      <x:c r="D168" s="2"/>
      <x:c r="E168" s="2"/>
      <x:c r="F168" s="2"/>
      <x:c r="G168" s="2"/>
      <x:c r="H168" s="2"/>
      <x:c r="I168" s="2"/>
      <x:c r="J168" s="2"/>
      <x:c r="K168" s="92"/>
      <x:c r="L168" s="92"/>
      <x:c r="M168" s="2"/>
      <x:c r="N168" s="2"/>
      <x:c r="O168" s="2"/>
      <x:c r="P168" s="2"/>
    </x:row>
    <x:row r="169">
      <x:c r="A169" s="91"/>
      <x:c r="B169" s="2"/>
      <x:c r="C169" s="2"/>
      <x:c r="D169" s="2"/>
      <x:c r="E169" s="2"/>
      <x:c r="F169" s="2"/>
      <x:c r="G169" s="2"/>
      <x:c r="H169" s="2"/>
      <x:c r="I169" s="2"/>
      <x:c r="J169" s="2"/>
      <x:c r="K169" s="92"/>
      <x:c r="L169" s="92"/>
      <x:c r="M169" s="2"/>
      <x:c r="N169" s="2"/>
      <x:c r="O169" s="2"/>
      <x:c r="P169" s="2"/>
    </x:row>
    <x:row r="170">
      <x:c r="A170" s="91"/>
      <x:c r="B170" s="2"/>
      <x:c r="C170" s="2"/>
      <x:c r="D170" s="2"/>
      <x:c r="E170" s="2"/>
      <x:c r="F170" s="2"/>
      <x:c r="G170" s="2"/>
      <x:c r="H170" s="2"/>
      <x:c r="I170" s="2"/>
      <x:c r="J170" s="2"/>
      <x:c r="K170" s="92"/>
      <x:c r="L170" s="92"/>
      <x:c r="M170" s="2"/>
      <x:c r="N170" s="2"/>
      <x:c r="O170" s="2"/>
      <x:c r="P170" s="2"/>
    </x:row>
    <x:row r="171">
      <x:c r="A171" s="91"/>
      <x:c r="B171" s="2"/>
      <x:c r="C171" s="2"/>
      <x:c r="D171" s="2"/>
      <x:c r="E171" s="2"/>
      <x:c r="F171" s="2"/>
      <x:c r="G171" s="2"/>
      <x:c r="H171" s="2"/>
      <x:c r="I171" s="2"/>
      <x:c r="J171" s="2"/>
      <x:c r="K171" s="92"/>
      <x:c r="L171" s="92"/>
      <x:c r="M171" s="2"/>
      <x:c r="N171" s="2"/>
      <x:c r="O171" s="2"/>
      <x:c r="P171" s="2"/>
    </x:row>
    <x:row r="172">
      <x:c r="A172" s="91"/>
      <x:c r="B172" s="2"/>
      <x:c r="C172" s="2"/>
      <x:c r="D172" s="2"/>
      <x:c r="E172" s="2"/>
      <x:c r="F172" s="2"/>
      <x:c r="G172" s="2"/>
      <x:c r="H172" s="2"/>
      <x:c r="I172" s="2"/>
      <x:c r="J172" s="2"/>
      <x:c r="K172" s="92"/>
      <x:c r="L172" s="92"/>
      <x:c r="M172" s="2"/>
      <x:c r="N172" s="2"/>
      <x:c r="O172" s="2"/>
      <x:c r="P172" s="2"/>
    </x:row>
    <x:row r="173">
      <x:c r="A173" s="91"/>
      <x:c r="B173" s="2"/>
      <x:c r="C173" s="2"/>
      <x:c r="D173" s="2"/>
      <x:c r="E173" s="2"/>
      <x:c r="F173" s="2"/>
      <x:c r="G173" s="2"/>
      <x:c r="H173" s="2"/>
      <x:c r="I173" s="2"/>
      <x:c r="J173" s="2"/>
      <x:c r="K173" s="92"/>
      <x:c r="L173" s="92"/>
      <x:c r="M173" s="2"/>
      <x:c r="N173" s="2"/>
      <x:c r="O173" s="2"/>
      <x:c r="P173" s="2"/>
    </x:row>
    <x:row r="174">
      <x:c r="A174" s="91"/>
      <x:c r="B174" s="2"/>
      <x:c r="C174" s="2"/>
      <x:c r="D174" s="2"/>
      <x:c r="E174" s="2"/>
      <x:c r="F174" s="2"/>
      <x:c r="G174" s="2"/>
      <x:c r="H174" s="2"/>
      <x:c r="I174" s="2"/>
      <x:c r="J174" s="2"/>
      <x:c r="K174" s="92"/>
      <x:c r="L174" s="92"/>
      <x:c r="M174" s="2"/>
      <x:c r="N174" s="2"/>
      <x:c r="O174" s="2"/>
      <x:c r="P174" s="2"/>
    </x:row>
    <x:row r="175">
      <x:c r="A175" s="91"/>
      <x:c r="B175" s="2"/>
      <x:c r="C175" s="2"/>
      <x:c r="D175" s="2"/>
      <x:c r="E175" s="2"/>
      <x:c r="F175" s="2"/>
      <x:c r="G175" s="2"/>
      <x:c r="H175" s="2"/>
      <x:c r="I175" s="2"/>
      <x:c r="J175" s="2"/>
      <x:c r="K175" s="92"/>
      <x:c r="L175" s="92"/>
      <x:c r="M175" s="2"/>
      <x:c r="N175" s="2"/>
      <x:c r="O175" s="2"/>
      <x:c r="P175" s="2"/>
    </x:row>
    <x:row r="176">
      <x:c r="A176" s="91"/>
      <x:c r="B176" s="2"/>
      <x:c r="C176" s="2"/>
      <x:c r="D176" s="2"/>
      <x:c r="E176" s="2"/>
      <x:c r="F176" s="2"/>
      <x:c r="G176" s="2"/>
      <x:c r="H176" s="2"/>
      <x:c r="I176" s="2"/>
      <x:c r="J176" s="2"/>
      <x:c r="K176" s="92"/>
      <x:c r="L176" s="92"/>
      <x:c r="M176" s="2"/>
      <x:c r="N176" s="2"/>
      <x:c r="O176" s="2"/>
      <x:c r="P176" s="2"/>
    </x:row>
    <x:row r="177">
      <x:c r="A177" s="91"/>
      <x:c r="B177" s="2"/>
      <x:c r="C177" s="2"/>
      <x:c r="D177" s="2"/>
      <x:c r="E177" s="2"/>
      <x:c r="F177" s="2"/>
      <x:c r="G177" s="2"/>
      <x:c r="H177" s="2"/>
      <x:c r="I177" s="2"/>
      <x:c r="J177" s="2"/>
      <x:c r="K177" s="92"/>
      <x:c r="L177" s="92"/>
      <x:c r="M177" s="2"/>
      <x:c r="N177" s="2"/>
      <x:c r="O177" s="2"/>
      <x:c r="P177" s="2"/>
    </x:row>
    <x:row r="178">
      <x:c r="A178" s="91"/>
      <x:c r="B178" s="2"/>
      <x:c r="C178" s="2"/>
      <x:c r="D178" s="2"/>
      <x:c r="E178" s="2"/>
      <x:c r="F178" s="2"/>
      <x:c r="G178" s="2"/>
      <x:c r="H178" s="2"/>
      <x:c r="I178" s="2"/>
      <x:c r="J178" s="2"/>
      <x:c r="K178" s="92"/>
      <x:c r="L178" s="92"/>
      <x:c r="M178" s="2"/>
      <x:c r="N178" s="2"/>
      <x:c r="O178" s="2"/>
      <x:c r="P178" s="2"/>
    </x:row>
    <x:row r="179">
      <x:c r="A179" s="91"/>
      <x:c r="B179" s="2"/>
      <x:c r="C179" s="2"/>
      <x:c r="D179" s="2"/>
      <x:c r="E179" s="2"/>
      <x:c r="F179" s="2"/>
      <x:c r="G179" s="2"/>
      <x:c r="H179" s="2"/>
      <x:c r="I179" s="2"/>
      <x:c r="J179" s="2"/>
      <x:c r="K179" s="92"/>
      <x:c r="L179" s="92"/>
      <x:c r="M179" s="2"/>
      <x:c r="N179" s="2"/>
      <x:c r="O179" s="2"/>
      <x:c r="P179" s="2"/>
    </x:row>
    <x:row r="180">
      <x:c r="A180" s="91"/>
      <x:c r="B180" s="2"/>
      <x:c r="C180" s="2"/>
      <x:c r="D180" s="2"/>
      <x:c r="E180" s="2"/>
      <x:c r="F180" s="2"/>
      <x:c r="G180" s="2"/>
      <x:c r="H180" s="2"/>
      <x:c r="I180" s="2"/>
      <x:c r="J180" s="2"/>
      <x:c r="K180" s="92"/>
      <x:c r="L180" s="92"/>
      <x:c r="M180" s="2"/>
      <x:c r="N180" s="2"/>
      <x:c r="O180" s="2"/>
      <x:c r="P180" s="2"/>
    </x:row>
    <x:row r="181">
      <x:c r="A181" s="91"/>
      <x:c r="B181" s="2"/>
      <x:c r="C181" s="2"/>
      <x:c r="D181" s="2"/>
      <x:c r="E181" s="2"/>
      <x:c r="F181" s="2"/>
      <x:c r="G181" s="2"/>
      <x:c r="H181" s="2"/>
      <x:c r="I181" s="2"/>
      <x:c r="J181" s="2"/>
      <x:c r="K181" s="92"/>
      <x:c r="L181" s="92"/>
      <x:c r="M181" s="2"/>
      <x:c r="N181" s="2"/>
      <x:c r="O181" s="2"/>
      <x:c r="P181" s="2"/>
    </x:row>
    <x:row r="182">
      <x:c r="A182" s="91"/>
      <x:c r="B182" s="2"/>
      <x:c r="C182" s="2"/>
      <x:c r="D182" s="2"/>
      <x:c r="E182" s="2"/>
      <x:c r="F182" s="2"/>
      <x:c r="G182" s="2"/>
      <x:c r="H182" s="2"/>
      <x:c r="I182" s="2"/>
      <x:c r="J182" s="2"/>
      <x:c r="K182" s="92"/>
      <x:c r="L182" s="92"/>
      <x:c r="M182" s="2"/>
      <x:c r="N182" s="2"/>
      <x:c r="O182" s="2"/>
      <x:c r="P182" s="2"/>
    </x:row>
    <x:row r="183">
      <x:c r="A183" s="91"/>
      <x:c r="B183" s="2"/>
      <x:c r="C183" s="2"/>
      <x:c r="D183" s="2"/>
      <x:c r="E183" s="2"/>
      <x:c r="F183" s="2"/>
      <x:c r="G183" s="2"/>
      <x:c r="H183" s="2"/>
      <x:c r="I183" s="2"/>
      <x:c r="J183" s="2"/>
      <x:c r="K183" s="92"/>
      <x:c r="L183" s="92"/>
      <x:c r="M183" s="2"/>
      <x:c r="N183" s="2"/>
      <x:c r="O183" s="2"/>
      <x:c r="P183" s="2"/>
    </x:row>
    <x:row r="184">
      <x:c r="A184" s="91"/>
      <x:c r="B184" s="2"/>
      <x:c r="C184" s="2"/>
      <x:c r="D184" s="2"/>
      <x:c r="E184" s="2"/>
      <x:c r="F184" s="2"/>
      <x:c r="G184" s="2"/>
      <x:c r="H184" s="2"/>
      <x:c r="I184" s="2"/>
      <x:c r="J184" s="2"/>
      <x:c r="K184" s="92"/>
      <x:c r="L184" s="92"/>
      <x:c r="M184" s="2"/>
      <x:c r="N184" s="2"/>
      <x:c r="O184" s="2"/>
      <x:c r="P184" s="2"/>
    </x:row>
    <x:row r="185">
      <x:c r="A185" s="91"/>
      <x:c r="B185" s="2"/>
      <x:c r="C185" s="2"/>
      <x:c r="D185" s="2"/>
      <x:c r="E185" s="2"/>
      <x:c r="F185" s="2"/>
      <x:c r="G185" s="2"/>
      <x:c r="H185" s="2"/>
      <x:c r="I185" s="2"/>
      <x:c r="J185" s="2"/>
      <x:c r="K185" s="92"/>
      <x:c r="L185" s="92"/>
      <x:c r="M185" s="2"/>
      <x:c r="N185" s="2"/>
      <x:c r="O185" s="2"/>
      <x:c r="P185" s="2"/>
    </x:row>
    <x:row r="186">
      <x:c r="A186" s="91"/>
      <x:c r="B186" s="2"/>
      <x:c r="C186" s="2"/>
      <x:c r="D186" s="2"/>
      <x:c r="E186" s="2"/>
      <x:c r="F186" s="2"/>
      <x:c r="G186" s="2"/>
      <x:c r="H186" s="2"/>
      <x:c r="I186" s="2"/>
      <x:c r="J186" s="2"/>
      <x:c r="K186" s="92"/>
      <x:c r="L186" s="92"/>
      <x:c r="M186" s="2"/>
      <x:c r="N186" s="2"/>
      <x:c r="O186" s="2"/>
      <x:c r="P186" s="2"/>
    </x:row>
    <x:row r="187">
      <x:c r="A187" s="91"/>
      <x:c r="B187" s="2"/>
      <x:c r="C187" s="2"/>
      <x:c r="D187" s="2"/>
      <x:c r="E187" s="2"/>
      <x:c r="F187" s="2"/>
      <x:c r="G187" s="2"/>
      <x:c r="H187" s="2"/>
      <x:c r="I187" s="2"/>
      <x:c r="J187" s="2"/>
      <x:c r="K187" s="92"/>
      <x:c r="L187" s="92"/>
      <x:c r="M187" s="2"/>
      <x:c r="N187" s="2"/>
      <x:c r="O187" s="2"/>
      <x:c r="P187" s="2"/>
    </x:row>
    <x:row r="188">
      <x:c r="A188" s="91"/>
      <x:c r="B188" s="2"/>
      <x:c r="C188" s="2"/>
      <x:c r="D188" s="2"/>
      <x:c r="E188" s="2"/>
      <x:c r="F188" s="2"/>
      <x:c r="G188" s="2"/>
      <x:c r="H188" s="2"/>
      <x:c r="I188" s="2"/>
      <x:c r="J188" s="2"/>
      <x:c r="K188" s="92"/>
      <x:c r="L188" s="92"/>
      <x:c r="M188" s="2"/>
      <x:c r="N188" s="2"/>
      <x:c r="O188" s="2"/>
      <x:c r="P188" s="2"/>
    </x:row>
    <x:row r="189">
      <x:c r="A189" s="91"/>
      <x:c r="B189" s="2"/>
      <x:c r="C189" s="2"/>
      <x:c r="D189" s="2"/>
      <x:c r="E189" s="2"/>
      <x:c r="F189" s="2"/>
      <x:c r="G189" s="2"/>
      <x:c r="H189" s="2"/>
      <x:c r="I189" s="2"/>
      <x:c r="J189" s="2"/>
      <x:c r="K189" s="92"/>
      <x:c r="L189" s="92"/>
      <x:c r="M189" s="2"/>
      <x:c r="N189" s="2"/>
      <x:c r="O189" s="2"/>
      <x:c r="P189" s="2"/>
    </x:row>
    <x:row r="190">
      <x:c r="A190" s="91"/>
      <x:c r="B190" s="2"/>
      <x:c r="C190" s="2"/>
      <x:c r="D190" s="2"/>
      <x:c r="E190" s="2"/>
      <x:c r="F190" s="2"/>
      <x:c r="G190" s="2"/>
      <x:c r="H190" s="2"/>
      <x:c r="I190" s="2"/>
      <x:c r="J190" s="2"/>
      <x:c r="K190" s="92"/>
      <x:c r="L190" s="92"/>
      <x:c r="M190" s="2"/>
      <x:c r="N190" s="2"/>
      <x:c r="O190" s="2"/>
      <x:c r="P190" s="2"/>
    </x:row>
    <x:row r="191">
      <x:c r="A191" s="91"/>
      <x:c r="B191" s="2"/>
      <x:c r="C191" s="2"/>
      <x:c r="D191" s="2"/>
      <x:c r="E191" s="2"/>
      <x:c r="F191" s="2"/>
      <x:c r="G191" s="2"/>
      <x:c r="H191" s="2"/>
      <x:c r="I191" s="2"/>
      <x:c r="J191" s="2"/>
      <x:c r="K191" s="92"/>
      <x:c r="L191" s="92"/>
      <x:c r="M191" s="2"/>
      <x:c r="N191" s="2"/>
      <x:c r="O191" s="2"/>
      <x:c r="P191" s="2"/>
    </x:row>
    <x:row r="192">
      <x:c r="A192" s="91"/>
      <x:c r="B192" s="2"/>
      <x:c r="C192" s="2"/>
      <x:c r="D192" s="2"/>
      <x:c r="E192" s="2"/>
      <x:c r="F192" s="2"/>
      <x:c r="G192" s="2"/>
      <x:c r="H192" s="2"/>
      <x:c r="I192" s="2"/>
      <x:c r="J192" s="2"/>
      <x:c r="K192" s="92"/>
      <x:c r="L192" s="92"/>
      <x:c r="M192" s="2"/>
      <x:c r="N192" s="2"/>
      <x:c r="O192" s="2"/>
      <x:c r="P192" s="2"/>
    </x:row>
    <x:row r="193">
      <x:c r="A193" s="91"/>
      <x:c r="B193" s="2"/>
      <x:c r="C193" s="2"/>
      <x:c r="D193" s="2"/>
      <x:c r="E193" s="2"/>
      <x:c r="F193" s="2"/>
      <x:c r="G193" s="2"/>
      <x:c r="H193" s="2"/>
      <x:c r="I193" s="2"/>
      <x:c r="J193" s="2"/>
      <x:c r="K193" s="92"/>
      <x:c r="L193" s="92"/>
      <x:c r="M193" s="2"/>
      <x:c r="N193" s="2"/>
      <x:c r="O193" s="2"/>
      <x:c r="P193" s="2"/>
    </x:row>
    <x:row r="194">
      <x:c r="A194" s="91"/>
      <x:c r="B194" s="2"/>
      <x:c r="C194" s="2"/>
      <x:c r="D194" s="2"/>
      <x:c r="E194" s="2"/>
      <x:c r="F194" s="2"/>
      <x:c r="G194" s="2"/>
      <x:c r="H194" s="2"/>
      <x:c r="I194" s="2"/>
      <x:c r="J194" s="2"/>
      <x:c r="K194" s="92"/>
      <x:c r="L194" s="92"/>
      <x:c r="M194" s="2"/>
      <x:c r="N194" s="2"/>
      <x:c r="O194" s="2"/>
      <x:c r="P194" s="2"/>
    </x:row>
    <x:row r="195">
      <x:c r="A195" s="91"/>
      <x:c r="B195" s="2"/>
      <x:c r="C195" s="2"/>
      <x:c r="D195" s="2"/>
      <x:c r="E195" s="2"/>
      <x:c r="F195" s="2"/>
      <x:c r="G195" s="2"/>
      <x:c r="H195" s="2"/>
      <x:c r="I195" s="2"/>
      <x:c r="J195" s="2"/>
      <x:c r="K195" s="92"/>
      <x:c r="L195" s="92"/>
      <x:c r="M195" s="2"/>
      <x:c r="N195" s="2"/>
      <x:c r="O195" s="2"/>
      <x:c r="P195" s="2"/>
    </x:row>
    <x:row r="196">
      <x:c r="A196" s="91"/>
      <x:c r="B196" s="2"/>
      <x:c r="C196" s="2"/>
      <x:c r="D196" s="2"/>
      <x:c r="E196" s="2"/>
      <x:c r="F196" s="2"/>
      <x:c r="G196" s="2"/>
      <x:c r="H196" s="2"/>
      <x:c r="I196" s="2"/>
      <x:c r="J196" s="2"/>
      <x:c r="K196" s="92"/>
      <x:c r="L196" s="92"/>
      <x:c r="M196" s="2"/>
      <x:c r="N196" s="2"/>
      <x:c r="O196" s="2"/>
      <x:c r="P196" s="2"/>
    </x:row>
    <x:row r="197">
      <x:c r="A197" s="91"/>
      <x:c r="B197" s="2"/>
      <x:c r="C197" s="2"/>
      <x:c r="D197" s="2"/>
      <x:c r="E197" s="2"/>
      <x:c r="F197" s="2"/>
      <x:c r="G197" s="2"/>
      <x:c r="H197" s="2"/>
      <x:c r="I197" s="2"/>
      <x:c r="J197" s="2"/>
      <x:c r="K197" s="92"/>
      <x:c r="L197" s="92"/>
      <x:c r="M197" s="2"/>
      <x:c r="N197" s="2"/>
      <x:c r="O197" s="2"/>
      <x:c r="P197" s="2"/>
    </x:row>
    <x:row r="198">
      <x:c r="A198" s="91"/>
      <x:c r="B198" s="2"/>
      <x:c r="C198" s="2"/>
      <x:c r="D198" s="2"/>
      <x:c r="E198" s="2"/>
      <x:c r="F198" s="2"/>
      <x:c r="G198" s="2"/>
      <x:c r="H198" s="2"/>
      <x:c r="I198" s="2"/>
      <x:c r="J198" s="2"/>
      <x:c r="K198" s="92"/>
      <x:c r="L198" s="92"/>
      <x:c r="M198" s="2"/>
      <x:c r="N198" s="2"/>
      <x:c r="O198" s="2"/>
      <x:c r="P198" s="2"/>
    </x:row>
    <x:row r="199">
      <x:c r="A199" s="91"/>
      <x:c r="B199" s="2"/>
      <x:c r="C199" s="2"/>
      <x:c r="D199" s="2"/>
      <x:c r="E199" s="2"/>
      <x:c r="F199" s="2"/>
      <x:c r="G199" s="2"/>
      <x:c r="H199" s="2"/>
      <x:c r="I199" s="2"/>
      <x:c r="J199" s="2"/>
      <x:c r="K199" s="92"/>
      <x:c r="L199" s="92"/>
      <x:c r="M199" s="2"/>
      <x:c r="N199" s="2"/>
      <x:c r="O199" s="2"/>
      <x:c r="P199" s="2"/>
    </x:row>
    <x:row r="200">
      <x:c r="A200" s="91"/>
      <x:c r="B200" s="2"/>
      <x:c r="C200" s="2"/>
      <x:c r="D200" s="2"/>
      <x:c r="E200" s="2"/>
      <x:c r="F200" s="2"/>
      <x:c r="G200" s="2"/>
      <x:c r="H200" s="2"/>
      <x:c r="I200" s="2"/>
      <x:c r="J200" s="2"/>
      <x:c r="K200" s="92"/>
      <x:c r="L200" s="92"/>
      <x:c r="M200" s="2"/>
      <x:c r="N200" s="2"/>
      <x:c r="O200" s="2"/>
      <x:c r="P200" s="2"/>
    </x:row>
  </x:sheetData>
  <x:mergeCells>
    <x:mergeCell ref="A1:P1"/>
  </x:mergeCells>
  <x:dataValidations count="2">
    <x:dataValidation type="list" sqref="B4:B200">
      <x:formula1>"Core,Build,Research,Opportunity,Dream"</x:formula1>
    </x:dataValidation>
    <x:dataValidation type="list" sqref="M4:M200">
      <x:formula1>"Planning,Planned,Researching,Submitted,Drawn,Not Drawn,Completed,Deferred"</x:formula1>
    </x:dataValidation>
  </x:dataValidation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4" hidden="0" customWidth="1"/>
    <x:col min="9" max="9" width="15" hidden="0" customWidth="1"/>
    <x:col min="10" max="10" width="34" hidden="0" customWidth="1"/>
    <x:col min="11" max="11" width="34" hidden="0" customWidth="1"/>
  </x:cols>
  <x:sheetData>
    <x:row r="1" ht="34" customHeight="1">
      <x:c r="A1" s="63" t="str">
        <x:v>STATE POINTS, CREDITS &amp; LONG-TERM INVESTMENTS</x:v>
      </x:c>
    </x:row>
    <x:row r="3">
      <x:c r="A3" s="89" t="str">
        <x:v>State</x:v>
      </x:c>
      <x:c r="B3" s="89" t="str">
        <x:v>Hunter</x:v>
      </x:c>
      <x:c r="C3" s="89" t="str">
        <x:v>Species</x:v>
      </x:c>
      <x:c r="D3" s="89" t="str">
        <x:v>Point Type</x:v>
      </x:c>
      <x:c r="E3" s="89" t="str">
        <x:v>Current Points</x:v>
      </x:c>
      <x:c r="F3" s="89" t="str">
        <x:v>Next Action Year</x:v>
      </x:c>
      <x:c r="G3" s="89" t="str">
        <x:v>Next Action</x:v>
      </x:c>
      <x:c r="H3" s="89" t="str">
        <x:v>Target / Burn Range</x:v>
      </x:c>
      <x:c r="I3" s="89" t="str">
        <x:v>Last Updated</x:v>
      </x:c>
      <x:c r="J3" s="89" t="str">
        <x:v>Official Agency URL</x:v>
      </x:c>
      <x:c r="K3" s="89" t="str">
        <x:v>Strategy Notes</x:v>
      </x:c>
    </x:row>
    <x:row r="4">
      <x:c r="A4" s="2" t="str">
        <x:v>Wyoming</x:v>
      </x:c>
      <x:c r="B4" s="2" t="str">
        <x:v>Adult</x:v>
      </x:c>
      <x:c r="C4" s="2" t="str">
        <x:v>Elk</x:v>
      </x:c>
      <x:c r="D4" s="2" t="str">
        <x:v>Preference</x:v>
      </x:c>
      <x:c r="E4" s="96" t="n">
        <x:v>4</x:v>
      </x:c>
      <x:c r="F4" s="91" t="n">
        <x:v>2026</x:v>
      </x:c>
      <x:c r="G4" s="2" t="str">
        <x:v>Buy point</x:v>
      </x:c>
      <x:c r="H4" s="2" t="str">
        <x:v>Reach 5; evaluate burn plan</x:v>
      </x:c>
      <x:c r="I4" s="97" t="n">
        <x:v>46213</x:v>
      </x:c>
      <x:c r="J4" s="2" t="str">
        <x:v>https://wgfd.wyo.gov/</x:v>
      </x:c>
      <x:c r="K4" s="2" t="str">
        <x:v>User reports 4 current points and plans to add a fifth in 2026.</x:v>
      </x:c>
    </x:row>
    <x:row r="5">
      <x:c r="A5" s="2" t="str">
        <x:v>Wyoming</x:v>
      </x:c>
      <x:c r="B5" s="2" t="str">
        <x:v>Youth</x:v>
      </x:c>
      <x:c r="C5" s="2" t="str">
        <x:v>Elk</x:v>
      </x:c>
      <x:c r="D5" s="2" t="str">
        <x:v>Preference</x:v>
      </x:c>
      <x:c r="E5" s="96" t="n">
        <x:v>4</x:v>
      </x:c>
      <x:c r="F5" s="91" t="n">
        <x:v>2026</x:v>
      </x:c>
      <x:c r="G5" s="2" t="str">
        <x:v>Buy point</x:v>
      </x:c>
      <x:c r="H5" s="2" t="str">
        <x:v>Reach 5; evaluate burn plan</x:v>
      </x:c>
      <x:c r="I5" s="97" t="n">
        <x:v>46213</x:v>
      </x:c>
      <x:c r="J5" s="2" t="str">
        <x:v>https://wgfd.wyo.gov/</x:v>
      </x:c>
      <x:c r="K5" s="2" t="str">
        <x:v>User reports 4 current points and plans to add a fifth in 2026.</x:v>
      </x:c>
    </x:row>
    <x:row r="6">
      <x:c r="A6" s="2" t="str">
        <x:v>Wyoming</x:v>
      </x:c>
      <x:c r="B6" s="2" t="str">
        <x:v>Adult</x:v>
      </x:c>
      <x:c r="C6" s="2" t="str">
        <x:v>Deer</x:v>
      </x:c>
      <x:c r="D6" s="2" t="str">
        <x:v>Preference</x:v>
      </x:c>
      <x:c r="E6" s="96" t="n">
        <x:v>4</x:v>
      </x:c>
      <x:c r="F6" s="91" t="n">
        <x:v>2026</x:v>
      </x:c>
      <x:c r="G6" s="2" t="str">
        <x:v>Buy point</x:v>
      </x:c>
      <x:c r="H6" s="2" t="str">
        <x:v>Reach 5; evaluate burn plan</x:v>
      </x:c>
      <x:c r="I6" s="97" t="n">
        <x:v>46213</x:v>
      </x:c>
      <x:c r="J6" s="2" t="str">
        <x:v>https://wgfd.wyo.gov/</x:v>
      </x:c>
      <x:c r="K6" s="2" t="str">
        <x:v>User reports 4 current points and plans to add a fifth in 2026.</x:v>
      </x:c>
    </x:row>
    <x:row r="7">
      <x:c r="A7" s="2" t="str">
        <x:v>Wyoming</x:v>
      </x:c>
      <x:c r="B7" s="2" t="str">
        <x:v>Youth</x:v>
      </x:c>
      <x:c r="C7" s="2" t="str">
        <x:v>Deer</x:v>
      </x:c>
      <x:c r="D7" s="2" t="str">
        <x:v>Preference</x:v>
      </x:c>
      <x:c r="E7" s="96" t="n">
        <x:v>4</x:v>
      </x:c>
      <x:c r="F7" s="91" t="n">
        <x:v>2026</x:v>
      </x:c>
      <x:c r="G7" s="2" t="str">
        <x:v>Buy point</x:v>
      </x:c>
      <x:c r="H7" s="2" t="str">
        <x:v>Reach 5; evaluate burn plan</x:v>
      </x:c>
      <x:c r="I7" s="97" t="n">
        <x:v>46213</x:v>
      </x:c>
      <x:c r="J7" s="2" t="str">
        <x:v>https://wgfd.wyo.gov/</x:v>
      </x:c>
      <x:c r="K7" s="2" t="str">
        <x:v>User reports 4 current points and plans to add a fifth in 2026.</x:v>
      </x:c>
    </x:row>
    <x:row r="8">
      <x:c r="A8" s="2" t="str">
        <x:v>Wyoming</x:v>
      </x:c>
      <x:c r="B8" s="2" t="str">
        <x:v>Adult</x:v>
      </x:c>
      <x:c r="C8" s="2" t="str">
        <x:v>Antelope</x:v>
      </x:c>
      <x:c r="D8" s="2" t="str">
        <x:v>Preference</x:v>
      </x:c>
      <x:c r="E8" s="96" t="n">
        <x:v>4</x:v>
      </x:c>
      <x:c r="F8" s="91" t="n">
        <x:v>2026</x:v>
      </x:c>
      <x:c r="G8" s="2" t="str">
        <x:v>Buy point</x:v>
      </x:c>
      <x:c r="H8" s="2" t="str">
        <x:v>Reach 5; evaluate burn plan</x:v>
      </x:c>
      <x:c r="I8" s="97" t="n">
        <x:v>46213</x:v>
      </x:c>
      <x:c r="J8" s="2" t="str">
        <x:v>https://wgfd.wyo.gov/</x:v>
      </x:c>
      <x:c r="K8" s="2" t="str">
        <x:v>User reports 4 current points and plans to add a fifth in 2026.</x:v>
      </x:c>
    </x:row>
    <x:row r="9">
      <x:c r="A9" s="2" t="str">
        <x:v>Wyoming</x:v>
      </x:c>
      <x:c r="B9" s="2" t="str">
        <x:v>Youth</x:v>
      </x:c>
      <x:c r="C9" s="2" t="str">
        <x:v>Antelope</x:v>
      </x:c>
      <x:c r="D9" s="2" t="str">
        <x:v>Preference</x:v>
      </x:c>
      <x:c r="E9" s="96" t="n">
        <x:v>4</x:v>
      </x:c>
      <x:c r="F9" s="91" t="n">
        <x:v>2026</x:v>
      </x:c>
      <x:c r="G9" s="2" t="str">
        <x:v>Buy point</x:v>
      </x:c>
      <x:c r="H9" s="2" t="str">
        <x:v>Reach 5; evaluate burn plan</x:v>
      </x:c>
      <x:c r="I9" s="97" t="n">
        <x:v>46213</x:v>
      </x:c>
      <x:c r="J9" s="2" t="str">
        <x:v>https://wgfd.wyo.gov/</x:v>
      </x:c>
      <x:c r="K9" s="2" t="str">
        <x:v>User reports 4 current points and plans to add a fifth in 2026.</x:v>
      </x:c>
    </x:row>
    <x:row r="10">
      <x:c r="A10" s="2" t="str">
        <x:v>Montana</x:v>
      </x:c>
      <x:c r="B10" s="2" t="str">
        <x:v>Adult</x:v>
      </x:c>
      <x:c r="C10" s="2" t="str">
        <x:v>Deer / Elk</x:v>
      </x:c>
      <x:c r="D10" s="2" t="str">
        <x:v>TBD after research</x:v>
      </x:c>
      <x:c r="E10" s="96" t="n">
        <x:v>0</x:v>
      </x:c>
      <x:c r="F10" s="91" t="n">
        <x:v>2026</x:v>
      </x:c>
      <x:c r="G10" s="2" t="str">
        <x:v>Research system</x:v>
      </x:c>
      <x:c r="H10" s="2" t="str">
        <x:v>Set strategy before purchase</x:v>
      </x:c>
      <x:c r="I10" s="97" t="n">
        <x:v>46213</x:v>
      </x:c>
      <x:c r="J10" s="2" t="str">
        <x:v>https://fwp.mt.gov/</x:v>
      </x:c>
      <x:c r="K10" s="2" t="str">
        <x:v>Stub only; distinguish preference points, bonus points, and license requirements.</x:v>
      </x:c>
    </x:row>
    <x:row r="11">
      <x:c r="A11" s="2" t="str">
        <x:v>Montana</x:v>
      </x:c>
      <x:c r="B11" s="2" t="str">
        <x:v>Youth</x:v>
      </x:c>
      <x:c r="C11" s="2" t="str">
        <x:v>Deer / Elk</x:v>
      </x:c>
      <x:c r="D11" s="2" t="str">
        <x:v>TBD after research</x:v>
      </x:c>
      <x:c r="E11" s="96" t="n">
        <x:v>0</x:v>
      </x:c>
      <x:c r="F11" s="91" t="n">
        <x:v>2026</x:v>
      </x:c>
      <x:c r="G11" s="2" t="str">
        <x:v>Research system</x:v>
      </x:c>
      <x:c r="H11" s="2" t="str">
        <x:v>Set strategy before purchase</x:v>
      </x:c>
      <x:c r="I11" s="97" t="n">
        <x:v>46213</x:v>
      </x:c>
      <x:c r="J11" s="2" t="str">
        <x:v>https://fwp.mt.gov/</x:v>
      </x:c>
      <x:c r="K11" s="2" t="str">
        <x:v>Confirm youth eligibility and current rules.</x:v>
      </x:c>
    </x:row>
    <x:row r="12">
      <x:c r="A12" s="2" t="str">
        <x:v>Idaho</x:v>
      </x:c>
      <x:c r="B12" s="2" t="str">
        <x:v>Family</x:v>
      </x:c>
      <x:c r="C12" s="2" t="str">
        <x:v>Deer / Elk</x:v>
      </x:c>
      <x:c r="D12" s="2" t="str">
        <x:v>No traditional preference-point plan</x:v>
      </x:c>
      <x:c r="E12" s="96" t="n">
        <x:v>0</x:v>
      </x:c>
      <x:c r="F12" s="91" t="n">
        <x:v>2026</x:v>
      </x:c>
      <x:c r="G12" s="2" t="str">
        <x:v>Research annual opportunity</x:v>
      </x:c>
      <x:c r="H12" s="2" t="str">
        <x:v>Annual decision</x:v>
      </x:c>
      <x:c r="I12" s="97" t="n">
        <x:v>46213</x:v>
      </x:c>
      <x:c r="J12" s="2" t="str">
        <x:v>https://idfg.idaho.gov/</x:v>
      </x:c>
      <x:c r="K12" s="2" t="str">
        <x:v>Track current nonresident tag-sale and controlled-hunt procedures annually.</x:v>
      </x:c>
    </x:row>
    <x:row r="13">
      <x:c r="A13" s="2"/>
      <x:c r="B13" s="2"/>
      <x:c r="C13" s="2"/>
      <x:c r="D13" s="2"/>
      <x:c r="E13" s="96"/>
      <x:c r="F13" s="91"/>
      <x:c r="G13" s="2"/>
      <x:c r="H13" s="2"/>
      <x:c r="I13" s="97"/>
      <x:c r="J13" s="2"/>
      <x:c r="K13" s="2"/>
    </x:row>
    <x:row r="14">
      <x:c r="A14" s="2"/>
      <x:c r="B14" s="2"/>
      <x:c r="C14" s="2"/>
      <x:c r="D14" s="2"/>
      <x:c r="E14" s="96"/>
      <x:c r="F14" s="91"/>
      <x:c r="G14" s="2"/>
      <x:c r="H14" s="2"/>
      <x:c r="I14" s="97"/>
      <x:c r="J14" s="2"/>
      <x:c r="K14" s="2"/>
    </x:row>
    <x:row r="15">
      <x:c r="A15" s="2"/>
      <x:c r="B15" s="2"/>
      <x:c r="C15" s="2"/>
      <x:c r="D15" s="2"/>
      <x:c r="E15" s="96"/>
      <x:c r="F15" s="91"/>
      <x:c r="G15" s="2"/>
      <x:c r="H15" s="2"/>
      <x:c r="I15" s="97"/>
      <x:c r="J15" s="2"/>
      <x:c r="K15" s="2"/>
    </x:row>
    <x:row r="16">
      <x:c r="A16" s="2"/>
      <x:c r="B16" s="2"/>
      <x:c r="C16" s="2"/>
      <x:c r="D16" s="2"/>
      <x:c r="E16" s="96"/>
      <x:c r="F16" s="91"/>
      <x:c r="G16" s="2"/>
      <x:c r="H16" s="2"/>
      <x:c r="I16" s="97"/>
      <x:c r="J16" s="2"/>
      <x:c r="K16" s="2"/>
    </x:row>
    <x:row r="17">
      <x:c r="A17" s="2"/>
      <x:c r="B17" s="2"/>
      <x:c r="C17" s="2"/>
      <x:c r="D17" s="2"/>
      <x:c r="E17" s="96"/>
      <x:c r="F17" s="91"/>
      <x:c r="G17" s="2"/>
      <x:c r="H17" s="2"/>
      <x:c r="I17" s="97"/>
      <x:c r="J17" s="2"/>
      <x:c r="K17" s="2"/>
    </x:row>
    <x:row r="18">
      <x:c r="A18" s="2"/>
      <x:c r="B18" s="2"/>
      <x:c r="C18" s="2"/>
      <x:c r="D18" s="2"/>
      <x:c r="E18" s="96"/>
      <x:c r="F18" s="91"/>
      <x:c r="G18" s="2"/>
      <x:c r="H18" s="2"/>
      <x:c r="I18" s="97"/>
      <x:c r="J18" s="2"/>
      <x:c r="K18" s="2"/>
    </x:row>
    <x:row r="19">
      <x:c r="A19" s="2"/>
      <x:c r="B19" s="2"/>
      <x:c r="C19" s="2"/>
      <x:c r="D19" s="2"/>
      <x:c r="E19" s="96"/>
      <x:c r="F19" s="91"/>
      <x:c r="G19" s="2"/>
      <x:c r="H19" s="2"/>
      <x:c r="I19" s="97"/>
      <x:c r="J19" s="2"/>
      <x:c r="K19" s="2"/>
    </x:row>
    <x:row r="20">
      <x:c r="A20" s="2"/>
      <x:c r="B20" s="2"/>
      <x:c r="C20" s="2"/>
      <x:c r="D20" s="2"/>
      <x:c r="E20" s="96"/>
      <x:c r="F20" s="91"/>
      <x:c r="G20" s="2"/>
      <x:c r="H20" s="2"/>
      <x:c r="I20" s="97"/>
      <x:c r="J20" s="2"/>
      <x:c r="K20" s="2"/>
    </x:row>
    <x:row r="21">
      <x:c r="A21" s="2"/>
      <x:c r="B21" s="2"/>
      <x:c r="C21" s="2"/>
      <x:c r="D21" s="2"/>
      <x:c r="E21" s="96"/>
      <x:c r="F21" s="91"/>
      <x:c r="G21" s="2"/>
      <x:c r="H21" s="2"/>
      <x:c r="I21" s="97"/>
      <x:c r="J21" s="2"/>
      <x:c r="K21" s="2"/>
    </x:row>
    <x:row r="22">
      <x:c r="A22" s="2"/>
      <x:c r="B22" s="2"/>
      <x:c r="C22" s="2"/>
      <x:c r="D22" s="2"/>
      <x:c r="E22" s="96"/>
      <x:c r="F22" s="91"/>
      <x:c r="G22" s="2"/>
      <x:c r="H22" s="2"/>
      <x:c r="I22" s="97"/>
      <x:c r="J22" s="2"/>
      <x:c r="K22" s="2"/>
    </x:row>
    <x:row r="23">
      <x:c r="A23" s="2"/>
      <x:c r="B23" s="2"/>
      <x:c r="C23" s="2"/>
      <x:c r="D23" s="2"/>
      <x:c r="E23" s="96"/>
      <x:c r="F23" s="91"/>
      <x:c r="G23" s="2"/>
      <x:c r="H23" s="2"/>
      <x:c r="I23" s="97"/>
      <x:c r="J23" s="2"/>
      <x:c r="K23" s="2"/>
    </x:row>
    <x:row r="24">
      <x:c r="A24" s="2"/>
      <x:c r="B24" s="2"/>
      <x:c r="C24" s="2"/>
      <x:c r="D24" s="2"/>
      <x:c r="E24" s="96"/>
      <x:c r="F24" s="91"/>
      <x:c r="G24" s="2"/>
      <x:c r="H24" s="2"/>
      <x:c r="I24" s="97"/>
      <x:c r="J24" s="2"/>
      <x:c r="K24" s="2"/>
    </x:row>
    <x:row r="25">
      <x:c r="A25" s="2"/>
      <x:c r="B25" s="2"/>
      <x:c r="C25" s="2"/>
      <x:c r="D25" s="2"/>
      <x:c r="E25" s="96"/>
      <x:c r="F25" s="91"/>
      <x:c r="G25" s="2"/>
      <x:c r="H25" s="2"/>
      <x:c r="I25" s="97"/>
      <x:c r="J25" s="2"/>
      <x:c r="K25" s="2"/>
    </x:row>
    <x:row r="26">
      <x:c r="A26" s="2"/>
      <x:c r="B26" s="2"/>
      <x:c r="C26" s="2"/>
      <x:c r="D26" s="2"/>
      <x:c r="E26" s="96"/>
      <x:c r="F26" s="91"/>
      <x:c r="G26" s="2"/>
      <x:c r="H26" s="2"/>
      <x:c r="I26" s="97"/>
      <x:c r="J26" s="2"/>
      <x:c r="K26" s="2"/>
    </x:row>
    <x:row r="27">
      <x:c r="A27" s="2"/>
      <x:c r="B27" s="2"/>
      <x:c r="C27" s="2"/>
      <x:c r="D27" s="2"/>
      <x:c r="E27" s="96"/>
      <x:c r="F27" s="91"/>
      <x:c r="G27" s="2"/>
      <x:c r="H27" s="2"/>
      <x:c r="I27" s="97"/>
      <x:c r="J27" s="2"/>
      <x:c r="K27" s="2"/>
    </x:row>
    <x:row r="28">
      <x:c r="A28" s="2"/>
      <x:c r="B28" s="2"/>
      <x:c r="C28" s="2"/>
      <x:c r="D28" s="2"/>
      <x:c r="E28" s="96"/>
      <x:c r="F28" s="91"/>
      <x:c r="G28" s="2"/>
      <x:c r="H28" s="2"/>
      <x:c r="I28" s="97"/>
      <x:c r="J28" s="2"/>
      <x:c r="K28" s="2"/>
    </x:row>
    <x:row r="29">
      <x:c r="A29" s="2"/>
      <x:c r="B29" s="2"/>
      <x:c r="C29" s="2"/>
      <x:c r="D29" s="2"/>
      <x:c r="E29" s="96"/>
      <x:c r="F29" s="91"/>
      <x:c r="G29" s="2"/>
      <x:c r="H29" s="2"/>
      <x:c r="I29" s="97"/>
      <x:c r="J29" s="2"/>
      <x:c r="K29" s="2"/>
    </x:row>
    <x:row r="30">
      <x:c r="A30" s="2"/>
      <x:c r="B30" s="2"/>
      <x:c r="C30" s="2"/>
      <x:c r="D30" s="2"/>
      <x:c r="E30" s="96"/>
      <x:c r="F30" s="91"/>
      <x:c r="G30" s="2"/>
      <x:c r="H30" s="2"/>
      <x:c r="I30" s="97"/>
      <x:c r="J30" s="2"/>
      <x:c r="K30" s="2"/>
    </x:row>
    <x:row r="31">
      <x:c r="A31" s="2"/>
      <x:c r="B31" s="2"/>
      <x:c r="C31" s="2"/>
      <x:c r="D31" s="2"/>
      <x:c r="E31" s="96"/>
      <x:c r="F31" s="91"/>
      <x:c r="G31" s="2"/>
      <x:c r="H31" s="2"/>
      <x:c r="I31" s="97"/>
      <x:c r="J31" s="2"/>
      <x:c r="K31" s="2"/>
    </x:row>
    <x:row r="32">
      <x:c r="A32" s="2"/>
      <x:c r="B32" s="2"/>
      <x:c r="C32" s="2"/>
      <x:c r="D32" s="2"/>
      <x:c r="E32" s="96"/>
      <x:c r="F32" s="91"/>
      <x:c r="G32" s="2"/>
      <x:c r="H32" s="2"/>
      <x:c r="I32" s="97"/>
      <x:c r="J32" s="2"/>
      <x:c r="K32" s="2"/>
    </x:row>
    <x:row r="33">
      <x:c r="A33" s="2"/>
      <x:c r="B33" s="2"/>
      <x:c r="C33" s="2"/>
      <x:c r="D33" s="2"/>
      <x:c r="E33" s="96"/>
      <x:c r="F33" s="91"/>
      <x:c r="G33" s="2"/>
      <x:c r="H33" s="2"/>
      <x:c r="I33" s="97"/>
      <x:c r="J33" s="2"/>
      <x:c r="K33" s="2"/>
    </x:row>
    <x:row r="34">
      <x:c r="A34" s="2"/>
      <x:c r="B34" s="2"/>
      <x:c r="C34" s="2"/>
      <x:c r="D34" s="2"/>
      <x:c r="E34" s="96"/>
      <x:c r="F34" s="91"/>
      <x:c r="G34" s="2"/>
      <x:c r="H34" s="2"/>
      <x:c r="I34" s="97"/>
      <x:c r="J34" s="2"/>
      <x:c r="K34" s="2"/>
    </x:row>
    <x:row r="35">
      <x:c r="A35" s="2"/>
      <x:c r="B35" s="2"/>
      <x:c r="C35" s="2"/>
      <x:c r="D35" s="2"/>
      <x:c r="E35" s="96"/>
      <x:c r="F35" s="91"/>
      <x:c r="G35" s="2"/>
      <x:c r="H35" s="2"/>
      <x:c r="I35" s="97"/>
      <x:c r="J35" s="2"/>
      <x:c r="K35" s="2"/>
    </x:row>
    <x:row r="36">
      <x:c r="A36" s="2"/>
      <x:c r="B36" s="2"/>
      <x:c r="C36" s="2"/>
      <x:c r="D36" s="2"/>
      <x:c r="E36" s="96"/>
      <x:c r="F36" s="91"/>
      <x:c r="G36" s="2"/>
      <x:c r="H36" s="2"/>
      <x:c r="I36" s="97"/>
      <x:c r="J36" s="2"/>
      <x:c r="K36" s="2"/>
    </x:row>
    <x:row r="37">
      <x:c r="A37" s="2"/>
      <x:c r="B37" s="2"/>
      <x:c r="C37" s="2"/>
      <x:c r="D37" s="2"/>
      <x:c r="E37" s="96"/>
      <x:c r="F37" s="91"/>
      <x:c r="G37" s="2"/>
      <x:c r="H37" s="2"/>
      <x:c r="I37" s="97"/>
      <x:c r="J37" s="2"/>
      <x:c r="K37" s="2"/>
    </x:row>
    <x:row r="38">
      <x:c r="A38" s="2"/>
      <x:c r="B38" s="2"/>
      <x:c r="C38" s="2"/>
      <x:c r="D38" s="2"/>
      <x:c r="E38" s="96"/>
      <x:c r="F38" s="91"/>
      <x:c r="G38" s="2"/>
      <x:c r="H38" s="2"/>
      <x:c r="I38" s="97"/>
      <x:c r="J38" s="2"/>
      <x:c r="K38" s="2"/>
    </x:row>
    <x:row r="39">
      <x:c r="A39" s="2"/>
      <x:c r="B39" s="2"/>
      <x:c r="C39" s="2"/>
      <x:c r="D39" s="2"/>
      <x:c r="E39" s="96"/>
      <x:c r="F39" s="91"/>
      <x:c r="G39" s="2"/>
      <x:c r="H39" s="2"/>
      <x:c r="I39" s="97"/>
      <x:c r="J39" s="2"/>
      <x:c r="K39" s="2"/>
    </x:row>
    <x:row r="40">
      <x:c r="A40" s="2"/>
      <x:c r="B40" s="2"/>
      <x:c r="C40" s="2"/>
      <x:c r="D40" s="2"/>
      <x:c r="E40" s="96"/>
      <x:c r="F40" s="91"/>
      <x:c r="G40" s="2"/>
      <x:c r="H40" s="2"/>
      <x:c r="I40" s="97"/>
      <x:c r="J40" s="2"/>
      <x:c r="K40" s="2"/>
    </x:row>
    <x:row r="41">
      <x:c r="A41" s="2"/>
      <x:c r="B41" s="2"/>
      <x:c r="C41" s="2"/>
      <x:c r="D41" s="2"/>
      <x:c r="E41" s="96"/>
      <x:c r="F41" s="91"/>
      <x:c r="G41" s="2"/>
      <x:c r="H41" s="2"/>
      <x:c r="I41" s="97"/>
      <x:c r="J41" s="2"/>
      <x:c r="K41" s="2"/>
    </x:row>
    <x:row r="42">
      <x:c r="A42" s="2"/>
      <x:c r="B42" s="2"/>
      <x:c r="C42" s="2"/>
      <x:c r="D42" s="2"/>
      <x:c r="E42" s="96"/>
      <x:c r="F42" s="91"/>
      <x:c r="G42" s="2"/>
      <x:c r="H42" s="2"/>
      <x:c r="I42" s="97"/>
      <x:c r="J42" s="2"/>
      <x:c r="K42" s="2"/>
    </x:row>
    <x:row r="43">
      <x:c r="A43" s="2"/>
      <x:c r="B43" s="2"/>
      <x:c r="C43" s="2"/>
      <x:c r="D43" s="2"/>
      <x:c r="E43" s="96"/>
      <x:c r="F43" s="91"/>
      <x:c r="G43" s="2"/>
      <x:c r="H43" s="2"/>
      <x:c r="I43" s="97"/>
      <x:c r="J43" s="2"/>
      <x:c r="K43" s="2"/>
    </x:row>
    <x:row r="44">
      <x:c r="A44" s="2"/>
      <x:c r="B44" s="2"/>
      <x:c r="C44" s="2"/>
      <x:c r="D44" s="2"/>
      <x:c r="E44" s="96"/>
      <x:c r="F44" s="91"/>
      <x:c r="G44" s="2"/>
      <x:c r="H44" s="2"/>
      <x:c r="I44" s="97"/>
      <x:c r="J44" s="2"/>
      <x:c r="K44" s="2"/>
    </x:row>
    <x:row r="45">
      <x:c r="A45" s="2"/>
      <x:c r="B45" s="2"/>
      <x:c r="C45" s="2"/>
      <x:c r="D45" s="2"/>
      <x:c r="E45" s="96"/>
      <x:c r="F45" s="91"/>
      <x:c r="G45" s="2"/>
      <x:c r="H45" s="2"/>
      <x:c r="I45" s="97"/>
      <x:c r="J45" s="2"/>
      <x:c r="K45" s="2"/>
    </x:row>
    <x:row r="46">
      <x:c r="A46" s="2"/>
      <x:c r="B46" s="2"/>
      <x:c r="C46" s="2"/>
      <x:c r="D46" s="2"/>
      <x:c r="E46" s="96"/>
      <x:c r="F46" s="91"/>
      <x:c r="G46" s="2"/>
      <x:c r="H46" s="2"/>
      <x:c r="I46" s="97"/>
      <x:c r="J46" s="2"/>
      <x:c r="K46" s="2"/>
    </x:row>
    <x:row r="47">
      <x:c r="A47" s="2"/>
      <x:c r="B47" s="2"/>
      <x:c r="C47" s="2"/>
      <x:c r="D47" s="2"/>
      <x:c r="E47" s="96"/>
      <x:c r="F47" s="91"/>
      <x:c r="G47" s="2"/>
      <x:c r="H47" s="2"/>
      <x:c r="I47" s="97"/>
      <x:c r="J47" s="2"/>
      <x:c r="K47" s="2"/>
    </x:row>
    <x:row r="48">
      <x:c r="A48" s="2"/>
      <x:c r="B48" s="2"/>
      <x:c r="C48" s="2"/>
      <x:c r="D48" s="2"/>
      <x:c r="E48" s="96"/>
      <x:c r="F48" s="91"/>
      <x:c r="G48" s="2"/>
      <x:c r="H48" s="2"/>
      <x:c r="I48" s="97"/>
      <x:c r="J48" s="2"/>
      <x:c r="K48" s="2"/>
    </x:row>
    <x:row r="49">
      <x:c r="A49" s="2"/>
      <x:c r="B49" s="2"/>
      <x:c r="C49" s="2"/>
      <x:c r="D49" s="2"/>
      <x:c r="E49" s="96"/>
      <x:c r="F49" s="91"/>
      <x:c r="G49" s="2"/>
      <x:c r="H49" s="2"/>
      <x:c r="I49" s="97"/>
      <x:c r="J49" s="2"/>
      <x:c r="K49" s="2"/>
    </x:row>
    <x:row r="50">
      <x:c r="A50" s="2"/>
      <x:c r="B50" s="2"/>
      <x:c r="C50" s="2"/>
      <x:c r="D50" s="2"/>
      <x:c r="E50" s="96"/>
      <x:c r="F50" s="91"/>
      <x:c r="G50" s="2"/>
      <x:c r="H50" s="2"/>
      <x:c r="I50" s="97"/>
      <x:c r="J50" s="2"/>
      <x:c r="K50" s="2"/>
    </x:row>
    <x:row r="51">
      <x:c r="A51" s="2"/>
      <x:c r="B51" s="2"/>
      <x:c r="C51" s="2"/>
      <x:c r="D51" s="2"/>
      <x:c r="E51" s="96"/>
      <x:c r="F51" s="91"/>
      <x:c r="G51" s="2"/>
      <x:c r="H51" s="2"/>
      <x:c r="I51" s="97"/>
      <x:c r="J51" s="2"/>
      <x:c r="K51" s="2"/>
    </x:row>
    <x:row r="52">
      <x:c r="A52" s="2"/>
      <x:c r="B52" s="2"/>
      <x:c r="C52" s="2"/>
      <x:c r="D52" s="2"/>
      <x:c r="E52" s="96"/>
      <x:c r="F52" s="91"/>
      <x:c r="G52" s="2"/>
      <x:c r="H52" s="2"/>
      <x:c r="I52" s="97"/>
      <x:c r="J52" s="2"/>
      <x:c r="K52" s="2"/>
    </x:row>
    <x:row r="53">
      <x:c r="A53" s="2"/>
      <x:c r="B53" s="2"/>
      <x:c r="C53" s="2"/>
      <x:c r="D53" s="2"/>
      <x:c r="E53" s="96"/>
      <x:c r="F53" s="91"/>
      <x:c r="G53" s="2"/>
      <x:c r="H53" s="2"/>
      <x:c r="I53" s="97"/>
      <x:c r="J53" s="2"/>
      <x:c r="K53" s="2"/>
    </x:row>
    <x:row r="54">
      <x:c r="A54" s="2"/>
      <x:c r="B54" s="2"/>
      <x:c r="C54" s="2"/>
      <x:c r="D54" s="2"/>
      <x:c r="E54" s="96"/>
      <x:c r="F54" s="91"/>
      <x:c r="G54" s="2"/>
      <x:c r="H54" s="2"/>
      <x:c r="I54" s="97"/>
      <x:c r="J54" s="2"/>
      <x:c r="K54" s="2"/>
    </x:row>
    <x:row r="55">
      <x:c r="A55" s="2"/>
      <x:c r="B55" s="2"/>
      <x:c r="C55" s="2"/>
      <x:c r="D55" s="2"/>
      <x:c r="E55" s="96"/>
      <x:c r="F55" s="91"/>
      <x:c r="G55" s="2"/>
      <x:c r="H55" s="2"/>
      <x:c r="I55" s="97"/>
      <x:c r="J55" s="2"/>
      <x:c r="K55" s="2"/>
    </x:row>
    <x:row r="56">
      <x:c r="A56" s="2"/>
      <x:c r="B56" s="2"/>
      <x:c r="C56" s="2"/>
      <x:c r="D56" s="2"/>
      <x:c r="E56" s="96"/>
      <x:c r="F56" s="91"/>
      <x:c r="G56" s="2"/>
      <x:c r="H56" s="2"/>
      <x:c r="I56" s="97"/>
      <x:c r="J56" s="2"/>
      <x:c r="K56" s="2"/>
    </x:row>
    <x:row r="57">
      <x:c r="A57" s="2"/>
      <x:c r="B57" s="2"/>
      <x:c r="C57" s="2"/>
      <x:c r="D57" s="2"/>
      <x:c r="E57" s="96"/>
      <x:c r="F57" s="91"/>
      <x:c r="G57" s="2"/>
      <x:c r="H57" s="2"/>
      <x:c r="I57" s="97"/>
      <x:c r="J57" s="2"/>
      <x:c r="K57" s="2"/>
    </x:row>
    <x:row r="58">
      <x:c r="A58" s="2"/>
      <x:c r="B58" s="2"/>
      <x:c r="C58" s="2"/>
      <x:c r="D58" s="2"/>
      <x:c r="E58" s="96"/>
      <x:c r="F58" s="91"/>
      <x:c r="G58" s="2"/>
      <x:c r="H58" s="2"/>
      <x:c r="I58" s="97"/>
      <x:c r="J58" s="2"/>
      <x:c r="K58" s="2"/>
    </x:row>
    <x:row r="59">
      <x:c r="A59" s="2"/>
      <x:c r="B59" s="2"/>
      <x:c r="C59" s="2"/>
      <x:c r="D59" s="2"/>
      <x:c r="E59" s="96"/>
      <x:c r="F59" s="91"/>
      <x:c r="G59" s="2"/>
      <x:c r="H59" s="2"/>
      <x:c r="I59" s="97"/>
      <x:c r="J59" s="2"/>
      <x:c r="K59" s="2"/>
    </x:row>
    <x:row r="60">
      <x:c r="A60" s="2"/>
      <x:c r="B60" s="2"/>
      <x:c r="C60" s="2"/>
      <x:c r="D60" s="2"/>
      <x:c r="E60" s="96"/>
      <x:c r="F60" s="91"/>
      <x:c r="G60" s="2"/>
      <x:c r="H60" s="2"/>
      <x:c r="I60" s="97"/>
      <x:c r="J60" s="2"/>
      <x:c r="K60" s="2"/>
    </x:row>
    <x:row r="61">
      <x:c r="A61" s="2"/>
      <x:c r="B61" s="2"/>
      <x:c r="C61" s="2"/>
      <x:c r="D61" s="2"/>
      <x:c r="E61" s="96"/>
      <x:c r="F61" s="91"/>
      <x:c r="G61" s="2"/>
      <x:c r="H61" s="2"/>
      <x:c r="I61" s="97"/>
      <x:c r="J61" s="2"/>
      <x:c r="K61" s="2"/>
    </x:row>
    <x:row r="62">
      <x:c r="A62" s="2"/>
      <x:c r="B62" s="2"/>
      <x:c r="C62" s="2"/>
      <x:c r="D62" s="2"/>
      <x:c r="E62" s="96"/>
      <x:c r="F62" s="91"/>
      <x:c r="G62" s="2"/>
      <x:c r="H62" s="2"/>
      <x:c r="I62" s="97"/>
      <x:c r="J62" s="2"/>
      <x:c r="K62" s="2"/>
    </x:row>
    <x:row r="63">
      <x:c r="A63" s="2"/>
      <x:c r="B63" s="2"/>
      <x:c r="C63" s="2"/>
      <x:c r="D63" s="2"/>
      <x:c r="E63" s="96"/>
      <x:c r="F63" s="91"/>
      <x:c r="G63" s="2"/>
      <x:c r="H63" s="2"/>
      <x:c r="I63" s="97"/>
      <x:c r="J63" s="2"/>
      <x:c r="K63" s="2"/>
    </x:row>
    <x:row r="64">
      <x:c r="A64" s="2"/>
      <x:c r="B64" s="2"/>
      <x:c r="C64" s="2"/>
      <x:c r="D64" s="2"/>
      <x:c r="E64" s="96"/>
      <x:c r="F64" s="91"/>
      <x:c r="G64" s="2"/>
      <x:c r="H64" s="2"/>
      <x:c r="I64" s="97"/>
      <x:c r="J64" s="2"/>
      <x:c r="K64" s="2"/>
    </x:row>
    <x:row r="65">
      <x:c r="A65" s="2"/>
      <x:c r="B65" s="2"/>
      <x:c r="C65" s="2"/>
      <x:c r="D65" s="2"/>
      <x:c r="E65" s="96"/>
      <x:c r="F65" s="91"/>
      <x:c r="G65" s="2"/>
      <x:c r="H65" s="2"/>
      <x:c r="I65" s="97"/>
      <x:c r="J65" s="2"/>
      <x:c r="K65" s="2"/>
    </x:row>
    <x:row r="66">
      <x:c r="A66" s="2"/>
      <x:c r="B66" s="2"/>
      <x:c r="C66" s="2"/>
      <x:c r="D66" s="2"/>
      <x:c r="E66" s="96"/>
      <x:c r="F66" s="91"/>
      <x:c r="G66" s="2"/>
      <x:c r="H66" s="2"/>
      <x:c r="I66" s="97"/>
      <x:c r="J66" s="2"/>
      <x:c r="K66" s="2"/>
    </x:row>
    <x:row r="67">
      <x:c r="A67" s="2"/>
      <x:c r="B67" s="2"/>
      <x:c r="C67" s="2"/>
      <x:c r="D67" s="2"/>
      <x:c r="E67" s="96"/>
      <x:c r="F67" s="91"/>
      <x:c r="G67" s="2"/>
      <x:c r="H67" s="2"/>
      <x:c r="I67" s="97"/>
      <x:c r="J67" s="2"/>
      <x:c r="K67" s="2"/>
    </x:row>
    <x:row r="68">
      <x:c r="A68" s="2"/>
      <x:c r="B68" s="2"/>
      <x:c r="C68" s="2"/>
      <x:c r="D68" s="2"/>
      <x:c r="E68" s="96"/>
      <x:c r="F68" s="91"/>
      <x:c r="G68" s="2"/>
      <x:c r="H68" s="2"/>
      <x:c r="I68" s="97"/>
      <x:c r="J68" s="2"/>
      <x:c r="K68" s="2"/>
    </x:row>
    <x:row r="69">
      <x:c r="A69" s="2"/>
      <x:c r="B69" s="2"/>
      <x:c r="C69" s="2"/>
      <x:c r="D69" s="2"/>
      <x:c r="E69" s="96"/>
      <x:c r="F69" s="91"/>
      <x:c r="G69" s="2"/>
      <x:c r="H69" s="2"/>
      <x:c r="I69" s="97"/>
      <x:c r="J69" s="2"/>
      <x:c r="K69" s="2"/>
    </x:row>
    <x:row r="70">
      <x:c r="A70" s="2"/>
      <x:c r="B70" s="2"/>
      <x:c r="C70" s="2"/>
      <x:c r="D70" s="2"/>
      <x:c r="E70" s="96"/>
      <x:c r="F70" s="91"/>
      <x:c r="G70" s="2"/>
      <x:c r="H70" s="2"/>
      <x:c r="I70" s="97"/>
      <x:c r="J70" s="2"/>
      <x:c r="K70" s="2"/>
    </x:row>
    <x:row r="71">
      <x:c r="A71" s="2"/>
      <x:c r="B71" s="2"/>
      <x:c r="C71" s="2"/>
      <x:c r="D71" s="2"/>
      <x:c r="E71" s="96"/>
      <x:c r="F71" s="91"/>
      <x:c r="G71" s="2"/>
      <x:c r="H71" s="2"/>
      <x:c r="I71" s="97"/>
      <x:c r="J71" s="2"/>
      <x:c r="K71" s="2"/>
    </x:row>
    <x:row r="72">
      <x:c r="A72" s="2"/>
      <x:c r="B72" s="2"/>
      <x:c r="C72" s="2"/>
      <x:c r="D72" s="2"/>
      <x:c r="E72" s="96"/>
      <x:c r="F72" s="91"/>
      <x:c r="G72" s="2"/>
      <x:c r="H72" s="2"/>
      <x:c r="I72" s="97"/>
      <x:c r="J72" s="2"/>
      <x:c r="K72" s="2"/>
    </x:row>
    <x:row r="73">
      <x:c r="A73" s="2"/>
      <x:c r="B73" s="2"/>
      <x:c r="C73" s="2"/>
      <x:c r="D73" s="2"/>
      <x:c r="E73" s="96"/>
      <x:c r="F73" s="91"/>
      <x:c r="G73" s="2"/>
      <x:c r="H73" s="2"/>
      <x:c r="I73" s="97"/>
      <x:c r="J73" s="2"/>
      <x:c r="K73" s="2"/>
    </x:row>
    <x:row r="74">
      <x:c r="A74" s="2"/>
      <x:c r="B74" s="2"/>
      <x:c r="C74" s="2"/>
      <x:c r="D74" s="2"/>
      <x:c r="E74" s="96"/>
      <x:c r="F74" s="91"/>
      <x:c r="G74" s="2"/>
      <x:c r="H74" s="2"/>
      <x:c r="I74" s="97"/>
      <x:c r="J74" s="2"/>
      <x:c r="K74" s="2"/>
    </x:row>
    <x:row r="75">
      <x:c r="A75" s="2"/>
      <x:c r="B75" s="2"/>
      <x:c r="C75" s="2"/>
      <x:c r="D75" s="2"/>
      <x:c r="E75" s="96"/>
      <x:c r="F75" s="91"/>
      <x:c r="G75" s="2"/>
      <x:c r="H75" s="2"/>
      <x:c r="I75" s="97"/>
      <x:c r="J75" s="2"/>
      <x:c r="K75" s="2"/>
    </x:row>
    <x:row r="76">
      <x:c r="A76" s="2"/>
      <x:c r="B76" s="2"/>
      <x:c r="C76" s="2"/>
      <x:c r="D76" s="2"/>
      <x:c r="E76" s="96"/>
      <x:c r="F76" s="91"/>
      <x:c r="G76" s="2"/>
      <x:c r="H76" s="2"/>
      <x:c r="I76" s="97"/>
      <x:c r="J76" s="2"/>
      <x:c r="K76" s="2"/>
    </x:row>
    <x:row r="77">
      <x:c r="A77" s="2"/>
      <x:c r="B77" s="2"/>
      <x:c r="C77" s="2"/>
      <x:c r="D77" s="2"/>
      <x:c r="E77" s="96"/>
      <x:c r="F77" s="91"/>
      <x:c r="G77" s="2"/>
      <x:c r="H77" s="2"/>
      <x:c r="I77" s="97"/>
      <x:c r="J77" s="2"/>
      <x:c r="K77" s="2"/>
    </x:row>
    <x:row r="78">
      <x:c r="A78" s="2"/>
      <x:c r="B78" s="2"/>
      <x:c r="C78" s="2"/>
      <x:c r="D78" s="2"/>
      <x:c r="E78" s="96"/>
      <x:c r="F78" s="91"/>
      <x:c r="G78" s="2"/>
      <x:c r="H78" s="2"/>
      <x:c r="I78" s="97"/>
      <x:c r="J78" s="2"/>
      <x:c r="K78" s="2"/>
    </x:row>
    <x:row r="79">
      <x:c r="A79" s="2"/>
      <x:c r="B79" s="2"/>
      <x:c r="C79" s="2"/>
      <x:c r="D79" s="2"/>
      <x:c r="E79" s="96"/>
      <x:c r="F79" s="91"/>
      <x:c r="G79" s="2"/>
      <x:c r="H79" s="2"/>
      <x:c r="I79" s="97"/>
      <x:c r="J79" s="2"/>
      <x:c r="K79" s="2"/>
    </x:row>
    <x:row r="80">
      <x:c r="A80" s="2"/>
      <x:c r="B80" s="2"/>
      <x:c r="C80" s="2"/>
      <x:c r="D80" s="2"/>
      <x:c r="E80" s="96"/>
      <x:c r="F80" s="91"/>
      <x:c r="G80" s="2"/>
      <x:c r="H80" s="2"/>
      <x:c r="I80" s="97"/>
      <x:c r="J80" s="2"/>
      <x:c r="K80" s="2"/>
    </x:row>
    <x:row r="81">
      <x:c r="A81" s="2"/>
      <x:c r="B81" s="2"/>
      <x:c r="C81" s="2"/>
      <x:c r="D81" s="2"/>
      <x:c r="E81" s="96"/>
      <x:c r="F81" s="91"/>
      <x:c r="G81" s="2"/>
      <x:c r="H81" s="2"/>
      <x:c r="I81" s="97"/>
      <x:c r="J81" s="2"/>
      <x:c r="K81" s="2"/>
    </x:row>
    <x:row r="82">
      <x:c r="A82" s="2"/>
      <x:c r="B82" s="2"/>
      <x:c r="C82" s="2"/>
      <x:c r="D82" s="2"/>
      <x:c r="E82" s="96"/>
      <x:c r="F82" s="91"/>
      <x:c r="G82" s="2"/>
      <x:c r="H82" s="2"/>
      <x:c r="I82" s="97"/>
      <x:c r="J82" s="2"/>
      <x:c r="K82" s="2"/>
    </x:row>
    <x:row r="83">
      <x:c r="A83" s="2"/>
      <x:c r="B83" s="2"/>
      <x:c r="C83" s="2"/>
      <x:c r="D83" s="2"/>
      <x:c r="E83" s="96"/>
      <x:c r="F83" s="91"/>
      <x:c r="G83" s="2"/>
      <x:c r="H83" s="2"/>
      <x:c r="I83" s="97"/>
      <x:c r="J83" s="2"/>
      <x:c r="K83" s="2"/>
    </x:row>
    <x:row r="84">
      <x:c r="A84" s="2"/>
      <x:c r="B84" s="2"/>
      <x:c r="C84" s="2"/>
      <x:c r="D84" s="2"/>
      <x:c r="E84" s="96"/>
      <x:c r="F84" s="91"/>
      <x:c r="G84" s="2"/>
      <x:c r="H84" s="2"/>
      <x:c r="I84" s="97"/>
      <x:c r="J84" s="2"/>
      <x:c r="K84" s="2"/>
    </x:row>
    <x:row r="85">
      <x:c r="A85" s="2"/>
      <x:c r="B85" s="2"/>
      <x:c r="C85" s="2"/>
      <x:c r="D85" s="2"/>
      <x:c r="E85" s="96"/>
      <x:c r="F85" s="91"/>
      <x:c r="G85" s="2"/>
      <x:c r="H85" s="2"/>
      <x:c r="I85" s="97"/>
      <x:c r="J85" s="2"/>
      <x:c r="K85" s="2"/>
    </x:row>
    <x:row r="86">
      <x:c r="A86" s="2"/>
      <x:c r="B86" s="2"/>
      <x:c r="C86" s="2"/>
      <x:c r="D86" s="2"/>
      <x:c r="E86" s="96"/>
      <x:c r="F86" s="91"/>
      <x:c r="G86" s="2"/>
      <x:c r="H86" s="2"/>
      <x:c r="I86" s="97"/>
      <x:c r="J86" s="2"/>
      <x:c r="K86" s="2"/>
    </x:row>
    <x:row r="87">
      <x:c r="A87" s="2"/>
      <x:c r="B87" s="2"/>
      <x:c r="C87" s="2"/>
      <x:c r="D87" s="2"/>
      <x:c r="E87" s="96"/>
      <x:c r="F87" s="91"/>
      <x:c r="G87" s="2"/>
      <x:c r="H87" s="2"/>
      <x:c r="I87" s="97"/>
      <x:c r="J87" s="2"/>
      <x:c r="K87" s="2"/>
    </x:row>
    <x:row r="88">
      <x:c r="A88" s="2"/>
      <x:c r="B88" s="2"/>
      <x:c r="C88" s="2"/>
      <x:c r="D88" s="2"/>
      <x:c r="E88" s="96"/>
      <x:c r="F88" s="91"/>
      <x:c r="G88" s="2"/>
      <x:c r="H88" s="2"/>
      <x:c r="I88" s="97"/>
      <x:c r="J88" s="2"/>
      <x:c r="K88" s="2"/>
    </x:row>
    <x:row r="89">
      <x:c r="A89" s="2"/>
      <x:c r="B89" s="2"/>
      <x:c r="C89" s="2"/>
      <x:c r="D89" s="2"/>
      <x:c r="E89" s="96"/>
      <x:c r="F89" s="91"/>
      <x:c r="G89" s="2"/>
      <x:c r="H89" s="2"/>
      <x:c r="I89" s="97"/>
      <x:c r="J89" s="2"/>
      <x:c r="K89" s="2"/>
    </x:row>
    <x:row r="90">
      <x:c r="A90" s="2"/>
      <x:c r="B90" s="2"/>
      <x:c r="C90" s="2"/>
      <x:c r="D90" s="2"/>
      <x:c r="E90" s="96"/>
      <x:c r="F90" s="91"/>
      <x:c r="G90" s="2"/>
      <x:c r="H90" s="2"/>
      <x:c r="I90" s="97"/>
      <x:c r="J90" s="2"/>
      <x:c r="K90" s="2"/>
    </x:row>
    <x:row r="91">
      <x:c r="A91" s="2"/>
      <x:c r="B91" s="2"/>
      <x:c r="C91" s="2"/>
      <x:c r="D91" s="2"/>
      <x:c r="E91" s="96"/>
      <x:c r="F91" s="91"/>
      <x:c r="G91" s="2"/>
      <x:c r="H91" s="2"/>
      <x:c r="I91" s="97"/>
      <x:c r="J91" s="2"/>
      <x:c r="K91" s="2"/>
    </x:row>
    <x:row r="92">
      <x:c r="A92" s="2"/>
      <x:c r="B92" s="2"/>
      <x:c r="C92" s="2"/>
      <x:c r="D92" s="2"/>
      <x:c r="E92" s="96"/>
      <x:c r="F92" s="91"/>
      <x:c r="G92" s="2"/>
      <x:c r="H92" s="2"/>
      <x:c r="I92" s="97"/>
      <x:c r="J92" s="2"/>
      <x:c r="K92" s="2"/>
    </x:row>
    <x:row r="93">
      <x:c r="A93" s="2"/>
      <x:c r="B93" s="2"/>
      <x:c r="C93" s="2"/>
      <x:c r="D93" s="2"/>
      <x:c r="E93" s="96"/>
      <x:c r="F93" s="91"/>
      <x:c r="G93" s="2"/>
      <x:c r="H93" s="2"/>
      <x:c r="I93" s="97"/>
      <x:c r="J93" s="2"/>
      <x:c r="K93" s="2"/>
    </x:row>
    <x:row r="94">
      <x:c r="A94" s="2"/>
      <x:c r="B94" s="2"/>
      <x:c r="C94" s="2"/>
      <x:c r="D94" s="2"/>
      <x:c r="E94" s="96"/>
      <x:c r="F94" s="91"/>
      <x:c r="G94" s="2"/>
      <x:c r="H94" s="2"/>
      <x:c r="I94" s="97"/>
      <x:c r="J94" s="2"/>
      <x:c r="K94" s="2"/>
    </x:row>
    <x:row r="95">
      <x:c r="A95" s="2"/>
      <x:c r="B95" s="2"/>
      <x:c r="C95" s="2"/>
      <x:c r="D95" s="2"/>
      <x:c r="E95" s="96"/>
      <x:c r="F95" s="91"/>
      <x:c r="G95" s="2"/>
      <x:c r="H95" s="2"/>
      <x:c r="I95" s="97"/>
      <x:c r="J95" s="2"/>
      <x:c r="K95" s="2"/>
    </x:row>
    <x:row r="96">
      <x:c r="A96" s="2"/>
      <x:c r="B96" s="2"/>
      <x:c r="C96" s="2"/>
      <x:c r="D96" s="2"/>
      <x:c r="E96" s="96"/>
      <x:c r="F96" s="91"/>
      <x:c r="G96" s="2"/>
      <x:c r="H96" s="2"/>
      <x:c r="I96" s="97"/>
      <x:c r="J96" s="2"/>
      <x:c r="K96" s="2"/>
    </x:row>
    <x:row r="97">
      <x:c r="A97" s="2"/>
      <x:c r="B97" s="2"/>
      <x:c r="C97" s="2"/>
      <x:c r="D97" s="2"/>
      <x:c r="E97" s="96"/>
      <x:c r="F97" s="91"/>
      <x:c r="G97" s="2"/>
      <x:c r="H97" s="2"/>
      <x:c r="I97" s="97"/>
      <x:c r="J97" s="2"/>
      <x:c r="K97" s="2"/>
    </x:row>
    <x:row r="98">
      <x:c r="A98" s="2"/>
      <x:c r="B98" s="2"/>
      <x:c r="C98" s="2"/>
      <x:c r="D98" s="2"/>
      <x:c r="E98" s="96"/>
      <x:c r="F98" s="91"/>
      <x:c r="G98" s="2"/>
      <x:c r="H98" s="2"/>
      <x:c r="I98" s="97"/>
      <x:c r="J98" s="2"/>
      <x:c r="K98" s="2"/>
    </x:row>
    <x:row r="99">
      <x:c r="A99" s="2"/>
      <x:c r="B99" s="2"/>
      <x:c r="C99" s="2"/>
      <x:c r="D99" s="2"/>
      <x:c r="E99" s="96"/>
      <x:c r="F99" s="91"/>
      <x:c r="G99" s="2"/>
      <x:c r="H99" s="2"/>
      <x:c r="I99" s="97"/>
      <x:c r="J99" s="2"/>
      <x:c r="K99" s="2"/>
    </x:row>
    <x:row r="100">
      <x:c r="A100" s="2"/>
      <x:c r="B100" s="2"/>
      <x:c r="C100" s="2"/>
      <x:c r="D100" s="2"/>
      <x:c r="E100" s="96"/>
      <x:c r="F100" s="91"/>
      <x:c r="G100" s="2"/>
      <x:c r="H100" s="2"/>
      <x:c r="I100" s="97"/>
      <x:c r="J100" s="2"/>
      <x:c r="K100" s="2"/>
    </x:row>
    <x:row r="101">
      <x:c r="A101" s="2"/>
      <x:c r="B101" s="2"/>
      <x:c r="C101" s="2"/>
      <x:c r="D101" s="2"/>
      <x:c r="E101" s="96"/>
      <x:c r="F101" s="91"/>
      <x:c r="G101" s="2"/>
      <x:c r="H101" s="2"/>
      <x:c r="I101" s="97"/>
      <x:c r="J101" s="2"/>
      <x:c r="K101" s="2"/>
    </x:row>
    <x:row r="102">
      <x:c r="A102" s="2"/>
      <x:c r="B102" s="2"/>
      <x:c r="C102" s="2"/>
      <x:c r="D102" s="2"/>
      <x:c r="E102" s="96"/>
      <x:c r="F102" s="91"/>
      <x:c r="G102" s="2"/>
      <x:c r="H102" s="2"/>
      <x:c r="I102" s="97"/>
      <x:c r="J102" s="2"/>
      <x:c r="K102" s="2"/>
    </x:row>
    <x:row r="103">
      <x:c r="A103" s="2"/>
      <x:c r="B103" s="2"/>
      <x:c r="C103" s="2"/>
      <x:c r="D103" s="2"/>
      <x:c r="E103" s="96"/>
      <x:c r="F103" s="91"/>
      <x:c r="G103" s="2"/>
      <x:c r="H103" s="2"/>
      <x:c r="I103" s="97"/>
      <x:c r="J103" s="2"/>
      <x:c r="K103" s="2"/>
    </x:row>
    <x:row r="104">
      <x:c r="A104" s="2"/>
      <x:c r="B104" s="2"/>
      <x:c r="C104" s="2"/>
      <x:c r="D104" s="2"/>
      <x:c r="E104" s="96"/>
      <x:c r="F104" s="91"/>
      <x:c r="G104" s="2"/>
      <x:c r="H104" s="2"/>
      <x:c r="I104" s="97"/>
      <x:c r="J104" s="2"/>
      <x:c r="K104" s="2"/>
    </x:row>
    <x:row r="105">
      <x:c r="A105" s="2"/>
      <x:c r="B105" s="2"/>
      <x:c r="C105" s="2"/>
      <x:c r="D105" s="2"/>
      <x:c r="E105" s="96"/>
      <x:c r="F105" s="91"/>
      <x:c r="G105" s="2"/>
      <x:c r="H105" s="2"/>
      <x:c r="I105" s="97"/>
      <x:c r="J105" s="2"/>
      <x:c r="K105" s="2"/>
    </x:row>
    <x:row r="106">
      <x:c r="A106" s="2"/>
      <x:c r="B106" s="2"/>
      <x:c r="C106" s="2"/>
      <x:c r="D106" s="2"/>
      <x:c r="E106" s="96"/>
      <x:c r="F106" s="91"/>
      <x:c r="G106" s="2"/>
      <x:c r="H106" s="2"/>
      <x:c r="I106" s="97"/>
      <x:c r="J106" s="2"/>
      <x:c r="K106" s="2"/>
    </x:row>
    <x:row r="107">
      <x:c r="A107" s="2"/>
      <x:c r="B107" s="2"/>
      <x:c r="C107" s="2"/>
      <x:c r="D107" s="2"/>
      <x:c r="E107" s="96"/>
      <x:c r="F107" s="91"/>
      <x:c r="G107" s="2"/>
      <x:c r="H107" s="2"/>
      <x:c r="I107" s="97"/>
      <x:c r="J107" s="2"/>
      <x:c r="K107" s="2"/>
    </x:row>
    <x:row r="108">
      <x:c r="A108" s="2"/>
      <x:c r="B108" s="2"/>
      <x:c r="C108" s="2"/>
      <x:c r="D108" s="2"/>
      <x:c r="E108" s="96"/>
      <x:c r="F108" s="91"/>
      <x:c r="G108" s="2"/>
      <x:c r="H108" s="2"/>
      <x:c r="I108" s="97"/>
      <x:c r="J108" s="2"/>
      <x:c r="K108" s="2"/>
    </x:row>
    <x:row r="109">
      <x:c r="A109" s="2"/>
      <x:c r="B109" s="2"/>
      <x:c r="C109" s="2"/>
      <x:c r="D109" s="2"/>
      <x:c r="E109" s="96"/>
      <x:c r="F109" s="91"/>
      <x:c r="G109" s="2"/>
      <x:c r="H109" s="2"/>
      <x:c r="I109" s="97"/>
      <x:c r="J109" s="2"/>
      <x:c r="K109" s="2"/>
    </x:row>
    <x:row r="110">
      <x:c r="A110" s="2"/>
      <x:c r="B110" s="2"/>
      <x:c r="C110" s="2"/>
      <x:c r="D110" s="2"/>
      <x:c r="E110" s="96"/>
      <x:c r="F110" s="91"/>
      <x:c r="G110" s="2"/>
      <x:c r="H110" s="2"/>
      <x:c r="I110" s="97"/>
      <x:c r="J110" s="2"/>
      <x:c r="K110" s="2"/>
    </x:row>
    <x:row r="111">
      <x:c r="A111" s="2"/>
      <x:c r="B111" s="2"/>
      <x:c r="C111" s="2"/>
      <x:c r="D111" s="2"/>
      <x:c r="E111" s="96"/>
      <x:c r="F111" s="91"/>
      <x:c r="G111" s="2"/>
      <x:c r="H111" s="2"/>
      <x:c r="I111" s="97"/>
      <x:c r="J111" s="2"/>
      <x:c r="K111" s="2"/>
    </x:row>
    <x:row r="112">
      <x:c r="A112" s="2"/>
      <x:c r="B112" s="2"/>
      <x:c r="C112" s="2"/>
      <x:c r="D112" s="2"/>
      <x:c r="E112" s="96"/>
      <x:c r="F112" s="91"/>
      <x:c r="G112" s="2"/>
      <x:c r="H112" s="2"/>
      <x:c r="I112" s="97"/>
      <x:c r="J112" s="2"/>
      <x:c r="K112" s="2"/>
    </x:row>
    <x:row r="113">
      <x:c r="A113" s="2"/>
      <x:c r="B113" s="2"/>
      <x:c r="C113" s="2"/>
      <x:c r="D113" s="2"/>
      <x:c r="E113" s="96"/>
      <x:c r="F113" s="91"/>
      <x:c r="G113" s="2"/>
      <x:c r="H113" s="2"/>
      <x:c r="I113" s="97"/>
      <x:c r="J113" s="2"/>
      <x:c r="K113" s="2"/>
    </x:row>
    <x:row r="114">
      <x:c r="A114" s="2"/>
      <x:c r="B114" s="2"/>
      <x:c r="C114" s="2"/>
      <x:c r="D114" s="2"/>
      <x:c r="E114" s="96"/>
      <x:c r="F114" s="91"/>
      <x:c r="G114" s="2"/>
      <x:c r="H114" s="2"/>
      <x:c r="I114" s="97"/>
      <x:c r="J114" s="2"/>
      <x:c r="K114" s="2"/>
    </x:row>
    <x:row r="115">
      <x:c r="A115" s="2"/>
      <x:c r="B115" s="2"/>
      <x:c r="C115" s="2"/>
      <x:c r="D115" s="2"/>
      <x:c r="E115" s="96"/>
      <x:c r="F115" s="91"/>
      <x:c r="G115" s="2"/>
      <x:c r="H115" s="2"/>
      <x:c r="I115" s="97"/>
      <x:c r="J115" s="2"/>
      <x:c r="K115" s="2"/>
    </x:row>
    <x:row r="116">
      <x:c r="A116" s="2"/>
      <x:c r="B116" s="2"/>
      <x:c r="C116" s="2"/>
      <x:c r="D116" s="2"/>
      <x:c r="E116" s="96"/>
      <x:c r="F116" s="91"/>
      <x:c r="G116" s="2"/>
      <x:c r="H116" s="2"/>
      <x:c r="I116" s="97"/>
      <x:c r="J116" s="2"/>
      <x:c r="K116" s="2"/>
    </x:row>
    <x:row r="117">
      <x:c r="A117" s="2"/>
      <x:c r="B117" s="2"/>
      <x:c r="C117" s="2"/>
      <x:c r="D117" s="2"/>
      <x:c r="E117" s="96"/>
      <x:c r="F117" s="91"/>
      <x:c r="G117" s="2"/>
      <x:c r="H117" s="2"/>
      <x:c r="I117" s="97"/>
      <x:c r="J117" s="2"/>
      <x:c r="K117" s="2"/>
    </x:row>
    <x:row r="118">
      <x:c r="A118" s="2"/>
      <x:c r="B118" s="2"/>
      <x:c r="C118" s="2"/>
      <x:c r="D118" s="2"/>
      <x:c r="E118" s="96"/>
      <x:c r="F118" s="91"/>
      <x:c r="G118" s="2"/>
      <x:c r="H118" s="2"/>
      <x:c r="I118" s="97"/>
      <x:c r="J118" s="2"/>
      <x:c r="K118" s="2"/>
    </x:row>
    <x:row r="119">
      <x:c r="A119" s="2"/>
      <x:c r="B119" s="2"/>
      <x:c r="C119" s="2"/>
      <x:c r="D119" s="2"/>
      <x:c r="E119" s="96"/>
      <x:c r="F119" s="91"/>
      <x:c r="G119" s="2"/>
      <x:c r="H119" s="2"/>
      <x:c r="I119" s="97"/>
      <x:c r="J119" s="2"/>
      <x:c r="K119" s="2"/>
    </x:row>
    <x:row r="120">
      <x:c r="A120" s="2"/>
      <x:c r="B120" s="2"/>
      <x:c r="C120" s="2"/>
      <x:c r="D120" s="2"/>
      <x:c r="E120" s="96"/>
      <x:c r="F120" s="91"/>
      <x:c r="G120" s="2"/>
      <x:c r="H120" s="2"/>
      <x:c r="I120" s="97"/>
      <x:c r="J120" s="2"/>
      <x:c r="K120" s="2"/>
    </x:row>
    <x:row r="121">
      <x:c r="A121" s="2"/>
      <x:c r="B121" s="2"/>
      <x:c r="C121" s="2"/>
      <x:c r="D121" s="2"/>
      <x:c r="E121" s="96"/>
      <x:c r="F121" s="91"/>
      <x:c r="G121" s="2"/>
      <x:c r="H121" s="2"/>
      <x:c r="I121" s="97"/>
      <x:c r="J121" s="2"/>
      <x:c r="K121" s="2"/>
    </x:row>
    <x:row r="122">
      <x:c r="A122" s="2"/>
      <x:c r="B122" s="2"/>
      <x:c r="C122" s="2"/>
      <x:c r="D122" s="2"/>
      <x:c r="E122" s="96"/>
      <x:c r="F122" s="91"/>
      <x:c r="G122" s="2"/>
      <x:c r="H122" s="2"/>
      <x:c r="I122" s="97"/>
      <x:c r="J122" s="2"/>
      <x:c r="K122" s="2"/>
    </x:row>
    <x:row r="123">
      <x:c r="A123" s="2"/>
      <x:c r="B123" s="2"/>
      <x:c r="C123" s="2"/>
      <x:c r="D123" s="2"/>
      <x:c r="E123" s="96"/>
      <x:c r="F123" s="91"/>
      <x:c r="G123" s="2"/>
      <x:c r="H123" s="2"/>
      <x:c r="I123" s="97"/>
      <x:c r="J123" s="2"/>
      <x:c r="K123" s="2"/>
    </x:row>
    <x:row r="124">
      <x:c r="A124" s="2"/>
      <x:c r="B124" s="2"/>
      <x:c r="C124" s="2"/>
      <x:c r="D124" s="2"/>
      <x:c r="E124" s="96"/>
      <x:c r="F124" s="91"/>
      <x:c r="G124" s="2"/>
      <x:c r="H124" s="2"/>
      <x:c r="I124" s="97"/>
      <x:c r="J124" s="2"/>
      <x:c r="K124" s="2"/>
    </x:row>
    <x:row r="125">
      <x:c r="A125" s="2"/>
      <x:c r="B125" s="2"/>
      <x:c r="C125" s="2"/>
      <x:c r="D125" s="2"/>
      <x:c r="E125" s="96"/>
      <x:c r="F125" s="91"/>
      <x:c r="G125" s="2"/>
      <x:c r="H125" s="2"/>
      <x:c r="I125" s="97"/>
      <x:c r="J125" s="2"/>
      <x:c r="K125" s="2"/>
    </x:row>
    <x:row r="126">
      <x:c r="A126" s="2"/>
      <x:c r="B126" s="2"/>
      <x:c r="C126" s="2"/>
      <x:c r="D126" s="2"/>
      <x:c r="E126" s="96"/>
      <x:c r="F126" s="91"/>
      <x:c r="G126" s="2"/>
      <x:c r="H126" s="2"/>
      <x:c r="I126" s="97"/>
      <x:c r="J126" s="2"/>
      <x:c r="K126" s="2"/>
    </x:row>
    <x:row r="127">
      <x:c r="A127" s="2"/>
      <x:c r="B127" s="2"/>
      <x:c r="C127" s="2"/>
      <x:c r="D127" s="2"/>
      <x:c r="E127" s="96"/>
      <x:c r="F127" s="91"/>
      <x:c r="G127" s="2"/>
      <x:c r="H127" s="2"/>
      <x:c r="I127" s="97"/>
      <x:c r="J127" s="2"/>
      <x:c r="K127" s="2"/>
    </x:row>
    <x:row r="128">
      <x:c r="A128" s="2"/>
      <x:c r="B128" s="2"/>
      <x:c r="C128" s="2"/>
      <x:c r="D128" s="2"/>
      <x:c r="E128" s="96"/>
      <x:c r="F128" s="91"/>
      <x:c r="G128" s="2"/>
      <x:c r="H128" s="2"/>
      <x:c r="I128" s="97"/>
      <x:c r="J128" s="2"/>
      <x:c r="K128" s="2"/>
    </x:row>
    <x:row r="129">
      <x:c r="A129" s="2"/>
      <x:c r="B129" s="2"/>
      <x:c r="C129" s="2"/>
      <x:c r="D129" s="2"/>
      <x:c r="E129" s="96"/>
      <x:c r="F129" s="91"/>
      <x:c r="G129" s="2"/>
      <x:c r="H129" s="2"/>
      <x:c r="I129" s="97"/>
      <x:c r="J129" s="2"/>
      <x:c r="K129" s="2"/>
    </x:row>
    <x:row r="130">
      <x:c r="A130" s="2"/>
      <x:c r="B130" s="2"/>
      <x:c r="C130" s="2"/>
      <x:c r="D130" s="2"/>
      <x:c r="E130" s="96"/>
      <x:c r="F130" s="91"/>
      <x:c r="G130" s="2"/>
      <x:c r="H130" s="2"/>
      <x:c r="I130" s="97"/>
      <x:c r="J130" s="2"/>
      <x:c r="K130" s="2"/>
    </x:row>
    <x:row r="131">
      <x:c r="A131" s="2"/>
      <x:c r="B131" s="2"/>
      <x:c r="C131" s="2"/>
      <x:c r="D131" s="2"/>
      <x:c r="E131" s="96"/>
      <x:c r="F131" s="91"/>
      <x:c r="G131" s="2"/>
      <x:c r="H131" s="2"/>
      <x:c r="I131" s="97"/>
      <x:c r="J131" s="2"/>
      <x:c r="K131" s="2"/>
    </x:row>
    <x:row r="132">
      <x:c r="A132" s="2"/>
      <x:c r="B132" s="2"/>
      <x:c r="C132" s="2"/>
      <x:c r="D132" s="2"/>
      <x:c r="E132" s="96"/>
      <x:c r="F132" s="91"/>
      <x:c r="G132" s="2"/>
      <x:c r="H132" s="2"/>
      <x:c r="I132" s="97"/>
      <x:c r="J132" s="2"/>
      <x:c r="K132" s="2"/>
    </x:row>
    <x:row r="133">
      <x:c r="A133" s="2"/>
      <x:c r="B133" s="2"/>
      <x:c r="C133" s="2"/>
      <x:c r="D133" s="2"/>
      <x:c r="E133" s="96"/>
      <x:c r="F133" s="91"/>
      <x:c r="G133" s="2"/>
      <x:c r="H133" s="2"/>
      <x:c r="I133" s="97"/>
      <x:c r="J133" s="2"/>
      <x:c r="K133" s="2"/>
    </x:row>
    <x:row r="134">
      <x:c r="A134" s="2"/>
      <x:c r="B134" s="2"/>
      <x:c r="C134" s="2"/>
      <x:c r="D134" s="2"/>
      <x:c r="E134" s="96"/>
      <x:c r="F134" s="91"/>
      <x:c r="G134" s="2"/>
      <x:c r="H134" s="2"/>
      <x:c r="I134" s="97"/>
      <x:c r="J134" s="2"/>
      <x:c r="K134" s="2"/>
    </x:row>
    <x:row r="135">
      <x:c r="A135" s="2"/>
      <x:c r="B135" s="2"/>
      <x:c r="C135" s="2"/>
      <x:c r="D135" s="2"/>
      <x:c r="E135" s="96"/>
      <x:c r="F135" s="91"/>
      <x:c r="G135" s="2"/>
      <x:c r="H135" s="2"/>
      <x:c r="I135" s="97"/>
      <x:c r="J135" s="2"/>
      <x:c r="K135" s="2"/>
    </x:row>
    <x:row r="136">
      <x:c r="A136" s="2"/>
      <x:c r="B136" s="2"/>
      <x:c r="C136" s="2"/>
      <x:c r="D136" s="2"/>
      <x:c r="E136" s="96"/>
      <x:c r="F136" s="91"/>
      <x:c r="G136" s="2"/>
      <x:c r="H136" s="2"/>
      <x:c r="I136" s="97"/>
      <x:c r="J136" s="2"/>
      <x:c r="K136" s="2"/>
    </x:row>
    <x:row r="137">
      <x:c r="A137" s="2"/>
      <x:c r="B137" s="2"/>
      <x:c r="C137" s="2"/>
      <x:c r="D137" s="2"/>
      <x:c r="E137" s="96"/>
      <x:c r="F137" s="91"/>
      <x:c r="G137" s="2"/>
      <x:c r="H137" s="2"/>
      <x:c r="I137" s="97"/>
      <x:c r="J137" s="2"/>
      <x:c r="K137" s="2"/>
    </x:row>
    <x:row r="138">
      <x:c r="A138" s="2"/>
      <x:c r="B138" s="2"/>
      <x:c r="C138" s="2"/>
      <x:c r="D138" s="2"/>
      <x:c r="E138" s="96"/>
      <x:c r="F138" s="91"/>
      <x:c r="G138" s="2"/>
      <x:c r="H138" s="2"/>
      <x:c r="I138" s="97"/>
      <x:c r="J138" s="2"/>
      <x:c r="K138" s="2"/>
    </x:row>
    <x:row r="139">
      <x:c r="A139" s="2"/>
      <x:c r="B139" s="2"/>
      <x:c r="C139" s="2"/>
      <x:c r="D139" s="2"/>
      <x:c r="E139" s="96"/>
      <x:c r="F139" s="91"/>
      <x:c r="G139" s="2"/>
      <x:c r="H139" s="2"/>
      <x:c r="I139" s="97"/>
      <x:c r="J139" s="2"/>
      <x:c r="K139" s="2"/>
    </x:row>
    <x:row r="140">
      <x:c r="A140" s="2"/>
      <x:c r="B140" s="2"/>
      <x:c r="C140" s="2"/>
      <x:c r="D140" s="2"/>
      <x:c r="E140" s="96"/>
      <x:c r="F140" s="91"/>
      <x:c r="G140" s="2"/>
      <x:c r="H140" s="2"/>
      <x:c r="I140" s="97"/>
      <x:c r="J140" s="2"/>
      <x:c r="K140" s="2"/>
    </x:row>
    <x:row r="141">
      <x:c r="A141" s="2"/>
      <x:c r="B141" s="2"/>
      <x:c r="C141" s="2"/>
      <x:c r="D141" s="2"/>
      <x:c r="E141" s="96"/>
      <x:c r="F141" s="91"/>
      <x:c r="G141" s="2"/>
      <x:c r="H141" s="2"/>
      <x:c r="I141" s="97"/>
      <x:c r="J141" s="2"/>
      <x:c r="K141" s="2"/>
    </x:row>
    <x:row r="142">
      <x:c r="A142" s="2"/>
      <x:c r="B142" s="2"/>
      <x:c r="C142" s="2"/>
      <x:c r="D142" s="2"/>
      <x:c r="E142" s="96"/>
      <x:c r="F142" s="91"/>
      <x:c r="G142" s="2"/>
      <x:c r="H142" s="2"/>
      <x:c r="I142" s="97"/>
      <x:c r="J142" s="2"/>
      <x:c r="K142" s="2"/>
    </x:row>
    <x:row r="143">
      <x:c r="A143" s="2"/>
      <x:c r="B143" s="2"/>
      <x:c r="C143" s="2"/>
      <x:c r="D143" s="2"/>
      <x:c r="E143" s="96"/>
      <x:c r="F143" s="91"/>
      <x:c r="G143" s="2"/>
      <x:c r="H143" s="2"/>
      <x:c r="I143" s="97"/>
      <x:c r="J143" s="2"/>
      <x:c r="K143" s="2"/>
    </x:row>
    <x:row r="144">
      <x:c r="A144" s="2"/>
      <x:c r="B144" s="2"/>
      <x:c r="C144" s="2"/>
      <x:c r="D144" s="2"/>
      <x:c r="E144" s="96"/>
      <x:c r="F144" s="91"/>
      <x:c r="G144" s="2"/>
      <x:c r="H144" s="2"/>
      <x:c r="I144" s="97"/>
      <x:c r="J144" s="2"/>
      <x:c r="K144" s="2"/>
    </x:row>
    <x:row r="145">
      <x:c r="A145" s="2"/>
      <x:c r="B145" s="2"/>
      <x:c r="C145" s="2"/>
      <x:c r="D145" s="2"/>
      <x:c r="E145" s="96"/>
      <x:c r="F145" s="91"/>
      <x:c r="G145" s="2"/>
      <x:c r="H145" s="2"/>
      <x:c r="I145" s="97"/>
      <x:c r="J145" s="2"/>
      <x:c r="K145" s="2"/>
    </x:row>
    <x:row r="146">
      <x:c r="A146" s="2"/>
      <x:c r="B146" s="2"/>
      <x:c r="C146" s="2"/>
      <x:c r="D146" s="2"/>
      <x:c r="E146" s="96"/>
      <x:c r="F146" s="91"/>
      <x:c r="G146" s="2"/>
      <x:c r="H146" s="2"/>
      <x:c r="I146" s="97"/>
      <x:c r="J146" s="2"/>
      <x:c r="K146" s="2"/>
    </x:row>
    <x:row r="147">
      <x:c r="A147" s="2"/>
      <x:c r="B147" s="2"/>
      <x:c r="C147" s="2"/>
      <x:c r="D147" s="2"/>
      <x:c r="E147" s="96"/>
      <x:c r="F147" s="91"/>
      <x:c r="G147" s="2"/>
      <x:c r="H147" s="2"/>
      <x:c r="I147" s="97"/>
      <x:c r="J147" s="2"/>
      <x:c r="K147" s="2"/>
    </x:row>
    <x:row r="148">
      <x:c r="A148" s="2"/>
      <x:c r="B148" s="2"/>
      <x:c r="C148" s="2"/>
      <x:c r="D148" s="2"/>
      <x:c r="E148" s="96"/>
      <x:c r="F148" s="91"/>
      <x:c r="G148" s="2"/>
      <x:c r="H148" s="2"/>
      <x:c r="I148" s="97"/>
      <x:c r="J148" s="2"/>
      <x:c r="K148" s="2"/>
    </x:row>
    <x:row r="149">
      <x:c r="A149" s="2"/>
      <x:c r="B149" s="2"/>
      <x:c r="C149" s="2"/>
      <x:c r="D149" s="2"/>
      <x:c r="E149" s="96"/>
      <x:c r="F149" s="91"/>
      <x:c r="G149" s="2"/>
      <x:c r="H149" s="2"/>
      <x:c r="I149" s="97"/>
      <x:c r="J149" s="2"/>
      <x:c r="K149" s="2"/>
    </x:row>
    <x:row r="150">
      <x:c r="A150" s="2"/>
      <x:c r="B150" s="2"/>
      <x:c r="C150" s="2"/>
      <x:c r="D150" s="2"/>
      <x:c r="E150" s="96"/>
      <x:c r="F150" s="91"/>
      <x:c r="G150" s="2"/>
      <x:c r="H150" s="2"/>
      <x:c r="I150" s="97"/>
      <x:c r="J150" s="2"/>
      <x:c r="K150" s="2"/>
    </x:row>
    <x:row r="151">
      <x:c r="A151" s="2"/>
      <x:c r="B151" s="2"/>
      <x:c r="C151" s="2"/>
      <x:c r="D151" s="2"/>
      <x:c r="E151" s="96"/>
      <x:c r="F151" s="91"/>
      <x:c r="G151" s="2"/>
      <x:c r="H151" s="2"/>
      <x:c r="I151" s="97"/>
      <x:c r="J151" s="2"/>
      <x:c r="K151" s="2"/>
    </x:row>
    <x:row r="152">
      <x:c r="A152" s="2"/>
      <x:c r="B152" s="2"/>
      <x:c r="C152" s="2"/>
      <x:c r="D152" s="2"/>
      <x:c r="E152" s="96"/>
      <x:c r="F152" s="91"/>
      <x:c r="G152" s="2"/>
      <x:c r="H152" s="2"/>
      <x:c r="I152" s="97"/>
      <x:c r="J152" s="2"/>
      <x:c r="K152" s="2"/>
    </x:row>
    <x:row r="153">
      <x:c r="A153" s="2"/>
      <x:c r="B153" s="2"/>
      <x:c r="C153" s="2"/>
      <x:c r="D153" s="2"/>
      <x:c r="E153" s="96"/>
      <x:c r="F153" s="91"/>
      <x:c r="G153" s="2"/>
      <x:c r="H153" s="2"/>
      <x:c r="I153" s="97"/>
      <x:c r="J153" s="2"/>
      <x:c r="K153" s="2"/>
    </x:row>
    <x:row r="154">
      <x:c r="A154" s="2"/>
      <x:c r="B154" s="2"/>
      <x:c r="C154" s="2"/>
      <x:c r="D154" s="2"/>
      <x:c r="E154" s="96"/>
      <x:c r="F154" s="91"/>
      <x:c r="G154" s="2"/>
      <x:c r="H154" s="2"/>
      <x:c r="I154" s="97"/>
      <x:c r="J154" s="2"/>
      <x:c r="K154" s="2"/>
    </x:row>
    <x:row r="155">
      <x:c r="A155" s="2"/>
      <x:c r="B155" s="2"/>
      <x:c r="C155" s="2"/>
      <x:c r="D155" s="2"/>
      <x:c r="E155" s="96"/>
      <x:c r="F155" s="91"/>
      <x:c r="G155" s="2"/>
      <x:c r="H155" s="2"/>
      <x:c r="I155" s="97"/>
      <x:c r="J155" s="2"/>
      <x:c r="K155" s="2"/>
    </x:row>
    <x:row r="156">
      <x:c r="A156" s="2"/>
      <x:c r="B156" s="2"/>
      <x:c r="C156" s="2"/>
      <x:c r="D156" s="2"/>
      <x:c r="E156" s="96"/>
      <x:c r="F156" s="91"/>
      <x:c r="G156" s="2"/>
      <x:c r="H156" s="2"/>
      <x:c r="I156" s="97"/>
      <x:c r="J156" s="2"/>
      <x:c r="K156" s="2"/>
    </x:row>
    <x:row r="157">
      <x:c r="A157" s="2"/>
      <x:c r="B157" s="2"/>
      <x:c r="C157" s="2"/>
      <x:c r="D157" s="2"/>
      <x:c r="E157" s="96"/>
      <x:c r="F157" s="91"/>
      <x:c r="G157" s="2"/>
      <x:c r="H157" s="2"/>
      <x:c r="I157" s="97"/>
      <x:c r="J157" s="2"/>
      <x:c r="K157" s="2"/>
    </x:row>
    <x:row r="158">
      <x:c r="A158" s="2"/>
      <x:c r="B158" s="2"/>
      <x:c r="C158" s="2"/>
      <x:c r="D158" s="2"/>
      <x:c r="E158" s="96"/>
      <x:c r="F158" s="91"/>
      <x:c r="G158" s="2"/>
      <x:c r="H158" s="2"/>
      <x:c r="I158" s="97"/>
      <x:c r="J158" s="2"/>
      <x:c r="K158" s="2"/>
    </x:row>
    <x:row r="159">
      <x:c r="A159" s="2"/>
      <x:c r="B159" s="2"/>
      <x:c r="C159" s="2"/>
      <x:c r="D159" s="2"/>
      <x:c r="E159" s="96"/>
      <x:c r="F159" s="91"/>
      <x:c r="G159" s="2"/>
      <x:c r="H159" s="2"/>
      <x:c r="I159" s="97"/>
      <x:c r="J159" s="2"/>
      <x:c r="K159" s="2"/>
    </x:row>
    <x:row r="160">
      <x:c r="A160" s="2"/>
      <x:c r="B160" s="2"/>
      <x:c r="C160" s="2"/>
      <x:c r="D160" s="2"/>
      <x:c r="E160" s="96"/>
      <x:c r="F160" s="91"/>
      <x:c r="G160" s="2"/>
      <x:c r="H160" s="2"/>
      <x:c r="I160" s="97"/>
      <x:c r="J160" s="2"/>
      <x:c r="K160" s="2"/>
    </x:row>
    <x:row r="161">
      <x:c r="A161" s="2"/>
      <x:c r="B161" s="2"/>
      <x:c r="C161" s="2"/>
      <x:c r="D161" s="2"/>
      <x:c r="E161" s="96"/>
      <x:c r="F161" s="91"/>
      <x:c r="G161" s="2"/>
      <x:c r="H161" s="2"/>
      <x:c r="I161" s="97"/>
      <x:c r="J161" s="2"/>
      <x:c r="K161" s="2"/>
    </x:row>
    <x:row r="162">
      <x:c r="A162" s="2"/>
      <x:c r="B162" s="2"/>
      <x:c r="C162" s="2"/>
      <x:c r="D162" s="2"/>
      <x:c r="E162" s="96"/>
      <x:c r="F162" s="91"/>
      <x:c r="G162" s="2"/>
      <x:c r="H162" s="2"/>
      <x:c r="I162" s="97"/>
      <x:c r="J162" s="2"/>
      <x:c r="K162" s="2"/>
    </x:row>
    <x:row r="163">
      <x:c r="A163" s="2"/>
      <x:c r="B163" s="2"/>
      <x:c r="C163" s="2"/>
      <x:c r="D163" s="2"/>
      <x:c r="E163" s="96"/>
      <x:c r="F163" s="91"/>
      <x:c r="G163" s="2"/>
      <x:c r="H163" s="2"/>
      <x:c r="I163" s="97"/>
      <x:c r="J163" s="2"/>
      <x:c r="K163" s="2"/>
    </x:row>
    <x:row r="164">
      <x:c r="A164" s="2"/>
      <x:c r="B164" s="2"/>
      <x:c r="C164" s="2"/>
      <x:c r="D164" s="2"/>
      <x:c r="E164" s="96"/>
      <x:c r="F164" s="91"/>
      <x:c r="G164" s="2"/>
      <x:c r="H164" s="2"/>
      <x:c r="I164" s="97"/>
      <x:c r="J164" s="2"/>
      <x:c r="K164" s="2"/>
    </x:row>
    <x:row r="165">
      <x:c r="A165" s="2"/>
      <x:c r="B165" s="2"/>
      <x:c r="C165" s="2"/>
      <x:c r="D165" s="2"/>
      <x:c r="E165" s="96"/>
      <x:c r="F165" s="91"/>
      <x:c r="G165" s="2"/>
      <x:c r="H165" s="2"/>
      <x:c r="I165" s="97"/>
      <x:c r="J165" s="2"/>
      <x:c r="K165" s="2"/>
    </x:row>
    <x:row r="166">
      <x:c r="A166" s="2"/>
      <x:c r="B166" s="2"/>
      <x:c r="C166" s="2"/>
      <x:c r="D166" s="2"/>
      <x:c r="E166" s="96"/>
      <x:c r="F166" s="91"/>
      <x:c r="G166" s="2"/>
      <x:c r="H166" s="2"/>
      <x:c r="I166" s="97"/>
      <x:c r="J166" s="2"/>
      <x:c r="K166" s="2"/>
    </x:row>
    <x:row r="167">
      <x:c r="A167" s="2"/>
      <x:c r="B167" s="2"/>
      <x:c r="C167" s="2"/>
      <x:c r="D167" s="2"/>
      <x:c r="E167" s="96"/>
      <x:c r="F167" s="91"/>
      <x:c r="G167" s="2"/>
      <x:c r="H167" s="2"/>
      <x:c r="I167" s="97"/>
      <x:c r="J167" s="2"/>
      <x:c r="K167" s="2"/>
    </x:row>
    <x:row r="168">
      <x:c r="A168" s="2"/>
      <x:c r="B168" s="2"/>
      <x:c r="C168" s="2"/>
      <x:c r="D168" s="2"/>
      <x:c r="E168" s="96"/>
      <x:c r="F168" s="91"/>
      <x:c r="G168" s="2"/>
      <x:c r="H168" s="2"/>
      <x:c r="I168" s="97"/>
      <x:c r="J168" s="2"/>
      <x:c r="K168" s="2"/>
    </x:row>
    <x:row r="169">
      <x:c r="A169" s="2"/>
      <x:c r="B169" s="2"/>
      <x:c r="C169" s="2"/>
      <x:c r="D169" s="2"/>
      <x:c r="E169" s="96"/>
      <x:c r="F169" s="91"/>
      <x:c r="G169" s="2"/>
      <x:c r="H169" s="2"/>
      <x:c r="I169" s="97"/>
      <x:c r="J169" s="2"/>
      <x:c r="K169" s="2"/>
    </x:row>
    <x:row r="170">
      <x:c r="A170" s="2"/>
      <x:c r="B170" s="2"/>
      <x:c r="C170" s="2"/>
      <x:c r="D170" s="2"/>
      <x:c r="E170" s="96"/>
      <x:c r="F170" s="91"/>
      <x:c r="G170" s="2"/>
      <x:c r="H170" s="2"/>
      <x:c r="I170" s="97"/>
      <x:c r="J170" s="2"/>
      <x:c r="K170" s="2"/>
    </x:row>
    <x:row r="171">
      <x:c r="A171" s="2"/>
      <x:c r="B171" s="2"/>
      <x:c r="C171" s="2"/>
      <x:c r="D171" s="2"/>
      <x:c r="E171" s="96"/>
      <x:c r="F171" s="91"/>
      <x:c r="G171" s="2"/>
      <x:c r="H171" s="2"/>
      <x:c r="I171" s="97"/>
      <x:c r="J171" s="2"/>
      <x:c r="K171" s="2"/>
    </x:row>
    <x:row r="172">
      <x:c r="A172" s="2"/>
      <x:c r="B172" s="2"/>
      <x:c r="C172" s="2"/>
      <x:c r="D172" s="2"/>
      <x:c r="E172" s="96"/>
      <x:c r="F172" s="91"/>
      <x:c r="G172" s="2"/>
      <x:c r="H172" s="2"/>
      <x:c r="I172" s="97"/>
      <x:c r="J172" s="2"/>
      <x:c r="K172" s="2"/>
    </x:row>
    <x:row r="173">
      <x:c r="A173" s="2"/>
      <x:c r="B173" s="2"/>
      <x:c r="C173" s="2"/>
      <x:c r="D173" s="2"/>
      <x:c r="E173" s="96"/>
      <x:c r="F173" s="91"/>
      <x:c r="G173" s="2"/>
      <x:c r="H173" s="2"/>
      <x:c r="I173" s="97"/>
      <x:c r="J173" s="2"/>
      <x:c r="K173" s="2"/>
    </x:row>
    <x:row r="174">
      <x:c r="A174" s="2"/>
      <x:c r="B174" s="2"/>
      <x:c r="C174" s="2"/>
      <x:c r="D174" s="2"/>
      <x:c r="E174" s="96"/>
      <x:c r="F174" s="91"/>
      <x:c r="G174" s="2"/>
      <x:c r="H174" s="2"/>
      <x:c r="I174" s="97"/>
      <x:c r="J174" s="2"/>
      <x:c r="K174" s="2"/>
    </x:row>
    <x:row r="175">
      <x:c r="A175" s="2"/>
      <x:c r="B175" s="2"/>
      <x:c r="C175" s="2"/>
      <x:c r="D175" s="2"/>
      <x:c r="E175" s="96"/>
      <x:c r="F175" s="91"/>
      <x:c r="G175" s="2"/>
      <x:c r="H175" s="2"/>
      <x:c r="I175" s="97"/>
      <x:c r="J175" s="2"/>
      <x:c r="K175" s="2"/>
    </x:row>
    <x:row r="176">
      <x:c r="A176" s="2"/>
      <x:c r="B176" s="2"/>
      <x:c r="C176" s="2"/>
      <x:c r="D176" s="2"/>
      <x:c r="E176" s="96"/>
      <x:c r="F176" s="91"/>
      <x:c r="G176" s="2"/>
      <x:c r="H176" s="2"/>
      <x:c r="I176" s="97"/>
      <x:c r="J176" s="2"/>
      <x:c r="K176" s="2"/>
    </x:row>
    <x:row r="177">
      <x:c r="A177" s="2"/>
      <x:c r="B177" s="2"/>
      <x:c r="C177" s="2"/>
      <x:c r="D177" s="2"/>
      <x:c r="E177" s="96"/>
      <x:c r="F177" s="91"/>
      <x:c r="G177" s="2"/>
      <x:c r="H177" s="2"/>
      <x:c r="I177" s="97"/>
      <x:c r="J177" s="2"/>
      <x:c r="K177" s="2"/>
    </x:row>
    <x:row r="178">
      <x:c r="A178" s="2"/>
      <x:c r="B178" s="2"/>
      <x:c r="C178" s="2"/>
      <x:c r="D178" s="2"/>
      <x:c r="E178" s="96"/>
      <x:c r="F178" s="91"/>
      <x:c r="G178" s="2"/>
      <x:c r="H178" s="2"/>
      <x:c r="I178" s="97"/>
      <x:c r="J178" s="2"/>
      <x:c r="K178" s="2"/>
    </x:row>
    <x:row r="179">
      <x:c r="A179" s="2"/>
      <x:c r="B179" s="2"/>
      <x:c r="C179" s="2"/>
      <x:c r="D179" s="2"/>
      <x:c r="E179" s="96"/>
      <x:c r="F179" s="91"/>
      <x:c r="G179" s="2"/>
      <x:c r="H179" s="2"/>
      <x:c r="I179" s="97"/>
      <x:c r="J179" s="2"/>
      <x:c r="K179" s="2"/>
    </x:row>
    <x:row r="180">
      <x:c r="A180" s="2"/>
      <x:c r="B180" s="2"/>
      <x:c r="C180" s="2"/>
      <x:c r="D180" s="2"/>
      <x:c r="E180" s="96"/>
      <x:c r="F180" s="91"/>
      <x:c r="G180" s="2"/>
      <x:c r="H180" s="2"/>
      <x:c r="I180" s="97"/>
      <x:c r="J180" s="2"/>
      <x:c r="K180" s="2"/>
    </x:row>
    <x:row r="181">
      <x:c r="A181" s="2"/>
      <x:c r="B181" s="2"/>
      <x:c r="C181" s="2"/>
      <x:c r="D181" s="2"/>
      <x:c r="E181" s="96"/>
      <x:c r="F181" s="91"/>
      <x:c r="G181" s="2"/>
      <x:c r="H181" s="2"/>
      <x:c r="I181" s="97"/>
      <x:c r="J181" s="2"/>
      <x:c r="K181" s="2"/>
    </x:row>
    <x:row r="182">
      <x:c r="A182" s="2"/>
      <x:c r="B182" s="2"/>
      <x:c r="C182" s="2"/>
      <x:c r="D182" s="2"/>
      <x:c r="E182" s="96"/>
      <x:c r="F182" s="91"/>
      <x:c r="G182" s="2"/>
      <x:c r="H182" s="2"/>
      <x:c r="I182" s="97"/>
      <x:c r="J182" s="2"/>
      <x:c r="K182" s="2"/>
    </x:row>
    <x:row r="183">
      <x:c r="A183" s="2"/>
      <x:c r="B183" s="2"/>
      <x:c r="C183" s="2"/>
      <x:c r="D183" s="2"/>
      <x:c r="E183" s="96"/>
      <x:c r="F183" s="91"/>
      <x:c r="G183" s="2"/>
      <x:c r="H183" s="2"/>
      <x:c r="I183" s="97"/>
      <x:c r="J183" s="2"/>
      <x:c r="K183" s="2"/>
    </x:row>
    <x:row r="184">
      <x:c r="A184" s="2"/>
      <x:c r="B184" s="2"/>
      <x:c r="C184" s="2"/>
      <x:c r="D184" s="2"/>
      <x:c r="E184" s="96"/>
      <x:c r="F184" s="91"/>
      <x:c r="G184" s="2"/>
      <x:c r="H184" s="2"/>
      <x:c r="I184" s="97"/>
      <x:c r="J184" s="2"/>
      <x:c r="K184" s="2"/>
    </x:row>
    <x:row r="185">
      <x:c r="A185" s="2"/>
      <x:c r="B185" s="2"/>
      <x:c r="C185" s="2"/>
      <x:c r="D185" s="2"/>
      <x:c r="E185" s="96"/>
      <x:c r="F185" s="91"/>
      <x:c r="G185" s="2"/>
      <x:c r="H185" s="2"/>
      <x:c r="I185" s="97"/>
      <x:c r="J185" s="2"/>
      <x:c r="K185" s="2"/>
    </x:row>
    <x:row r="186">
      <x:c r="A186" s="2"/>
      <x:c r="B186" s="2"/>
      <x:c r="C186" s="2"/>
      <x:c r="D186" s="2"/>
      <x:c r="E186" s="96"/>
      <x:c r="F186" s="91"/>
      <x:c r="G186" s="2"/>
      <x:c r="H186" s="2"/>
      <x:c r="I186" s="97"/>
      <x:c r="J186" s="2"/>
      <x:c r="K186" s="2"/>
    </x:row>
    <x:row r="187">
      <x:c r="A187" s="2"/>
      <x:c r="B187" s="2"/>
      <x:c r="C187" s="2"/>
      <x:c r="D187" s="2"/>
      <x:c r="E187" s="96"/>
      <x:c r="F187" s="91"/>
      <x:c r="G187" s="2"/>
      <x:c r="H187" s="2"/>
      <x:c r="I187" s="97"/>
      <x:c r="J187" s="2"/>
      <x:c r="K187" s="2"/>
    </x:row>
    <x:row r="188">
      <x:c r="A188" s="2"/>
      <x:c r="B188" s="2"/>
      <x:c r="C188" s="2"/>
      <x:c r="D188" s="2"/>
      <x:c r="E188" s="96"/>
      <x:c r="F188" s="91"/>
      <x:c r="G188" s="2"/>
      <x:c r="H188" s="2"/>
      <x:c r="I188" s="97"/>
      <x:c r="J188" s="2"/>
      <x:c r="K188" s="2"/>
    </x:row>
    <x:row r="189">
      <x:c r="A189" s="2"/>
      <x:c r="B189" s="2"/>
      <x:c r="C189" s="2"/>
      <x:c r="D189" s="2"/>
      <x:c r="E189" s="96"/>
      <x:c r="F189" s="91"/>
      <x:c r="G189" s="2"/>
      <x:c r="H189" s="2"/>
      <x:c r="I189" s="97"/>
      <x:c r="J189" s="2"/>
      <x:c r="K189" s="2"/>
    </x:row>
    <x:row r="190">
      <x:c r="A190" s="2"/>
      <x:c r="B190" s="2"/>
      <x:c r="C190" s="2"/>
      <x:c r="D190" s="2"/>
      <x:c r="E190" s="96"/>
      <x:c r="F190" s="91"/>
      <x:c r="G190" s="2"/>
      <x:c r="H190" s="2"/>
      <x:c r="I190" s="97"/>
      <x:c r="J190" s="2"/>
      <x:c r="K190" s="2"/>
    </x:row>
    <x:row r="191">
      <x:c r="A191" s="2"/>
      <x:c r="B191" s="2"/>
      <x:c r="C191" s="2"/>
      <x:c r="D191" s="2"/>
      <x:c r="E191" s="96"/>
      <x:c r="F191" s="91"/>
      <x:c r="G191" s="2"/>
      <x:c r="H191" s="2"/>
      <x:c r="I191" s="97"/>
      <x:c r="J191" s="2"/>
      <x:c r="K191" s="2"/>
    </x:row>
    <x:row r="192">
      <x:c r="A192" s="2"/>
      <x:c r="B192" s="2"/>
      <x:c r="C192" s="2"/>
      <x:c r="D192" s="2"/>
      <x:c r="E192" s="96"/>
      <x:c r="F192" s="91"/>
      <x:c r="G192" s="2"/>
      <x:c r="H192" s="2"/>
      <x:c r="I192" s="97"/>
      <x:c r="J192" s="2"/>
      <x:c r="K192" s="2"/>
    </x:row>
    <x:row r="193">
      <x:c r="A193" s="2"/>
      <x:c r="B193" s="2"/>
      <x:c r="C193" s="2"/>
      <x:c r="D193" s="2"/>
      <x:c r="E193" s="96"/>
      <x:c r="F193" s="91"/>
      <x:c r="G193" s="2"/>
      <x:c r="H193" s="2"/>
      <x:c r="I193" s="97"/>
      <x:c r="J193" s="2"/>
      <x:c r="K193" s="2"/>
    </x:row>
    <x:row r="194">
      <x:c r="A194" s="2"/>
      <x:c r="B194" s="2"/>
      <x:c r="C194" s="2"/>
      <x:c r="D194" s="2"/>
      <x:c r="E194" s="96"/>
      <x:c r="F194" s="91"/>
      <x:c r="G194" s="2"/>
      <x:c r="H194" s="2"/>
      <x:c r="I194" s="97"/>
      <x:c r="J194" s="2"/>
      <x:c r="K194" s="2"/>
    </x:row>
    <x:row r="195">
      <x:c r="A195" s="2"/>
      <x:c r="B195" s="2"/>
      <x:c r="C195" s="2"/>
      <x:c r="D195" s="2"/>
      <x:c r="E195" s="96"/>
      <x:c r="F195" s="91"/>
      <x:c r="G195" s="2"/>
      <x:c r="H195" s="2"/>
      <x:c r="I195" s="97"/>
      <x:c r="J195" s="2"/>
      <x:c r="K195" s="2"/>
    </x:row>
    <x:row r="196">
      <x:c r="A196" s="2"/>
      <x:c r="B196" s="2"/>
      <x:c r="C196" s="2"/>
      <x:c r="D196" s="2"/>
      <x:c r="E196" s="96"/>
      <x:c r="F196" s="91"/>
      <x:c r="G196" s="2"/>
      <x:c r="H196" s="2"/>
      <x:c r="I196" s="97"/>
      <x:c r="J196" s="2"/>
      <x:c r="K196" s="2"/>
    </x:row>
    <x:row r="197">
      <x:c r="A197" s="2"/>
      <x:c r="B197" s="2"/>
      <x:c r="C197" s="2"/>
      <x:c r="D197" s="2"/>
      <x:c r="E197" s="96"/>
      <x:c r="F197" s="91"/>
      <x:c r="G197" s="2"/>
      <x:c r="H197" s="2"/>
      <x:c r="I197" s="97"/>
      <x:c r="J197" s="2"/>
      <x:c r="K197" s="2"/>
    </x:row>
    <x:row r="198">
      <x:c r="A198" s="2"/>
      <x:c r="B198" s="2"/>
      <x:c r="C198" s="2"/>
      <x:c r="D198" s="2"/>
      <x:c r="E198" s="96"/>
      <x:c r="F198" s="91"/>
      <x:c r="G198" s="2"/>
      <x:c r="H198" s="2"/>
      <x:c r="I198" s="97"/>
      <x:c r="J198" s="2"/>
      <x:c r="K198" s="2"/>
    </x:row>
    <x:row r="199">
      <x:c r="A199" s="2"/>
      <x:c r="B199" s="2"/>
      <x:c r="C199" s="2"/>
      <x:c r="D199" s="2"/>
      <x:c r="E199" s="96"/>
      <x:c r="F199" s="91"/>
      <x:c r="G199" s="2"/>
      <x:c r="H199" s="2"/>
      <x:c r="I199" s="97"/>
      <x:c r="J199" s="2"/>
      <x:c r="K199" s="2"/>
    </x:row>
    <x:row r="200">
      <x:c r="A200" s="2"/>
      <x:c r="B200" s="2"/>
      <x:c r="C200" s="2"/>
      <x:c r="D200" s="2"/>
      <x:c r="E200" s="96"/>
      <x:c r="F200" s="91"/>
      <x:c r="G200" s="2"/>
      <x:c r="H200" s="2"/>
      <x:c r="I200" s="97"/>
      <x:c r="J200" s="2"/>
      <x:c r="K200" s="2"/>
    </x:row>
  </x:sheetData>
  <x:mergeCells>
    <x:mergeCell ref="A1:K1"/>
  </x:mergeCells>
  <x:dataValidations count="1">
    <x:dataValidation type="list" sqref="G4:G200">
      <x:formula1>"Buy point,Apply,Research system,Hold,Burn points,No action"</x:formula1>
    </x:dataValidation>
  </x:dataValidation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28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34" hidden="0" customWidth="1"/>
    <x:col min="17" max="17" width="34" hidden="0" customWidth="1"/>
  </x:cols>
  <x:sheetData>
    <x:row r="1" ht="34" customHeight="1">
      <x:c r="A1" s="63" t="str">
        <x:v>MULTI-STATE APPLICATION &amp; LICENSE TRACKER</x:v>
      </x:c>
    </x:row>
    <x:row r="3">
      <x:c r="A3" s="89" t="str">
        <x:v>Year</x:v>
      </x:c>
      <x:c r="B3" s="89" t="str">
        <x:v>State</x:v>
      </x:c>
      <x:c r="C3" s="89" t="str">
        <x:v>Hunter</x:v>
      </x:c>
      <x:c r="D3" s="89" t="str">
        <x:v>Species</x:v>
      </x:c>
      <x:c r="E3" s="89" t="str">
        <x:v>Transaction</x:v>
      </x:c>
      <x:c r="F3" s="89" t="str">
        <x:v>Hunt / Unit / Product</x:v>
      </x:c>
      <x:c r="G3" s="89" t="str">
        <x:v>Deadline</x:v>
      </x:c>
      <x:c r="H3" s="89" t="str">
        <x:v>Submitted Date</x:v>
      </x:c>
      <x:c r="I3" s="89" t="str">
        <x:v>Application Fee</x:v>
      </x:c>
      <x:c r="J3" s="89" t="str">
        <x:v>License / Tag Cost</x:v>
      </x:c>
      <x:c r="K3" s="89" t="str">
        <x:v>Confirmation #</x:v>
      </x:c>
      <x:c r="L3" s="89" t="str">
        <x:v>Status</x:v>
      </x:c>
      <x:c r="M3" s="89" t="str">
        <x:v>Draw Result</x:v>
      </x:c>
      <x:c r="N3" s="89" t="str">
        <x:v>Points Before</x:v>
      </x:c>
      <x:c r="O3" s="89" t="str">
        <x:v>Points After</x:v>
      </x:c>
      <x:c r="P3" s="89" t="str">
        <x:v>Official Source URL</x:v>
      </x:c>
      <x:c r="Q3" s="89" t="str">
        <x:v>Notes</x:v>
      </x:c>
    </x:row>
    <x:row r="4">
      <x:c r="A4" s="2"/>
      <x:c r="B4" s="2"/>
      <x:c r="C4" s="2"/>
      <x:c r="D4" s="2"/>
      <x:c r="E4" s="2"/>
      <x:c r="F4" s="2"/>
      <x:c r="G4" s="97"/>
      <x:c r="H4" s="97"/>
      <x:c r="I4" s="98"/>
      <x:c r="J4" s="98"/>
      <x:c r="K4" s="2"/>
      <x:c r="L4" s="2"/>
      <x:c r="M4" s="2"/>
      <x:c r="N4" s="2"/>
      <x:c r="O4" s="2"/>
      <x:c r="P4" s="2"/>
      <x:c r="Q4" s="2"/>
    </x:row>
    <x:row r="5">
      <x:c r="A5" s="2"/>
      <x:c r="B5" s="2"/>
      <x:c r="C5" s="2"/>
      <x:c r="D5" s="2"/>
      <x:c r="E5" s="2"/>
      <x:c r="F5" s="2"/>
      <x:c r="G5" s="97"/>
      <x:c r="H5" s="97"/>
      <x:c r="I5" s="98"/>
      <x:c r="J5" s="98"/>
      <x:c r="K5" s="2"/>
      <x:c r="L5" s="2"/>
      <x:c r="M5" s="2"/>
      <x:c r="N5" s="2"/>
      <x:c r="O5" s="2"/>
      <x:c r="P5" s="2"/>
      <x:c r="Q5" s="2"/>
    </x:row>
    <x:row r="6">
      <x:c r="A6" s="2"/>
      <x:c r="B6" s="2"/>
      <x:c r="C6" s="2"/>
      <x:c r="D6" s="2"/>
      <x:c r="E6" s="2"/>
      <x:c r="F6" s="2"/>
      <x:c r="G6" s="97"/>
      <x:c r="H6" s="97"/>
      <x:c r="I6" s="98"/>
      <x:c r="J6" s="98"/>
      <x:c r="K6" s="2"/>
      <x:c r="L6" s="2"/>
      <x:c r="M6" s="2"/>
      <x:c r="N6" s="2"/>
      <x:c r="O6" s="2"/>
      <x:c r="P6" s="2"/>
      <x:c r="Q6" s="2"/>
    </x:row>
    <x:row r="7">
      <x:c r="A7" s="2"/>
      <x:c r="B7" s="2"/>
      <x:c r="C7" s="2"/>
      <x:c r="D7" s="2"/>
      <x:c r="E7" s="2"/>
      <x:c r="F7" s="2"/>
      <x:c r="G7" s="97"/>
      <x:c r="H7" s="97"/>
      <x:c r="I7" s="98"/>
      <x:c r="J7" s="98"/>
      <x:c r="K7" s="2"/>
      <x:c r="L7" s="2"/>
      <x:c r="M7" s="2"/>
      <x:c r="N7" s="2"/>
      <x:c r="O7" s="2"/>
      <x:c r="P7" s="2"/>
      <x:c r="Q7" s="2"/>
    </x:row>
    <x:row r="8">
      <x:c r="A8" s="2"/>
      <x:c r="B8" s="2"/>
      <x:c r="C8" s="2"/>
      <x:c r="D8" s="2"/>
      <x:c r="E8" s="2"/>
      <x:c r="F8" s="2"/>
      <x:c r="G8" s="97"/>
      <x:c r="H8" s="97"/>
      <x:c r="I8" s="98"/>
      <x:c r="J8" s="98"/>
      <x:c r="K8" s="2"/>
      <x:c r="L8" s="2"/>
      <x:c r="M8" s="2"/>
      <x:c r="N8" s="2"/>
      <x:c r="O8" s="2"/>
      <x:c r="P8" s="2"/>
      <x:c r="Q8" s="2"/>
    </x:row>
    <x:row r="9">
      <x:c r="A9" s="2"/>
      <x:c r="B9" s="2"/>
      <x:c r="C9" s="2"/>
      <x:c r="D9" s="2"/>
      <x:c r="E9" s="2"/>
      <x:c r="F9" s="2"/>
      <x:c r="G9" s="97"/>
      <x:c r="H9" s="97"/>
      <x:c r="I9" s="98"/>
      <x:c r="J9" s="98"/>
      <x:c r="K9" s="2"/>
      <x:c r="L9" s="2"/>
      <x:c r="M9" s="2"/>
      <x:c r="N9" s="2"/>
      <x:c r="O9" s="2"/>
      <x:c r="P9" s="2"/>
      <x:c r="Q9" s="2"/>
    </x:row>
    <x:row r="10">
      <x:c r="A10" s="2"/>
      <x:c r="B10" s="2"/>
      <x:c r="C10" s="2"/>
      <x:c r="D10" s="2"/>
      <x:c r="E10" s="2"/>
      <x:c r="F10" s="2"/>
      <x:c r="G10" s="97"/>
      <x:c r="H10" s="97"/>
      <x:c r="I10" s="98"/>
      <x:c r="J10" s="98"/>
      <x:c r="K10" s="2"/>
      <x:c r="L10" s="2"/>
      <x:c r="M10" s="2"/>
      <x:c r="N10" s="2"/>
      <x:c r="O10" s="2"/>
      <x:c r="P10" s="2"/>
      <x:c r="Q10" s="2"/>
    </x:row>
    <x:row r="11">
      <x:c r="A11" s="2"/>
      <x:c r="B11" s="2"/>
      <x:c r="C11" s="2"/>
      <x:c r="D11" s="2"/>
      <x:c r="E11" s="2"/>
      <x:c r="F11" s="2"/>
      <x:c r="G11" s="97"/>
      <x:c r="H11" s="97"/>
      <x:c r="I11" s="98"/>
      <x:c r="J11" s="98"/>
      <x:c r="K11" s="2"/>
      <x:c r="L11" s="2"/>
      <x:c r="M11" s="2"/>
      <x:c r="N11" s="2"/>
      <x:c r="O11" s="2"/>
      <x:c r="P11" s="2"/>
      <x:c r="Q11" s="2"/>
    </x:row>
    <x:row r="12">
      <x:c r="A12" s="2"/>
      <x:c r="B12" s="2"/>
      <x:c r="C12" s="2"/>
      <x:c r="D12" s="2"/>
      <x:c r="E12" s="2"/>
      <x:c r="F12" s="2"/>
      <x:c r="G12" s="97"/>
      <x:c r="H12" s="97"/>
      <x:c r="I12" s="98"/>
      <x:c r="J12" s="98"/>
      <x:c r="K12" s="2"/>
      <x:c r="L12" s="2"/>
      <x:c r="M12" s="2"/>
      <x:c r="N12" s="2"/>
      <x:c r="O12" s="2"/>
      <x:c r="P12" s="2"/>
      <x:c r="Q12" s="2"/>
    </x:row>
    <x:row r="13">
      <x:c r="A13" s="2"/>
      <x:c r="B13" s="2"/>
      <x:c r="C13" s="2"/>
      <x:c r="D13" s="2"/>
      <x:c r="E13" s="2"/>
      <x:c r="F13" s="2"/>
      <x:c r="G13" s="97"/>
      <x:c r="H13" s="97"/>
      <x:c r="I13" s="98"/>
      <x:c r="J13" s="98"/>
      <x:c r="K13" s="2"/>
      <x:c r="L13" s="2"/>
      <x:c r="M13" s="2"/>
      <x:c r="N13" s="2"/>
      <x:c r="O13" s="2"/>
      <x:c r="P13" s="2"/>
      <x:c r="Q13" s="2"/>
    </x:row>
    <x:row r="14">
      <x:c r="A14" s="2"/>
      <x:c r="B14" s="2"/>
      <x:c r="C14" s="2"/>
      <x:c r="D14" s="2"/>
      <x:c r="E14" s="2"/>
      <x:c r="F14" s="2"/>
      <x:c r="G14" s="97"/>
      <x:c r="H14" s="97"/>
      <x:c r="I14" s="98"/>
      <x:c r="J14" s="98"/>
      <x:c r="K14" s="2"/>
      <x:c r="L14" s="2"/>
      <x:c r="M14" s="2"/>
      <x:c r="N14" s="2"/>
      <x:c r="O14" s="2"/>
      <x:c r="P14" s="2"/>
      <x:c r="Q14" s="2"/>
    </x:row>
    <x:row r="15">
      <x:c r="A15" s="2"/>
      <x:c r="B15" s="2"/>
      <x:c r="C15" s="2"/>
      <x:c r="D15" s="2"/>
      <x:c r="E15" s="2"/>
      <x:c r="F15" s="2"/>
      <x:c r="G15" s="97"/>
      <x:c r="H15" s="97"/>
      <x:c r="I15" s="98"/>
      <x:c r="J15" s="98"/>
      <x:c r="K15" s="2"/>
      <x:c r="L15" s="2"/>
      <x:c r="M15" s="2"/>
      <x:c r="N15" s="2"/>
      <x:c r="O15" s="2"/>
      <x:c r="P15" s="2"/>
      <x:c r="Q15" s="2"/>
    </x:row>
    <x:row r="16">
      <x:c r="A16" s="2"/>
      <x:c r="B16" s="2"/>
      <x:c r="C16" s="2"/>
      <x:c r="D16" s="2"/>
      <x:c r="E16" s="2"/>
      <x:c r="F16" s="2"/>
      <x:c r="G16" s="97"/>
      <x:c r="H16" s="97"/>
      <x:c r="I16" s="98"/>
      <x:c r="J16" s="98"/>
      <x:c r="K16" s="2"/>
      <x:c r="L16" s="2"/>
      <x:c r="M16" s="2"/>
      <x:c r="N16" s="2"/>
      <x:c r="O16" s="2"/>
      <x:c r="P16" s="2"/>
      <x:c r="Q16" s="2"/>
    </x:row>
    <x:row r="17">
      <x:c r="A17" s="2"/>
      <x:c r="B17" s="2"/>
      <x:c r="C17" s="2"/>
      <x:c r="D17" s="2"/>
      <x:c r="E17" s="2"/>
      <x:c r="F17" s="2"/>
      <x:c r="G17" s="97"/>
      <x:c r="H17" s="97"/>
      <x:c r="I17" s="98"/>
      <x:c r="J17" s="98"/>
      <x:c r="K17" s="2"/>
      <x:c r="L17" s="2"/>
      <x:c r="M17" s="2"/>
      <x:c r="N17" s="2"/>
      <x:c r="O17" s="2"/>
      <x:c r="P17" s="2"/>
      <x:c r="Q17" s="2"/>
    </x:row>
    <x:row r="18">
      <x:c r="A18" s="2"/>
      <x:c r="B18" s="2"/>
      <x:c r="C18" s="2"/>
      <x:c r="D18" s="2"/>
      <x:c r="E18" s="2"/>
      <x:c r="F18" s="2"/>
      <x:c r="G18" s="97"/>
      <x:c r="H18" s="97"/>
      <x:c r="I18" s="98"/>
      <x:c r="J18" s="98"/>
      <x:c r="K18" s="2"/>
      <x:c r="L18" s="2"/>
      <x:c r="M18" s="2"/>
      <x:c r="N18" s="2"/>
      <x:c r="O18" s="2"/>
      <x:c r="P18" s="2"/>
      <x:c r="Q18" s="2"/>
    </x:row>
    <x:row r="19">
      <x:c r="A19" s="2"/>
      <x:c r="B19" s="2"/>
      <x:c r="C19" s="2"/>
      <x:c r="D19" s="2"/>
      <x:c r="E19" s="2"/>
      <x:c r="F19" s="2"/>
      <x:c r="G19" s="97"/>
      <x:c r="H19" s="97"/>
      <x:c r="I19" s="98"/>
      <x:c r="J19" s="98"/>
      <x:c r="K19" s="2"/>
      <x:c r="L19" s="2"/>
      <x:c r="M19" s="2"/>
      <x:c r="N19" s="2"/>
      <x:c r="O19" s="2"/>
      <x:c r="P19" s="2"/>
      <x:c r="Q19" s="2"/>
    </x:row>
    <x:row r="20">
      <x:c r="A20" s="2"/>
      <x:c r="B20" s="2"/>
      <x:c r="C20" s="2"/>
      <x:c r="D20" s="2"/>
      <x:c r="E20" s="2"/>
      <x:c r="F20" s="2"/>
      <x:c r="G20" s="97"/>
      <x:c r="H20" s="97"/>
      <x:c r="I20" s="98"/>
      <x:c r="J20" s="98"/>
      <x:c r="K20" s="2"/>
      <x:c r="L20" s="2"/>
      <x:c r="M20" s="2"/>
      <x:c r="N20" s="2"/>
      <x:c r="O20" s="2"/>
      <x:c r="P20" s="2"/>
      <x:c r="Q20" s="2"/>
    </x:row>
    <x:row r="21">
      <x:c r="A21" s="2"/>
      <x:c r="B21" s="2"/>
      <x:c r="C21" s="2"/>
      <x:c r="D21" s="2"/>
      <x:c r="E21" s="2"/>
      <x:c r="F21" s="2"/>
      <x:c r="G21" s="97"/>
      <x:c r="H21" s="97"/>
      <x:c r="I21" s="98"/>
      <x:c r="J21" s="98"/>
      <x:c r="K21" s="2"/>
      <x:c r="L21" s="2"/>
      <x:c r="M21" s="2"/>
      <x:c r="N21" s="2"/>
      <x:c r="O21" s="2"/>
      <x:c r="P21" s="2"/>
      <x:c r="Q21" s="2"/>
    </x:row>
    <x:row r="22">
      <x:c r="A22" s="2"/>
      <x:c r="B22" s="2"/>
      <x:c r="C22" s="2"/>
      <x:c r="D22" s="2"/>
      <x:c r="E22" s="2"/>
      <x:c r="F22" s="2"/>
      <x:c r="G22" s="97"/>
      <x:c r="H22" s="97"/>
      <x:c r="I22" s="98"/>
      <x:c r="J22" s="98"/>
      <x:c r="K22" s="2"/>
      <x:c r="L22" s="2"/>
      <x:c r="M22" s="2"/>
      <x:c r="N22" s="2"/>
      <x:c r="O22" s="2"/>
      <x:c r="P22" s="2"/>
      <x:c r="Q22" s="2"/>
    </x:row>
    <x:row r="23">
      <x:c r="A23" s="2"/>
      <x:c r="B23" s="2"/>
      <x:c r="C23" s="2"/>
      <x:c r="D23" s="2"/>
      <x:c r="E23" s="2"/>
      <x:c r="F23" s="2"/>
      <x:c r="G23" s="97"/>
      <x:c r="H23" s="97"/>
      <x:c r="I23" s="98"/>
      <x:c r="J23" s="98"/>
      <x:c r="K23" s="2"/>
      <x:c r="L23" s="2"/>
      <x:c r="M23" s="2"/>
      <x:c r="N23" s="2"/>
      <x:c r="O23" s="2"/>
      <x:c r="P23" s="2"/>
      <x:c r="Q23" s="2"/>
    </x:row>
    <x:row r="24">
      <x:c r="A24" s="2"/>
      <x:c r="B24" s="2"/>
      <x:c r="C24" s="2"/>
      <x:c r="D24" s="2"/>
      <x:c r="E24" s="2"/>
      <x:c r="F24" s="2"/>
      <x:c r="G24" s="97"/>
      <x:c r="H24" s="97"/>
      <x:c r="I24" s="98"/>
      <x:c r="J24" s="98"/>
      <x:c r="K24" s="2"/>
      <x:c r="L24" s="2"/>
      <x:c r="M24" s="2"/>
      <x:c r="N24" s="2"/>
      <x:c r="O24" s="2"/>
      <x:c r="P24" s="2"/>
      <x:c r="Q24" s="2"/>
    </x:row>
    <x:row r="25">
      <x:c r="A25" s="2"/>
      <x:c r="B25" s="2"/>
      <x:c r="C25" s="2"/>
      <x:c r="D25" s="2"/>
      <x:c r="E25" s="2"/>
      <x:c r="F25" s="2"/>
      <x:c r="G25" s="97"/>
      <x:c r="H25" s="97"/>
      <x:c r="I25" s="98"/>
      <x:c r="J25" s="98"/>
      <x:c r="K25" s="2"/>
      <x:c r="L25" s="2"/>
      <x:c r="M25" s="2"/>
      <x:c r="N25" s="2"/>
      <x:c r="O25" s="2"/>
      <x:c r="P25" s="2"/>
      <x:c r="Q25" s="2"/>
    </x:row>
    <x:row r="26">
      <x:c r="A26" s="2"/>
      <x:c r="B26" s="2"/>
      <x:c r="C26" s="2"/>
      <x:c r="D26" s="2"/>
      <x:c r="E26" s="2"/>
      <x:c r="F26" s="2"/>
      <x:c r="G26" s="97"/>
      <x:c r="H26" s="97"/>
      <x:c r="I26" s="98"/>
      <x:c r="J26" s="98"/>
      <x:c r="K26" s="2"/>
      <x:c r="L26" s="2"/>
      <x:c r="M26" s="2"/>
      <x:c r="N26" s="2"/>
      <x:c r="O26" s="2"/>
      <x:c r="P26" s="2"/>
      <x:c r="Q26" s="2"/>
    </x:row>
    <x:row r="27">
      <x:c r="A27" s="2"/>
      <x:c r="B27" s="2"/>
      <x:c r="C27" s="2"/>
      <x:c r="D27" s="2"/>
      <x:c r="E27" s="2"/>
      <x:c r="F27" s="2"/>
      <x:c r="G27" s="97"/>
      <x:c r="H27" s="97"/>
      <x:c r="I27" s="98"/>
      <x:c r="J27" s="98"/>
      <x:c r="K27" s="2"/>
      <x:c r="L27" s="2"/>
      <x:c r="M27" s="2"/>
      <x:c r="N27" s="2"/>
      <x:c r="O27" s="2"/>
      <x:c r="P27" s="2"/>
      <x:c r="Q27" s="2"/>
    </x:row>
    <x:row r="28">
      <x:c r="A28" s="2"/>
      <x:c r="B28" s="2"/>
      <x:c r="C28" s="2"/>
      <x:c r="D28" s="2"/>
      <x:c r="E28" s="2"/>
      <x:c r="F28" s="2"/>
      <x:c r="G28" s="97"/>
      <x:c r="H28" s="97"/>
      <x:c r="I28" s="98"/>
      <x:c r="J28" s="98"/>
      <x:c r="K28" s="2"/>
      <x:c r="L28" s="2"/>
      <x:c r="M28" s="2"/>
      <x:c r="N28" s="2"/>
      <x:c r="O28" s="2"/>
      <x:c r="P28" s="2"/>
      <x:c r="Q28" s="2"/>
    </x:row>
    <x:row r="29">
      <x:c r="A29" s="2"/>
      <x:c r="B29" s="2"/>
      <x:c r="C29" s="2"/>
      <x:c r="D29" s="2"/>
      <x:c r="E29" s="2"/>
      <x:c r="F29" s="2"/>
      <x:c r="G29" s="97"/>
      <x:c r="H29" s="97"/>
      <x:c r="I29" s="98"/>
      <x:c r="J29" s="98"/>
      <x:c r="K29" s="2"/>
      <x:c r="L29" s="2"/>
      <x:c r="M29" s="2"/>
      <x:c r="N29" s="2"/>
      <x:c r="O29" s="2"/>
      <x:c r="P29" s="2"/>
      <x:c r="Q29" s="2"/>
    </x:row>
    <x:row r="30">
      <x:c r="A30" s="2"/>
      <x:c r="B30" s="2"/>
      <x:c r="C30" s="2"/>
      <x:c r="D30" s="2"/>
      <x:c r="E30" s="2"/>
      <x:c r="F30" s="2"/>
      <x:c r="G30" s="97"/>
      <x:c r="H30" s="97"/>
      <x:c r="I30" s="98"/>
      <x:c r="J30" s="98"/>
      <x:c r="K30" s="2"/>
      <x:c r="L30" s="2"/>
      <x:c r="M30" s="2"/>
      <x:c r="N30" s="2"/>
      <x:c r="O30" s="2"/>
      <x:c r="P30" s="2"/>
      <x:c r="Q30" s="2"/>
    </x:row>
    <x:row r="31">
      <x:c r="A31" s="2"/>
      <x:c r="B31" s="2"/>
      <x:c r="C31" s="2"/>
      <x:c r="D31" s="2"/>
      <x:c r="E31" s="2"/>
      <x:c r="F31" s="2"/>
      <x:c r="G31" s="97"/>
      <x:c r="H31" s="97"/>
      <x:c r="I31" s="98"/>
      <x:c r="J31" s="98"/>
      <x:c r="K31" s="2"/>
      <x:c r="L31" s="2"/>
      <x:c r="M31" s="2"/>
      <x:c r="N31" s="2"/>
      <x:c r="O31" s="2"/>
      <x:c r="P31" s="2"/>
      <x:c r="Q31" s="2"/>
    </x:row>
    <x:row r="32">
      <x:c r="A32" s="2"/>
      <x:c r="B32" s="2"/>
      <x:c r="C32" s="2"/>
      <x:c r="D32" s="2"/>
      <x:c r="E32" s="2"/>
      <x:c r="F32" s="2"/>
      <x:c r="G32" s="97"/>
      <x:c r="H32" s="97"/>
      <x:c r="I32" s="98"/>
      <x:c r="J32" s="98"/>
      <x:c r="K32" s="2"/>
      <x:c r="L32" s="2"/>
      <x:c r="M32" s="2"/>
      <x:c r="N32" s="2"/>
      <x:c r="O32" s="2"/>
      <x:c r="P32" s="2"/>
      <x:c r="Q32" s="2"/>
    </x:row>
    <x:row r="33">
      <x:c r="A33" s="2"/>
      <x:c r="B33" s="2"/>
      <x:c r="C33" s="2"/>
      <x:c r="D33" s="2"/>
      <x:c r="E33" s="2"/>
      <x:c r="F33" s="2"/>
      <x:c r="G33" s="97"/>
      <x:c r="H33" s="97"/>
      <x:c r="I33" s="98"/>
      <x:c r="J33" s="98"/>
      <x:c r="K33" s="2"/>
      <x:c r="L33" s="2"/>
      <x:c r="M33" s="2"/>
      <x:c r="N33" s="2"/>
      <x:c r="O33" s="2"/>
      <x:c r="P33" s="2"/>
      <x:c r="Q33" s="2"/>
    </x:row>
    <x:row r="34">
      <x:c r="A34" s="2"/>
      <x:c r="B34" s="2"/>
      <x:c r="C34" s="2"/>
      <x:c r="D34" s="2"/>
      <x:c r="E34" s="2"/>
      <x:c r="F34" s="2"/>
      <x:c r="G34" s="97"/>
      <x:c r="H34" s="97"/>
      <x:c r="I34" s="98"/>
      <x:c r="J34" s="98"/>
      <x:c r="K34" s="2"/>
      <x:c r="L34" s="2"/>
      <x:c r="M34" s="2"/>
      <x:c r="N34" s="2"/>
      <x:c r="O34" s="2"/>
      <x:c r="P34" s="2"/>
      <x:c r="Q34" s="2"/>
    </x:row>
    <x:row r="35">
      <x:c r="A35" s="2"/>
      <x:c r="B35" s="2"/>
      <x:c r="C35" s="2"/>
      <x:c r="D35" s="2"/>
      <x:c r="E35" s="2"/>
      <x:c r="F35" s="2"/>
      <x:c r="G35" s="97"/>
      <x:c r="H35" s="97"/>
      <x:c r="I35" s="98"/>
      <x:c r="J35" s="98"/>
      <x:c r="K35" s="2"/>
      <x:c r="L35" s="2"/>
      <x:c r="M35" s="2"/>
      <x:c r="N35" s="2"/>
      <x:c r="O35" s="2"/>
      <x:c r="P35" s="2"/>
      <x:c r="Q35" s="2"/>
    </x:row>
    <x:row r="36">
      <x:c r="A36" s="2"/>
      <x:c r="B36" s="2"/>
      <x:c r="C36" s="2"/>
      <x:c r="D36" s="2"/>
      <x:c r="E36" s="2"/>
      <x:c r="F36" s="2"/>
      <x:c r="G36" s="97"/>
      <x:c r="H36" s="97"/>
      <x:c r="I36" s="98"/>
      <x:c r="J36" s="98"/>
      <x:c r="K36" s="2"/>
      <x:c r="L36" s="2"/>
      <x:c r="M36" s="2"/>
      <x:c r="N36" s="2"/>
      <x:c r="O36" s="2"/>
      <x:c r="P36" s="2"/>
      <x:c r="Q36" s="2"/>
    </x:row>
    <x:row r="37">
      <x:c r="A37" s="2"/>
      <x:c r="B37" s="2"/>
      <x:c r="C37" s="2"/>
      <x:c r="D37" s="2"/>
      <x:c r="E37" s="2"/>
      <x:c r="F37" s="2"/>
      <x:c r="G37" s="97"/>
      <x:c r="H37" s="97"/>
      <x:c r="I37" s="98"/>
      <x:c r="J37" s="98"/>
      <x:c r="K37" s="2"/>
      <x:c r="L37" s="2"/>
      <x:c r="M37" s="2"/>
      <x:c r="N37" s="2"/>
      <x:c r="O37" s="2"/>
      <x:c r="P37" s="2"/>
      <x:c r="Q37" s="2"/>
    </x:row>
    <x:row r="38">
      <x:c r="A38" s="2"/>
      <x:c r="B38" s="2"/>
      <x:c r="C38" s="2"/>
      <x:c r="D38" s="2"/>
      <x:c r="E38" s="2"/>
      <x:c r="F38" s="2"/>
      <x:c r="G38" s="97"/>
      <x:c r="H38" s="97"/>
      <x:c r="I38" s="98"/>
      <x:c r="J38" s="98"/>
      <x:c r="K38" s="2"/>
      <x:c r="L38" s="2"/>
      <x:c r="M38" s="2"/>
      <x:c r="N38" s="2"/>
      <x:c r="O38" s="2"/>
      <x:c r="P38" s="2"/>
      <x:c r="Q38" s="2"/>
    </x:row>
    <x:row r="39">
      <x:c r="A39" s="2"/>
      <x:c r="B39" s="2"/>
      <x:c r="C39" s="2"/>
      <x:c r="D39" s="2"/>
      <x:c r="E39" s="2"/>
      <x:c r="F39" s="2"/>
      <x:c r="G39" s="97"/>
      <x:c r="H39" s="97"/>
      <x:c r="I39" s="98"/>
      <x:c r="J39" s="98"/>
      <x:c r="K39" s="2"/>
      <x:c r="L39" s="2"/>
      <x:c r="M39" s="2"/>
      <x:c r="N39" s="2"/>
      <x:c r="O39" s="2"/>
      <x:c r="P39" s="2"/>
      <x:c r="Q39" s="2"/>
    </x:row>
    <x:row r="40">
      <x:c r="A40" s="2"/>
      <x:c r="B40" s="2"/>
      <x:c r="C40" s="2"/>
      <x:c r="D40" s="2"/>
      <x:c r="E40" s="2"/>
      <x:c r="F40" s="2"/>
      <x:c r="G40" s="97"/>
      <x:c r="H40" s="97"/>
      <x:c r="I40" s="98"/>
      <x:c r="J40" s="98"/>
      <x:c r="K40" s="2"/>
      <x:c r="L40" s="2"/>
      <x:c r="M40" s="2"/>
      <x:c r="N40" s="2"/>
      <x:c r="O40" s="2"/>
      <x:c r="P40" s="2"/>
      <x:c r="Q40" s="2"/>
    </x:row>
    <x:row r="41">
      <x:c r="A41" s="2"/>
      <x:c r="B41" s="2"/>
      <x:c r="C41" s="2"/>
      <x:c r="D41" s="2"/>
      <x:c r="E41" s="2"/>
      <x:c r="F41" s="2"/>
      <x:c r="G41" s="97"/>
      <x:c r="H41" s="97"/>
      <x:c r="I41" s="98"/>
      <x:c r="J41" s="98"/>
      <x:c r="K41" s="2"/>
      <x:c r="L41" s="2"/>
      <x:c r="M41" s="2"/>
      <x:c r="N41" s="2"/>
      <x:c r="O41" s="2"/>
      <x:c r="P41" s="2"/>
      <x:c r="Q41" s="2"/>
    </x:row>
    <x:row r="42">
      <x:c r="A42" s="2"/>
      <x:c r="B42" s="2"/>
      <x:c r="C42" s="2"/>
      <x:c r="D42" s="2"/>
      <x:c r="E42" s="2"/>
      <x:c r="F42" s="2"/>
      <x:c r="G42" s="97"/>
      <x:c r="H42" s="97"/>
      <x:c r="I42" s="98"/>
      <x:c r="J42" s="98"/>
      <x:c r="K42" s="2"/>
      <x:c r="L42" s="2"/>
      <x:c r="M42" s="2"/>
      <x:c r="N42" s="2"/>
      <x:c r="O42" s="2"/>
      <x:c r="P42" s="2"/>
      <x:c r="Q42" s="2"/>
    </x:row>
    <x:row r="43">
      <x:c r="A43" s="2"/>
      <x:c r="B43" s="2"/>
      <x:c r="C43" s="2"/>
      <x:c r="D43" s="2"/>
      <x:c r="E43" s="2"/>
      <x:c r="F43" s="2"/>
      <x:c r="G43" s="97"/>
      <x:c r="H43" s="97"/>
      <x:c r="I43" s="98"/>
      <x:c r="J43" s="98"/>
      <x:c r="K43" s="2"/>
      <x:c r="L43" s="2"/>
      <x:c r="M43" s="2"/>
      <x:c r="N43" s="2"/>
      <x:c r="O43" s="2"/>
      <x:c r="P43" s="2"/>
      <x:c r="Q43" s="2"/>
    </x:row>
    <x:row r="44">
      <x:c r="A44" s="2"/>
      <x:c r="B44" s="2"/>
      <x:c r="C44" s="2"/>
      <x:c r="D44" s="2"/>
      <x:c r="E44" s="2"/>
      <x:c r="F44" s="2"/>
      <x:c r="G44" s="97"/>
      <x:c r="H44" s="97"/>
      <x:c r="I44" s="98"/>
      <x:c r="J44" s="98"/>
      <x:c r="K44" s="2"/>
      <x:c r="L44" s="2"/>
      <x:c r="M44" s="2"/>
      <x:c r="N44" s="2"/>
      <x:c r="O44" s="2"/>
      <x:c r="P44" s="2"/>
      <x:c r="Q44" s="2"/>
    </x:row>
    <x:row r="45">
      <x:c r="A45" s="2"/>
      <x:c r="B45" s="2"/>
      <x:c r="C45" s="2"/>
      <x:c r="D45" s="2"/>
      <x:c r="E45" s="2"/>
      <x:c r="F45" s="2"/>
      <x:c r="G45" s="97"/>
      <x:c r="H45" s="97"/>
      <x:c r="I45" s="98"/>
      <x:c r="J45" s="98"/>
      <x:c r="K45" s="2"/>
      <x:c r="L45" s="2"/>
      <x:c r="M45" s="2"/>
      <x:c r="N45" s="2"/>
      <x:c r="O45" s="2"/>
      <x:c r="P45" s="2"/>
      <x:c r="Q45" s="2"/>
    </x:row>
    <x:row r="46">
      <x:c r="A46" s="2"/>
      <x:c r="B46" s="2"/>
      <x:c r="C46" s="2"/>
      <x:c r="D46" s="2"/>
      <x:c r="E46" s="2"/>
      <x:c r="F46" s="2"/>
      <x:c r="G46" s="97"/>
      <x:c r="H46" s="97"/>
      <x:c r="I46" s="98"/>
      <x:c r="J46" s="98"/>
      <x:c r="K46" s="2"/>
      <x:c r="L46" s="2"/>
      <x:c r="M46" s="2"/>
      <x:c r="N46" s="2"/>
      <x:c r="O46" s="2"/>
      <x:c r="P46" s="2"/>
      <x:c r="Q46" s="2"/>
    </x:row>
    <x:row r="47">
      <x:c r="A47" s="2"/>
      <x:c r="B47" s="2"/>
      <x:c r="C47" s="2"/>
      <x:c r="D47" s="2"/>
      <x:c r="E47" s="2"/>
      <x:c r="F47" s="2"/>
      <x:c r="G47" s="97"/>
      <x:c r="H47" s="97"/>
      <x:c r="I47" s="98"/>
      <x:c r="J47" s="98"/>
      <x:c r="K47" s="2"/>
      <x:c r="L47" s="2"/>
      <x:c r="M47" s="2"/>
      <x:c r="N47" s="2"/>
      <x:c r="O47" s="2"/>
      <x:c r="P47" s="2"/>
      <x:c r="Q47" s="2"/>
    </x:row>
    <x:row r="48">
      <x:c r="A48" s="2"/>
      <x:c r="B48" s="2"/>
      <x:c r="C48" s="2"/>
      <x:c r="D48" s="2"/>
      <x:c r="E48" s="2"/>
      <x:c r="F48" s="2"/>
      <x:c r="G48" s="97"/>
      <x:c r="H48" s="97"/>
      <x:c r="I48" s="98"/>
      <x:c r="J48" s="98"/>
      <x:c r="K48" s="2"/>
      <x:c r="L48" s="2"/>
      <x:c r="M48" s="2"/>
      <x:c r="N48" s="2"/>
      <x:c r="O48" s="2"/>
      <x:c r="P48" s="2"/>
      <x:c r="Q48" s="2"/>
    </x:row>
    <x:row r="49">
      <x:c r="A49" s="2"/>
      <x:c r="B49" s="2"/>
      <x:c r="C49" s="2"/>
      <x:c r="D49" s="2"/>
      <x:c r="E49" s="2"/>
      <x:c r="F49" s="2"/>
      <x:c r="G49" s="97"/>
      <x:c r="H49" s="97"/>
      <x:c r="I49" s="98"/>
      <x:c r="J49" s="98"/>
      <x:c r="K49" s="2"/>
      <x:c r="L49" s="2"/>
      <x:c r="M49" s="2"/>
      <x:c r="N49" s="2"/>
      <x:c r="O49" s="2"/>
      <x:c r="P49" s="2"/>
      <x:c r="Q49" s="2"/>
    </x:row>
    <x:row r="50">
      <x:c r="A50" s="2"/>
      <x:c r="B50" s="2"/>
      <x:c r="C50" s="2"/>
      <x:c r="D50" s="2"/>
      <x:c r="E50" s="2"/>
      <x:c r="F50" s="2"/>
      <x:c r="G50" s="97"/>
      <x:c r="H50" s="97"/>
      <x:c r="I50" s="98"/>
      <x:c r="J50" s="98"/>
      <x:c r="K50" s="2"/>
      <x:c r="L50" s="2"/>
      <x:c r="M50" s="2"/>
      <x:c r="N50" s="2"/>
      <x:c r="O50" s="2"/>
      <x:c r="P50" s="2"/>
      <x:c r="Q50" s="2"/>
    </x:row>
    <x:row r="51">
      <x:c r="A51" s="2"/>
      <x:c r="B51" s="2"/>
      <x:c r="C51" s="2"/>
      <x:c r="D51" s="2"/>
      <x:c r="E51" s="2"/>
      <x:c r="F51" s="2"/>
      <x:c r="G51" s="97"/>
      <x:c r="H51" s="97"/>
      <x:c r="I51" s="98"/>
      <x:c r="J51" s="98"/>
      <x:c r="K51" s="2"/>
      <x:c r="L51" s="2"/>
      <x:c r="M51" s="2"/>
      <x:c r="N51" s="2"/>
      <x:c r="O51" s="2"/>
      <x:c r="P51" s="2"/>
      <x:c r="Q51" s="2"/>
    </x:row>
    <x:row r="52">
      <x:c r="A52" s="2"/>
      <x:c r="B52" s="2"/>
      <x:c r="C52" s="2"/>
      <x:c r="D52" s="2"/>
      <x:c r="E52" s="2"/>
      <x:c r="F52" s="2"/>
      <x:c r="G52" s="97"/>
      <x:c r="H52" s="97"/>
      <x:c r="I52" s="98"/>
      <x:c r="J52" s="98"/>
      <x:c r="K52" s="2"/>
      <x:c r="L52" s="2"/>
      <x:c r="M52" s="2"/>
      <x:c r="N52" s="2"/>
      <x:c r="O52" s="2"/>
      <x:c r="P52" s="2"/>
      <x:c r="Q52" s="2"/>
    </x:row>
    <x:row r="53">
      <x:c r="A53" s="2"/>
      <x:c r="B53" s="2"/>
      <x:c r="C53" s="2"/>
      <x:c r="D53" s="2"/>
      <x:c r="E53" s="2"/>
      <x:c r="F53" s="2"/>
      <x:c r="G53" s="97"/>
      <x:c r="H53" s="97"/>
      <x:c r="I53" s="98"/>
      <x:c r="J53" s="98"/>
      <x:c r="K53" s="2"/>
      <x:c r="L53" s="2"/>
      <x:c r="M53" s="2"/>
      <x:c r="N53" s="2"/>
      <x:c r="O53" s="2"/>
      <x:c r="P53" s="2"/>
      <x:c r="Q53" s="2"/>
    </x:row>
    <x:row r="54">
      <x:c r="A54" s="2"/>
      <x:c r="B54" s="2"/>
      <x:c r="C54" s="2"/>
      <x:c r="D54" s="2"/>
      <x:c r="E54" s="2"/>
      <x:c r="F54" s="2"/>
      <x:c r="G54" s="97"/>
      <x:c r="H54" s="97"/>
      <x:c r="I54" s="98"/>
      <x:c r="J54" s="98"/>
      <x:c r="K54" s="2"/>
      <x:c r="L54" s="2"/>
      <x:c r="M54" s="2"/>
      <x:c r="N54" s="2"/>
      <x:c r="O54" s="2"/>
      <x:c r="P54" s="2"/>
      <x:c r="Q54" s="2"/>
    </x:row>
    <x:row r="55">
      <x:c r="A55" s="2"/>
      <x:c r="B55" s="2"/>
      <x:c r="C55" s="2"/>
      <x:c r="D55" s="2"/>
      <x:c r="E55" s="2"/>
      <x:c r="F55" s="2"/>
      <x:c r="G55" s="97"/>
      <x:c r="H55" s="97"/>
      <x:c r="I55" s="98"/>
      <x:c r="J55" s="98"/>
      <x:c r="K55" s="2"/>
      <x:c r="L55" s="2"/>
      <x:c r="M55" s="2"/>
      <x:c r="N55" s="2"/>
      <x:c r="O55" s="2"/>
      <x:c r="P55" s="2"/>
      <x:c r="Q55" s="2"/>
    </x:row>
    <x:row r="56">
      <x:c r="A56" s="2"/>
      <x:c r="B56" s="2"/>
      <x:c r="C56" s="2"/>
      <x:c r="D56" s="2"/>
      <x:c r="E56" s="2"/>
      <x:c r="F56" s="2"/>
      <x:c r="G56" s="97"/>
      <x:c r="H56" s="97"/>
      <x:c r="I56" s="98"/>
      <x:c r="J56" s="98"/>
      <x:c r="K56" s="2"/>
      <x:c r="L56" s="2"/>
      <x:c r="M56" s="2"/>
      <x:c r="N56" s="2"/>
      <x:c r="O56" s="2"/>
      <x:c r="P56" s="2"/>
      <x:c r="Q56" s="2"/>
    </x:row>
    <x:row r="57">
      <x:c r="A57" s="2"/>
      <x:c r="B57" s="2"/>
      <x:c r="C57" s="2"/>
      <x:c r="D57" s="2"/>
      <x:c r="E57" s="2"/>
      <x:c r="F57" s="2"/>
      <x:c r="G57" s="97"/>
      <x:c r="H57" s="97"/>
      <x:c r="I57" s="98"/>
      <x:c r="J57" s="98"/>
      <x:c r="K57" s="2"/>
      <x:c r="L57" s="2"/>
      <x:c r="M57" s="2"/>
      <x:c r="N57" s="2"/>
      <x:c r="O57" s="2"/>
      <x:c r="P57" s="2"/>
      <x:c r="Q57" s="2"/>
    </x:row>
    <x:row r="58">
      <x:c r="A58" s="2"/>
      <x:c r="B58" s="2"/>
      <x:c r="C58" s="2"/>
      <x:c r="D58" s="2"/>
      <x:c r="E58" s="2"/>
      <x:c r="F58" s="2"/>
      <x:c r="G58" s="97"/>
      <x:c r="H58" s="97"/>
      <x:c r="I58" s="98"/>
      <x:c r="J58" s="98"/>
      <x:c r="K58" s="2"/>
      <x:c r="L58" s="2"/>
      <x:c r="M58" s="2"/>
      <x:c r="N58" s="2"/>
      <x:c r="O58" s="2"/>
      <x:c r="P58" s="2"/>
      <x:c r="Q58" s="2"/>
    </x:row>
    <x:row r="59">
      <x:c r="A59" s="2"/>
      <x:c r="B59" s="2"/>
      <x:c r="C59" s="2"/>
      <x:c r="D59" s="2"/>
      <x:c r="E59" s="2"/>
      <x:c r="F59" s="2"/>
      <x:c r="G59" s="97"/>
      <x:c r="H59" s="97"/>
      <x:c r="I59" s="98"/>
      <x:c r="J59" s="98"/>
      <x:c r="K59" s="2"/>
      <x:c r="L59" s="2"/>
      <x:c r="M59" s="2"/>
      <x:c r="N59" s="2"/>
      <x:c r="O59" s="2"/>
      <x:c r="P59" s="2"/>
      <x:c r="Q59" s="2"/>
    </x:row>
    <x:row r="60">
      <x:c r="A60" s="2"/>
      <x:c r="B60" s="2"/>
      <x:c r="C60" s="2"/>
      <x:c r="D60" s="2"/>
      <x:c r="E60" s="2"/>
      <x:c r="F60" s="2"/>
      <x:c r="G60" s="97"/>
      <x:c r="H60" s="97"/>
      <x:c r="I60" s="98"/>
      <x:c r="J60" s="98"/>
      <x:c r="K60" s="2"/>
      <x:c r="L60" s="2"/>
      <x:c r="M60" s="2"/>
      <x:c r="N60" s="2"/>
      <x:c r="O60" s="2"/>
      <x:c r="P60" s="2"/>
      <x:c r="Q60" s="2"/>
    </x:row>
    <x:row r="61">
      <x:c r="A61" s="2"/>
      <x:c r="B61" s="2"/>
      <x:c r="C61" s="2"/>
      <x:c r="D61" s="2"/>
      <x:c r="E61" s="2"/>
      <x:c r="F61" s="2"/>
      <x:c r="G61" s="97"/>
      <x:c r="H61" s="97"/>
      <x:c r="I61" s="98"/>
      <x:c r="J61" s="98"/>
      <x:c r="K61" s="2"/>
      <x:c r="L61" s="2"/>
      <x:c r="M61" s="2"/>
      <x:c r="N61" s="2"/>
      <x:c r="O61" s="2"/>
      <x:c r="P61" s="2"/>
      <x:c r="Q61" s="2"/>
    </x:row>
    <x:row r="62">
      <x:c r="A62" s="2"/>
      <x:c r="B62" s="2"/>
      <x:c r="C62" s="2"/>
      <x:c r="D62" s="2"/>
      <x:c r="E62" s="2"/>
      <x:c r="F62" s="2"/>
      <x:c r="G62" s="97"/>
      <x:c r="H62" s="97"/>
      <x:c r="I62" s="98"/>
      <x:c r="J62" s="98"/>
      <x:c r="K62" s="2"/>
      <x:c r="L62" s="2"/>
      <x:c r="M62" s="2"/>
      <x:c r="N62" s="2"/>
      <x:c r="O62" s="2"/>
      <x:c r="P62" s="2"/>
      <x:c r="Q62" s="2"/>
    </x:row>
    <x:row r="63">
      <x:c r="A63" s="2"/>
      <x:c r="B63" s="2"/>
      <x:c r="C63" s="2"/>
      <x:c r="D63" s="2"/>
      <x:c r="E63" s="2"/>
      <x:c r="F63" s="2"/>
      <x:c r="G63" s="97"/>
      <x:c r="H63" s="97"/>
      <x:c r="I63" s="98"/>
      <x:c r="J63" s="98"/>
      <x:c r="K63" s="2"/>
      <x:c r="L63" s="2"/>
      <x:c r="M63" s="2"/>
      <x:c r="N63" s="2"/>
      <x:c r="O63" s="2"/>
      <x:c r="P63" s="2"/>
      <x:c r="Q63" s="2"/>
    </x:row>
    <x:row r="64">
      <x:c r="A64" s="2"/>
      <x:c r="B64" s="2"/>
      <x:c r="C64" s="2"/>
      <x:c r="D64" s="2"/>
      <x:c r="E64" s="2"/>
      <x:c r="F64" s="2"/>
      <x:c r="G64" s="97"/>
      <x:c r="H64" s="97"/>
      <x:c r="I64" s="98"/>
      <x:c r="J64" s="98"/>
      <x:c r="K64" s="2"/>
      <x:c r="L64" s="2"/>
      <x:c r="M64" s="2"/>
      <x:c r="N64" s="2"/>
      <x:c r="O64" s="2"/>
      <x:c r="P64" s="2"/>
      <x:c r="Q64" s="2"/>
    </x:row>
    <x:row r="65">
      <x:c r="A65" s="2"/>
      <x:c r="B65" s="2"/>
      <x:c r="C65" s="2"/>
      <x:c r="D65" s="2"/>
      <x:c r="E65" s="2"/>
      <x:c r="F65" s="2"/>
      <x:c r="G65" s="97"/>
      <x:c r="H65" s="97"/>
      <x:c r="I65" s="98"/>
      <x:c r="J65" s="98"/>
      <x:c r="K65" s="2"/>
      <x:c r="L65" s="2"/>
      <x:c r="M65" s="2"/>
      <x:c r="N65" s="2"/>
      <x:c r="O65" s="2"/>
      <x:c r="P65" s="2"/>
      <x:c r="Q65" s="2"/>
    </x:row>
    <x:row r="66">
      <x:c r="A66" s="2"/>
      <x:c r="B66" s="2"/>
      <x:c r="C66" s="2"/>
      <x:c r="D66" s="2"/>
      <x:c r="E66" s="2"/>
      <x:c r="F66" s="2"/>
      <x:c r="G66" s="97"/>
      <x:c r="H66" s="97"/>
      <x:c r="I66" s="98"/>
      <x:c r="J66" s="98"/>
      <x:c r="K66" s="2"/>
      <x:c r="L66" s="2"/>
      <x:c r="M66" s="2"/>
      <x:c r="N66" s="2"/>
      <x:c r="O66" s="2"/>
      <x:c r="P66" s="2"/>
      <x:c r="Q66" s="2"/>
    </x:row>
    <x:row r="67">
      <x:c r="A67" s="2"/>
      <x:c r="B67" s="2"/>
      <x:c r="C67" s="2"/>
      <x:c r="D67" s="2"/>
      <x:c r="E67" s="2"/>
      <x:c r="F67" s="2"/>
      <x:c r="G67" s="97"/>
      <x:c r="H67" s="97"/>
      <x:c r="I67" s="98"/>
      <x:c r="J67" s="98"/>
      <x:c r="K67" s="2"/>
      <x:c r="L67" s="2"/>
      <x:c r="M67" s="2"/>
      <x:c r="N67" s="2"/>
      <x:c r="O67" s="2"/>
      <x:c r="P67" s="2"/>
      <x:c r="Q67" s="2"/>
    </x:row>
    <x:row r="68">
      <x:c r="A68" s="2"/>
      <x:c r="B68" s="2"/>
      <x:c r="C68" s="2"/>
      <x:c r="D68" s="2"/>
      <x:c r="E68" s="2"/>
      <x:c r="F68" s="2"/>
      <x:c r="G68" s="97"/>
      <x:c r="H68" s="97"/>
      <x:c r="I68" s="98"/>
      <x:c r="J68" s="98"/>
      <x:c r="K68" s="2"/>
      <x:c r="L68" s="2"/>
      <x:c r="M68" s="2"/>
      <x:c r="N68" s="2"/>
      <x:c r="O68" s="2"/>
      <x:c r="P68" s="2"/>
      <x:c r="Q68" s="2"/>
    </x:row>
    <x:row r="69">
      <x:c r="A69" s="2"/>
      <x:c r="B69" s="2"/>
      <x:c r="C69" s="2"/>
      <x:c r="D69" s="2"/>
      <x:c r="E69" s="2"/>
      <x:c r="F69" s="2"/>
      <x:c r="G69" s="97"/>
      <x:c r="H69" s="97"/>
      <x:c r="I69" s="98"/>
      <x:c r="J69" s="98"/>
      <x:c r="K69" s="2"/>
      <x:c r="L69" s="2"/>
      <x:c r="M69" s="2"/>
      <x:c r="N69" s="2"/>
      <x:c r="O69" s="2"/>
      <x:c r="P69" s="2"/>
      <x:c r="Q69" s="2"/>
    </x:row>
    <x:row r="70">
      <x:c r="A70" s="2"/>
      <x:c r="B70" s="2"/>
      <x:c r="C70" s="2"/>
      <x:c r="D70" s="2"/>
      <x:c r="E70" s="2"/>
      <x:c r="F70" s="2"/>
      <x:c r="G70" s="97"/>
      <x:c r="H70" s="97"/>
      <x:c r="I70" s="98"/>
      <x:c r="J70" s="98"/>
      <x:c r="K70" s="2"/>
      <x:c r="L70" s="2"/>
      <x:c r="M70" s="2"/>
      <x:c r="N70" s="2"/>
      <x:c r="O70" s="2"/>
      <x:c r="P70" s="2"/>
      <x:c r="Q70" s="2"/>
    </x:row>
    <x:row r="71">
      <x:c r="A71" s="2"/>
      <x:c r="B71" s="2"/>
      <x:c r="C71" s="2"/>
      <x:c r="D71" s="2"/>
      <x:c r="E71" s="2"/>
      <x:c r="F71" s="2"/>
      <x:c r="G71" s="97"/>
      <x:c r="H71" s="97"/>
      <x:c r="I71" s="98"/>
      <x:c r="J71" s="98"/>
      <x:c r="K71" s="2"/>
      <x:c r="L71" s="2"/>
      <x:c r="M71" s="2"/>
      <x:c r="N71" s="2"/>
      <x:c r="O71" s="2"/>
      <x:c r="P71" s="2"/>
      <x:c r="Q71" s="2"/>
    </x:row>
    <x:row r="72">
      <x:c r="A72" s="2"/>
      <x:c r="B72" s="2"/>
      <x:c r="C72" s="2"/>
      <x:c r="D72" s="2"/>
      <x:c r="E72" s="2"/>
      <x:c r="F72" s="2"/>
      <x:c r="G72" s="97"/>
      <x:c r="H72" s="97"/>
      <x:c r="I72" s="98"/>
      <x:c r="J72" s="98"/>
      <x:c r="K72" s="2"/>
      <x:c r="L72" s="2"/>
      <x:c r="M72" s="2"/>
      <x:c r="N72" s="2"/>
      <x:c r="O72" s="2"/>
      <x:c r="P72" s="2"/>
      <x:c r="Q72" s="2"/>
    </x:row>
    <x:row r="73">
      <x:c r="A73" s="2"/>
      <x:c r="B73" s="2"/>
      <x:c r="C73" s="2"/>
      <x:c r="D73" s="2"/>
      <x:c r="E73" s="2"/>
      <x:c r="F73" s="2"/>
      <x:c r="G73" s="97"/>
      <x:c r="H73" s="97"/>
      <x:c r="I73" s="98"/>
      <x:c r="J73" s="98"/>
      <x:c r="K73" s="2"/>
      <x:c r="L73" s="2"/>
      <x:c r="M73" s="2"/>
      <x:c r="N73" s="2"/>
      <x:c r="O73" s="2"/>
      <x:c r="P73" s="2"/>
      <x:c r="Q73" s="2"/>
    </x:row>
    <x:row r="74">
      <x:c r="A74" s="2"/>
      <x:c r="B74" s="2"/>
      <x:c r="C74" s="2"/>
      <x:c r="D74" s="2"/>
      <x:c r="E74" s="2"/>
      <x:c r="F74" s="2"/>
      <x:c r="G74" s="97"/>
      <x:c r="H74" s="97"/>
      <x:c r="I74" s="98"/>
      <x:c r="J74" s="98"/>
      <x:c r="K74" s="2"/>
      <x:c r="L74" s="2"/>
      <x:c r="M74" s="2"/>
      <x:c r="N74" s="2"/>
      <x:c r="O74" s="2"/>
      <x:c r="P74" s="2"/>
      <x:c r="Q74" s="2"/>
    </x:row>
    <x:row r="75">
      <x:c r="A75" s="2"/>
      <x:c r="B75" s="2"/>
      <x:c r="C75" s="2"/>
      <x:c r="D75" s="2"/>
      <x:c r="E75" s="2"/>
      <x:c r="F75" s="2"/>
      <x:c r="G75" s="97"/>
      <x:c r="H75" s="97"/>
      <x:c r="I75" s="98"/>
      <x:c r="J75" s="98"/>
      <x:c r="K75" s="2"/>
      <x:c r="L75" s="2"/>
      <x:c r="M75" s="2"/>
      <x:c r="N75" s="2"/>
      <x:c r="O75" s="2"/>
      <x:c r="P75" s="2"/>
      <x:c r="Q75" s="2"/>
    </x:row>
    <x:row r="76">
      <x:c r="A76" s="2"/>
      <x:c r="B76" s="2"/>
      <x:c r="C76" s="2"/>
      <x:c r="D76" s="2"/>
      <x:c r="E76" s="2"/>
      <x:c r="F76" s="2"/>
      <x:c r="G76" s="97"/>
      <x:c r="H76" s="97"/>
      <x:c r="I76" s="98"/>
      <x:c r="J76" s="98"/>
      <x:c r="K76" s="2"/>
      <x:c r="L76" s="2"/>
      <x:c r="M76" s="2"/>
      <x:c r="N76" s="2"/>
      <x:c r="O76" s="2"/>
      <x:c r="P76" s="2"/>
      <x:c r="Q76" s="2"/>
    </x:row>
    <x:row r="77">
      <x:c r="A77" s="2"/>
      <x:c r="B77" s="2"/>
      <x:c r="C77" s="2"/>
      <x:c r="D77" s="2"/>
      <x:c r="E77" s="2"/>
      <x:c r="F77" s="2"/>
      <x:c r="G77" s="97"/>
      <x:c r="H77" s="97"/>
      <x:c r="I77" s="98"/>
      <x:c r="J77" s="98"/>
      <x:c r="K77" s="2"/>
      <x:c r="L77" s="2"/>
      <x:c r="M77" s="2"/>
      <x:c r="N77" s="2"/>
      <x:c r="O77" s="2"/>
      <x:c r="P77" s="2"/>
      <x:c r="Q77" s="2"/>
    </x:row>
    <x:row r="78">
      <x:c r="A78" s="2"/>
      <x:c r="B78" s="2"/>
      <x:c r="C78" s="2"/>
      <x:c r="D78" s="2"/>
      <x:c r="E78" s="2"/>
      <x:c r="F78" s="2"/>
      <x:c r="G78" s="97"/>
      <x:c r="H78" s="97"/>
      <x:c r="I78" s="98"/>
      <x:c r="J78" s="98"/>
      <x:c r="K78" s="2"/>
      <x:c r="L78" s="2"/>
      <x:c r="M78" s="2"/>
      <x:c r="N78" s="2"/>
      <x:c r="O78" s="2"/>
      <x:c r="P78" s="2"/>
      <x:c r="Q78" s="2"/>
    </x:row>
    <x:row r="79">
      <x:c r="A79" s="2"/>
      <x:c r="B79" s="2"/>
      <x:c r="C79" s="2"/>
      <x:c r="D79" s="2"/>
      <x:c r="E79" s="2"/>
      <x:c r="F79" s="2"/>
      <x:c r="G79" s="97"/>
      <x:c r="H79" s="97"/>
      <x:c r="I79" s="98"/>
      <x:c r="J79" s="98"/>
      <x:c r="K79" s="2"/>
      <x:c r="L79" s="2"/>
      <x:c r="M79" s="2"/>
      <x:c r="N79" s="2"/>
      <x:c r="O79" s="2"/>
      <x:c r="P79" s="2"/>
      <x:c r="Q79" s="2"/>
    </x:row>
    <x:row r="80">
      <x:c r="A80" s="2"/>
      <x:c r="B80" s="2"/>
      <x:c r="C80" s="2"/>
      <x:c r="D80" s="2"/>
      <x:c r="E80" s="2"/>
      <x:c r="F80" s="2"/>
      <x:c r="G80" s="97"/>
      <x:c r="H80" s="97"/>
      <x:c r="I80" s="98"/>
      <x:c r="J80" s="98"/>
      <x:c r="K80" s="2"/>
      <x:c r="L80" s="2"/>
      <x:c r="M80" s="2"/>
      <x:c r="N80" s="2"/>
      <x:c r="O80" s="2"/>
      <x:c r="P80" s="2"/>
      <x:c r="Q80" s="2"/>
    </x:row>
    <x:row r="81">
      <x:c r="A81" s="2"/>
      <x:c r="B81" s="2"/>
      <x:c r="C81" s="2"/>
      <x:c r="D81" s="2"/>
      <x:c r="E81" s="2"/>
      <x:c r="F81" s="2"/>
      <x:c r="G81" s="97"/>
      <x:c r="H81" s="97"/>
      <x:c r="I81" s="98"/>
      <x:c r="J81" s="98"/>
      <x:c r="K81" s="2"/>
      <x:c r="L81" s="2"/>
      <x:c r="M81" s="2"/>
      <x:c r="N81" s="2"/>
      <x:c r="O81" s="2"/>
      <x:c r="P81" s="2"/>
      <x:c r="Q81" s="2"/>
    </x:row>
    <x:row r="82">
      <x:c r="A82" s="2"/>
      <x:c r="B82" s="2"/>
      <x:c r="C82" s="2"/>
      <x:c r="D82" s="2"/>
      <x:c r="E82" s="2"/>
      <x:c r="F82" s="2"/>
      <x:c r="G82" s="97"/>
      <x:c r="H82" s="97"/>
      <x:c r="I82" s="98"/>
      <x:c r="J82" s="98"/>
      <x:c r="K82" s="2"/>
      <x:c r="L82" s="2"/>
      <x:c r="M82" s="2"/>
      <x:c r="N82" s="2"/>
      <x:c r="O82" s="2"/>
      <x:c r="P82" s="2"/>
      <x:c r="Q82" s="2"/>
    </x:row>
    <x:row r="83">
      <x:c r="A83" s="2"/>
      <x:c r="B83" s="2"/>
      <x:c r="C83" s="2"/>
      <x:c r="D83" s="2"/>
      <x:c r="E83" s="2"/>
      <x:c r="F83" s="2"/>
      <x:c r="G83" s="97"/>
      <x:c r="H83" s="97"/>
      <x:c r="I83" s="98"/>
      <x:c r="J83" s="98"/>
      <x:c r="K83" s="2"/>
      <x:c r="L83" s="2"/>
      <x:c r="M83" s="2"/>
      <x:c r="N83" s="2"/>
      <x:c r="O83" s="2"/>
      <x:c r="P83" s="2"/>
      <x:c r="Q83" s="2"/>
    </x:row>
    <x:row r="84">
      <x:c r="A84" s="2"/>
      <x:c r="B84" s="2"/>
      <x:c r="C84" s="2"/>
      <x:c r="D84" s="2"/>
      <x:c r="E84" s="2"/>
      <x:c r="F84" s="2"/>
      <x:c r="G84" s="97"/>
      <x:c r="H84" s="97"/>
      <x:c r="I84" s="98"/>
      <x:c r="J84" s="98"/>
      <x:c r="K84" s="2"/>
      <x:c r="L84" s="2"/>
      <x:c r="M84" s="2"/>
      <x:c r="N84" s="2"/>
      <x:c r="O84" s="2"/>
      <x:c r="P84" s="2"/>
      <x:c r="Q84" s="2"/>
    </x:row>
    <x:row r="85">
      <x:c r="A85" s="2"/>
      <x:c r="B85" s="2"/>
      <x:c r="C85" s="2"/>
      <x:c r="D85" s="2"/>
      <x:c r="E85" s="2"/>
      <x:c r="F85" s="2"/>
      <x:c r="G85" s="97"/>
      <x:c r="H85" s="97"/>
      <x:c r="I85" s="98"/>
      <x:c r="J85" s="98"/>
      <x:c r="K85" s="2"/>
      <x:c r="L85" s="2"/>
      <x:c r="M85" s="2"/>
      <x:c r="N85" s="2"/>
      <x:c r="O85" s="2"/>
      <x:c r="P85" s="2"/>
      <x:c r="Q85" s="2"/>
    </x:row>
    <x:row r="86">
      <x:c r="A86" s="2"/>
      <x:c r="B86" s="2"/>
      <x:c r="C86" s="2"/>
      <x:c r="D86" s="2"/>
      <x:c r="E86" s="2"/>
      <x:c r="F86" s="2"/>
      <x:c r="G86" s="97"/>
      <x:c r="H86" s="97"/>
      <x:c r="I86" s="98"/>
      <x:c r="J86" s="98"/>
      <x:c r="K86" s="2"/>
      <x:c r="L86" s="2"/>
      <x:c r="M86" s="2"/>
      <x:c r="N86" s="2"/>
      <x:c r="O86" s="2"/>
      <x:c r="P86" s="2"/>
      <x:c r="Q86" s="2"/>
    </x:row>
    <x:row r="87">
      <x:c r="A87" s="2"/>
      <x:c r="B87" s="2"/>
      <x:c r="C87" s="2"/>
      <x:c r="D87" s="2"/>
      <x:c r="E87" s="2"/>
      <x:c r="F87" s="2"/>
      <x:c r="G87" s="97"/>
      <x:c r="H87" s="97"/>
      <x:c r="I87" s="98"/>
      <x:c r="J87" s="98"/>
      <x:c r="K87" s="2"/>
      <x:c r="L87" s="2"/>
      <x:c r="M87" s="2"/>
      <x:c r="N87" s="2"/>
      <x:c r="O87" s="2"/>
      <x:c r="P87" s="2"/>
      <x:c r="Q87" s="2"/>
    </x:row>
    <x:row r="88">
      <x:c r="A88" s="2"/>
      <x:c r="B88" s="2"/>
      <x:c r="C88" s="2"/>
      <x:c r="D88" s="2"/>
      <x:c r="E88" s="2"/>
      <x:c r="F88" s="2"/>
      <x:c r="G88" s="97"/>
      <x:c r="H88" s="97"/>
      <x:c r="I88" s="98"/>
      <x:c r="J88" s="98"/>
      <x:c r="K88" s="2"/>
      <x:c r="L88" s="2"/>
      <x:c r="M88" s="2"/>
      <x:c r="N88" s="2"/>
      <x:c r="O88" s="2"/>
      <x:c r="P88" s="2"/>
      <x:c r="Q88" s="2"/>
    </x:row>
    <x:row r="89">
      <x:c r="A89" s="2"/>
      <x:c r="B89" s="2"/>
      <x:c r="C89" s="2"/>
      <x:c r="D89" s="2"/>
      <x:c r="E89" s="2"/>
      <x:c r="F89" s="2"/>
      <x:c r="G89" s="97"/>
      <x:c r="H89" s="97"/>
      <x:c r="I89" s="98"/>
      <x:c r="J89" s="98"/>
      <x:c r="K89" s="2"/>
      <x:c r="L89" s="2"/>
      <x:c r="M89" s="2"/>
      <x:c r="N89" s="2"/>
      <x:c r="O89" s="2"/>
      <x:c r="P89" s="2"/>
      <x:c r="Q89" s="2"/>
    </x:row>
    <x:row r="90">
      <x:c r="A90" s="2"/>
      <x:c r="B90" s="2"/>
      <x:c r="C90" s="2"/>
      <x:c r="D90" s="2"/>
      <x:c r="E90" s="2"/>
      <x:c r="F90" s="2"/>
      <x:c r="G90" s="97"/>
      <x:c r="H90" s="97"/>
      <x:c r="I90" s="98"/>
      <x:c r="J90" s="98"/>
      <x:c r="K90" s="2"/>
      <x:c r="L90" s="2"/>
      <x:c r="M90" s="2"/>
      <x:c r="N90" s="2"/>
      <x:c r="O90" s="2"/>
      <x:c r="P90" s="2"/>
      <x:c r="Q90" s="2"/>
    </x:row>
    <x:row r="91">
      <x:c r="A91" s="2"/>
      <x:c r="B91" s="2"/>
      <x:c r="C91" s="2"/>
      <x:c r="D91" s="2"/>
      <x:c r="E91" s="2"/>
      <x:c r="F91" s="2"/>
      <x:c r="G91" s="97"/>
      <x:c r="H91" s="97"/>
      <x:c r="I91" s="98"/>
      <x:c r="J91" s="98"/>
      <x:c r="K91" s="2"/>
      <x:c r="L91" s="2"/>
      <x:c r="M91" s="2"/>
      <x:c r="N91" s="2"/>
      <x:c r="O91" s="2"/>
      <x:c r="P91" s="2"/>
      <x:c r="Q91" s="2"/>
    </x:row>
    <x:row r="92">
      <x:c r="A92" s="2"/>
      <x:c r="B92" s="2"/>
      <x:c r="C92" s="2"/>
      <x:c r="D92" s="2"/>
      <x:c r="E92" s="2"/>
      <x:c r="F92" s="2"/>
      <x:c r="G92" s="97"/>
      <x:c r="H92" s="97"/>
      <x:c r="I92" s="98"/>
      <x:c r="J92" s="98"/>
      <x:c r="K92" s="2"/>
      <x:c r="L92" s="2"/>
      <x:c r="M92" s="2"/>
      <x:c r="N92" s="2"/>
      <x:c r="O92" s="2"/>
      <x:c r="P92" s="2"/>
      <x:c r="Q92" s="2"/>
    </x:row>
    <x:row r="93">
      <x:c r="A93" s="2"/>
      <x:c r="B93" s="2"/>
      <x:c r="C93" s="2"/>
      <x:c r="D93" s="2"/>
      <x:c r="E93" s="2"/>
      <x:c r="F93" s="2"/>
      <x:c r="G93" s="97"/>
      <x:c r="H93" s="97"/>
      <x:c r="I93" s="98"/>
      <x:c r="J93" s="98"/>
      <x:c r="K93" s="2"/>
      <x:c r="L93" s="2"/>
      <x:c r="M93" s="2"/>
      <x:c r="N93" s="2"/>
      <x:c r="O93" s="2"/>
      <x:c r="P93" s="2"/>
      <x:c r="Q93" s="2"/>
    </x:row>
    <x:row r="94">
      <x:c r="A94" s="2"/>
      <x:c r="B94" s="2"/>
      <x:c r="C94" s="2"/>
      <x:c r="D94" s="2"/>
      <x:c r="E94" s="2"/>
      <x:c r="F94" s="2"/>
      <x:c r="G94" s="97"/>
      <x:c r="H94" s="97"/>
      <x:c r="I94" s="98"/>
      <x:c r="J94" s="98"/>
      <x:c r="K94" s="2"/>
      <x:c r="L94" s="2"/>
      <x:c r="M94" s="2"/>
      <x:c r="N94" s="2"/>
      <x:c r="O94" s="2"/>
      <x:c r="P94" s="2"/>
      <x:c r="Q94" s="2"/>
    </x:row>
    <x:row r="95">
      <x:c r="A95" s="2"/>
      <x:c r="B95" s="2"/>
      <x:c r="C95" s="2"/>
      <x:c r="D95" s="2"/>
      <x:c r="E95" s="2"/>
      <x:c r="F95" s="2"/>
      <x:c r="G95" s="97"/>
      <x:c r="H95" s="97"/>
      <x:c r="I95" s="98"/>
      <x:c r="J95" s="98"/>
      <x:c r="K95" s="2"/>
      <x:c r="L95" s="2"/>
      <x:c r="M95" s="2"/>
      <x:c r="N95" s="2"/>
      <x:c r="O95" s="2"/>
      <x:c r="P95" s="2"/>
      <x:c r="Q95" s="2"/>
    </x:row>
    <x:row r="96">
      <x:c r="A96" s="2"/>
      <x:c r="B96" s="2"/>
      <x:c r="C96" s="2"/>
      <x:c r="D96" s="2"/>
      <x:c r="E96" s="2"/>
      <x:c r="F96" s="2"/>
      <x:c r="G96" s="97"/>
      <x:c r="H96" s="97"/>
      <x:c r="I96" s="98"/>
      <x:c r="J96" s="98"/>
      <x:c r="K96" s="2"/>
      <x:c r="L96" s="2"/>
      <x:c r="M96" s="2"/>
      <x:c r="N96" s="2"/>
      <x:c r="O96" s="2"/>
      <x:c r="P96" s="2"/>
      <x:c r="Q96" s="2"/>
    </x:row>
    <x:row r="97">
      <x:c r="A97" s="2"/>
      <x:c r="B97" s="2"/>
      <x:c r="C97" s="2"/>
      <x:c r="D97" s="2"/>
      <x:c r="E97" s="2"/>
      <x:c r="F97" s="2"/>
      <x:c r="G97" s="97"/>
      <x:c r="H97" s="97"/>
      <x:c r="I97" s="98"/>
      <x:c r="J97" s="98"/>
      <x:c r="K97" s="2"/>
      <x:c r="L97" s="2"/>
      <x:c r="M97" s="2"/>
      <x:c r="N97" s="2"/>
      <x:c r="O97" s="2"/>
      <x:c r="P97" s="2"/>
      <x:c r="Q97" s="2"/>
    </x:row>
    <x:row r="98">
      <x:c r="A98" s="2"/>
      <x:c r="B98" s="2"/>
      <x:c r="C98" s="2"/>
      <x:c r="D98" s="2"/>
      <x:c r="E98" s="2"/>
      <x:c r="F98" s="2"/>
      <x:c r="G98" s="97"/>
      <x:c r="H98" s="97"/>
      <x:c r="I98" s="98"/>
      <x:c r="J98" s="98"/>
      <x:c r="K98" s="2"/>
      <x:c r="L98" s="2"/>
      <x:c r="M98" s="2"/>
      <x:c r="N98" s="2"/>
      <x:c r="O98" s="2"/>
      <x:c r="P98" s="2"/>
      <x:c r="Q98" s="2"/>
    </x:row>
    <x:row r="99">
      <x:c r="A99" s="2"/>
      <x:c r="B99" s="2"/>
      <x:c r="C99" s="2"/>
      <x:c r="D99" s="2"/>
      <x:c r="E99" s="2"/>
      <x:c r="F99" s="2"/>
      <x:c r="G99" s="97"/>
      <x:c r="H99" s="97"/>
      <x:c r="I99" s="98"/>
      <x:c r="J99" s="98"/>
      <x:c r="K99" s="2"/>
      <x:c r="L99" s="2"/>
      <x:c r="M99" s="2"/>
      <x:c r="N99" s="2"/>
      <x:c r="O99" s="2"/>
      <x:c r="P99" s="2"/>
      <x:c r="Q99" s="2"/>
    </x:row>
    <x:row r="100">
      <x:c r="A100" s="2"/>
      <x:c r="B100" s="2"/>
      <x:c r="C100" s="2"/>
      <x:c r="D100" s="2"/>
      <x:c r="E100" s="2"/>
      <x:c r="F100" s="2"/>
      <x:c r="G100" s="97"/>
      <x:c r="H100" s="97"/>
      <x:c r="I100" s="98"/>
      <x:c r="J100" s="98"/>
      <x:c r="K100" s="2"/>
      <x:c r="L100" s="2"/>
      <x:c r="M100" s="2"/>
      <x:c r="N100" s="2"/>
      <x:c r="O100" s="2"/>
      <x:c r="P100" s="2"/>
      <x:c r="Q100" s="2"/>
    </x:row>
    <x:row r="101">
      <x:c r="A101" s="2"/>
      <x:c r="B101" s="2"/>
      <x:c r="C101" s="2"/>
      <x:c r="D101" s="2"/>
      <x:c r="E101" s="2"/>
      <x:c r="F101" s="2"/>
      <x:c r="G101" s="97"/>
      <x:c r="H101" s="97"/>
      <x:c r="I101" s="98"/>
      <x:c r="J101" s="98"/>
      <x:c r="K101" s="2"/>
      <x:c r="L101" s="2"/>
      <x:c r="M101" s="2"/>
      <x:c r="N101" s="2"/>
      <x:c r="O101" s="2"/>
      <x:c r="P101" s="2"/>
      <x:c r="Q101" s="2"/>
    </x:row>
    <x:row r="102">
      <x:c r="A102" s="2"/>
      <x:c r="B102" s="2"/>
      <x:c r="C102" s="2"/>
      <x:c r="D102" s="2"/>
      <x:c r="E102" s="2"/>
      <x:c r="F102" s="2"/>
      <x:c r="G102" s="97"/>
      <x:c r="H102" s="97"/>
      <x:c r="I102" s="98"/>
      <x:c r="J102" s="98"/>
      <x:c r="K102" s="2"/>
      <x:c r="L102" s="2"/>
      <x:c r="M102" s="2"/>
      <x:c r="N102" s="2"/>
      <x:c r="O102" s="2"/>
      <x:c r="P102" s="2"/>
      <x:c r="Q102" s="2"/>
    </x:row>
    <x:row r="103">
      <x:c r="A103" s="2"/>
      <x:c r="B103" s="2"/>
      <x:c r="C103" s="2"/>
      <x:c r="D103" s="2"/>
      <x:c r="E103" s="2"/>
      <x:c r="F103" s="2"/>
      <x:c r="G103" s="97"/>
      <x:c r="H103" s="97"/>
      <x:c r="I103" s="98"/>
      <x:c r="J103" s="98"/>
      <x:c r="K103" s="2"/>
      <x:c r="L103" s="2"/>
      <x:c r="M103" s="2"/>
      <x:c r="N103" s="2"/>
      <x:c r="O103" s="2"/>
      <x:c r="P103" s="2"/>
      <x:c r="Q103" s="2"/>
    </x:row>
    <x:row r="104">
      <x:c r="A104" s="2"/>
      <x:c r="B104" s="2"/>
      <x:c r="C104" s="2"/>
      <x:c r="D104" s="2"/>
      <x:c r="E104" s="2"/>
      <x:c r="F104" s="2"/>
      <x:c r="G104" s="97"/>
      <x:c r="H104" s="97"/>
      <x:c r="I104" s="98"/>
      <x:c r="J104" s="98"/>
      <x:c r="K104" s="2"/>
      <x:c r="L104" s="2"/>
      <x:c r="M104" s="2"/>
      <x:c r="N104" s="2"/>
      <x:c r="O104" s="2"/>
      <x:c r="P104" s="2"/>
      <x:c r="Q104" s="2"/>
    </x:row>
    <x:row r="105">
      <x:c r="A105" s="2"/>
      <x:c r="B105" s="2"/>
      <x:c r="C105" s="2"/>
      <x:c r="D105" s="2"/>
      <x:c r="E105" s="2"/>
      <x:c r="F105" s="2"/>
      <x:c r="G105" s="97"/>
      <x:c r="H105" s="97"/>
      <x:c r="I105" s="98"/>
      <x:c r="J105" s="98"/>
      <x:c r="K105" s="2"/>
      <x:c r="L105" s="2"/>
      <x:c r="M105" s="2"/>
      <x:c r="N105" s="2"/>
      <x:c r="O105" s="2"/>
      <x:c r="P105" s="2"/>
      <x:c r="Q105" s="2"/>
    </x:row>
    <x:row r="106">
      <x:c r="A106" s="2"/>
      <x:c r="B106" s="2"/>
      <x:c r="C106" s="2"/>
      <x:c r="D106" s="2"/>
      <x:c r="E106" s="2"/>
      <x:c r="F106" s="2"/>
      <x:c r="G106" s="97"/>
      <x:c r="H106" s="97"/>
      <x:c r="I106" s="98"/>
      <x:c r="J106" s="98"/>
      <x:c r="K106" s="2"/>
      <x:c r="L106" s="2"/>
      <x:c r="M106" s="2"/>
      <x:c r="N106" s="2"/>
      <x:c r="O106" s="2"/>
      <x:c r="P106" s="2"/>
      <x:c r="Q106" s="2"/>
    </x:row>
    <x:row r="107">
      <x:c r="A107" s="2"/>
      <x:c r="B107" s="2"/>
      <x:c r="C107" s="2"/>
      <x:c r="D107" s="2"/>
      <x:c r="E107" s="2"/>
      <x:c r="F107" s="2"/>
      <x:c r="G107" s="97"/>
      <x:c r="H107" s="97"/>
      <x:c r="I107" s="98"/>
      <x:c r="J107" s="98"/>
      <x:c r="K107" s="2"/>
      <x:c r="L107" s="2"/>
      <x:c r="M107" s="2"/>
      <x:c r="N107" s="2"/>
      <x:c r="O107" s="2"/>
      <x:c r="P107" s="2"/>
      <x:c r="Q107" s="2"/>
    </x:row>
    <x:row r="108">
      <x:c r="A108" s="2"/>
      <x:c r="B108" s="2"/>
      <x:c r="C108" s="2"/>
      <x:c r="D108" s="2"/>
      <x:c r="E108" s="2"/>
      <x:c r="F108" s="2"/>
      <x:c r="G108" s="97"/>
      <x:c r="H108" s="97"/>
      <x:c r="I108" s="98"/>
      <x:c r="J108" s="98"/>
      <x:c r="K108" s="2"/>
      <x:c r="L108" s="2"/>
      <x:c r="M108" s="2"/>
      <x:c r="N108" s="2"/>
      <x:c r="O108" s="2"/>
      <x:c r="P108" s="2"/>
      <x:c r="Q108" s="2"/>
    </x:row>
    <x:row r="109">
      <x:c r="A109" s="2"/>
      <x:c r="B109" s="2"/>
      <x:c r="C109" s="2"/>
      <x:c r="D109" s="2"/>
      <x:c r="E109" s="2"/>
      <x:c r="F109" s="2"/>
      <x:c r="G109" s="97"/>
      <x:c r="H109" s="97"/>
      <x:c r="I109" s="98"/>
      <x:c r="J109" s="98"/>
      <x:c r="K109" s="2"/>
      <x:c r="L109" s="2"/>
      <x:c r="M109" s="2"/>
      <x:c r="N109" s="2"/>
      <x:c r="O109" s="2"/>
      <x:c r="P109" s="2"/>
      <x:c r="Q109" s="2"/>
    </x:row>
    <x:row r="110">
      <x:c r="A110" s="2"/>
      <x:c r="B110" s="2"/>
      <x:c r="C110" s="2"/>
      <x:c r="D110" s="2"/>
      <x:c r="E110" s="2"/>
      <x:c r="F110" s="2"/>
      <x:c r="G110" s="97"/>
      <x:c r="H110" s="97"/>
      <x:c r="I110" s="98"/>
      <x:c r="J110" s="98"/>
      <x:c r="K110" s="2"/>
      <x:c r="L110" s="2"/>
      <x:c r="M110" s="2"/>
      <x:c r="N110" s="2"/>
      <x:c r="O110" s="2"/>
      <x:c r="P110" s="2"/>
      <x:c r="Q110" s="2"/>
    </x:row>
    <x:row r="111">
      <x:c r="A111" s="2"/>
      <x:c r="B111" s="2"/>
      <x:c r="C111" s="2"/>
      <x:c r="D111" s="2"/>
      <x:c r="E111" s="2"/>
      <x:c r="F111" s="2"/>
      <x:c r="G111" s="97"/>
      <x:c r="H111" s="97"/>
      <x:c r="I111" s="98"/>
      <x:c r="J111" s="98"/>
      <x:c r="K111" s="2"/>
      <x:c r="L111" s="2"/>
      <x:c r="M111" s="2"/>
      <x:c r="N111" s="2"/>
      <x:c r="O111" s="2"/>
      <x:c r="P111" s="2"/>
      <x:c r="Q111" s="2"/>
    </x:row>
    <x:row r="112">
      <x:c r="A112" s="2"/>
      <x:c r="B112" s="2"/>
      <x:c r="C112" s="2"/>
      <x:c r="D112" s="2"/>
      <x:c r="E112" s="2"/>
      <x:c r="F112" s="2"/>
      <x:c r="G112" s="97"/>
      <x:c r="H112" s="97"/>
      <x:c r="I112" s="98"/>
      <x:c r="J112" s="98"/>
      <x:c r="K112" s="2"/>
      <x:c r="L112" s="2"/>
      <x:c r="M112" s="2"/>
      <x:c r="N112" s="2"/>
      <x:c r="O112" s="2"/>
      <x:c r="P112" s="2"/>
      <x:c r="Q112" s="2"/>
    </x:row>
    <x:row r="113">
      <x:c r="A113" s="2"/>
      <x:c r="B113" s="2"/>
      <x:c r="C113" s="2"/>
      <x:c r="D113" s="2"/>
      <x:c r="E113" s="2"/>
      <x:c r="F113" s="2"/>
      <x:c r="G113" s="97"/>
      <x:c r="H113" s="97"/>
      <x:c r="I113" s="98"/>
      <x:c r="J113" s="98"/>
      <x:c r="K113" s="2"/>
      <x:c r="L113" s="2"/>
      <x:c r="M113" s="2"/>
      <x:c r="N113" s="2"/>
      <x:c r="O113" s="2"/>
      <x:c r="P113" s="2"/>
      <x:c r="Q113" s="2"/>
    </x:row>
    <x:row r="114">
      <x:c r="A114" s="2"/>
      <x:c r="B114" s="2"/>
      <x:c r="C114" s="2"/>
      <x:c r="D114" s="2"/>
      <x:c r="E114" s="2"/>
      <x:c r="F114" s="2"/>
      <x:c r="G114" s="97"/>
      <x:c r="H114" s="97"/>
      <x:c r="I114" s="98"/>
      <x:c r="J114" s="98"/>
      <x:c r="K114" s="2"/>
      <x:c r="L114" s="2"/>
      <x:c r="M114" s="2"/>
      <x:c r="N114" s="2"/>
      <x:c r="O114" s="2"/>
      <x:c r="P114" s="2"/>
      <x:c r="Q114" s="2"/>
    </x:row>
    <x:row r="115">
      <x:c r="A115" s="2"/>
      <x:c r="B115" s="2"/>
      <x:c r="C115" s="2"/>
      <x:c r="D115" s="2"/>
      <x:c r="E115" s="2"/>
      <x:c r="F115" s="2"/>
      <x:c r="G115" s="97"/>
      <x:c r="H115" s="97"/>
      <x:c r="I115" s="98"/>
      <x:c r="J115" s="98"/>
      <x:c r="K115" s="2"/>
      <x:c r="L115" s="2"/>
      <x:c r="M115" s="2"/>
      <x:c r="N115" s="2"/>
      <x:c r="O115" s="2"/>
      <x:c r="P115" s="2"/>
      <x:c r="Q115" s="2"/>
    </x:row>
    <x:row r="116">
      <x:c r="A116" s="2"/>
      <x:c r="B116" s="2"/>
      <x:c r="C116" s="2"/>
      <x:c r="D116" s="2"/>
      <x:c r="E116" s="2"/>
      <x:c r="F116" s="2"/>
      <x:c r="G116" s="97"/>
      <x:c r="H116" s="97"/>
      <x:c r="I116" s="98"/>
      <x:c r="J116" s="98"/>
      <x:c r="K116" s="2"/>
      <x:c r="L116" s="2"/>
      <x:c r="M116" s="2"/>
      <x:c r="N116" s="2"/>
      <x:c r="O116" s="2"/>
      <x:c r="P116" s="2"/>
      <x:c r="Q116" s="2"/>
    </x:row>
    <x:row r="117">
      <x:c r="A117" s="2"/>
      <x:c r="B117" s="2"/>
      <x:c r="C117" s="2"/>
      <x:c r="D117" s="2"/>
      <x:c r="E117" s="2"/>
      <x:c r="F117" s="2"/>
      <x:c r="G117" s="97"/>
      <x:c r="H117" s="97"/>
      <x:c r="I117" s="98"/>
      <x:c r="J117" s="98"/>
      <x:c r="K117" s="2"/>
      <x:c r="L117" s="2"/>
      <x:c r="M117" s="2"/>
      <x:c r="N117" s="2"/>
      <x:c r="O117" s="2"/>
      <x:c r="P117" s="2"/>
      <x:c r="Q117" s="2"/>
    </x:row>
    <x:row r="118">
      <x:c r="A118" s="2"/>
      <x:c r="B118" s="2"/>
      <x:c r="C118" s="2"/>
      <x:c r="D118" s="2"/>
      <x:c r="E118" s="2"/>
      <x:c r="F118" s="2"/>
      <x:c r="G118" s="97"/>
      <x:c r="H118" s="97"/>
      <x:c r="I118" s="98"/>
      <x:c r="J118" s="98"/>
      <x:c r="K118" s="2"/>
      <x:c r="L118" s="2"/>
      <x:c r="M118" s="2"/>
      <x:c r="N118" s="2"/>
      <x:c r="O118" s="2"/>
      <x:c r="P118" s="2"/>
      <x:c r="Q118" s="2"/>
    </x:row>
    <x:row r="119">
      <x:c r="A119" s="2"/>
      <x:c r="B119" s="2"/>
      <x:c r="C119" s="2"/>
      <x:c r="D119" s="2"/>
      <x:c r="E119" s="2"/>
      <x:c r="F119" s="2"/>
      <x:c r="G119" s="97"/>
      <x:c r="H119" s="97"/>
      <x:c r="I119" s="98"/>
      <x:c r="J119" s="98"/>
      <x:c r="K119" s="2"/>
      <x:c r="L119" s="2"/>
      <x:c r="M119" s="2"/>
      <x:c r="N119" s="2"/>
      <x:c r="O119" s="2"/>
      <x:c r="P119" s="2"/>
      <x:c r="Q119" s="2"/>
    </x:row>
    <x:row r="120">
      <x:c r="A120" s="2"/>
      <x:c r="B120" s="2"/>
      <x:c r="C120" s="2"/>
      <x:c r="D120" s="2"/>
      <x:c r="E120" s="2"/>
      <x:c r="F120" s="2"/>
      <x:c r="G120" s="97"/>
      <x:c r="H120" s="97"/>
      <x:c r="I120" s="98"/>
      <x:c r="J120" s="98"/>
      <x:c r="K120" s="2"/>
      <x:c r="L120" s="2"/>
      <x:c r="M120" s="2"/>
      <x:c r="N120" s="2"/>
      <x:c r="O120" s="2"/>
      <x:c r="P120" s="2"/>
      <x:c r="Q120" s="2"/>
    </x:row>
    <x:row r="121">
      <x:c r="A121" s="2"/>
      <x:c r="B121" s="2"/>
      <x:c r="C121" s="2"/>
      <x:c r="D121" s="2"/>
      <x:c r="E121" s="2"/>
      <x:c r="F121" s="2"/>
      <x:c r="G121" s="97"/>
      <x:c r="H121" s="97"/>
      <x:c r="I121" s="98"/>
      <x:c r="J121" s="98"/>
      <x:c r="K121" s="2"/>
      <x:c r="L121" s="2"/>
      <x:c r="M121" s="2"/>
      <x:c r="N121" s="2"/>
      <x:c r="O121" s="2"/>
      <x:c r="P121" s="2"/>
      <x:c r="Q121" s="2"/>
    </x:row>
    <x:row r="122">
      <x:c r="A122" s="2"/>
      <x:c r="B122" s="2"/>
      <x:c r="C122" s="2"/>
      <x:c r="D122" s="2"/>
      <x:c r="E122" s="2"/>
      <x:c r="F122" s="2"/>
      <x:c r="G122" s="97"/>
      <x:c r="H122" s="97"/>
      <x:c r="I122" s="98"/>
      <x:c r="J122" s="98"/>
      <x:c r="K122" s="2"/>
      <x:c r="L122" s="2"/>
      <x:c r="M122" s="2"/>
      <x:c r="N122" s="2"/>
      <x:c r="O122" s="2"/>
      <x:c r="P122" s="2"/>
      <x:c r="Q122" s="2"/>
    </x:row>
    <x:row r="123">
      <x:c r="A123" s="2"/>
      <x:c r="B123" s="2"/>
      <x:c r="C123" s="2"/>
      <x:c r="D123" s="2"/>
      <x:c r="E123" s="2"/>
      <x:c r="F123" s="2"/>
      <x:c r="G123" s="97"/>
      <x:c r="H123" s="97"/>
      <x:c r="I123" s="98"/>
      <x:c r="J123" s="98"/>
      <x:c r="K123" s="2"/>
      <x:c r="L123" s="2"/>
      <x:c r="M123" s="2"/>
      <x:c r="N123" s="2"/>
      <x:c r="O123" s="2"/>
      <x:c r="P123" s="2"/>
      <x:c r="Q123" s="2"/>
    </x:row>
    <x:row r="124">
      <x:c r="A124" s="2"/>
      <x:c r="B124" s="2"/>
      <x:c r="C124" s="2"/>
      <x:c r="D124" s="2"/>
      <x:c r="E124" s="2"/>
      <x:c r="F124" s="2"/>
      <x:c r="G124" s="97"/>
      <x:c r="H124" s="97"/>
      <x:c r="I124" s="98"/>
      <x:c r="J124" s="98"/>
      <x:c r="K124" s="2"/>
      <x:c r="L124" s="2"/>
      <x:c r="M124" s="2"/>
      <x:c r="N124" s="2"/>
      <x:c r="O124" s="2"/>
      <x:c r="P124" s="2"/>
      <x:c r="Q124" s="2"/>
    </x:row>
    <x:row r="125">
      <x:c r="A125" s="2"/>
      <x:c r="B125" s="2"/>
      <x:c r="C125" s="2"/>
      <x:c r="D125" s="2"/>
      <x:c r="E125" s="2"/>
      <x:c r="F125" s="2"/>
      <x:c r="G125" s="97"/>
      <x:c r="H125" s="97"/>
      <x:c r="I125" s="98"/>
      <x:c r="J125" s="98"/>
      <x:c r="K125" s="2"/>
      <x:c r="L125" s="2"/>
      <x:c r="M125" s="2"/>
      <x:c r="N125" s="2"/>
      <x:c r="O125" s="2"/>
      <x:c r="P125" s="2"/>
      <x:c r="Q125" s="2"/>
    </x:row>
    <x:row r="126">
      <x:c r="A126" s="2"/>
      <x:c r="B126" s="2"/>
      <x:c r="C126" s="2"/>
      <x:c r="D126" s="2"/>
      <x:c r="E126" s="2"/>
      <x:c r="F126" s="2"/>
      <x:c r="G126" s="97"/>
      <x:c r="H126" s="97"/>
      <x:c r="I126" s="98"/>
      <x:c r="J126" s="98"/>
      <x:c r="K126" s="2"/>
      <x:c r="L126" s="2"/>
      <x:c r="M126" s="2"/>
      <x:c r="N126" s="2"/>
      <x:c r="O126" s="2"/>
      <x:c r="P126" s="2"/>
      <x:c r="Q126" s="2"/>
    </x:row>
    <x:row r="127">
      <x:c r="A127" s="2"/>
      <x:c r="B127" s="2"/>
      <x:c r="C127" s="2"/>
      <x:c r="D127" s="2"/>
      <x:c r="E127" s="2"/>
      <x:c r="F127" s="2"/>
      <x:c r="G127" s="97"/>
      <x:c r="H127" s="97"/>
      <x:c r="I127" s="98"/>
      <x:c r="J127" s="98"/>
      <x:c r="K127" s="2"/>
      <x:c r="L127" s="2"/>
      <x:c r="M127" s="2"/>
      <x:c r="N127" s="2"/>
      <x:c r="O127" s="2"/>
      <x:c r="P127" s="2"/>
      <x:c r="Q127" s="2"/>
    </x:row>
    <x:row r="128">
      <x:c r="A128" s="2"/>
      <x:c r="B128" s="2"/>
      <x:c r="C128" s="2"/>
      <x:c r="D128" s="2"/>
      <x:c r="E128" s="2"/>
      <x:c r="F128" s="2"/>
      <x:c r="G128" s="97"/>
      <x:c r="H128" s="97"/>
      <x:c r="I128" s="98"/>
      <x:c r="J128" s="98"/>
      <x:c r="K128" s="2"/>
      <x:c r="L128" s="2"/>
      <x:c r="M128" s="2"/>
      <x:c r="N128" s="2"/>
      <x:c r="O128" s="2"/>
      <x:c r="P128" s="2"/>
      <x:c r="Q128" s="2"/>
    </x:row>
    <x:row r="129">
      <x:c r="A129" s="2"/>
      <x:c r="B129" s="2"/>
      <x:c r="C129" s="2"/>
      <x:c r="D129" s="2"/>
      <x:c r="E129" s="2"/>
      <x:c r="F129" s="2"/>
      <x:c r="G129" s="97"/>
      <x:c r="H129" s="97"/>
      <x:c r="I129" s="98"/>
      <x:c r="J129" s="98"/>
      <x:c r="K129" s="2"/>
      <x:c r="L129" s="2"/>
      <x:c r="M129" s="2"/>
      <x:c r="N129" s="2"/>
      <x:c r="O129" s="2"/>
      <x:c r="P129" s="2"/>
      <x:c r="Q129" s="2"/>
    </x:row>
    <x:row r="130">
      <x:c r="A130" s="2"/>
      <x:c r="B130" s="2"/>
      <x:c r="C130" s="2"/>
      <x:c r="D130" s="2"/>
      <x:c r="E130" s="2"/>
      <x:c r="F130" s="2"/>
      <x:c r="G130" s="97"/>
      <x:c r="H130" s="97"/>
      <x:c r="I130" s="98"/>
      <x:c r="J130" s="98"/>
      <x:c r="K130" s="2"/>
      <x:c r="L130" s="2"/>
      <x:c r="M130" s="2"/>
      <x:c r="N130" s="2"/>
      <x:c r="O130" s="2"/>
      <x:c r="P130" s="2"/>
      <x:c r="Q130" s="2"/>
    </x:row>
    <x:row r="131">
      <x:c r="A131" s="2"/>
      <x:c r="B131" s="2"/>
      <x:c r="C131" s="2"/>
      <x:c r="D131" s="2"/>
      <x:c r="E131" s="2"/>
      <x:c r="F131" s="2"/>
      <x:c r="G131" s="97"/>
      <x:c r="H131" s="97"/>
      <x:c r="I131" s="98"/>
      <x:c r="J131" s="98"/>
      <x:c r="K131" s="2"/>
      <x:c r="L131" s="2"/>
      <x:c r="M131" s="2"/>
      <x:c r="N131" s="2"/>
      <x:c r="O131" s="2"/>
      <x:c r="P131" s="2"/>
      <x:c r="Q131" s="2"/>
    </x:row>
    <x:row r="132">
      <x:c r="A132" s="2"/>
      <x:c r="B132" s="2"/>
      <x:c r="C132" s="2"/>
      <x:c r="D132" s="2"/>
      <x:c r="E132" s="2"/>
      <x:c r="F132" s="2"/>
      <x:c r="G132" s="97"/>
      <x:c r="H132" s="97"/>
      <x:c r="I132" s="98"/>
      <x:c r="J132" s="98"/>
      <x:c r="K132" s="2"/>
      <x:c r="L132" s="2"/>
      <x:c r="M132" s="2"/>
      <x:c r="N132" s="2"/>
      <x:c r="O132" s="2"/>
      <x:c r="P132" s="2"/>
      <x:c r="Q132" s="2"/>
    </x:row>
    <x:row r="133">
      <x:c r="A133" s="2"/>
      <x:c r="B133" s="2"/>
      <x:c r="C133" s="2"/>
      <x:c r="D133" s="2"/>
      <x:c r="E133" s="2"/>
      <x:c r="F133" s="2"/>
      <x:c r="G133" s="97"/>
      <x:c r="H133" s="97"/>
      <x:c r="I133" s="98"/>
      <x:c r="J133" s="98"/>
      <x:c r="K133" s="2"/>
      <x:c r="L133" s="2"/>
      <x:c r="M133" s="2"/>
      <x:c r="N133" s="2"/>
      <x:c r="O133" s="2"/>
      <x:c r="P133" s="2"/>
      <x:c r="Q133" s="2"/>
    </x:row>
    <x:row r="134">
      <x:c r="A134" s="2"/>
      <x:c r="B134" s="2"/>
      <x:c r="C134" s="2"/>
      <x:c r="D134" s="2"/>
      <x:c r="E134" s="2"/>
      <x:c r="F134" s="2"/>
      <x:c r="G134" s="97"/>
      <x:c r="H134" s="97"/>
      <x:c r="I134" s="98"/>
      <x:c r="J134" s="98"/>
      <x:c r="K134" s="2"/>
      <x:c r="L134" s="2"/>
      <x:c r="M134" s="2"/>
      <x:c r="N134" s="2"/>
      <x:c r="O134" s="2"/>
      <x:c r="P134" s="2"/>
      <x:c r="Q134" s="2"/>
    </x:row>
    <x:row r="135">
      <x:c r="A135" s="2"/>
      <x:c r="B135" s="2"/>
      <x:c r="C135" s="2"/>
      <x:c r="D135" s="2"/>
      <x:c r="E135" s="2"/>
      <x:c r="F135" s="2"/>
      <x:c r="G135" s="97"/>
      <x:c r="H135" s="97"/>
      <x:c r="I135" s="98"/>
      <x:c r="J135" s="98"/>
      <x:c r="K135" s="2"/>
      <x:c r="L135" s="2"/>
      <x:c r="M135" s="2"/>
      <x:c r="N135" s="2"/>
      <x:c r="O135" s="2"/>
      <x:c r="P135" s="2"/>
      <x:c r="Q135" s="2"/>
    </x:row>
    <x:row r="136">
      <x:c r="A136" s="2"/>
      <x:c r="B136" s="2"/>
      <x:c r="C136" s="2"/>
      <x:c r="D136" s="2"/>
      <x:c r="E136" s="2"/>
      <x:c r="F136" s="2"/>
      <x:c r="G136" s="97"/>
      <x:c r="H136" s="97"/>
      <x:c r="I136" s="98"/>
      <x:c r="J136" s="98"/>
      <x:c r="K136" s="2"/>
      <x:c r="L136" s="2"/>
      <x:c r="M136" s="2"/>
      <x:c r="N136" s="2"/>
      <x:c r="O136" s="2"/>
      <x:c r="P136" s="2"/>
      <x:c r="Q136" s="2"/>
    </x:row>
    <x:row r="137">
      <x:c r="A137" s="2"/>
      <x:c r="B137" s="2"/>
      <x:c r="C137" s="2"/>
      <x:c r="D137" s="2"/>
      <x:c r="E137" s="2"/>
      <x:c r="F137" s="2"/>
      <x:c r="G137" s="97"/>
      <x:c r="H137" s="97"/>
      <x:c r="I137" s="98"/>
      <x:c r="J137" s="98"/>
      <x:c r="K137" s="2"/>
      <x:c r="L137" s="2"/>
      <x:c r="M137" s="2"/>
      <x:c r="N137" s="2"/>
      <x:c r="O137" s="2"/>
      <x:c r="P137" s="2"/>
      <x:c r="Q137" s="2"/>
    </x:row>
    <x:row r="138">
      <x:c r="A138" s="2"/>
      <x:c r="B138" s="2"/>
      <x:c r="C138" s="2"/>
      <x:c r="D138" s="2"/>
      <x:c r="E138" s="2"/>
      <x:c r="F138" s="2"/>
      <x:c r="G138" s="97"/>
      <x:c r="H138" s="97"/>
      <x:c r="I138" s="98"/>
      <x:c r="J138" s="98"/>
      <x:c r="K138" s="2"/>
      <x:c r="L138" s="2"/>
      <x:c r="M138" s="2"/>
      <x:c r="N138" s="2"/>
      <x:c r="O138" s="2"/>
      <x:c r="P138" s="2"/>
      <x:c r="Q138" s="2"/>
    </x:row>
    <x:row r="139">
      <x:c r="A139" s="2"/>
      <x:c r="B139" s="2"/>
      <x:c r="C139" s="2"/>
      <x:c r="D139" s="2"/>
      <x:c r="E139" s="2"/>
      <x:c r="F139" s="2"/>
      <x:c r="G139" s="97"/>
      <x:c r="H139" s="97"/>
      <x:c r="I139" s="98"/>
      <x:c r="J139" s="98"/>
      <x:c r="K139" s="2"/>
      <x:c r="L139" s="2"/>
      <x:c r="M139" s="2"/>
      <x:c r="N139" s="2"/>
      <x:c r="O139" s="2"/>
      <x:c r="P139" s="2"/>
      <x:c r="Q139" s="2"/>
    </x:row>
    <x:row r="140">
      <x:c r="A140" s="2"/>
      <x:c r="B140" s="2"/>
      <x:c r="C140" s="2"/>
      <x:c r="D140" s="2"/>
      <x:c r="E140" s="2"/>
      <x:c r="F140" s="2"/>
      <x:c r="G140" s="97"/>
      <x:c r="H140" s="97"/>
      <x:c r="I140" s="98"/>
      <x:c r="J140" s="98"/>
      <x:c r="K140" s="2"/>
      <x:c r="L140" s="2"/>
      <x:c r="M140" s="2"/>
      <x:c r="N140" s="2"/>
      <x:c r="O140" s="2"/>
      <x:c r="P140" s="2"/>
      <x:c r="Q140" s="2"/>
    </x:row>
    <x:row r="141">
      <x:c r="A141" s="2"/>
      <x:c r="B141" s="2"/>
      <x:c r="C141" s="2"/>
      <x:c r="D141" s="2"/>
      <x:c r="E141" s="2"/>
      <x:c r="F141" s="2"/>
      <x:c r="G141" s="97"/>
      <x:c r="H141" s="97"/>
      <x:c r="I141" s="98"/>
      <x:c r="J141" s="98"/>
      <x:c r="K141" s="2"/>
      <x:c r="L141" s="2"/>
      <x:c r="M141" s="2"/>
      <x:c r="N141" s="2"/>
      <x:c r="O141" s="2"/>
      <x:c r="P141" s="2"/>
      <x:c r="Q141" s="2"/>
    </x:row>
    <x:row r="142">
      <x:c r="A142" s="2"/>
      <x:c r="B142" s="2"/>
      <x:c r="C142" s="2"/>
      <x:c r="D142" s="2"/>
      <x:c r="E142" s="2"/>
      <x:c r="F142" s="2"/>
      <x:c r="G142" s="97"/>
      <x:c r="H142" s="97"/>
      <x:c r="I142" s="98"/>
      <x:c r="J142" s="98"/>
      <x:c r="K142" s="2"/>
      <x:c r="L142" s="2"/>
      <x:c r="M142" s="2"/>
      <x:c r="N142" s="2"/>
      <x:c r="O142" s="2"/>
      <x:c r="P142" s="2"/>
      <x:c r="Q142" s="2"/>
    </x:row>
    <x:row r="143">
      <x:c r="A143" s="2"/>
      <x:c r="B143" s="2"/>
      <x:c r="C143" s="2"/>
      <x:c r="D143" s="2"/>
      <x:c r="E143" s="2"/>
      <x:c r="F143" s="2"/>
      <x:c r="G143" s="97"/>
      <x:c r="H143" s="97"/>
      <x:c r="I143" s="98"/>
      <x:c r="J143" s="98"/>
      <x:c r="K143" s="2"/>
      <x:c r="L143" s="2"/>
      <x:c r="M143" s="2"/>
      <x:c r="N143" s="2"/>
      <x:c r="O143" s="2"/>
      <x:c r="P143" s="2"/>
      <x:c r="Q143" s="2"/>
    </x:row>
    <x:row r="144">
      <x:c r="A144" s="2"/>
      <x:c r="B144" s="2"/>
      <x:c r="C144" s="2"/>
      <x:c r="D144" s="2"/>
      <x:c r="E144" s="2"/>
      <x:c r="F144" s="2"/>
      <x:c r="G144" s="97"/>
      <x:c r="H144" s="97"/>
      <x:c r="I144" s="98"/>
      <x:c r="J144" s="98"/>
      <x:c r="K144" s="2"/>
      <x:c r="L144" s="2"/>
      <x:c r="M144" s="2"/>
      <x:c r="N144" s="2"/>
      <x:c r="O144" s="2"/>
      <x:c r="P144" s="2"/>
      <x:c r="Q144" s="2"/>
    </x:row>
    <x:row r="145">
      <x:c r="A145" s="2"/>
      <x:c r="B145" s="2"/>
      <x:c r="C145" s="2"/>
      <x:c r="D145" s="2"/>
      <x:c r="E145" s="2"/>
      <x:c r="F145" s="2"/>
      <x:c r="G145" s="97"/>
      <x:c r="H145" s="97"/>
      <x:c r="I145" s="98"/>
      <x:c r="J145" s="98"/>
      <x:c r="K145" s="2"/>
      <x:c r="L145" s="2"/>
      <x:c r="M145" s="2"/>
      <x:c r="N145" s="2"/>
      <x:c r="O145" s="2"/>
      <x:c r="P145" s="2"/>
      <x:c r="Q145" s="2"/>
    </x:row>
    <x:row r="146">
      <x:c r="A146" s="2"/>
      <x:c r="B146" s="2"/>
      <x:c r="C146" s="2"/>
      <x:c r="D146" s="2"/>
      <x:c r="E146" s="2"/>
      <x:c r="F146" s="2"/>
      <x:c r="G146" s="97"/>
      <x:c r="H146" s="97"/>
      <x:c r="I146" s="98"/>
      <x:c r="J146" s="98"/>
      <x:c r="K146" s="2"/>
      <x:c r="L146" s="2"/>
      <x:c r="M146" s="2"/>
      <x:c r="N146" s="2"/>
      <x:c r="O146" s="2"/>
      <x:c r="P146" s="2"/>
      <x:c r="Q146" s="2"/>
    </x:row>
    <x:row r="147">
      <x:c r="A147" s="2"/>
      <x:c r="B147" s="2"/>
      <x:c r="C147" s="2"/>
      <x:c r="D147" s="2"/>
      <x:c r="E147" s="2"/>
      <x:c r="F147" s="2"/>
      <x:c r="G147" s="97"/>
      <x:c r="H147" s="97"/>
      <x:c r="I147" s="98"/>
      <x:c r="J147" s="98"/>
      <x:c r="K147" s="2"/>
      <x:c r="L147" s="2"/>
      <x:c r="M147" s="2"/>
      <x:c r="N147" s="2"/>
      <x:c r="O147" s="2"/>
      <x:c r="P147" s="2"/>
      <x:c r="Q147" s="2"/>
    </x:row>
    <x:row r="148">
      <x:c r="A148" s="2"/>
      <x:c r="B148" s="2"/>
      <x:c r="C148" s="2"/>
      <x:c r="D148" s="2"/>
      <x:c r="E148" s="2"/>
      <x:c r="F148" s="2"/>
      <x:c r="G148" s="97"/>
      <x:c r="H148" s="97"/>
      <x:c r="I148" s="98"/>
      <x:c r="J148" s="98"/>
      <x:c r="K148" s="2"/>
      <x:c r="L148" s="2"/>
      <x:c r="M148" s="2"/>
      <x:c r="N148" s="2"/>
      <x:c r="O148" s="2"/>
      <x:c r="P148" s="2"/>
      <x:c r="Q148" s="2"/>
    </x:row>
    <x:row r="149">
      <x:c r="A149" s="2"/>
      <x:c r="B149" s="2"/>
      <x:c r="C149" s="2"/>
      <x:c r="D149" s="2"/>
      <x:c r="E149" s="2"/>
      <x:c r="F149" s="2"/>
      <x:c r="G149" s="97"/>
      <x:c r="H149" s="97"/>
      <x:c r="I149" s="98"/>
      <x:c r="J149" s="98"/>
      <x:c r="K149" s="2"/>
      <x:c r="L149" s="2"/>
      <x:c r="M149" s="2"/>
      <x:c r="N149" s="2"/>
      <x:c r="O149" s="2"/>
      <x:c r="P149" s="2"/>
      <x:c r="Q149" s="2"/>
    </x:row>
    <x:row r="150">
      <x:c r="A150" s="2"/>
      <x:c r="B150" s="2"/>
      <x:c r="C150" s="2"/>
      <x:c r="D150" s="2"/>
      <x:c r="E150" s="2"/>
      <x:c r="F150" s="2"/>
      <x:c r="G150" s="97"/>
      <x:c r="H150" s="97"/>
      <x:c r="I150" s="98"/>
      <x:c r="J150" s="98"/>
      <x:c r="K150" s="2"/>
      <x:c r="L150" s="2"/>
      <x:c r="M150" s="2"/>
      <x:c r="N150" s="2"/>
      <x:c r="O150" s="2"/>
      <x:c r="P150" s="2"/>
      <x:c r="Q150" s="2"/>
    </x:row>
    <x:row r="151">
      <x:c r="A151" s="2"/>
      <x:c r="B151" s="2"/>
      <x:c r="C151" s="2"/>
      <x:c r="D151" s="2"/>
      <x:c r="E151" s="2"/>
      <x:c r="F151" s="2"/>
      <x:c r="G151" s="97"/>
      <x:c r="H151" s="97"/>
      <x:c r="I151" s="98"/>
      <x:c r="J151" s="98"/>
      <x:c r="K151" s="2"/>
      <x:c r="L151" s="2"/>
      <x:c r="M151" s="2"/>
      <x:c r="N151" s="2"/>
      <x:c r="O151" s="2"/>
      <x:c r="P151" s="2"/>
      <x:c r="Q151" s="2"/>
    </x:row>
    <x:row r="152">
      <x:c r="A152" s="2"/>
      <x:c r="B152" s="2"/>
      <x:c r="C152" s="2"/>
      <x:c r="D152" s="2"/>
      <x:c r="E152" s="2"/>
      <x:c r="F152" s="2"/>
      <x:c r="G152" s="97"/>
      <x:c r="H152" s="97"/>
      <x:c r="I152" s="98"/>
      <x:c r="J152" s="98"/>
      <x:c r="K152" s="2"/>
      <x:c r="L152" s="2"/>
      <x:c r="M152" s="2"/>
      <x:c r="N152" s="2"/>
      <x:c r="O152" s="2"/>
      <x:c r="P152" s="2"/>
      <x:c r="Q152" s="2"/>
    </x:row>
    <x:row r="153">
      <x:c r="A153" s="2"/>
      <x:c r="B153" s="2"/>
      <x:c r="C153" s="2"/>
      <x:c r="D153" s="2"/>
      <x:c r="E153" s="2"/>
      <x:c r="F153" s="2"/>
      <x:c r="G153" s="97"/>
      <x:c r="H153" s="97"/>
      <x:c r="I153" s="98"/>
      <x:c r="J153" s="98"/>
      <x:c r="K153" s="2"/>
      <x:c r="L153" s="2"/>
      <x:c r="M153" s="2"/>
      <x:c r="N153" s="2"/>
      <x:c r="O153" s="2"/>
      <x:c r="P153" s="2"/>
      <x:c r="Q153" s="2"/>
    </x:row>
    <x:row r="154">
      <x:c r="A154" s="2"/>
      <x:c r="B154" s="2"/>
      <x:c r="C154" s="2"/>
      <x:c r="D154" s="2"/>
      <x:c r="E154" s="2"/>
      <x:c r="F154" s="2"/>
      <x:c r="G154" s="97"/>
      <x:c r="H154" s="97"/>
      <x:c r="I154" s="98"/>
      <x:c r="J154" s="98"/>
      <x:c r="K154" s="2"/>
      <x:c r="L154" s="2"/>
      <x:c r="M154" s="2"/>
      <x:c r="N154" s="2"/>
      <x:c r="O154" s="2"/>
      <x:c r="P154" s="2"/>
      <x:c r="Q154" s="2"/>
    </x:row>
    <x:row r="155">
      <x:c r="A155" s="2"/>
      <x:c r="B155" s="2"/>
      <x:c r="C155" s="2"/>
      <x:c r="D155" s="2"/>
      <x:c r="E155" s="2"/>
      <x:c r="F155" s="2"/>
      <x:c r="G155" s="97"/>
      <x:c r="H155" s="97"/>
      <x:c r="I155" s="98"/>
      <x:c r="J155" s="98"/>
      <x:c r="K155" s="2"/>
      <x:c r="L155" s="2"/>
      <x:c r="M155" s="2"/>
      <x:c r="N155" s="2"/>
      <x:c r="O155" s="2"/>
      <x:c r="P155" s="2"/>
      <x:c r="Q155" s="2"/>
    </x:row>
    <x:row r="156">
      <x:c r="A156" s="2"/>
      <x:c r="B156" s="2"/>
      <x:c r="C156" s="2"/>
      <x:c r="D156" s="2"/>
      <x:c r="E156" s="2"/>
      <x:c r="F156" s="2"/>
      <x:c r="G156" s="97"/>
      <x:c r="H156" s="97"/>
      <x:c r="I156" s="98"/>
      <x:c r="J156" s="98"/>
      <x:c r="K156" s="2"/>
      <x:c r="L156" s="2"/>
      <x:c r="M156" s="2"/>
      <x:c r="N156" s="2"/>
      <x:c r="O156" s="2"/>
      <x:c r="P156" s="2"/>
      <x:c r="Q156" s="2"/>
    </x:row>
    <x:row r="157">
      <x:c r="A157" s="2"/>
      <x:c r="B157" s="2"/>
      <x:c r="C157" s="2"/>
      <x:c r="D157" s="2"/>
      <x:c r="E157" s="2"/>
      <x:c r="F157" s="2"/>
      <x:c r="G157" s="97"/>
      <x:c r="H157" s="97"/>
      <x:c r="I157" s="98"/>
      <x:c r="J157" s="98"/>
      <x:c r="K157" s="2"/>
      <x:c r="L157" s="2"/>
      <x:c r="M157" s="2"/>
      <x:c r="N157" s="2"/>
      <x:c r="O157" s="2"/>
      <x:c r="P157" s="2"/>
      <x:c r="Q157" s="2"/>
    </x:row>
    <x:row r="158">
      <x:c r="A158" s="2"/>
      <x:c r="B158" s="2"/>
      <x:c r="C158" s="2"/>
      <x:c r="D158" s="2"/>
      <x:c r="E158" s="2"/>
      <x:c r="F158" s="2"/>
      <x:c r="G158" s="97"/>
      <x:c r="H158" s="97"/>
      <x:c r="I158" s="98"/>
      <x:c r="J158" s="98"/>
      <x:c r="K158" s="2"/>
      <x:c r="L158" s="2"/>
      <x:c r="M158" s="2"/>
      <x:c r="N158" s="2"/>
      <x:c r="O158" s="2"/>
      <x:c r="P158" s="2"/>
      <x:c r="Q158" s="2"/>
    </x:row>
    <x:row r="159">
      <x:c r="A159" s="2"/>
      <x:c r="B159" s="2"/>
      <x:c r="C159" s="2"/>
      <x:c r="D159" s="2"/>
      <x:c r="E159" s="2"/>
      <x:c r="F159" s="2"/>
      <x:c r="G159" s="97"/>
      <x:c r="H159" s="97"/>
      <x:c r="I159" s="98"/>
      <x:c r="J159" s="98"/>
      <x:c r="K159" s="2"/>
      <x:c r="L159" s="2"/>
      <x:c r="M159" s="2"/>
      <x:c r="N159" s="2"/>
      <x:c r="O159" s="2"/>
      <x:c r="P159" s="2"/>
      <x:c r="Q159" s="2"/>
    </x:row>
    <x:row r="160">
      <x:c r="A160" s="2"/>
      <x:c r="B160" s="2"/>
      <x:c r="C160" s="2"/>
      <x:c r="D160" s="2"/>
      <x:c r="E160" s="2"/>
      <x:c r="F160" s="2"/>
      <x:c r="G160" s="97"/>
      <x:c r="H160" s="97"/>
      <x:c r="I160" s="98"/>
      <x:c r="J160" s="98"/>
      <x:c r="K160" s="2"/>
      <x:c r="L160" s="2"/>
      <x:c r="M160" s="2"/>
      <x:c r="N160" s="2"/>
      <x:c r="O160" s="2"/>
      <x:c r="P160" s="2"/>
      <x:c r="Q160" s="2"/>
    </x:row>
    <x:row r="161">
      <x:c r="A161" s="2"/>
      <x:c r="B161" s="2"/>
      <x:c r="C161" s="2"/>
      <x:c r="D161" s="2"/>
      <x:c r="E161" s="2"/>
      <x:c r="F161" s="2"/>
      <x:c r="G161" s="97"/>
      <x:c r="H161" s="97"/>
      <x:c r="I161" s="98"/>
      <x:c r="J161" s="98"/>
      <x:c r="K161" s="2"/>
      <x:c r="L161" s="2"/>
      <x:c r="M161" s="2"/>
      <x:c r="N161" s="2"/>
      <x:c r="O161" s="2"/>
      <x:c r="P161" s="2"/>
      <x:c r="Q161" s="2"/>
    </x:row>
    <x:row r="162">
      <x:c r="A162" s="2"/>
      <x:c r="B162" s="2"/>
      <x:c r="C162" s="2"/>
      <x:c r="D162" s="2"/>
      <x:c r="E162" s="2"/>
      <x:c r="F162" s="2"/>
      <x:c r="G162" s="97"/>
      <x:c r="H162" s="97"/>
      <x:c r="I162" s="98"/>
      <x:c r="J162" s="98"/>
      <x:c r="K162" s="2"/>
      <x:c r="L162" s="2"/>
      <x:c r="M162" s="2"/>
      <x:c r="N162" s="2"/>
      <x:c r="O162" s="2"/>
      <x:c r="P162" s="2"/>
      <x:c r="Q162" s="2"/>
    </x:row>
    <x:row r="163">
      <x:c r="A163" s="2"/>
      <x:c r="B163" s="2"/>
      <x:c r="C163" s="2"/>
      <x:c r="D163" s="2"/>
      <x:c r="E163" s="2"/>
      <x:c r="F163" s="2"/>
      <x:c r="G163" s="97"/>
      <x:c r="H163" s="97"/>
      <x:c r="I163" s="98"/>
      <x:c r="J163" s="98"/>
      <x:c r="K163" s="2"/>
      <x:c r="L163" s="2"/>
      <x:c r="M163" s="2"/>
      <x:c r="N163" s="2"/>
      <x:c r="O163" s="2"/>
      <x:c r="P163" s="2"/>
      <x:c r="Q163" s="2"/>
    </x:row>
    <x:row r="164">
      <x:c r="A164" s="2"/>
      <x:c r="B164" s="2"/>
      <x:c r="C164" s="2"/>
      <x:c r="D164" s="2"/>
      <x:c r="E164" s="2"/>
      <x:c r="F164" s="2"/>
      <x:c r="G164" s="97"/>
      <x:c r="H164" s="97"/>
      <x:c r="I164" s="98"/>
      <x:c r="J164" s="98"/>
      <x:c r="K164" s="2"/>
      <x:c r="L164" s="2"/>
      <x:c r="M164" s="2"/>
      <x:c r="N164" s="2"/>
      <x:c r="O164" s="2"/>
      <x:c r="P164" s="2"/>
      <x:c r="Q164" s="2"/>
    </x:row>
    <x:row r="165">
      <x:c r="A165" s="2"/>
      <x:c r="B165" s="2"/>
      <x:c r="C165" s="2"/>
      <x:c r="D165" s="2"/>
      <x:c r="E165" s="2"/>
      <x:c r="F165" s="2"/>
      <x:c r="G165" s="97"/>
      <x:c r="H165" s="97"/>
      <x:c r="I165" s="98"/>
      <x:c r="J165" s="98"/>
      <x:c r="K165" s="2"/>
      <x:c r="L165" s="2"/>
      <x:c r="M165" s="2"/>
      <x:c r="N165" s="2"/>
      <x:c r="O165" s="2"/>
      <x:c r="P165" s="2"/>
      <x:c r="Q165" s="2"/>
    </x:row>
    <x:row r="166">
      <x:c r="A166" s="2"/>
      <x:c r="B166" s="2"/>
      <x:c r="C166" s="2"/>
      <x:c r="D166" s="2"/>
      <x:c r="E166" s="2"/>
      <x:c r="F166" s="2"/>
      <x:c r="G166" s="97"/>
      <x:c r="H166" s="97"/>
      <x:c r="I166" s="98"/>
      <x:c r="J166" s="98"/>
      <x:c r="K166" s="2"/>
      <x:c r="L166" s="2"/>
      <x:c r="M166" s="2"/>
      <x:c r="N166" s="2"/>
      <x:c r="O166" s="2"/>
      <x:c r="P166" s="2"/>
      <x:c r="Q166" s="2"/>
    </x:row>
    <x:row r="167">
      <x:c r="A167" s="2"/>
      <x:c r="B167" s="2"/>
      <x:c r="C167" s="2"/>
      <x:c r="D167" s="2"/>
      <x:c r="E167" s="2"/>
      <x:c r="F167" s="2"/>
      <x:c r="G167" s="97"/>
      <x:c r="H167" s="97"/>
      <x:c r="I167" s="98"/>
      <x:c r="J167" s="98"/>
      <x:c r="K167" s="2"/>
      <x:c r="L167" s="2"/>
      <x:c r="M167" s="2"/>
      <x:c r="N167" s="2"/>
      <x:c r="O167" s="2"/>
      <x:c r="P167" s="2"/>
      <x:c r="Q167" s="2"/>
    </x:row>
    <x:row r="168">
      <x:c r="A168" s="2"/>
      <x:c r="B168" s="2"/>
      <x:c r="C168" s="2"/>
      <x:c r="D168" s="2"/>
      <x:c r="E168" s="2"/>
      <x:c r="F168" s="2"/>
      <x:c r="G168" s="97"/>
      <x:c r="H168" s="97"/>
      <x:c r="I168" s="98"/>
      <x:c r="J168" s="98"/>
      <x:c r="K168" s="2"/>
      <x:c r="L168" s="2"/>
      <x:c r="M168" s="2"/>
      <x:c r="N168" s="2"/>
      <x:c r="O168" s="2"/>
      <x:c r="P168" s="2"/>
      <x:c r="Q168" s="2"/>
    </x:row>
    <x:row r="169">
      <x:c r="A169" s="2"/>
      <x:c r="B169" s="2"/>
      <x:c r="C169" s="2"/>
      <x:c r="D169" s="2"/>
      <x:c r="E169" s="2"/>
      <x:c r="F169" s="2"/>
      <x:c r="G169" s="97"/>
      <x:c r="H169" s="97"/>
      <x:c r="I169" s="98"/>
      <x:c r="J169" s="98"/>
      <x:c r="K169" s="2"/>
      <x:c r="L169" s="2"/>
      <x:c r="M169" s="2"/>
      <x:c r="N169" s="2"/>
      <x:c r="O169" s="2"/>
      <x:c r="P169" s="2"/>
      <x:c r="Q169" s="2"/>
    </x:row>
    <x:row r="170">
      <x:c r="A170" s="2"/>
      <x:c r="B170" s="2"/>
      <x:c r="C170" s="2"/>
      <x:c r="D170" s="2"/>
      <x:c r="E170" s="2"/>
      <x:c r="F170" s="2"/>
      <x:c r="G170" s="97"/>
      <x:c r="H170" s="97"/>
      <x:c r="I170" s="98"/>
      <x:c r="J170" s="98"/>
      <x:c r="K170" s="2"/>
      <x:c r="L170" s="2"/>
      <x:c r="M170" s="2"/>
      <x:c r="N170" s="2"/>
      <x:c r="O170" s="2"/>
      <x:c r="P170" s="2"/>
      <x:c r="Q170" s="2"/>
    </x:row>
    <x:row r="171">
      <x:c r="A171" s="2"/>
      <x:c r="B171" s="2"/>
      <x:c r="C171" s="2"/>
      <x:c r="D171" s="2"/>
      <x:c r="E171" s="2"/>
      <x:c r="F171" s="2"/>
      <x:c r="G171" s="97"/>
      <x:c r="H171" s="97"/>
      <x:c r="I171" s="98"/>
      <x:c r="J171" s="98"/>
      <x:c r="K171" s="2"/>
      <x:c r="L171" s="2"/>
      <x:c r="M171" s="2"/>
      <x:c r="N171" s="2"/>
      <x:c r="O171" s="2"/>
      <x:c r="P171" s="2"/>
      <x:c r="Q171" s="2"/>
    </x:row>
    <x:row r="172">
      <x:c r="A172" s="2"/>
      <x:c r="B172" s="2"/>
      <x:c r="C172" s="2"/>
      <x:c r="D172" s="2"/>
      <x:c r="E172" s="2"/>
      <x:c r="F172" s="2"/>
      <x:c r="G172" s="97"/>
      <x:c r="H172" s="97"/>
      <x:c r="I172" s="98"/>
      <x:c r="J172" s="98"/>
      <x:c r="K172" s="2"/>
      <x:c r="L172" s="2"/>
      <x:c r="M172" s="2"/>
      <x:c r="N172" s="2"/>
      <x:c r="O172" s="2"/>
      <x:c r="P172" s="2"/>
      <x:c r="Q172" s="2"/>
    </x:row>
    <x:row r="173">
      <x:c r="A173" s="2"/>
      <x:c r="B173" s="2"/>
      <x:c r="C173" s="2"/>
      <x:c r="D173" s="2"/>
      <x:c r="E173" s="2"/>
      <x:c r="F173" s="2"/>
      <x:c r="G173" s="97"/>
      <x:c r="H173" s="97"/>
      <x:c r="I173" s="98"/>
      <x:c r="J173" s="98"/>
      <x:c r="K173" s="2"/>
      <x:c r="L173" s="2"/>
      <x:c r="M173" s="2"/>
      <x:c r="N173" s="2"/>
      <x:c r="O173" s="2"/>
      <x:c r="P173" s="2"/>
      <x:c r="Q173" s="2"/>
    </x:row>
    <x:row r="174">
      <x:c r="A174" s="2"/>
      <x:c r="B174" s="2"/>
      <x:c r="C174" s="2"/>
      <x:c r="D174" s="2"/>
      <x:c r="E174" s="2"/>
      <x:c r="F174" s="2"/>
      <x:c r="G174" s="97"/>
      <x:c r="H174" s="97"/>
      <x:c r="I174" s="98"/>
      <x:c r="J174" s="98"/>
      <x:c r="K174" s="2"/>
      <x:c r="L174" s="2"/>
      <x:c r="M174" s="2"/>
      <x:c r="N174" s="2"/>
      <x:c r="O174" s="2"/>
      <x:c r="P174" s="2"/>
      <x:c r="Q174" s="2"/>
    </x:row>
    <x:row r="175">
      <x:c r="A175" s="2"/>
      <x:c r="B175" s="2"/>
      <x:c r="C175" s="2"/>
      <x:c r="D175" s="2"/>
      <x:c r="E175" s="2"/>
      <x:c r="F175" s="2"/>
      <x:c r="G175" s="97"/>
      <x:c r="H175" s="97"/>
      <x:c r="I175" s="98"/>
      <x:c r="J175" s="98"/>
      <x:c r="K175" s="2"/>
      <x:c r="L175" s="2"/>
      <x:c r="M175" s="2"/>
      <x:c r="N175" s="2"/>
      <x:c r="O175" s="2"/>
      <x:c r="P175" s="2"/>
      <x:c r="Q175" s="2"/>
    </x:row>
    <x:row r="176">
      <x:c r="A176" s="2"/>
      <x:c r="B176" s="2"/>
      <x:c r="C176" s="2"/>
      <x:c r="D176" s="2"/>
      <x:c r="E176" s="2"/>
      <x:c r="F176" s="2"/>
      <x:c r="G176" s="97"/>
      <x:c r="H176" s="97"/>
      <x:c r="I176" s="98"/>
      <x:c r="J176" s="98"/>
      <x:c r="K176" s="2"/>
      <x:c r="L176" s="2"/>
      <x:c r="M176" s="2"/>
      <x:c r="N176" s="2"/>
      <x:c r="O176" s="2"/>
      <x:c r="P176" s="2"/>
      <x:c r="Q176" s="2"/>
    </x:row>
    <x:row r="177">
      <x:c r="A177" s="2"/>
      <x:c r="B177" s="2"/>
      <x:c r="C177" s="2"/>
      <x:c r="D177" s="2"/>
      <x:c r="E177" s="2"/>
      <x:c r="F177" s="2"/>
      <x:c r="G177" s="97"/>
      <x:c r="H177" s="97"/>
      <x:c r="I177" s="98"/>
      <x:c r="J177" s="98"/>
      <x:c r="K177" s="2"/>
      <x:c r="L177" s="2"/>
      <x:c r="M177" s="2"/>
      <x:c r="N177" s="2"/>
      <x:c r="O177" s="2"/>
      <x:c r="P177" s="2"/>
      <x:c r="Q177" s="2"/>
    </x:row>
    <x:row r="178">
      <x:c r="A178" s="2"/>
      <x:c r="B178" s="2"/>
      <x:c r="C178" s="2"/>
      <x:c r="D178" s="2"/>
      <x:c r="E178" s="2"/>
      <x:c r="F178" s="2"/>
      <x:c r="G178" s="97"/>
      <x:c r="H178" s="97"/>
      <x:c r="I178" s="98"/>
      <x:c r="J178" s="98"/>
      <x:c r="K178" s="2"/>
      <x:c r="L178" s="2"/>
      <x:c r="M178" s="2"/>
      <x:c r="N178" s="2"/>
      <x:c r="O178" s="2"/>
      <x:c r="P178" s="2"/>
      <x:c r="Q178" s="2"/>
    </x:row>
    <x:row r="179">
      <x:c r="A179" s="2"/>
      <x:c r="B179" s="2"/>
      <x:c r="C179" s="2"/>
      <x:c r="D179" s="2"/>
      <x:c r="E179" s="2"/>
      <x:c r="F179" s="2"/>
      <x:c r="G179" s="97"/>
      <x:c r="H179" s="97"/>
      <x:c r="I179" s="98"/>
      <x:c r="J179" s="98"/>
      <x:c r="K179" s="2"/>
      <x:c r="L179" s="2"/>
      <x:c r="M179" s="2"/>
      <x:c r="N179" s="2"/>
      <x:c r="O179" s="2"/>
      <x:c r="P179" s="2"/>
      <x:c r="Q179" s="2"/>
    </x:row>
    <x:row r="180">
      <x:c r="A180" s="2"/>
      <x:c r="B180" s="2"/>
      <x:c r="C180" s="2"/>
      <x:c r="D180" s="2"/>
      <x:c r="E180" s="2"/>
      <x:c r="F180" s="2"/>
      <x:c r="G180" s="97"/>
      <x:c r="H180" s="97"/>
      <x:c r="I180" s="98"/>
      <x:c r="J180" s="98"/>
      <x:c r="K180" s="2"/>
      <x:c r="L180" s="2"/>
      <x:c r="M180" s="2"/>
      <x:c r="N180" s="2"/>
      <x:c r="O180" s="2"/>
      <x:c r="P180" s="2"/>
      <x:c r="Q180" s="2"/>
    </x:row>
    <x:row r="181">
      <x:c r="A181" s="2"/>
      <x:c r="B181" s="2"/>
      <x:c r="C181" s="2"/>
      <x:c r="D181" s="2"/>
      <x:c r="E181" s="2"/>
      <x:c r="F181" s="2"/>
      <x:c r="G181" s="97"/>
      <x:c r="H181" s="97"/>
      <x:c r="I181" s="98"/>
      <x:c r="J181" s="98"/>
      <x:c r="K181" s="2"/>
      <x:c r="L181" s="2"/>
      <x:c r="M181" s="2"/>
      <x:c r="N181" s="2"/>
      <x:c r="O181" s="2"/>
      <x:c r="P181" s="2"/>
      <x:c r="Q181" s="2"/>
    </x:row>
    <x:row r="182">
      <x:c r="A182" s="2"/>
      <x:c r="B182" s="2"/>
      <x:c r="C182" s="2"/>
      <x:c r="D182" s="2"/>
      <x:c r="E182" s="2"/>
      <x:c r="F182" s="2"/>
      <x:c r="G182" s="97"/>
      <x:c r="H182" s="97"/>
      <x:c r="I182" s="98"/>
      <x:c r="J182" s="98"/>
      <x:c r="K182" s="2"/>
      <x:c r="L182" s="2"/>
      <x:c r="M182" s="2"/>
      <x:c r="N182" s="2"/>
      <x:c r="O182" s="2"/>
      <x:c r="P182" s="2"/>
      <x:c r="Q182" s="2"/>
    </x:row>
    <x:row r="183">
      <x:c r="A183" s="2"/>
      <x:c r="B183" s="2"/>
      <x:c r="C183" s="2"/>
      <x:c r="D183" s="2"/>
      <x:c r="E183" s="2"/>
      <x:c r="F183" s="2"/>
      <x:c r="G183" s="97"/>
      <x:c r="H183" s="97"/>
      <x:c r="I183" s="98"/>
      <x:c r="J183" s="98"/>
      <x:c r="K183" s="2"/>
      <x:c r="L183" s="2"/>
      <x:c r="M183" s="2"/>
      <x:c r="N183" s="2"/>
      <x:c r="O183" s="2"/>
      <x:c r="P183" s="2"/>
      <x:c r="Q183" s="2"/>
    </x:row>
    <x:row r="184">
      <x:c r="A184" s="2"/>
      <x:c r="B184" s="2"/>
      <x:c r="C184" s="2"/>
      <x:c r="D184" s="2"/>
      <x:c r="E184" s="2"/>
      <x:c r="F184" s="2"/>
      <x:c r="G184" s="97"/>
      <x:c r="H184" s="97"/>
      <x:c r="I184" s="98"/>
      <x:c r="J184" s="98"/>
      <x:c r="K184" s="2"/>
      <x:c r="L184" s="2"/>
      <x:c r="M184" s="2"/>
      <x:c r="N184" s="2"/>
      <x:c r="O184" s="2"/>
      <x:c r="P184" s="2"/>
      <x:c r="Q184" s="2"/>
    </x:row>
    <x:row r="185">
      <x:c r="A185" s="2"/>
      <x:c r="B185" s="2"/>
      <x:c r="C185" s="2"/>
      <x:c r="D185" s="2"/>
      <x:c r="E185" s="2"/>
      <x:c r="F185" s="2"/>
      <x:c r="G185" s="97"/>
      <x:c r="H185" s="97"/>
      <x:c r="I185" s="98"/>
      <x:c r="J185" s="98"/>
      <x:c r="K185" s="2"/>
      <x:c r="L185" s="2"/>
      <x:c r="M185" s="2"/>
      <x:c r="N185" s="2"/>
      <x:c r="O185" s="2"/>
      <x:c r="P185" s="2"/>
      <x:c r="Q185" s="2"/>
    </x:row>
    <x:row r="186">
      <x:c r="A186" s="2"/>
      <x:c r="B186" s="2"/>
      <x:c r="C186" s="2"/>
      <x:c r="D186" s="2"/>
      <x:c r="E186" s="2"/>
      <x:c r="F186" s="2"/>
      <x:c r="G186" s="97"/>
      <x:c r="H186" s="97"/>
      <x:c r="I186" s="98"/>
      <x:c r="J186" s="98"/>
      <x:c r="K186" s="2"/>
      <x:c r="L186" s="2"/>
      <x:c r="M186" s="2"/>
      <x:c r="N186" s="2"/>
      <x:c r="O186" s="2"/>
      <x:c r="P186" s="2"/>
      <x:c r="Q186" s="2"/>
    </x:row>
    <x:row r="187">
      <x:c r="A187" s="2"/>
      <x:c r="B187" s="2"/>
      <x:c r="C187" s="2"/>
      <x:c r="D187" s="2"/>
      <x:c r="E187" s="2"/>
      <x:c r="F187" s="2"/>
      <x:c r="G187" s="97"/>
      <x:c r="H187" s="97"/>
      <x:c r="I187" s="98"/>
      <x:c r="J187" s="98"/>
      <x:c r="K187" s="2"/>
      <x:c r="L187" s="2"/>
      <x:c r="M187" s="2"/>
      <x:c r="N187" s="2"/>
      <x:c r="O187" s="2"/>
      <x:c r="P187" s="2"/>
      <x:c r="Q187" s="2"/>
    </x:row>
    <x:row r="188">
      <x:c r="A188" s="2"/>
      <x:c r="B188" s="2"/>
      <x:c r="C188" s="2"/>
      <x:c r="D188" s="2"/>
      <x:c r="E188" s="2"/>
      <x:c r="F188" s="2"/>
      <x:c r="G188" s="97"/>
      <x:c r="H188" s="97"/>
      <x:c r="I188" s="98"/>
      <x:c r="J188" s="98"/>
      <x:c r="K188" s="2"/>
      <x:c r="L188" s="2"/>
      <x:c r="M188" s="2"/>
      <x:c r="N188" s="2"/>
      <x:c r="O188" s="2"/>
      <x:c r="P188" s="2"/>
      <x:c r="Q188" s="2"/>
    </x:row>
    <x:row r="189">
      <x:c r="A189" s="2"/>
      <x:c r="B189" s="2"/>
      <x:c r="C189" s="2"/>
      <x:c r="D189" s="2"/>
      <x:c r="E189" s="2"/>
      <x:c r="F189" s="2"/>
      <x:c r="G189" s="97"/>
      <x:c r="H189" s="97"/>
      <x:c r="I189" s="98"/>
      <x:c r="J189" s="98"/>
      <x:c r="K189" s="2"/>
      <x:c r="L189" s="2"/>
      <x:c r="M189" s="2"/>
      <x:c r="N189" s="2"/>
      <x:c r="O189" s="2"/>
      <x:c r="P189" s="2"/>
      <x:c r="Q189" s="2"/>
    </x:row>
    <x:row r="190">
      <x:c r="A190" s="2"/>
      <x:c r="B190" s="2"/>
      <x:c r="C190" s="2"/>
      <x:c r="D190" s="2"/>
      <x:c r="E190" s="2"/>
      <x:c r="F190" s="2"/>
      <x:c r="G190" s="97"/>
      <x:c r="H190" s="97"/>
      <x:c r="I190" s="98"/>
      <x:c r="J190" s="98"/>
      <x:c r="K190" s="2"/>
      <x:c r="L190" s="2"/>
      <x:c r="M190" s="2"/>
      <x:c r="N190" s="2"/>
      <x:c r="O190" s="2"/>
      <x:c r="P190" s="2"/>
      <x:c r="Q190" s="2"/>
    </x:row>
    <x:row r="191">
      <x:c r="A191" s="2"/>
      <x:c r="B191" s="2"/>
      <x:c r="C191" s="2"/>
      <x:c r="D191" s="2"/>
      <x:c r="E191" s="2"/>
      <x:c r="F191" s="2"/>
      <x:c r="G191" s="97"/>
      <x:c r="H191" s="97"/>
      <x:c r="I191" s="98"/>
      <x:c r="J191" s="98"/>
      <x:c r="K191" s="2"/>
      <x:c r="L191" s="2"/>
      <x:c r="M191" s="2"/>
      <x:c r="N191" s="2"/>
      <x:c r="O191" s="2"/>
      <x:c r="P191" s="2"/>
      <x:c r="Q191" s="2"/>
    </x:row>
    <x:row r="192">
      <x:c r="A192" s="2"/>
      <x:c r="B192" s="2"/>
      <x:c r="C192" s="2"/>
      <x:c r="D192" s="2"/>
      <x:c r="E192" s="2"/>
      <x:c r="F192" s="2"/>
      <x:c r="G192" s="97"/>
      <x:c r="H192" s="97"/>
      <x:c r="I192" s="98"/>
      <x:c r="J192" s="98"/>
      <x:c r="K192" s="2"/>
      <x:c r="L192" s="2"/>
      <x:c r="M192" s="2"/>
      <x:c r="N192" s="2"/>
      <x:c r="O192" s="2"/>
      <x:c r="P192" s="2"/>
      <x:c r="Q192" s="2"/>
    </x:row>
    <x:row r="193">
      <x:c r="A193" s="2"/>
      <x:c r="B193" s="2"/>
      <x:c r="C193" s="2"/>
      <x:c r="D193" s="2"/>
      <x:c r="E193" s="2"/>
      <x:c r="F193" s="2"/>
      <x:c r="G193" s="97"/>
      <x:c r="H193" s="97"/>
      <x:c r="I193" s="98"/>
      <x:c r="J193" s="98"/>
      <x:c r="K193" s="2"/>
      <x:c r="L193" s="2"/>
      <x:c r="M193" s="2"/>
      <x:c r="N193" s="2"/>
      <x:c r="O193" s="2"/>
      <x:c r="P193" s="2"/>
      <x:c r="Q193" s="2"/>
    </x:row>
    <x:row r="194">
      <x:c r="A194" s="2"/>
      <x:c r="B194" s="2"/>
      <x:c r="C194" s="2"/>
      <x:c r="D194" s="2"/>
      <x:c r="E194" s="2"/>
      <x:c r="F194" s="2"/>
      <x:c r="G194" s="97"/>
      <x:c r="H194" s="97"/>
      <x:c r="I194" s="98"/>
      <x:c r="J194" s="98"/>
      <x:c r="K194" s="2"/>
      <x:c r="L194" s="2"/>
      <x:c r="M194" s="2"/>
      <x:c r="N194" s="2"/>
      <x:c r="O194" s="2"/>
      <x:c r="P194" s="2"/>
      <x:c r="Q194" s="2"/>
    </x:row>
    <x:row r="195">
      <x:c r="A195" s="2"/>
      <x:c r="B195" s="2"/>
      <x:c r="C195" s="2"/>
      <x:c r="D195" s="2"/>
      <x:c r="E195" s="2"/>
      <x:c r="F195" s="2"/>
      <x:c r="G195" s="97"/>
      <x:c r="H195" s="97"/>
      <x:c r="I195" s="98"/>
      <x:c r="J195" s="98"/>
      <x:c r="K195" s="2"/>
      <x:c r="L195" s="2"/>
      <x:c r="M195" s="2"/>
      <x:c r="N195" s="2"/>
      <x:c r="O195" s="2"/>
      <x:c r="P195" s="2"/>
      <x:c r="Q195" s="2"/>
    </x:row>
    <x:row r="196">
      <x:c r="A196" s="2"/>
      <x:c r="B196" s="2"/>
      <x:c r="C196" s="2"/>
      <x:c r="D196" s="2"/>
      <x:c r="E196" s="2"/>
      <x:c r="F196" s="2"/>
      <x:c r="G196" s="97"/>
      <x:c r="H196" s="97"/>
      <x:c r="I196" s="98"/>
      <x:c r="J196" s="98"/>
      <x:c r="K196" s="2"/>
      <x:c r="L196" s="2"/>
      <x:c r="M196" s="2"/>
      <x:c r="N196" s="2"/>
      <x:c r="O196" s="2"/>
      <x:c r="P196" s="2"/>
      <x:c r="Q196" s="2"/>
    </x:row>
    <x:row r="197">
      <x:c r="A197" s="2"/>
      <x:c r="B197" s="2"/>
      <x:c r="C197" s="2"/>
      <x:c r="D197" s="2"/>
      <x:c r="E197" s="2"/>
      <x:c r="F197" s="2"/>
      <x:c r="G197" s="97"/>
      <x:c r="H197" s="97"/>
      <x:c r="I197" s="98"/>
      <x:c r="J197" s="98"/>
      <x:c r="K197" s="2"/>
      <x:c r="L197" s="2"/>
      <x:c r="M197" s="2"/>
      <x:c r="N197" s="2"/>
      <x:c r="O197" s="2"/>
      <x:c r="P197" s="2"/>
      <x:c r="Q197" s="2"/>
    </x:row>
    <x:row r="198">
      <x:c r="A198" s="2"/>
      <x:c r="B198" s="2"/>
      <x:c r="C198" s="2"/>
      <x:c r="D198" s="2"/>
      <x:c r="E198" s="2"/>
      <x:c r="F198" s="2"/>
      <x:c r="G198" s="97"/>
      <x:c r="H198" s="97"/>
      <x:c r="I198" s="98"/>
      <x:c r="J198" s="98"/>
      <x:c r="K198" s="2"/>
      <x:c r="L198" s="2"/>
      <x:c r="M198" s="2"/>
      <x:c r="N198" s="2"/>
      <x:c r="O198" s="2"/>
      <x:c r="P198" s="2"/>
      <x:c r="Q198" s="2"/>
    </x:row>
    <x:row r="199">
      <x:c r="A199" s="2"/>
      <x:c r="B199" s="2"/>
      <x:c r="C199" s="2"/>
      <x:c r="D199" s="2"/>
      <x:c r="E199" s="2"/>
      <x:c r="F199" s="2"/>
      <x:c r="G199" s="97"/>
      <x:c r="H199" s="97"/>
      <x:c r="I199" s="98"/>
      <x:c r="J199" s="98"/>
      <x:c r="K199" s="2"/>
      <x:c r="L199" s="2"/>
      <x:c r="M199" s="2"/>
      <x:c r="N199" s="2"/>
      <x:c r="O199" s="2"/>
      <x:c r="P199" s="2"/>
      <x:c r="Q199" s="2"/>
    </x:row>
    <x:row r="200">
      <x:c r="A200" s="2"/>
      <x:c r="B200" s="2"/>
      <x:c r="C200" s="2"/>
      <x:c r="D200" s="2"/>
      <x:c r="E200" s="2"/>
      <x:c r="F200" s="2"/>
      <x:c r="G200" s="97"/>
      <x:c r="H200" s="97"/>
      <x:c r="I200" s="98"/>
      <x:c r="J200" s="98"/>
      <x:c r="K200" s="2"/>
      <x:c r="L200" s="2"/>
      <x:c r="M200" s="2"/>
      <x:c r="N200" s="2"/>
      <x:c r="O200" s="2"/>
      <x:c r="P200" s="2"/>
      <x:c r="Q200" s="2"/>
    </x:row>
    <x:row r="201">
      <x:c r="A201" s="2"/>
      <x:c r="B201" s="2"/>
      <x:c r="C201" s="2"/>
      <x:c r="D201" s="2"/>
      <x:c r="E201" s="2"/>
      <x:c r="F201" s="2"/>
      <x:c r="G201" s="97"/>
      <x:c r="H201" s="97"/>
      <x:c r="I201" s="98"/>
      <x:c r="J201" s="98"/>
      <x:c r="K201" s="2"/>
      <x:c r="L201" s="2"/>
      <x:c r="M201" s="2"/>
      <x:c r="N201" s="2"/>
      <x:c r="O201" s="2"/>
      <x:c r="P201" s="2"/>
      <x:c r="Q201" s="2"/>
    </x:row>
    <x:row r="202">
      <x:c r="A202" s="2"/>
      <x:c r="B202" s="2"/>
      <x:c r="C202" s="2"/>
      <x:c r="D202" s="2"/>
      <x:c r="E202" s="2"/>
      <x:c r="F202" s="2"/>
      <x:c r="G202" s="97"/>
      <x:c r="H202" s="97"/>
      <x:c r="I202" s="98"/>
      <x:c r="J202" s="98"/>
      <x:c r="K202" s="2"/>
      <x:c r="L202" s="2"/>
      <x:c r="M202" s="2"/>
      <x:c r="N202" s="2"/>
      <x:c r="O202" s="2"/>
      <x:c r="P202" s="2"/>
      <x:c r="Q202" s="2"/>
    </x:row>
    <x:row r="203">
      <x:c r="A203" s="2"/>
      <x:c r="B203" s="2"/>
      <x:c r="C203" s="2"/>
      <x:c r="D203" s="2"/>
      <x:c r="E203" s="2"/>
      <x:c r="F203" s="2"/>
      <x:c r="G203" s="97"/>
      <x:c r="H203" s="97"/>
      <x:c r="I203" s="98"/>
      <x:c r="J203" s="98"/>
      <x:c r="K203" s="2"/>
      <x:c r="L203" s="2"/>
      <x:c r="M203" s="2"/>
      <x:c r="N203" s="2"/>
      <x:c r="O203" s="2"/>
      <x:c r="P203" s="2"/>
      <x:c r="Q203" s="2"/>
    </x:row>
    <x:row r="204">
      <x:c r="A204" s="2"/>
      <x:c r="B204" s="2"/>
      <x:c r="C204" s="2"/>
      <x:c r="D204" s="2"/>
      <x:c r="E204" s="2"/>
      <x:c r="F204" s="2"/>
      <x:c r="G204" s="97"/>
      <x:c r="H204" s="97"/>
      <x:c r="I204" s="98"/>
      <x:c r="J204" s="98"/>
      <x:c r="K204" s="2"/>
      <x:c r="L204" s="2"/>
      <x:c r="M204" s="2"/>
      <x:c r="N204" s="2"/>
      <x:c r="O204" s="2"/>
      <x:c r="P204" s="2"/>
      <x:c r="Q204" s="2"/>
    </x:row>
    <x:row r="205">
      <x:c r="A205" s="2"/>
      <x:c r="B205" s="2"/>
      <x:c r="C205" s="2"/>
      <x:c r="D205" s="2"/>
      <x:c r="E205" s="2"/>
      <x:c r="F205" s="2"/>
      <x:c r="G205" s="97"/>
      <x:c r="H205" s="97"/>
      <x:c r="I205" s="98"/>
      <x:c r="J205" s="98"/>
      <x:c r="K205" s="2"/>
      <x:c r="L205" s="2"/>
      <x:c r="M205" s="2"/>
      <x:c r="N205" s="2"/>
      <x:c r="O205" s="2"/>
      <x:c r="P205" s="2"/>
      <x:c r="Q205" s="2"/>
    </x:row>
    <x:row r="206">
      <x:c r="A206" s="2"/>
      <x:c r="B206" s="2"/>
      <x:c r="C206" s="2"/>
      <x:c r="D206" s="2"/>
      <x:c r="E206" s="2"/>
      <x:c r="F206" s="2"/>
      <x:c r="G206" s="97"/>
      <x:c r="H206" s="97"/>
      <x:c r="I206" s="98"/>
      <x:c r="J206" s="98"/>
      <x:c r="K206" s="2"/>
      <x:c r="L206" s="2"/>
      <x:c r="M206" s="2"/>
      <x:c r="N206" s="2"/>
      <x:c r="O206" s="2"/>
      <x:c r="P206" s="2"/>
      <x:c r="Q206" s="2"/>
    </x:row>
    <x:row r="207">
      <x:c r="A207" s="2"/>
      <x:c r="B207" s="2"/>
      <x:c r="C207" s="2"/>
      <x:c r="D207" s="2"/>
      <x:c r="E207" s="2"/>
      <x:c r="F207" s="2"/>
      <x:c r="G207" s="97"/>
      <x:c r="H207" s="97"/>
      <x:c r="I207" s="98"/>
      <x:c r="J207" s="98"/>
      <x:c r="K207" s="2"/>
      <x:c r="L207" s="2"/>
      <x:c r="M207" s="2"/>
      <x:c r="N207" s="2"/>
      <x:c r="O207" s="2"/>
      <x:c r="P207" s="2"/>
      <x:c r="Q207" s="2"/>
    </x:row>
    <x:row r="208">
      <x:c r="A208" s="2"/>
      <x:c r="B208" s="2"/>
      <x:c r="C208" s="2"/>
      <x:c r="D208" s="2"/>
      <x:c r="E208" s="2"/>
      <x:c r="F208" s="2"/>
      <x:c r="G208" s="97"/>
      <x:c r="H208" s="97"/>
      <x:c r="I208" s="98"/>
      <x:c r="J208" s="98"/>
      <x:c r="K208" s="2"/>
      <x:c r="L208" s="2"/>
      <x:c r="M208" s="2"/>
      <x:c r="N208" s="2"/>
      <x:c r="O208" s="2"/>
      <x:c r="P208" s="2"/>
      <x:c r="Q208" s="2"/>
    </x:row>
    <x:row r="209">
      <x:c r="A209" s="2"/>
      <x:c r="B209" s="2"/>
      <x:c r="C209" s="2"/>
      <x:c r="D209" s="2"/>
      <x:c r="E209" s="2"/>
      <x:c r="F209" s="2"/>
      <x:c r="G209" s="97"/>
      <x:c r="H209" s="97"/>
      <x:c r="I209" s="98"/>
      <x:c r="J209" s="98"/>
      <x:c r="K209" s="2"/>
      <x:c r="L209" s="2"/>
      <x:c r="M209" s="2"/>
      <x:c r="N209" s="2"/>
      <x:c r="O209" s="2"/>
      <x:c r="P209" s="2"/>
      <x:c r="Q209" s="2"/>
    </x:row>
    <x:row r="210">
      <x:c r="A210" s="2"/>
      <x:c r="B210" s="2"/>
      <x:c r="C210" s="2"/>
      <x:c r="D210" s="2"/>
      <x:c r="E210" s="2"/>
      <x:c r="F210" s="2"/>
      <x:c r="G210" s="97"/>
      <x:c r="H210" s="97"/>
      <x:c r="I210" s="98"/>
      <x:c r="J210" s="98"/>
      <x:c r="K210" s="2"/>
      <x:c r="L210" s="2"/>
      <x:c r="M210" s="2"/>
      <x:c r="N210" s="2"/>
      <x:c r="O210" s="2"/>
      <x:c r="P210" s="2"/>
      <x:c r="Q210" s="2"/>
    </x:row>
    <x:row r="211">
      <x:c r="A211" s="2"/>
      <x:c r="B211" s="2"/>
      <x:c r="C211" s="2"/>
      <x:c r="D211" s="2"/>
      <x:c r="E211" s="2"/>
      <x:c r="F211" s="2"/>
      <x:c r="G211" s="97"/>
      <x:c r="H211" s="97"/>
      <x:c r="I211" s="98"/>
      <x:c r="J211" s="98"/>
      <x:c r="K211" s="2"/>
      <x:c r="L211" s="2"/>
      <x:c r="M211" s="2"/>
      <x:c r="N211" s="2"/>
      <x:c r="O211" s="2"/>
      <x:c r="P211" s="2"/>
      <x:c r="Q211" s="2"/>
    </x:row>
    <x:row r="212">
      <x:c r="A212" s="2"/>
      <x:c r="B212" s="2"/>
      <x:c r="C212" s="2"/>
      <x:c r="D212" s="2"/>
      <x:c r="E212" s="2"/>
      <x:c r="F212" s="2"/>
      <x:c r="G212" s="97"/>
      <x:c r="H212" s="97"/>
      <x:c r="I212" s="98"/>
      <x:c r="J212" s="98"/>
      <x:c r="K212" s="2"/>
      <x:c r="L212" s="2"/>
      <x:c r="M212" s="2"/>
      <x:c r="N212" s="2"/>
      <x:c r="O212" s="2"/>
      <x:c r="P212" s="2"/>
      <x:c r="Q212" s="2"/>
    </x:row>
    <x:row r="213">
      <x:c r="A213" s="2"/>
      <x:c r="B213" s="2"/>
      <x:c r="C213" s="2"/>
      <x:c r="D213" s="2"/>
      <x:c r="E213" s="2"/>
      <x:c r="F213" s="2"/>
      <x:c r="G213" s="97"/>
      <x:c r="H213" s="97"/>
      <x:c r="I213" s="98"/>
      <x:c r="J213" s="98"/>
      <x:c r="K213" s="2"/>
      <x:c r="L213" s="2"/>
      <x:c r="M213" s="2"/>
      <x:c r="N213" s="2"/>
      <x:c r="O213" s="2"/>
      <x:c r="P213" s="2"/>
      <x:c r="Q213" s="2"/>
    </x:row>
    <x:row r="214">
      <x:c r="A214" s="2"/>
      <x:c r="B214" s="2"/>
      <x:c r="C214" s="2"/>
      <x:c r="D214" s="2"/>
      <x:c r="E214" s="2"/>
      <x:c r="F214" s="2"/>
      <x:c r="G214" s="97"/>
      <x:c r="H214" s="97"/>
      <x:c r="I214" s="98"/>
      <x:c r="J214" s="98"/>
      <x:c r="K214" s="2"/>
      <x:c r="L214" s="2"/>
      <x:c r="M214" s="2"/>
      <x:c r="N214" s="2"/>
      <x:c r="O214" s="2"/>
      <x:c r="P214" s="2"/>
      <x:c r="Q214" s="2"/>
    </x:row>
    <x:row r="215">
      <x:c r="A215" s="2"/>
      <x:c r="B215" s="2"/>
      <x:c r="C215" s="2"/>
      <x:c r="D215" s="2"/>
      <x:c r="E215" s="2"/>
      <x:c r="F215" s="2"/>
      <x:c r="G215" s="97"/>
      <x:c r="H215" s="97"/>
      <x:c r="I215" s="98"/>
      <x:c r="J215" s="98"/>
      <x:c r="K215" s="2"/>
      <x:c r="L215" s="2"/>
      <x:c r="M215" s="2"/>
      <x:c r="N215" s="2"/>
      <x:c r="O215" s="2"/>
      <x:c r="P215" s="2"/>
      <x:c r="Q215" s="2"/>
    </x:row>
    <x:row r="216">
      <x:c r="A216" s="2"/>
      <x:c r="B216" s="2"/>
      <x:c r="C216" s="2"/>
      <x:c r="D216" s="2"/>
      <x:c r="E216" s="2"/>
      <x:c r="F216" s="2"/>
      <x:c r="G216" s="97"/>
      <x:c r="H216" s="97"/>
      <x:c r="I216" s="98"/>
      <x:c r="J216" s="98"/>
      <x:c r="K216" s="2"/>
      <x:c r="L216" s="2"/>
      <x:c r="M216" s="2"/>
      <x:c r="N216" s="2"/>
      <x:c r="O216" s="2"/>
      <x:c r="P216" s="2"/>
      <x:c r="Q216" s="2"/>
    </x:row>
    <x:row r="217">
      <x:c r="A217" s="2"/>
      <x:c r="B217" s="2"/>
      <x:c r="C217" s="2"/>
      <x:c r="D217" s="2"/>
      <x:c r="E217" s="2"/>
      <x:c r="F217" s="2"/>
      <x:c r="G217" s="97"/>
      <x:c r="H217" s="97"/>
      <x:c r="I217" s="98"/>
      <x:c r="J217" s="98"/>
      <x:c r="K217" s="2"/>
      <x:c r="L217" s="2"/>
      <x:c r="M217" s="2"/>
      <x:c r="N217" s="2"/>
      <x:c r="O217" s="2"/>
      <x:c r="P217" s="2"/>
      <x:c r="Q217" s="2"/>
    </x:row>
    <x:row r="218">
      <x:c r="A218" s="2"/>
      <x:c r="B218" s="2"/>
      <x:c r="C218" s="2"/>
      <x:c r="D218" s="2"/>
      <x:c r="E218" s="2"/>
      <x:c r="F218" s="2"/>
      <x:c r="G218" s="97"/>
      <x:c r="H218" s="97"/>
      <x:c r="I218" s="98"/>
      <x:c r="J218" s="98"/>
      <x:c r="K218" s="2"/>
      <x:c r="L218" s="2"/>
      <x:c r="M218" s="2"/>
      <x:c r="N218" s="2"/>
      <x:c r="O218" s="2"/>
      <x:c r="P218" s="2"/>
      <x:c r="Q218" s="2"/>
    </x:row>
    <x:row r="219">
      <x:c r="A219" s="2"/>
      <x:c r="B219" s="2"/>
      <x:c r="C219" s="2"/>
      <x:c r="D219" s="2"/>
      <x:c r="E219" s="2"/>
      <x:c r="F219" s="2"/>
      <x:c r="G219" s="97"/>
      <x:c r="H219" s="97"/>
      <x:c r="I219" s="98"/>
      <x:c r="J219" s="98"/>
      <x:c r="K219" s="2"/>
      <x:c r="L219" s="2"/>
      <x:c r="M219" s="2"/>
      <x:c r="N219" s="2"/>
      <x:c r="O219" s="2"/>
      <x:c r="P219" s="2"/>
      <x:c r="Q219" s="2"/>
    </x:row>
    <x:row r="220">
      <x:c r="A220" s="2"/>
      <x:c r="B220" s="2"/>
      <x:c r="C220" s="2"/>
      <x:c r="D220" s="2"/>
      <x:c r="E220" s="2"/>
      <x:c r="F220" s="2"/>
      <x:c r="G220" s="97"/>
      <x:c r="H220" s="97"/>
      <x:c r="I220" s="98"/>
      <x:c r="J220" s="98"/>
      <x:c r="K220" s="2"/>
      <x:c r="L220" s="2"/>
      <x:c r="M220" s="2"/>
      <x:c r="N220" s="2"/>
      <x:c r="O220" s="2"/>
      <x:c r="P220" s="2"/>
      <x:c r="Q220" s="2"/>
    </x:row>
    <x:row r="221">
      <x:c r="A221" s="2"/>
      <x:c r="B221" s="2"/>
      <x:c r="C221" s="2"/>
      <x:c r="D221" s="2"/>
      <x:c r="E221" s="2"/>
      <x:c r="F221" s="2"/>
      <x:c r="G221" s="97"/>
      <x:c r="H221" s="97"/>
      <x:c r="I221" s="98"/>
      <x:c r="J221" s="98"/>
      <x:c r="K221" s="2"/>
      <x:c r="L221" s="2"/>
      <x:c r="M221" s="2"/>
      <x:c r="N221" s="2"/>
      <x:c r="O221" s="2"/>
      <x:c r="P221" s="2"/>
      <x:c r="Q221" s="2"/>
    </x:row>
    <x:row r="222">
      <x:c r="A222" s="2"/>
      <x:c r="B222" s="2"/>
      <x:c r="C222" s="2"/>
      <x:c r="D222" s="2"/>
      <x:c r="E222" s="2"/>
      <x:c r="F222" s="2"/>
      <x:c r="G222" s="97"/>
      <x:c r="H222" s="97"/>
      <x:c r="I222" s="98"/>
      <x:c r="J222" s="98"/>
      <x:c r="K222" s="2"/>
      <x:c r="L222" s="2"/>
      <x:c r="M222" s="2"/>
      <x:c r="N222" s="2"/>
      <x:c r="O222" s="2"/>
      <x:c r="P222" s="2"/>
      <x:c r="Q222" s="2"/>
    </x:row>
    <x:row r="223">
      <x:c r="A223" s="2"/>
      <x:c r="B223" s="2"/>
      <x:c r="C223" s="2"/>
      <x:c r="D223" s="2"/>
      <x:c r="E223" s="2"/>
      <x:c r="F223" s="2"/>
      <x:c r="G223" s="97"/>
      <x:c r="H223" s="97"/>
      <x:c r="I223" s="98"/>
      <x:c r="J223" s="98"/>
      <x:c r="K223" s="2"/>
      <x:c r="L223" s="2"/>
      <x:c r="M223" s="2"/>
      <x:c r="N223" s="2"/>
      <x:c r="O223" s="2"/>
      <x:c r="P223" s="2"/>
      <x:c r="Q223" s="2"/>
    </x:row>
    <x:row r="224">
      <x:c r="A224" s="2"/>
      <x:c r="B224" s="2"/>
      <x:c r="C224" s="2"/>
      <x:c r="D224" s="2"/>
      <x:c r="E224" s="2"/>
      <x:c r="F224" s="2"/>
      <x:c r="G224" s="97"/>
      <x:c r="H224" s="97"/>
      <x:c r="I224" s="98"/>
      <x:c r="J224" s="98"/>
      <x:c r="K224" s="2"/>
      <x:c r="L224" s="2"/>
      <x:c r="M224" s="2"/>
      <x:c r="N224" s="2"/>
      <x:c r="O224" s="2"/>
      <x:c r="P224" s="2"/>
      <x:c r="Q224" s="2"/>
    </x:row>
    <x:row r="225">
      <x:c r="A225" s="2"/>
      <x:c r="B225" s="2"/>
      <x:c r="C225" s="2"/>
      <x:c r="D225" s="2"/>
      <x:c r="E225" s="2"/>
      <x:c r="F225" s="2"/>
      <x:c r="G225" s="97"/>
      <x:c r="H225" s="97"/>
      <x:c r="I225" s="98"/>
      <x:c r="J225" s="98"/>
      <x:c r="K225" s="2"/>
      <x:c r="L225" s="2"/>
      <x:c r="M225" s="2"/>
      <x:c r="N225" s="2"/>
      <x:c r="O225" s="2"/>
      <x:c r="P225" s="2"/>
      <x:c r="Q225" s="2"/>
    </x:row>
    <x:row r="226">
      <x:c r="A226" s="2"/>
      <x:c r="B226" s="2"/>
      <x:c r="C226" s="2"/>
      <x:c r="D226" s="2"/>
      <x:c r="E226" s="2"/>
      <x:c r="F226" s="2"/>
      <x:c r="G226" s="97"/>
      <x:c r="H226" s="97"/>
      <x:c r="I226" s="98"/>
      <x:c r="J226" s="98"/>
      <x:c r="K226" s="2"/>
      <x:c r="L226" s="2"/>
      <x:c r="M226" s="2"/>
      <x:c r="N226" s="2"/>
      <x:c r="O226" s="2"/>
      <x:c r="P226" s="2"/>
      <x:c r="Q226" s="2"/>
    </x:row>
    <x:row r="227">
      <x:c r="A227" s="2"/>
      <x:c r="B227" s="2"/>
      <x:c r="C227" s="2"/>
      <x:c r="D227" s="2"/>
      <x:c r="E227" s="2"/>
      <x:c r="F227" s="2"/>
      <x:c r="G227" s="97"/>
      <x:c r="H227" s="97"/>
      <x:c r="I227" s="98"/>
      <x:c r="J227" s="98"/>
      <x:c r="K227" s="2"/>
      <x:c r="L227" s="2"/>
      <x:c r="M227" s="2"/>
      <x:c r="N227" s="2"/>
      <x:c r="O227" s="2"/>
      <x:c r="P227" s="2"/>
      <x:c r="Q227" s="2"/>
    </x:row>
    <x:row r="228">
      <x:c r="A228" s="2"/>
      <x:c r="B228" s="2"/>
      <x:c r="C228" s="2"/>
      <x:c r="D228" s="2"/>
      <x:c r="E228" s="2"/>
      <x:c r="F228" s="2"/>
      <x:c r="G228" s="97"/>
      <x:c r="H228" s="97"/>
      <x:c r="I228" s="98"/>
      <x:c r="J228" s="98"/>
      <x:c r="K228" s="2"/>
      <x:c r="L228" s="2"/>
      <x:c r="M228" s="2"/>
      <x:c r="N228" s="2"/>
      <x:c r="O228" s="2"/>
      <x:c r="P228" s="2"/>
      <x:c r="Q228" s="2"/>
    </x:row>
    <x:row r="229">
      <x:c r="A229" s="2"/>
      <x:c r="B229" s="2"/>
      <x:c r="C229" s="2"/>
      <x:c r="D229" s="2"/>
      <x:c r="E229" s="2"/>
      <x:c r="F229" s="2"/>
      <x:c r="G229" s="97"/>
      <x:c r="H229" s="97"/>
      <x:c r="I229" s="98"/>
      <x:c r="J229" s="98"/>
      <x:c r="K229" s="2"/>
      <x:c r="L229" s="2"/>
      <x:c r="M229" s="2"/>
      <x:c r="N229" s="2"/>
      <x:c r="O229" s="2"/>
      <x:c r="P229" s="2"/>
      <x:c r="Q229" s="2"/>
    </x:row>
    <x:row r="230">
      <x:c r="A230" s="2"/>
      <x:c r="B230" s="2"/>
      <x:c r="C230" s="2"/>
      <x:c r="D230" s="2"/>
      <x:c r="E230" s="2"/>
      <x:c r="F230" s="2"/>
      <x:c r="G230" s="97"/>
      <x:c r="H230" s="97"/>
      <x:c r="I230" s="98"/>
      <x:c r="J230" s="98"/>
      <x:c r="K230" s="2"/>
      <x:c r="L230" s="2"/>
      <x:c r="M230" s="2"/>
      <x:c r="N230" s="2"/>
      <x:c r="O230" s="2"/>
      <x:c r="P230" s="2"/>
      <x:c r="Q230" s="2"/>
    </x:row>
    <x:row r="231">
      <x:c r="A231" s="2"/>
      <x:c r="B231" s="2"/>
      <x:c r="C231" s="2"/>
      <x:c r="D231" s="2"/>
      <x:c r="E231" s="2"/>
      <x:c r="F231" s="2"/>
      <x:c r="G231" s="97"/>
      <x:c r="H231" s="97"/>
      <x:c r="I231" s="98"/>
      <x:c r="J231" s="98"/>
      <x:c r="K231" s="2"/>
      <x:c r="L231" s="2"/>
      <x:c r="M231" s="2"/>
      <x:c r="N231" s="2"/>
      <x:c r="O231" s="2"/>
      <x:c r="P231" s="2"/>
      <x:c r="Q231" s="2"/>
    </x:row>
    <x:row r="232">
      <x:c r="A232" s="2"/>
      <x:c r="B232" s="2"/>
      <x:c r="C232" s="2"/>
      <x:c r="D232" s="2"/>
      <x:c r="E232" s="2"/>
      <x:c r="F232" s="2"/>
      <x:c r="G232" s="97"/>
      <x:c r="H232" s="97"/>
      <x:c r="I232" s="98"/>
      <x:c r="J232" s="98"/>
      <x:c r="K232" s="2"/>
      <x:c r="L232" s="2"/>
      <x:c r="M232" s="2"/>
      <x:c r="N232" s="2"/>
      <x:c r="O232" s="2"/>
      <x:c r="P232" s="2"/>
      <x:c r="Q232" s="2"/>
    </x:row>
    <x:row r="233">
      <x:c r="A233" s="2"/>
      <x:c r="B233" s="2"/>
      <x:c r="C233" s="2"/>
      <x:c r="D233" s="2"/>
      <x:c r="E233" s="2"/>
      <x:c r="F233" s="2"/>
      <x:c r="G233" s="97"/>
      <x:c r="H233" s="97"/>
      <x:c r="I233" s="98"/>
      <x:c r="J233" s="98"/>
      <x:c r="K233" s="2"/>
      <x:c r="L233" s="2"/>
      <x:c r="M233" s="2"/>
      <x:c r="N233" s="2"/>
      <x:c r="O233" s="2"/>
      <x:c r="P233" s="2"/>
      <x:c r="Q233" s="2"/>
    </x:row>
    <x:row r="234">
      <x:c r="A234" s="2"/>
      <x:c r="B234" s="2"/>
      <x:c r="C234" s="2"/>
      <x:c r="D234" s="2"/>
      <x:c r="E234" s="2"/>
      <x:c r="F234" s="2"/>
      <x:c r="G234" s="97"/>
      <x:c r="H234" s="97"/>
      <x:c r="I234" s="98"/>
      <x:c r="J234" s="98"/>
      <x:c r="K234" s="2"/>
      <x:c r="L234" s="2"/>
      <x:c r="M234" s="2"/>
      <x:c r="N234" s="2"/>
      <x:c r="O234" s="2"/>
      <x:c r="P234" s="2"/>
      <x:c r="Q234" s="2"/>
    </x:row>
    <x:row r="235">
      <x:c r="A235" s="2"/>
      <x:c r="B235" s="2"/>
      <x:c r="C235" s="2"/>
      <x:c r="D235" s="2"/>
      <x:c r="E235" s="2"/>
      <x:c r="F235" s="2"/>
      <x:c r="G235" s="97"/>
      <x:c r="H235" s="97"/>
      <x:c r="I235" s="98"/>
      <x:c r="J235" s="98"/>
      <x:c r="K235" s="2"/>
      <x:c r="L235" s="2"/>
      <x:c r="M235" s="2"/>
      <x:c r="N235" s="2"/>
      <x:c r="O235" s="2"/>
      <x:c r="P235" s="2"/>
      <x:c r="Q235" s="2"/>
    </x:row>
    <x:row r="236">
      <x:c r="A236" s="2"/>
      <x:c r="B236" s="2"/>
      <x:c r="C236" s="2"/>
      <x:c r="D236" s="2"/>
      <x:c r="E236" s="2"/>
      <x:c r="F236" s="2"/>
      <x:c r="G236" s="97"/>
      <x:c r="H236" s="97"/>
      <x:c r="I236" s="98"/>
      <x:c r="J236" s="98"/>
      <x:c r="K236" s="2"/>
      <x:c r="L236" s="2"/>
      <x:c r="M236" s="2"/>
      <x:c r="N236" s="2"/>
      <x:c r="O236" s="2"/>
      <x:c r="P236" s="2"/>
      <x:c r="Q236" s="2"/>
    </x:row>
    <x:row r="237">
      <x:c r="A237" s="2"/>
      <x:c r="B237" s="2"/>
      <x:c r="C237" s="2"/>
      <x:c r="D237" s="2"/>
      <x:c r="E237" s="2"/>
      <x:c r="F237" s="2"/>
      <x:c r="G237" s="97"/>
      <x:c r="H237" s="97"/>
      <x:c r="I237" s="98"/>
      <x:c r="J237" s="98"/>
      <x:c r="K237" s="2"/>
      <x:c r="L237" s="2"/>
      <x:c r="M237" s="2"/>
      <x:c r="N237" s="2"/>
      <x:c r="O237" s="2"/>
      <x:c r="P237" s="2"/>
      <x:c r="Q237" s="2"/>
    </x:row>
    <x:row r="238">
      <x:c r="A238" s="2"/>
      <x:c r="B238" s="2"/>
      <x:c r="C238" s="2"/>
      <x:c r="D238" s="2"/>
      <x:c r="E238" s="2"/>
      <x:c r="F238" s="2"/>
      <x:c r="G238" s="97"/>
      <x:c r="H238" s="97"/>
      <x:c r="I238" s="98"/>
      <x:c r="J238" s="98"/>
      <x:c r="K238" s="2"/>
      <x:c r="L238" s="2"/>
      <x:c r="M238" s="2"/>
      <x:c r="N238" s="2"/>
      <x:c r="O238" s="2"/>
      <x:c r="P238" s="2"/>
      <x:c r="Q238" s="2"/>
    </x:row>
    <x:row r="239">
      <x:c r="A239" s="2"/>
      <x:c r="B239" s="2"/>
      <x:c r="C239" s="2"/>
      <x:c r="D239" s="2"/>
      <x:c r="E239" s="2"/>
      <x:c r="F239" s="2"/>
      <x:c r="G239" s="97"/>
      <x:c r="H239" s="97"/>
      <x:c r="I239" s="98"/>
      <x:c r="J239" s="98"/>
      <x:c r="K239" s="2"/>
      <x:c r="L239" s="2"/>
      <x:c r="M239" s="2"/>
      <x:c r="N239" s="2"/>
      <x:c r="O239" s="2"/>
      <x:c r="P239" s="2"/>
      <x:c r="Q239" s="2"/>
    </x:row>
    <x:row r="240">
      <x:c r="A240" s="2"/>
      <x:c r="B240" s="2"/>
      <x:c r="C240" s="2"/>
      <x:c r="D240" s="2"/>
      <x:c r="E240" s="2"/>
      <x:c r="F240" s="2"/>
      <x:c r="G240" s="97"/>
      <x:c r="H240" s="97"/>
      <x:c r="I240" s="98"/>
      <x:c r="J240" s="98"/>
      <x:c r="K240" s="2"/>
      <x:c r="L240" s="2"/>
      <x:c r="M240" s="2"/>
      <x:c r="N240" s="2"/>
      <x:c r="O240" s="2"/>
      <x:c r="P240" s="2"/>
      <x:c r="Q240" s="2"/>
    </x:row>
    <x:row r="241">
      <x:c r="A241" s="2"/>
      <x:c r="B241" s="2"/>
      <x:c r="C241" s="2"/>
      <x:c r="D241" s="2"/>
      <x:c r="E241" s="2"/>
      <x:c r="F241" s="2"/>
      <x:c r="G241" s="97"/>
      <x:c r="H241" s="97"/>
      <x:c r="I241" s="98"/>
      <x:c r="J241" s="98"/>
      <x:c r="K241" s="2"/>
      <x:c r="L241" s="2"/>
      <x:c r="M241" s="2"/>
      <x:c r="N241" s="2"/>
      <x:c r="O241" s="2"/>
      <x:c r="P241" s="2"/>
      <x:c r="Q241" s="2"/>
    </x:row>
    <x:row r="242">
      <x:c r="A242" s="2"/>
      <x:c r="B242" s="2"/>
      <x:c r="C242" s="2"/>
      <x:c r="D242" s="2"/>
      <x:c r="E242" s="2"/>
      <x:c r="F242" s="2"/>
      <x:c r="G242" s="97"/>
      <x:c r="H242" s="97"/>
      <x:c r="I242" s="98"/>
      <x:c r="J242" s="98"/>
      <x:c r="K242" s="2"/>
      <x:c r="L242" s="2"/>
      <x:c r="M242" s="2"/>
      <x:c r="N242" s="2"/>
      <x:c r="O242" s="2"/>
      <x:c r="P242" s="2"/>
      <x:c r="Q242" s="2"/>
    </x:row>
    <x:row r="243">
      <x:c r="A243" s="2"/>
      <x:c r="B243" s="2"/>
      <x:c r="C243" s="2"/>
      <x:c r="D243" s="2"/>
      <x:c r="E243" s="2"/>
      <x:c r="F243" s="2"/>
      <x:c r="G243" s="97"/>
      <x:c r="H243" s="97"/>
      <x:c r="I243" s="98"/>
      <x:c r="J243" s="98"/>
      <x:c r="K243" s="2"/>
      <x:c r="L243" s="2"/>
      <x:c r="M243" s="2"/>
      <x:c r="N243" s="2"/>
      <x:c r="O243" s="2"/>
      <x:c r="P243" s="2"/>
      <x:c r="Q243" s="2"/>
    </x:row>
    <x:row r="244">
      <x:c r="A244" s="2"/>
      <x:c r="B244" s="2"/>
      <x:c r="C244" s="2"/>
      <x:c r="D244" s="2"/>
      <x:c r="E244" s="2"/>
      <x:c r="F244" s="2"/>
      <x:c r="G244" s="97"/>
      <x:c r="H244" s="97"/>
      <x:c r="I244" s="98"/>
      <x:c r="J244" s="98"/>
      <x:c r="K244" s="2"/>
      <x:c r="L244" s="2"/>
      <x:c r="M244" s="2"/>
      <x:c r="N244" s="2"/>
      <x:c r="O244" s="2"/>
      <x:c r="P244" s="2"/>
      <x:c r="Q244" s="2"/>
    </x:row>
    <x:row r="245">
      <x:c r="A245" s="2"/>
      <x:c r="B245" s="2"/>
      <x:c r="C245" s="2"/>
      <x:c r="D245" s="2"/>
      <x:c r="E245" s="2"/>
      <x:c r="F245" s="2"/>
      <x:c r="G245" s="97"/>
      <x:c r="H245" s="97"/>
      <x:c r="I245" s="98"/>
      <x:c r="J245" s="98"/>
      <x:c r="K245" s="2"/>
      <x:c r="L245" s="2"/>
      <x:c r="M245" s="2"/>
      <x:c r="N245" s="2"/>
      <x:c r="O245" s="2"/>
      <x:c r="P245" s="2"/>
      <x:c r="Q245" s="2"/>
    </x:row>
    <x:row r="246">
      <x:c r="A246" s="2"/>
      <x:c r="B246" s="2"/>
      <x:c r="C246" s="2"/>
      <x:c r="D246" s="2"/>
      <x:c r="E246" s="2"/>
      <x:c r="F246" s="2"/>
      <x:c r="G246" s="97"/>
      <x:c r="H246" s="97"/>
      <x:c r="I246" s="98"/>
      <x:c r="J246" s="98"/>
      <x:c r="K246" s="2"/>
      <x:c r="L246" s="2"/>
      <x:c r="M246" s="2"/>
      <x:c r="N246" s="2"/>
      <x:c r="O246" s="2"/>
      <x:c r="P246" s="2"/>
      <x:c r="Q246" s="2"/>
    </x:row>
    <x:row r="247">
      <x:c r="A247" s="2"/>
      <x:c r="B247" s="2"/>
      <x:c r="C247" s="2"/>
      <x:c r="D247" s="2"/>
      <x:c r="E247" s="2"/>
      <x:c r="F247" s="2"/>
      <x:c r="G247" s="97"/>
      <x:c r="H247" s="97"/>
      <x:c r="I247" s="98"/>
      <x:c r="J247" s="98"/>
      <x:c r="K247" s="2"/>
      <x:c r="L247" s="2"/>
      <x:c r="M247" s="2"/>
      <x:c r="N247" s="2"/>
      <x:c r="O247" s="2"/>
      <x:c r="P247" s="2"/>
      <x:c r="Q247" s="2"/>
    </x:row>
    <x:row r="248">
      <x:c r="A248" s="2"/>
      <x:c r="B248" s="2"/>
      <x:c r="C248" s="2"/>
      <x:c r="D248" s="2"/>
      <x:c r="E248" s="2"/>
      <x:c r="F248" s="2"/>
      <x:c r="G248" s="97"/>
      <x:c r="H248" s="97"/>
      <x:c r="I248" s="98"/>
      <x:c r="J248" s="98"/>
      <x:c r="K248" s="2"/>
      <x:c r="L248" s="2"/>
      <x:c r="M248" s="2"/>
      <x:c r="N248" s="2"/>
      <x:c r="O248" s="2"/>
      <x:c r="P248" s="2"/>
      <x:c r="Q248" s="2"/>
    </x:row>
    <x:row r="249">
      <x:c r="A249" s="2"/>
      <x:c r="B249" s="2"/>
      <x:c r="C249" s="2"/>
      <x:c r="D249" s="2"/>
      <x:c r="E249" s="2"/>
      <x:c r="F249" s="2"/>
      <x:c r="G249" s="97"/>
      <x:c r="H249" s="97"/>
      <x:c r="I249" s="98"/>
      <x:c r="J249" s="98"/>
      <x:c r="K249" s="2"/>
      <x:c r="L249" s="2"/>
      <x:c r="M249" s="2"/>
      <x:c r="N249" s="2"/>
      <x:c r="O249" s="2"/>
      <x:c r="P249" s="2"/>
      <x:c r="Q249" s="2"/>
    </x:row>
    <x:row r="250">
      <x:c r="A250" s="2"/>
      <x:c r="B250" s="2"/>
      <x:c r="C250" s="2"/>
      <x:c r="D250" s="2"/>
      <x:c r="E250" s="2"/>
      <x:c r="F250" s="2"/>
      <x:c r="G250" s="97"/>
      <x:c r="H250" s="97"/>
      <x:c r="I250" s="98"/>
      <x:c r="J250" s="98"/>
      <x:c r="K250" s="2"/>
      <x:c r="L250" s="2"/>
      <x:c r="M250" s="2"/>
      <x:c r="N250" s="2"/>
      <x:c r="O250" s="2"/>
      <x:c r="P250" s="2"/>
      <x:c r="Q250" s="2"/>
    </x:row>
    <x:row r="251">
      <x:c r="A251" s="2"/>
      <x:c r="B251" s="2"/>
      <x:c r="C251" s="2"/>
      <x:c r="D251" s="2"/>
      <x:c r="E251" s="2"/>
      <x:c r="F251" s="2"/>
      <x:c r="G251" s="97"/>
      <x:c r="H251" s="97"/>
      <x:c r="I251" s="98"/>
      <x:c r="J251" s="98"/>
      <x:c r="K251" s="2"/>
      <x:c r="L251" s="2"/>
      <x:c r="M251" s="2"/>
      <x:c r="N251" s="2"/>
      <x:c r="O251" s="2"/>
      <x:c r="P251" s="2"/>
      <x:c r="Q251" s="2"/>
    </x:row>
    <x:row r="252">
      <x:c r="A252" s="2"/>
      <x:c r="B252" s="2"/>
      <x:c r="C252" s="2"/>
      <x:c r="D252" s="2"/>
      <x:c r="E252" s="2"/>
      <x:c r="F252" s="2"/>
      <x:c r="G252" s="97"/>
      <x:c r="H252" s="97"/>
      <x:c r="I252" s="98"/>
      <x:c r="J252" s="98"/>
      <x:c r="K252" s="2"/>
      <x:c r="L252" s="2"/>
      <x:c r="M252" s="2"/>
      <x:c r="N252" s="2"/>
      <x:c r="O252" s="2"/>
      <x:c r="P252" s="2"/>
      <x:c r="Q252" s="2"/>
    </x:row>
    <x:row r="253">
      <x:c r="A253" s="2"/>
      <x:c r="B253" s="2"/>
      <x:c r="C253" s="2"/>
      <x:c r="D253" s="2"/>
      <x:c r="E253" s="2"/>
      <x:c r="F253" s="2"/>
      <x:c r="G253" s="97"/>
      <x:c r="H253" s="97"/>
      <x:c r="I253" s="98"/>
      <x:c r="J253" s="98"/>
      <x:c r="K253" s="2"/>
      <x:c r="L253" s="2"/>
      <x:c r="M253" s="2"/>
      <x:c r="N253" s="2"/>
      <x:c r="O253" s="2"/>
      <x:c r="P253" s="2"/>
      <x:c r="Q253" s="2"/>
    </x:row>
    <x:row r="254">
      <x:c r="A254" s="2"/>
      <x:c r="B254" s="2"/>
      <x:c r="C254" s="2"/>
      <x:c r="D254" s="2"/>
      <x:c r="E254" s="2"/>
      <x:c r="F254" s="2"/>
      <x:c r="G254" s="97"/>
      <x:c r="H254" s="97"/>
      <x:c r="I254" s="98"/>
      <x:c r="J254" s="98"/>
      <x:c r="K254" s="2"/>
      <x:c r="L254" s="2"/>
      <x:c r="M254" s="2"/>
      <x:c r="N254" s="2"/>
      <x:c r="O254" s="2"/>
      <x:c r="P254" s="2"/>
      <x:c r="Q254" s="2"/>
    </x:row>
    <x:row r="255">
      <x:c r="A255" s="2"/>
      <x:c r="B255" s="2"/>
      <x:c r="C255" s="2"/>
      <x:c r="D255" s="2"/>
      <x:c r="E255" s="2"/>
      <x:c r="F255" s="2"/>
      <x:c r="G255" s="97"/>
      <x:c r="H255" s="97"/>
      <x:c r="I255" s="98"/>
      <x:c r="J255" s="98"/>
      <x:c r="K255" s="2"/>
      <x:c r="L255" s="2"/>
      <x:c r="M255" s="2"/>
      <x:c r="N255" s="2"/>
      <x:c r="O255" s="2"/>
      <x:c r="P255" s="2"/>
      <x:c r="Q255" s="2"/>
    </x:row>
    <x:row r="256">
      <x:c r="A256" s="2"/>
      <x:c r="B256" s="2"/>
      <x:c r="C256" s="2"/>
      <x:c r="D256" s="2"/>
      <x:c r="E256" s="2"/>
      <x:c r="F256" s="2"/>
      <x:c r="G256" s="97"/>
      <x:c r="H256" s="97"/>
      <x:c r="I256" s="98"/>
      <x:c r="J256" s="98"/>
      <x:c r="K256" s="2"/>
      <x:c r="L256" s="2"/>
      <x:c r="M256" s="2"/>
      <x:c r="N256" s="2"/>
      <x:c r="O256" s="2"/>
      <x:c r="P256" s="2"/>
      <x:c r="Q256" s="2"/>
    </x:row>
    <x:row r="257">
      <x:c r="A257" s="2"/>
      <x:c r="B257" s="2"/>
      <x:c r="C257" s="2"/>
      <x:c r="D257" s="2"/>
      <x:c r="E257" s="2"/>
      <x:c r="F257" s="2"/>
      <x:c r="G257" s="97"/>
      <x:c r="H257" s="97"/>
      <x:c r="I257" s="98"/>
      <x:c r="J257" s="98"/>
      <x:c r="K257" s="2"/>
      <x:c r="L257" s="2"/>
      <x:c r="M257" s="2"/>
      <x:c r="N257" s="2"/>
      <x:c r="O257" s="2"/>
      <x:c r="P257" s="2"/>
      <x:c r="Q257" s="2"/>
    </x:row>
    <x:row r="258">
      <x:c r="A258" s="2"/>
      <x:c r="B258" s="2"/>
      <x:c r="C258" s="2"/>
      <x:c r="D258" s="2"/>
      <x:c r="E258" s="2"/>
      <x:c r="F258" s="2"/>
      <x:c r="G258" s="97"/>
      <x:c r="H258" s="97"/>
      <x:c r="I258" s="98"/>
      <x:c r="J258" s="98"/>
      <x:c r="K258" s="2"/>
      <x:c r="L258" s="2"/>
      <x:c r="M258" s="2"/>
      <x:c r="N258" s="2"/>
      <x:c r="O258" s="2"/>
      <x:c r="P258" s="2"/>
      <x:c r="Q258" s="2"/>
    </x:row>
    <x:row r="259">
      <x:c r="A259" s="2"/>
      <x:c r="B259" s="2"/>
      <x:c r="C259" s="2"/>
      <x:c r="D259" s="2"/>
      <x:c r="E259" s="2"/>
      <x:c r="F259" s="2"/>
      <x:c r="G259" s="97"/>
      <x:c r="H259" s="97"/>
      <x:c r="I259" s="98"/>
      <x:c r="J259" s="98"/>
      <x:c r="K259" s="2"/>
      <x:c r="L259" s="2"/>
      <x:c r="M259" s="2"/>
      <x:c r="N259" s="2"/>
      <x:c r="O259" s="2"/>
      <x:c r="P259" s="2"/>
      <x:c r="Q259" s="2"/>
    </x:row>
    <x:row r="260">
      <x:c r="A260" s="2"/>
      <x:c r="B260" s="2"/>
      <x:c r="C260" s="2"/>
      <x:c r="D260" s="2"/>
      <x:c r="E260" s="2"/>
      <x:c r="F260" s="2"/>
      <x:c r="G260" s="97"/>
      <x:c r="H260" s="97"/>
      <x:c r="I260" s="98"/>
      <x:c r="J260" s="98"/>
      <x:c r="K260" s="2"/>
      <x:c r="L260" s="2"/>
      <x:c r="M260" s="2"/>
      <x:c r="N260" s="2"/>
      <x:c r="O260" s="2"/>
      <x:c r="P260" s="2"/>
      <x:c r="Q260" s="2"/>
    </x:row>
    <x:row r="261">
      <x:c r="A261" s="2"/>
      <x:c r="B261" s="2"/>
      <x:c r="C261" s="2"/>
      <x:c r="D261" s="2"/>
      <x:c r="E261" s="2"/>
      <x:c r="F261" s="2"/>
      <x:c r="G261" s="97"/>
      <x:c r="H261" s="97"/>
      <x:c r="I261" s="98"/>
      <x:c r="J261" s="98"/>
      <x:c r="K261" s="2"/>
      <x:c r="L261" s="2"/>
      <x:c r="M261" s="2"/>
      <x:c r="N261" s="2"/>
      <x:c r="O261" s="2"/>
      <x:c r="P261" s="2"/>
      <x:c r="Q261" s="2"/>
    </x:row>
    <x:row r="262">
      <x:c r="A262" s="2"/>
      <x:c r="B262" s="2"/>
      <x:c r="C262" s="2"/>
      <x:c r="D262" s="2"/>
      <x:c r="E262" s="2"/>
      <x:c r="F262" s="2"/>
      <x:c r="G262" s="97"/>
      <x:c r="H262" s="97"/>
      <x:c r="I262" s="98"/>
      <x:c r="J262" s="98"/>
      <x:c r="K262" s="2"/>
      <x:c r="L262" s="2"/>
      <x:c r="M262" s="2"/>
      <x:c r="N262" s="2"/>
      <x:c r="O262" s="2"/>
      <x:c r="P262" s="2"/>
      <x:c r="Q262" s="2"/>
    </x:row>
    <x:row r="263">
      <x:c r="A263" s="2"/>
      <x:c r="B263" s="2"/>
      <x:c r="C263" s="2"/>
      <x:c r="D263" s="2"/>
      <x:c r="E263" s="2"/>
      <x:c r="F263" s="2"/>
      <x:c r="G263" s="97"/>
      <x:c r="H263" s="97"/>
      <x:c r="I263" s="98"/>
      <x:c r="J263" s="98"/>
      <x:c r="K263" s="2"/>
      <x:c r="L263" s="2"/>
      <x:c r="M263" s="2"/>
      <x:c r="N263" s="2"/>
      <x:c r="O263" s="2"/>
      <x:c r="P263" s="2"/>
      <x:c r="Q263" s="2"/>
    </x:row>
    <x:row r="264">
      <x:c r="A264" s="2"/>
      <x:c r="B264" s="2"/>
      <x:c r="C264" s="2"/>
      <x:c r="D264" s="2"/>
      <x:c r="E264" s="2"/>
      <x:c r="F264" s="2"/>
      <x:c r="G264" s="97"/>
      <x:c r="H264" s="97"/>
      <x:c r="I264" s="98"/>
      <x:c r="J264" s="98"/>
      <x:c r="K264" s="2"/>
      <x:c r="L264" s="2"/>
      <x:c r="M264" s="2"/>
      <x:c r="N264" s="2"/>
      <x:c r="O264" s="2"/>
      <x:c r="P264" s="2"/>
      <x:c r="Q264" s="2"/>
    </x:row>
    <x:row r="265">
      <x:c r="A265" s="2"/>
      <x:c r="B265" s="2"/>
      <x:c r="C265" s="2"/>
      <x:c r="D265" s="2"/>
      <x:c r="E265" s="2"/>
      <x:c r="F265" s="2"/>
      <x:c r="G265" s="97"/>
      <x:c r="H265" s="97"/>
      <x:c r="I265" s="98"/>
      <x:c r="J265" s="98"/>
      <x:c r="K265" s="2"/>
      <x:c r="L265" s="2"/>
      <x:c r="M265" s="2"/>
      <x:c r="N265" s="2"/>
      <x:c r="O265" s="2"/>
      <x:c r="P265" s="2"/>
      <x:c r="Q265" s="2"/>
    </x:row>
    <x:row r="266">
      <x:c r="A266" s="2"/>
      <x:c r="B266" s="2"/>
      <x:c r="C266" s="2"/>
      <x:c r="D266" s="2"/>
      <x:c r="E266" s="2"/>
      <x:c r="F266" s="2"/>
      <x:c r="G266" s="97"/>
      <x:c r="H266" s="97"/>
      <x:c r="I266" s="98"/>
      <x:c r="J266" s="98"/>
      <x:c r="K266" s="2"/>
      <x:c r="L266" s="2"/>
      <x:c r="M266" s="2"/>
      <x:c r="N266" s="2"/>
      <x:c r="O266" s="2"/>
      <x:c r="P266" s="2"/>
      <x:c r="Q266" s="2"/>
    </x:row>
    <x:row r="267">
      <x:c r="A267" s="2"/>
      <x:c r="B267" s="2"/>
      <x:c r="C267" s="2"/>
      <x:c r="D267" s="2"/>
      <x:c r="E267" s="2"/>
      <x:c r="F267" s="2"/>
      <x:c r="G267" s="97"/>
      <x:c r="H267" s="97"/>
      <x:c r="I267" s="98"/>
      <x:c r="J267" s="98"/>
      <x:c r="K267" s="2"/>
      <x:c r="L267" s="2"/>
      <x:c r="M267" s="2"/>
      <x:c r="N267" s="2"/>
      <x:c r="O267" s="2"/>
      <x:c r="P267" s="2"/>
      <x:c r="Q267" s="2"/>
    </x:row>
    <x:row r="268">
      <x:c r="A268" s="2"/>
      <x:c r="B268" s="2"/>
      <x:c r="C268" s="2"/>
      <x:c r="D268" s="2"/>
      <x:c r="E268" s="2"/>
      <x:c r="F268" s="2"/>
      <x:c r="G268" s="97"/>
      <x:c r="H268" s="97"/>
      <x:c r="I268" s="98"/>
      <x:c r="J268" s="98"/>
      <x:c r="K268" s="2"/>
      <x:c r="L268" s="2"/>
      <x:c r="M268" s="2"/>
      <x:c r="N268" s="2"/>
      <x:c r="O268" s="2"/>
      <x:c r="P268" s="2"/>
      <x:c r="Q268" s="2"/>
    </x:row>
    <x:row r="269">
      <x:c r="A269" s="2"/>
      <x:c r="B269" s="2"/>
      <x:c r="C269" s="2"/>
      <x:c r="D269" s="2"/>
      <x:c r="E269" s="2"/>
      <x:c r="F269" s="2"/>
      <x:c r="G269" s="97"/>
      <x:c r="H269" s="97"/>
      <x:c r="I269" s="98"/>
      <x:c r="J269" s="98"/>
      <x:c r="K269" s="2"/>
      <x:c r="L269" s="2"/>
      <x:c r="M269" s="2"/>
      <x:c r="N269" s="2"/>
      <x:c r="O269" s="2"/>
      <x:c r="P269" s="2"/>
      <x:c r="Q269" s="2"/>
    </x:row>
    <x:row r="270">
      <x:c r="A270" s="2"/>
      <x:c r="B270" s="2"/>
      <x:c r="C270" s="2"/>
      <x:c r="D270" s="2"/>
      <x:c r="E270" s="2"/>
      <x:c r="F270" s="2"/>
      <x:c r="G270" s="97"/>
      <x:c r="H270" s="97"/>
      <x:c r="I270" s="98"/>
      <x:c r="J270" s="98"/>
      <x:c r="K270" s="2"/>
      <x:c r="L270" s="2"/>
      <x:c r="M270" s="2"/>
      <x:c r="N270" s="2"/>
      <x:c r="O270" s="2"/>
      <x:c r="P270" s="2"/>
      <x:c r="Q270" s="2"/>
    </x:row>
    <x:row r="271">
      <x:c r="A271" s="2"/>
      <x:c r="B271" s="2"/>
      <x:c r="C271" s="2"/>
      <x:c r="D271" s="2"/>
      <x:c r="E271" s="2"/>
      <x:c r="F271" s="2"/>
      <x:c r="G271" s="97"/>
      <x:c r="H271" s="97"/>
      <x:c r="I271" s="98"/>
      <x:c r="J271" s="98"/>
      <x:c r="K271" s="2"/>
      <x:c r="L271" s="2"/>
      <x:c r="M271" s="2"/>
      <x:c r="N271" s="2"/>
      <x:c r="O271" s="2"/>
      <x:c r="P271" s="2"/>
      <x:c r="Q271" s="2"/>
    </x:row>
    <x:row r="272">
      <x:c r="A272" s="2"/>
      <x:c r="B272" s="2"/>
      <x:c r="C272" s="2"/>
      <x:c r="D272" s="2"/>
      <x:c r="E272" s="2"/>
      <x:c r="F272" s="2"/>
      <x:c r="G272" s="97"/>
      <x:c r="H272" s="97"/>
      <x:c r="I272" s="98"/>
      <x:c r="J272" s="98"/>
      <x:c r="K272" s="2"/>
      <x:c r="L272" s="2"/>
      <x:c r="M272" s="2"/>
      <x:c r="N272" s="2"/>
      <x:c r="O272" s="2"/>
      <x:c r="P272" s="2"/>
      <x:c r="Q272" s="2"/>
    </x:row>
    <x:row r="273">
      <x:c r="A273" s="2"/>
      <x:c r="B273" s="2"/>
      <x:c r="C273" s="2"/>
      <x:c r="D273" s="2"/>
      <x:c r="E273" s="2"/>
      <x:c r="F273" s="2"/>
      <x:c r="G273" s="97"/>
      <x:c r="H273" s="97"/>
      <x:c r="I273" s="98"/>
      <x:c r="J273" s="98"/>
      <x:c r="K273" s="2"/>
      <x:c r="L273" s="2"/>
      <x:c r="M273" s="2"/>
      <x:c r="N273" s="2"/>
      <x:c r="O273" s="2"/>
      <x:c r="P273" s="2"/>
      <x:c r="Q273" s="2"/>
    </x:row>
    <x:row r="274">
      <x:c r="A274" s="2"/>
      <x:c r="B274" s="2"/>
      <x:c r="C274" s="2"/>
      <x:c r="D274" s="2"/>
      <x:c r="E274" s="2"/>
      <x:c r="F274" s="2"/>
      <x:c r="G274" s="97"/>
      <x:c r="H274" s="97"/>
      <x:c r="I274" s="98"/>
      <x:c r="J274" s="98"/>
      <x:c r="K274" s="2"/>
      <x:c r="L274" s="2"/>
      <x:c r="M274" s="2"/>
      <x:c r="N274" s="2"/>
      <x:c r="O274" s="2"/>
      <x:c r="P274" s="2"/>
      <x:c r="Q274" s="2"/>
    </x:row>
    <x:row r="275">
      <x:c r="A275" s="2"/>
      <x:c r="B275" s="2"/>
      <x:c r="C275" s="2"/>
      <x:c r="D275" s="2"/>
      <x:c r="E275" s="2"/>
      <x:c r="F275" s="2"/>
      <x:c r="G275" s="97"/>
      <x:c r="H275" s="97"/>
      <x:c r="I275" s="98"/>
      <x:c r="J275" s="98"/>
      <x:c r="K275" s="2"/>
      <x:c r="L275" s="2"/>
      <x:c r="M275" s="2"/>
      <x:c r="N275" s="2"/>
      <x:c r="O275" s="2"/>
      <x:c r="P275" s="2"/>
      <x:c r="Q275" s="2"/>
    </x:row>
    <x:row r="276">
      <x:c r="A276" s="2"/>
      <x:c r="B276" s="2"/>
      <x:c r="C276" s="2"/>
      <x:c r="D276" s="2"/>
      <x:c r="E276" s="2"/>
      <x:c r="F276" s="2"/>
      <x:c r="G276" s="97"/>
      <x:c r="H276" s="97"/>
      <x:c r="I276" s="98"/>
      <x:c r="J276" s="98"/>
      <x:c r="K276" s="2"/>
      <x:c r="L276" s="2"/>
      <x:c r="M276" s="2"/>
      <x:c r="N276" s="2"/>
      <x:c r="O276" s="2"/>
      <x:c r="P276" s="2"/>
      <x:c r="Q276" s="2"/>
    </x:row>
    <x:row r="277">
      <x:c r="A277" s="2"/>
      <x:c r="B277" s="2"/>
      <x:c r="C277" s="2"/>
      <x:c r="D277" s="2"/>
      <x:c r="E277" s="2"/>
      <x:c r="F277" s="2"/>
      <x:c r="G277" s="97"/>
      <x:c r="H277" s="97"/>
      <x:c r="I277" s="98"/>
      <x:c r="J277" s="98"/>
      <x:c r="K277" s="2"/>
      <x:c r="L277" s="2"/>
      <x:c r="M277" s="2"/>
      <x:c r="N277" s="2"/>
      <x:c r="O277" s="2"/>
      <x:c r="P277" s="2"/>
      <x:c r="Q277" s="2"/>
    </x:row>
    <x:row r="278">
      <x:c r="A278" s="2"/>
      <x:c r="B278" s="2"/>
      <x:c r="C278" s="2"/>
      <x:c r="D278" s="2"/>
      <x:c r="E278" s="2"/>
      <x:c r="F278" s="2"/>
      <x:c r="G278" s="97"/>
      <x:c r="H278" s="97"/>
      <x:c r="I278" s="98"/>
      <x:c r="J278" s="98"/>
      <x:c r="K278" s="2"/>
      <x:c r="L278" s="2"/>
      <x:c r="M278" s="2"/>
      <x:c r="N278" s="2"/>
      <x:c r="O278" s="2"/>
      <x:c r="P278" s="2"/>
      <x:c r="Q278" s="2"/>
    </x:row>
    <x:row r="279">
      <x:c r="A279" s="2"/>
      <x:c r="B279" s="2"/>
      <x:c r="C279" s="2"/>
      <x:c r="D279" s="2"/>
      <x:c r="E279" s="2"/>
      <x:c r="F279" s="2"/>
      <x:c r="G279" s="97"/>
      <x:c r="H279" s="97"/>
      <x:c r="I279" s="98"/>
      <x:c r="J279" s="98"/>
      <x:c r="K279" s="2"/>
      <x:c r="L279" s="2"/>
      <x:c r="M279" s="2"/>
      <x:c r="N279" s="2"/>
      <x:c r="O279" s="2"/>
      <x:c r="P279" s="2"/>
      <x:c r="Q279" s="2"/>
    </x:row>
    <x:row r="280">
      <x:c r="A280" s="2"/>
      <x:c r="B280" s="2"/>
      <x:c r="C280" s="2"/>
      <x:c r="D280" s="2"/>
      <x:c r="E280" s="2"/>
      <x:c r="F280" s="2"/>
      <x:c r="G280" s="97"/>
      <x:c r="H280" s="97"/>
      <x:c r="I280" s="98"/>
      <x:c r="J280" s="98"/>
      <x:c r="K280" s="2"/>
      <x:c r="L280" s="2"/>
      <x:c r="M280" s="2"/>
      <x:c r="N280" s="2"/>
      <x:c r="O280" s="2"/>
      <x:c r="P280" s="2"/>
      <x:c r="Q280" s="2"/>
    </x:row>
    <x:row r="281">
      <x:c r="A281" s="2"/>
      <x:c r="B281" s="2"/>
      <x:c r="C281" s="2"/>
      <x:c r="D281" s="2"/>
      <x:c r="E281" s="2"/>
      <x:c r="F281" s="2"/>
      <x:c r="G281" s="97"/>
      <x:c r="H281" s="97"/>
      <x:c r="I281" s="98"/>
      <x:c r="J281" s="98"/>
      <x:c r="K281" s="2"/>
      <x:c r="L281" s="2"/>
      <x:c r="M281" s="2"/>
      <x:c r="N281" s="2"/>
      <x:c r="O281" s="2"/>
      <x:c r="P281" s="2"/>
      <x:c r="Q281" s="2"/>
    </x:row>
    <x:row r="282">
      <x:c r="A282" s="2"/>
      <x:c r="B282" s="2"/>
      <x:c r="C282" s="2"/>
      <x:c r="D282" s="2"/>
      <x:c r="E282" s="2"/>
      <x:c r="F282" s="2"/>
      <x:c r="G282" s="97"/>
      <x:c r="H282" s="97"/>
      <x:c r="I282" s="98"/>
      <x:c r="J282" s="98"/>
      <x:c r="K282" s="2"/>
      <x:c r="L282" s="2"/>
      <x:c r="M282" s="2"/>
      <x:c r="N282" s="2"/>
      <x:c r="O282" s="2"/>
      <x:c r="P282" s="2"/>
      <x:c r="Q282" s="2"/>
    </x:row>
    <x:row r="283">
      <x:c r="A283" s="2"/>
      <x:c r="B283" s="2"/>
      <x:c r="C283" s="2"/>
      <x:c r="D283" s="2"/>
      <x:c r="E283" s="2"/>
      <x:c r="F283" s="2"/>
      <x:c r="G283" s="97"/>
      <x:c r="H283" s="97"/>
      <x:c r="I283" s="98"/>
      <x:c r="J283" s="98"/>
      <x:c r="K283" s="2"/>
      <x:c r="L283" s="2"/>
      <x:c r="M283" s="2"/>
      <x:c r="N283" s="2"/>
      <x:c r="O283" s="2"/>
      <x:c r="P283" s="2"/>
      <x:c r="Q283" s="2"/>
    </x:row>
    <x:row r="284">
      <x:c r="A284" s="2"/>
      <x:c r="B284" s="2"/>
      <x:c r="C284" s="2"/>
      <x:c r="D284" s="2"/>
      <x:c r="E284" s="2"/>
      <x:c r="F284" s="2"/>
      <x:c r="G284" s="97"/>
      <x:c r="H284" s="97"/>
      <x:c r="I284" s="98"/>
      <x:c r="J284" s="98"/>
      <x:c r="K284" s="2"/>
      <x:c r="L284" s="2"/>
      <x:c r="M284" s="2"/>
      <x:c r="N284" s="2"/>
      <x:c r="O284" s="2"/>
      <x:c r="P284" s="2"/>
      <x:c r="Q284" s="2"/>
    </x:row>
    <x:row r="285">
      <x:c r="A285" s="2"/>
      <x:c r="B285" s="2"/>
      <x:c r="C285" s="2"/>
      <x:c r="D285" s="2"/>
      <x:c r="E285" s="2"/>
      <x:c r="F285" s="2"/>
      <x:c r="G285" s="97"/>
      <x:c r="H285" s="97"/>
      <x:c r="I285" s="98"/>
      <x:c r="J285" s="98"/>
      <x:c r="K285" s="2"/>
      <x:c r="L285" s="2"/>
      <x:c r="M285" s="2"/>
      <x:c r="N285" s="2"/>
      <x:c r="O285" s="2"/>
      <x:c r="P285" s="2"/>
      <x:c r="Q285" s="2"/>
    </x:row>
    <x:row r="286">
      <x:c r="A286" s="2"/>
      <x:c r="B286" s="2"/>
      <x:c r="C286" s="2"/>
      <x:c r="D286" s="2"/>
      <x:c r="E286" s="2"/>
      <x:c r="F286" s="2"/>
      <x:c r="G286" s="97"/>
      <x:c r="H286" s="97"/>
      <x:c r="I286" s="98"/>
      <x:c r="J286" s="98"/>
      <x:c r="K286" s="2"/>
      <x:c r="L286" s="2"/>
      <x:c r="M286" s="2"/>
      <x:c r="N286" s="2"/>
      <x:c r="O286" s="2"/>
      <x:c r="P286" s="2"/>
      <x:c r="Q286" s="2"/>
    </x:row>
    <x:row r="287">
      <x:c r="A287" s="2"/>
      <x:c r="B287" s="2"/>
      <x:c r="C287" s="2"/>
      <x:c r="D287" s="2"/>
      <x:c r="E287" s="2"/>
      <x:c r="F287" s="2"/>
      <x:c r="G287" s="97"/>
      <x:c r="H287" s="97"/>
      <x:c r="I287" s="98"/>
      <x:c r="J287" s="98"/>
      <x:c r="K287" s="2"/>
      <x:c r="L287" s="2"/>
      <x:c r="M287" s="2"/>
      <x:c r="N287" s="2"/>
      <x:c r="O287" s="2"/>
      <x:c r="P287" s="2"/>
      <x:c r="Q287" s="2"/>
    </x:row>
    <x:row r="288">
      <x:c r="A288" s="2"/>
      <x:c r="B288" s="2"/>
      <x:c r="C288" s="2"/>
      <x:c r="D288" s="2"/>
      <x:c r="E288" s="2"/>
      <x:c r="F288" s="2"/>
      <x:c r="G288" s="97"/>
      <x:c r="H288" s="97"/>
      <x:c r="I288" s="98"/>
      <x:c r="J288" s="98"/>
      <x:c r="K288" s="2"/>
      <x:c r="L288" s="2"/>
      <x:c r="M288" s="2"/>
      <x:c r="N288" s="2"/>
      <x:c r="O288" s="2"/>
      <x:c r="P288" s="2"/>
      <x:c r="Q288" s="2"/>
    </x:row>
    <x:row r="289">
      <x:c r="A289" s="2"/>
      <x:c r="B289" s="2"/>
      <x:c r="C289" s="2"/>
      <x:c r="D289" s="2"/>
      <x:c r="E289" s="2"/>
      <x:c r="F289" s="2"/>
      <x:c r="G289" s="97"/>
      <x:c r="H289" s="97"/>
      <x:c r="I289" s="98"/>
      <x:c r="J289" s="98"/>
      <x:c r="K289" s="2"/>
      <x:c r="L289" s="2"/>
      <x:c r="M289" s="2"/>
      <x:c r="N289" s="2"/>
      <x:c r="O289" s="2"/>
      <x:c r="P289" s="2"/>
      <x:c r="Q289" s="2"/>
    </x:row>
    <x:row r="290">
      <x:c r="A290" s="2"/>
      <x:c r="B290" s="2"/>
      <x:c r="C290" s="2"/>
      <x:c r="D290" s="2"/>
      <x:c r="E290" s="2"/>
      <x:c r="F290" s="2"/>
      <x:c r="G290" s="97"/>
      <x:c r="H290" s="97"/>
      <x:c r="I290" s="98"/>
      <x:c r="J290" s="98"/>
      <x:c r="K290" s="2"/>
      <x:c r="L290" s="2"/>
      <x:c r="M290" s="2"/>
      <x:c r="N290" s="2"/>
      <x:c r="O290" s="2"/>
      <x:c r="P290" s="2"/>
      <x:c r="Q290" s="2"/>
    </x:row>
    <x:row r="291">
      <x:c r="A291" s="2"/>
      <x:c r="B291" s="2"/>
      <x:c r="C291" s="2"/>
      <x:c r="D291" s="2"/>
      <x:c r="E291" s="2"/>
      <x:c r="F291" s="2"/>
      <x:c r="G291" s="97"/>
      <x:c r="H291" s="97"/>
      <x:c r="I291" s="98"/>
      <x:c r="J291" s="98"/>
      <x:c r="K291" s="2"/>
      <x:c r="L291" s="2"/>
      <x:c r="M291" s="2"/>
      <x:c r="N291" s="2"/>
      <x:c r="O291" s="2"/>
      <x:c r="P291" s="2"/>
      <x:c r="Q291" s="2"/>
    </x:row>
    <x:row r="292">
      <x:c r="A292" s="2"/>
      <x:c r="B292" s="2"/>
      <x:c r="C292" s="2"/>
      <x:c r="D292" s="2"/>
      <x:c r="E292" s="2"/>
      <x:c r="F292" s="2"/>
      <x:c r="G292" s="97"/>
      <x:c r="H292" s="97"/>
      <x:c r="I292" s="98"/>
      <x:c r="J292" s="98"/>
      <x:c r="K292" s="2"/>
      <x:c r="L292" s="2"/>
      <x:c r="M292" s="2"/>
      <x:c r="N292" s="2"/>
      <x:c r="O292" s="2"/>
      <x:c r="P292" s="2"/>
      <x:c r="Q292" s="2"/>
    </x:row>
    <x:row r="293">
      <x:c r="A293" s="2"/>
      <x:c r="B293" s="2"/>
      <x:c r="C293" s="2"/>
      <x:c r="D293" s="2"/>
      <x:c r="E293" s="2"/>
      <x:c r="F293" s="2"/>
      <x:c r="G293" s="97"/>
      <x:c r="H293" s="97"/>
      <x:c r="I293" s="98"/>
      <x:c r="J293" s="98"/>
      <x:c r="K293" s="2"/>
      <x:c r="L293" s="2"/>
      <x:c r="M293" s="2"/>
      <x:c r="N293" s="2"/>
      <x:c r="O293" s="2"/>
      <x:c r="P293" s="2"/>
      <x:c r="Q293" s="2"/>
    </x:row>
    <x:row r="294">
      <x:c r="A294" s="2"/>
      <x:c r="B294" s="2"/>
      <x:c r="C294" s="2"/>
      <x:c r="D294" s="2"/>
      <x:c r="E294" s="2"/>
      <x:c r="F294" s="2"/>
      <x:c r="G294" s="97"/>
      <x:c r="H294" s="97"/>
      <x:c r="I294" s="98"/>
      <x:c r="J294" s="98"/>
      <x:c r="K294" s="2"/>
      <x:c r="L294" s="2"/>
      <x:c r="M294" s="2"/>
      <x:c r="N294" s="2"/>
      <x:c r="O294" s="2"/>
      <x:c r="P294" s="2"/>
      <x:c r="Q294" s="2"/>
    </x:row>
    <x:row r="295">
      <x:c r="A295" s="2"/>
      <x:c r="B295" s="2"/>
      <x:c r="C295" s="2"/>
      <x:c r="D295" s="2"/>
      <x:c r="E295" s="2"/>
      <x:c r="F295" s="2"/>
      <x:c r="G295" s="97"/>
      <x:c r="H295" s="97"/>
      <x:c r="I295" s="98"/>
      <x:c r="J295" s="98"/>
      <x:c r="K295" s="2"/>
      <x:c r="L295" s="2"/>
      <x:c r="M295" s="2"/>
      <x:c r="N295" s="2"/>
      <x:c r="O295" s="2"/>
      <x:c r="P295" s="2"/>
      <x:c r="Q295" s="2"/>
    </x:row>
    <x:row r="296">
      <x:c r="A296" s="2"/>
      <x:c r="B296" s="2"/>
      <x:c r="C296" s="2"/>
      <x:c r="D296" s="2"/>
      <x:c r="E296" s="2"/>
      <x:c r="F296" s="2"/>
      <x:c r="G296" s="97"/>
      <x:c r="H296" s="97"/>
      <x:c r="I296" s="98"/>
      <x:c r="J296" s="98"/>
      <x:c r="K296" s="2"/>
      <x:c r="L296" s="2"/>
      <x:c r="M296" s="2"/>
      <x:c r="N296" s="2"/>
      <x:c r="O296" s="2"/>
      <x:c r="P296" s="2"/>
      <x:c r="Q296" s="2"/>
    </x:row>
    <x:row r="297">
      <x:c r="A297" s="2"/>
      <x:c r="B297" s="2"/>
      <x:c r="C297" s="2"/>
      <x:c r="D297" s="2"/>
      <x:c r="E297" s="2"/>
      <x:c r="F297" s="2"/>
      <x:c r="G297" s="97"/>
      <x:c r="H297" s="97"/>
      <x:c r="I297" s="98"/>
      <x:c r="J297" s="98"/>
      <x:c r="K297" s="2"/>
      <x:c r="L297" s="2"/>
      <x:c r="M297" s="2"/>
      <x:c r="N297" s="2"/>
      <x:c r="O297" s="2"/>
      <x:c r="P297" s="2"/>
      <x:c r="Q297" s="2"/>
    </x:row>
    <x:row r="298">
      <x:c r="A298" s="2"/>
      <x:c r="B298" s="2"/>
      <x:c r="C298" s="2"/>
      <x:c r="D298" s="2"/>
      <x:c r="E298" s="2"/>
      <x:c r="F298" s="2"/>
      <x:c r="G298" s="97"/>
      <x:c r="H298" s="97"/>
      <x:c r="I298" s="98"/>
      <x:c r="J298" s="98"/>
      <x:c r="K298" s="2"/>
      <x:c r="L298" s="2"/>
      <x:c r="M298" s="2"/>
      <x:c r="N298" s="2"/>
      <x:c r="O298" s="2"/>
      <x:c r="P298" s="2"/>
      <x:c r="Q298" s="2"/>
    </x:row>
    <x:row r="299">
      <x:c r="A299" s="2"/>
      <x:c r="B299" s="2"/>
      <x:c r="C299" s="2"/>
      <x:c r="D299" s="2"/>
      <x:c r="E299" s="2"/>
      <x:c r="F299" s="2"/>
      <x:c r="G299" s="97"/>
      <x:c r="H299" s="97"/>
      <x:c r="I299" s="98"/>
      <x:c r="J299" s="98"/>
      <x:c r="K299" s="2"/>
      <x:c r="L299" s="2"/>
      <x:c r="M299" s="2"/>
      <x:c r="N299" s="2"/>
      <x:c r="O299" s="2"/>
      <x:c r="P299" s="2"/>
      <x:c r="Q299" s="2"/>
    </x:row>
    <x:row r="300">
      <x:c r="A300" s="2"/>
      <x:c r="B300" s="2"/>
      <x:c r="C300" s="2"/>
      <x:c r="D300" s="2"/>
      <x:c r="E300" s="2"/>
      <x:c r="F300" s="2"/>
      <x:c r="G300" s="97"/>
      <x:c r="H300" s="97"/>
      <x:c r="I300" s="98"/>
      <x:c r="J300" s="98"/>
      <x:c r="K300" s="2"/>
      <x:c r="L300" s="2"/>
      <x:c r="M300" s="2"/>
      <x:c r="N300" s="2"/>
      <x:c r="O300" s="2"/>
      <x:c r="P300" s="2"/>
      <x:c r="Q300" s="2"/>
    </x:row>
    <x:row r="301">
      <x:c r="A301" s="2"/>
      <x:c r="B301" s="2"/>
      <x:c r="C301" s="2"/>
      <x:c r="D301" s="2"/>
      <x:c r="E301" s="2"/>
      <x:c r="F301" s="2"/>
      <x:c r="G301" s="97"/>
      <x:c r="H301" s="97"/>
      <x:c r="I301" s="98"/>
      <x:c r="J301" s="98"/>
      <x:c r="K301" s="2"/>
      <x:c r="L301" s="2"/>
      <x:c r="M301" s="2"/>
      <x:c r="N301" s="2"/>
      <x:c r="O301" s="2"/>
      <x:c r="P301" s="2"/>
      <x:c r="Q301" s="2"/>
    </x:row>
    <x:row r="302">
      <x:c r="A302" s="2"/>
      <x:c r="B302" s="2"/>
      <x:c r="C302" s="2"/>
      <x:c r="D302" s="2"/>
      <x:c r="E302" s="2"/>
      <x:c r="F302" s="2"/>
      <x:c r="G302" s="97"/>
      <x:c r="H302" s="97"/>
      <x:c r="I302" s="98"/>
      <x:c r="J302" s="98"/>
      <x:c r="K302" s="2"/>
      <x:c r="L302" s="2"/>
      <x:c r="M302" s="2"/>
      <x:c r="N302" s="2"/>
      <x:c r="O302" s="2"/>
      <x:c r="P302" s="2"/>
      <x:c r="Q302" s="2"/>
    </x:row>
    <x:row r="303">
      <x:c r="A303" s="2"/>
      <x:c r="B303" s="2"/>
      <x:c r="C303" s="2"/>
      <x:c r="D303" s="2"/>
      <x:c r="E303" s="2"/>
      <x:c r="F303" s="2"/>
      <x:c r="G303" s="97"/>
      <x:c r="H303" s="97"/>
      <x:c r="I303" s="98"/>
      <x:c r="J303" s="98"/>
      <x:c r="K303" s="2"/>
      <x:c r="L303" s="2"/>
      <x:c r="M303" s="2"/>
      <x:c r="N303" s="2"/>
      <x:c r="O303" s="2"/>
      <x:c r="P303" s="2"/>
      <x:c r="Q303" s="2"/>
    </x:row>
    <x:row r="304">
      <x:c r="A304" s="2"/>
      <x:c r="B304" s="2"/>
      <x:c r="C304" s="2"/>
      <x:c r="D304" s="2"/>
      <x:c r="E304" s="2"/>
      <x:c r="F304" s="2"/>
      <x:c r="G304" s="97"/>
      <x:c r="H304" s="97"/>
      <x:c r="I304" s="98"/>
      <x:c r="J304" s="98"/>
      <x:c r="K304" s="2"/>
      <x:c r="L304" s="2"/>
      <x:c r="M304" s="2"/>
      <x:c r="N304" s="2"/>
      <x:c r="O304" s="2"/>
      <x:c r="P304" s="2"/>
      <x:c r="Q304" s="2"/>
    </x:row>
    <x:row r="305">
      <x:c r="A305" s="2"/>
      <x:c r="B305" s="2"/>
      <x:c r="C305" s="2"/>
      <x:c r="D305" s="2"/>
      <x:c r="E305" s="2"/>
      <x:c r="F305" s="2"/>
      <x:c r="G305" s="97"/>
      <x:c r="H305" s="97"/>
      <x:c r="I305" s="98"/>
      <x:c r="J305" s="98"/>
      <x:c r="K305" s="2"/>
      <x:c r="L305" s="2"/>
      <x:c r="M305" s="2"/>
      <x:c r="N305" s="2"/>
      <x:c r="O305" s="2"/>
      <x:c r="P305" s="2"/>
      <x:c r="Q305" s="2"/>
    </x:row>
    <x:row r="306">
      <x:c r="A306" s="2"/>
      <x:c r="B306" s="2"/>
      <x:c r="C306" s="2"/>
      <x:c r="D306" s="2"/>
      <x:c r="E306" s="2"/>
      <x:c r="F306" s="2"/>
      <x:c r="G306" s="97"/>
      <x:c r="H306" s="97"/>
      <x:c r="I306" s="98"/>
      <x:c r="J306" s="98"/>
      <x:c r="K306" s="2"/>
      <x:c r="L306" s="2"/>
      <x:c r="M306" s="2"/>
      <x:c r="N306" s="2"/>
      <x:c r="O306" s="2"/>
      <x:c r="P306" s="2"/>
      <x:c r="Q306" s="2"/>
    </x:row>
    <x:row r="307">
      <x:c r="A307" s="2"/>
      <x:c r="B307" s="2"/>
      <x:c r="C307" s="2"/>
      <x:c r="D307" s="2"/>
      <x:c r="E307" s="2"/>
      <x:c r="F307" s="2"/>
      <x:c r="G307" s="97"/>
      <x:c r="H307" s="97"/>
      <x:c r="I307" s="98"/>
      <x:c r="J307" s="98"/>
      <x:c r="K307" s="2"/>
      <x:c r="L307" s="2"/>
      <x:c r="M307" s="2"/>
      <x:c r="N307" s="2"/>
      <x:c r="O307" s="2"/>
      <x:c r="P307" s="2"/>
      <x:c r="Q307" s="2"/>
    </x:row>
    <x:row r="308">
      <x:c r="A308" s="2"/>
      <x:c r="B308" s="2"/>
      <x:c r="C308" s="2"/>
      <x:c r="D308" s="2"/>
      <x:c r="E308" s="2"/>
      <x:c r="F308" s="2"/>
      <x:c r="G308" s="97"/>
      <x:c r="H308" s="97"/>
      <x:c r="I308" s="98"/>
      <x:c r="J308" s="98"/>
      <x:c r="K308" s="2"/>
      <x:c r="L308" s="2"/>
      <x:c r="M308" s="2"/>
      <x:c r="N308" s="2"/>
      <x:c r="O308" s="2"/>
      <x:c r="P308" s="2"/>
      <x:c r="Q308" s="2"/>
    </x:row>
    <x:row r="309">
      <x:c r="A309" s="2"/>
      <x:c r="B309" s="2"/>
      <x:c r="C309" s="2"/>
      <x:c r="D309" s="2"/>
      <x:c r="E309" s="2"/>
      <x:c r="F309" s="2"/>
      <x:c r="G309" s="97"/>
      <x:c r="H309" s="97"/>
      <x:c r="I309" s="98"/>
      <x:c r="J309" s="98"/>
      <x:c r="K309" s="2"/>
      <x:c r="L309" s="2"/>
      <x:c r="M309" s="2"/>
      <x:c r="N309" s="2"/>
      <x:c r="O309" s="2"/>
      <x:c r="P309" s="2"/>
      <x:c r="Q309" s="2"/>
    </x:row>
    <x:row r="310">
      <x:c r="A310" s="2"/>
      <x:c r="B310" s="2"/>
      <x:c r="C310" s="2"/>
      <x:c r="D310" s="2"/>
      <x:c r="E310" s="2"/>
      <x:c r="F310" s="2"/>
      <x:c r="G310" s="97"/>
      <x:c r="H310" s="97"/>
      <x:c r="I310" s="98"/>
      <x:c r="J310" s="98"/>
      <x:c r="K310" s="2"/>
      <x:c r="L310" s="2"/>
      <x:c r="M310" s="2"/>
      <x:c r="N310" s="2"/>
      <x:c r="O310" s="2"/>
      <x:c r="P310" s="2"/>
      <x:c r="Q310" s="2"/>
    </x:row>
    <x:row r="311">
      <x:c r="A311" s="2"/>
      <x:c r="B311" s="2"/>
      <x:c r="C311" s="2"/>
      <x:c r="D311" s="2"/>
      <x:c r="E311" s="2"/>
      <x:c r="F311" s="2"/>
      <x:c r="G311" s="97"/>
      <x:c r="H311" s="97"/>
      <x:c r="I311" s="98"/>
      <x:c r="J311" s="98"/>
      <x:c r="K311" s="2"/>
      <x:c r="L311" s="2"/>
      <x:c r="M311" s="2"/>
      <x:c r="N311" s="2"/>
      <x:c r="O311" s="2"/>
      <x:c r="P311" s="2"/>
      <x:c r="Q311" s="2"/>
    </x:row>
    <x:row r="312">
      <x:c r="A312" s="2"/>
      <x:c r="B312" s="2"/>
      <x:c r="C312" s="2"/>
      <x:c r="D312" s="2"/>
      <x:c r="E312" s="2"/>
      <x:c r="F312" s="2"/>
      <x:c r="G312" s="97"/>
      <x:c r="H312" s="97"/>
      <x:c r="I312" s="98"/>
      <x:c r="J312" s="98"/>
      <x:c r="K312" s="2"/>
      <x:c r="L312" s="2"/>
      <x:c r="M312" s="2"/>
      <x:c r="N312" s="2"/>
      <x:c r="O312" s="2"/>
      <x:c r="P312" s="2"/>
      <x:c r="Q312" s="2"/>
    </x:row>
    <x:row r="313">
      <x:c r="A313" s="2"/>
      <x:c r="B313" s="2"/>
      <x:c r="C313" s="2"/>
      <x:c r="D313" s="2"/>
      <x:c r="E313" s="2"/>
      <x:c r="F313" s="2"/>
      <x:c r="G313" s="97"/>
      <x:c r="H313" s="97"/>
      <x:c r="I313" s="98"/>
      <x:c r="J313" s="98"/>
      <x:c r="K313" s="2"/>
      <x:c r="L313" s="2"/>
      <x:c r="M313" s="2"/>
      <x:c r="N313" s="2"/>
      <x:c r="O313" s="2"/>
      <x:c r="P313" s="2"/>
      <x:c r="Q313" s="2"/>
    </x:row>
    <x:row r="314">
      <x:c r="A314" s="2"/>
      <x:c r="B314" s="2"/>
      <x:c r="C314" s="2"/>
      <x:c r="D314" s="2"/>
      <x:c r="E314" s="2"/>
      <x:c r="F314" s="2"/>
      <x:c r="G314" s="97"/>
      <x:c r="H314" s="97"/>
      <x:c r="I314" s="98"/>
      <x:c r="J314" s="98"/>
      <x:c r="K314" s="2"/>
      <x:c r="L314" s="2"/>
      <x:c r="M314" s="2"/>
      <x:c r="N314" s="2"/>
      <x:c r="O314" s="2"/>
      <x:c r="P314" s="2"/>
      <x:c r="Q314" s="2"/>
    </x:row>
    <x:row r="315">
      <x:c r="A315" s="2"/>
      <x:c r="B315" s="2"/>
      <x:c r="C315" s="2"/>
      <x:c r="D315" s="2"/>
      <x:c r="E315" s="2"/>
      <x:c r="F315" s="2"/>
      <x:c r="G315" s="97"/>
      <x:c r="H315" s="97"/>
      <x:c r="I315" s="98"/>
      <x:c r="J315" s="98"/>
      <x:c r="K315" s="2"/>
      <x:c r="L315" s="2"/>
      <x:c r="M315" s="2"/>
      <x:c r="N315" s="2"/>
      <x:c r="O315" s="2"/>
      <x:c r="P315" s="2"/>
      <x:c r="Q315" s="2"/>
    </x:row>
    <x:row r="316">
      <x:c r="A316" s="2"/>
      <x:c r="B316" s="2"/>
      <x:c r="C316" s="2"/>
      <x:c r="D316" s="2"/>
      <x:c r="E316" s="2"/>
      <x:c r="F316" s="2"/>
      <x:c r="G316" s="97"/>
      <x:c r="H316" s="97"/>
      <x:c r="I316" s="98"/>
      <x:c r="J316" s="98"/>
      <x:c r="K316" s="2"/>
      <x:c r="L316" s="2"/>
      <x:c r="M316" s="2"/>
      <x:c r="N316" s="2"/>
      <x:c r="O316" s="2"/>
      <x:c r="P316" s="2"/>
      <x:c r="Q316" s="2"/>
    </x:row>
    <x:row r="317">
      <x:c r="A317" s="2"/>
      <x:c r="B317" s="2"/>
      <x:c r="C317" s="2"/>
      <x:c r="D317" s="2"/>
      <x:c r="E317" s="2"/>
      <x:c r="F317" s="2"/>
      <x:c r="G317" s="97"/>
      <x:c r="H317" s="97"/>
      <x:c r="I317" s="98"/>
      <x:c r="J317" s="98"/>
      <x:c r="K317" s="2"/>
      <x:c r="L317" s="2"/>
      <x:c r="M317" s="2"/>
      <x:c r="N317" s="2"/>
      <x:c r="O317" s="2"/>
      <x:c r="P317" s="2"/>
      <x:c r="Q317" s="2"/>
    </x:row>
    <x:row r="318">
      <x:c r="A318" s="2"/>
      <x:c r="B318" s="2"/>
      <x:c r="C318" s="2"/>
      <x:c r="D318" s="2"/>
      <x:c r="E318" s="2"/>
      <x:c r="F318" s="2"/>
      <x:c r="G318" s="97"/>
      <x:c r="H318" s="97"/>
      <x:c r="I318" s="98"/>
      <x:c r="J318" s="98"/>
      <x:c r="K318" s="2"/>
      <x:c r="L318" s="2"/>
      <x:c r="M318" s="2"/>
      <x:c r="N318" s="2"/>
      <x:c r="O318" s="2"/>
      <x:c r="P318" s="2"/>
      <x:c r="Q318" s="2"/>
    </x:row>
    <x:row r="319">
      <x:c r="A319" s="2"/>
      <x:c r="B319" s="2"/>
      <x:c r="C319" s="2"/>
      <x:c r="D319" s="2"/>
      <x:c r="E319" s="2"/>
      <x:c r="F319" s="2"/>
      <x:c r="G319" s="97"/>
      <x:c r="H319" s="97"/>
      <x:c r="I319" s="98"/>
      <x:c r="J319" s="98"/>
      <x:c r="K319" s="2"/>
      <x:c r="L319" s="2"/>
      <x:c r="M319" s="2"/>
      <x:c r="N319" s="2"/>
      <x:c r="O319" s="2"/>
      <x:c r="P319" s="2"/>
      <x:c r="Q319" s="2"/>
    </x:row>
    <x:row r="320">
      <x:c r="A320" s="2"/>
      <x:c r="B320" s="2"/>
      <x:c r="C320" s="2"/>
      <x:c r="D320" s="2"/>
      <x:c r="E320" s="2"/>
      <x:c r="F320" s="2"/>
      <x:c r="G320" s="97"/>
      <x:c r="H320" s="97"/>
      <x:c r="I320" s="98"/>
      <x:c r="J320" s="98"/>
      <x:c r="K320" s="2"/>
      <x:c r="L320" s="2"/>
      <x:c r="M320" s="2"/>
      <x:c r="N320" s="2"/>
      <x:c r="O320" s="2"/>
      <x:c r="P320" s="2"/>
      <x:c r="Q320" s="2"/>
    </x:row>
    <x:row r="321">
      <x:c r="A321" s="2"/>
      <x:c r="B321" s="2"/>
      <x:c r="C321" s="2"/>
      <x:c r="D321" s="2"/>
      <x:c r="E321" s="2"/>
      <x:c r="F321" s="2"/>
      <x:c r="G321" s="97"/>
      <x:c r="H321" s="97"/>
      <x:c r="I321" s="98"/>
      <x:c r="J321" s="98"/>
      <x:c r="K321" s="2"/>
      <x:c r="L321" s="2"/>
      <x:c r="M321" s="2"/>
      <x:c r="N321" s="2"/>
      <x:c r="O321" s="2"/>
      <x:c r="P321" s="2"/>
      <x:c r="Q321" s="2"/>
    </x:row>
    <x:row r="322">
      <x:c r="A322" s="2"/>
      <x:c r="B322" s="2"/>
      <x:c r="C322" s="2"/>
      <x:c r="D322" s="2"/>
      <x:c r="E322" s="2"/>
      <x:c r="F322" s="2"/>
      <x:c r="G322" s="97"/>
      <x:c r="H322" s="97"/>
      <x:c r="I322" s="98"/>
      <x:c r="J322" s="98"/>
      <x:c r="K322" s="2"/>
      <x:c r="L322" s="2"/>
      <x:c r="M322" s="2"/>
      <x:c r="N322" s="2"/>
      <x:c r="O322" s="2"/>
      <x:c r="P322" s="2"/>
      <x:c r="Q322" s="2"/>
    </x:row>
    <x:row r="323">
      <x:c r="A323" s="2"/>
      <x:c r="B323" s="2"/>
      <x:c r="C323" s="2"/>
      <x:c r="D323" s="2"/>
      <x:c r="E323" s="2"/>
      <x:c r="F323" s="2"/>
      <x:c r="G323" s="97"/>
      <x:c r="H323" s="97"/>
      <x:c r="I323" s="98"/>
      <x:c r="J323" s="98"/>
      <x:c r="K323" s="2"/>
      <x:c r="L323" s="2"/>
      <x:c r="M323" s="2"/>
      <x:c r="N323" s="2"/>
      <x:c r="O323" s="2"/>
      <x:c r="P323" s="2"/>
      <x:c r="Q323" s="2"/>
    </x:row>
    <x:row r="324">
      <x:c r="A324" s="2"/>
      <x:c r="B324" s="2"/>
      <x:c r="C324" s="2"/>
      <x:c r="D324" s="2"/>
      <x:c r="E324" s="2"/>
      <x:c r="F324" s="2"/>
      <x:c r="G324" s="97"/>
      <x:c r="H324" s="97"/>
      <x:c r="I324" s="98"/>
      <x:c r="J324" s="98"/>
      <x:c r="K324" s="2"/>
      <x:c r="L324" s="2"/>
      <x:c r="M324" s="2"/>
      <x:c r="N324" s="2"/>
      <x:c r="O324" s="2"/>
      <x:c r="P324" s="2"/>
      <x:c r="Q324" s="2"/>
    </x:row>
    <x:row r="325">
      <x:c r="A325" s="2"/>
      <x:c r="B325" s="2"/>
      <x:c r="C325" s="2"/>
      <x:c r="D325" s="2"/>
      <x:c r="E325" s="2"/>
      <x:c r="F325" s="2"/>
      <x:c r="G325" s="97"/>
      <x:c r="H325" s="97"/>
      <x:c r="I325" s="98"/>
      <x:c r="J325" s="98"/>
      <x:c r="K325" s="2"/>
      <x:c r="L325" s="2"/>
      <x:c r="M325" s="2"/>
      <x:c r="N325" s="2"/>
      <x:c r="O325" s="2"/>
      <x:c r="P325" s="2"/>
      <x:c r="Q325" s="2"/>
    </x:row>
    <x:row r="326">
      <x:c r="A326" s="2"/>
      <x:c r="B326" s="2"/>
      <x:c r="C326" s="2"/>
      <x:c r="D326" s="2"/>
      <x:c r="E326" s="2"/>
      <x:c r="F326" s="2"/>
      <x:c r="G326" s="97"/>
      <x:c r="H326" s="97"/>
      <x:c r="I326" s="98"/>
      <x:c r="J326" s="98"/>
      <x:c r="K326" s="2"/>
      <x:c r="L326" s="2"/>
      <x:c r="M326" s="2"/>
      <x:c r="N326" s="2"/>
      <x:c r="O326" s="2"/>
      <x:c r="P326" s="2"/>
      <x:c r="Q326" s="2"/>
    </x:row>
    <x:row r="327">
      <x:c r="A327" s="2"/>
      <x:c r="B327" s="2"/>
      <x:c r="C327" s="2"/>
      <x:c r="D327" s="2"/>
      <x:c r="E327" s="2"/>
      <x:c r="F327" s="2"/>
      <x:c r="G327" s="97"/>
      <x:c r="H327" s="97"/>
      <x:c r="I327" s="98"/>
      <x:c r="J327" s="98"/>
      <x:c r="K327" s="2"/>
      <x:c r="L327" s="2"/>
      <x:c r="M327" s="2"/>
      <x:c r="N327" s="2"/>
      <x:c r="O327" s="2"/>
      <x:c r="P327" s="2"/>
      <x:c r="Q327" s="2"/>
    </x:row>
    <x:row r="328">
      <x:c r="A328" s="2"/>
      <x:c r="B328" s="2"/>
      <x:c r="C328" s="2"/>
      <x:c r="D328" s="2"/>
      <x:c r="E328" s="2"/>
      <x:c r="F328" s="2"/>
      <x:c r="G328" s="97"/>
      <x:c r="H328" s="97"/>
      <x:c r="I328" s="98"/>
      <x:c r="J328" s="98"/>
      <x:c r="K328" s="2"/>
      <x:c r="L328" s="2"/>
      <x:c r="M328" s="2"/>
      <x:c r="N328" s="2"/>
      <x:c r="O328" s="2"/>
      <x:c r="P328" s="2"/>
      <x:c r="Q328" s="2"/>
    </x:row>
    <x:row r="329">
      <x:c r="A329" s="2"/>
      <x:c r="B329" s="2"/>
      <x:c r="C329" s="2"/>
      <x:c r="D329" s="2"/>
      <x:c r="E329" s="2"/>
      <x:c r="F329" s="2"/>
      <x:c r="G329" s="97"/>
      <x:c r="H329" s="97"/>
      <x:c r="I329" s="98"/>
      <x:c r="J329" s="98"/>
      <x:c r="K329" s="2"/>
      <x:c r="L329" s="2"/>
      <x:c r="M329" s="2"/>
      <x:c r="N329" s="2"/>
      <x:c r="O329" s="2"/>
      <x:c r="P329" s="2"/>
      <x:c r="Q329" s="2"/>
    </x:row>
    <x:row r="330">
      <x:c r="A330" s="2"/>
      <x:c r="B330" s="2"/>
      <x:c r="C330" s="2"/>
      <x:c r="D330" s="2"/>
      <x:c r="E330" s="2"/>
      <x:c r="F330" s="2"/>
      <x:c r="G330" s="97"/>
      <x:c r="H330" s="97"/>
      <x:c r="I330" s="98"/>
      <x:c r="J330" s="98"/>
      <x:c r="K330" s="2"/>
      <x:c r="L330" s="2"/>
      <x:c r="M330" s="2"/>
      <x:c r="N330" s="2"/>
      <x:c r="O330" s="2"/>
      <x:c r="P330" s="2"/>
      <x:c r="Q330" s="2"/>
    </x:row>
    <x:row r="331">
      <x:c r="A331" s="2"/>
      <x:c r="B331" s="2"/>
      <x:c r="C331" s="2"/>
      <x:c r="D331" s="2"/>
      <x:c r="E331" s="2"/>
      <x:c r="F331" s="2"/>
      <x:c r="G331" s="97"/>
      <x:c r="H331" s="97"/>
      <x:c r="I331" s="98"/>
      <x:c r="J331" s="98"/>
      <x:c r="K331" s="2"/>
      <x:c r="L331" s="2"/>
      <x:c r="M331" s="2"/>
      <x:c r="N331" s="2"/>
      <x:c r="O331" s="2"/>
      <x:c r="P331" s="2"/>
      <x:c r="Q331" s="2"/>
    </x:row>
    <x:row r="332">
      <x:c r="A332" s="2"/>
      <x:c r="B332" s="2"/>
      <x:c r="C332" s="2"/>
      <x:c r="D332" s="2"/>
      <x:c r="E332" s="2"/>
      <x:c r="F332" s="2"/>
      <x:c r="G332" s="97"/>
      <x:c r="H332" s="97"/>
      <x:c r="I332" s="98"/>
      <x:c r="J332" s="98"/>
      <x:c r="K332" s="2"/>
      <x:c r="L332" s="2"/>
      <x:c r="M332" s="2"/>
      <x:c r="N332" s="2"/>
      <x:c r="O332" s="2"/>
      <x:c r="P332" s="2"/>
      <x:c r="Q332" s="2"/>
    </x:row>
    <x:row r="333">
      <x:c r="A333" s="2"/>
      <x:c r="B333" s="2"/>
      <x:c r="C333" s="2"/>
      <x:c r="D333" s="2"/>
      <x:c r="E333" s="2"/>
      <x:c r="F333" s="2"/>
      <x:c r="G333" s="97"/>
      <x:c r="H333" s="97"/>
      <x:c r="I333" s="98"/>
      <x:c r="J333" s="98"/>
      <x:c r="K333" s="2"/>
      <x:c r="L333" s="2"/>
      <x:c r="M333" s="2"/>
      <x:c r="N333" s="2"/>
      <x:c r="O333" s="2"/>
      <x:c r="P333" s="2"/>
      <x:c r="Q333" s="2"/>
    </x:row>
    <x:row r="334">
      <x:c r="A334" s="2"/>
      <x:c r="B334" s="2"/>
      <x:c r="C334" s="2"/>
      <x:c r="D334" s="2"/>
      <x:c r="E334" s="2"/>
      <x:c r="F334" s="2"/>
      <x:c r="G334" s="97"/>
      <x:c r="H334" s="97"/>
      <x:c r="I334" s="98"/>
      <x:c r="J334" s="98"/>
      <x:c r="K334" s="2"/>
      <x:c r="L334" s="2"/>
      <x:c r="M334" s="2"/>
      <x:c r="N334" s="2"/>
      <x:c r="O334" s="2"/>
      <x:c r="P334" s="2"/>
      <x:c r="Q334" s="2"/>
    </x:row>
    <x:row r="335">
      <x:c r="A335" s="2"/>
      <x:c r="B335" s="2"/>
      <x:c r="C335" s="2"/>
      <x:c r="D335" s="2"/>
      <x:c r="E335" s="2"/>
      <x:c r="F335" s="2"/>
      <x:c r="G335" s="97"/>
      <x:c r="H335" s="97"/>
      <x:c r="I335" s="98"/>
      <x:c r="J335" s="98"/>
      <x:c r="K335" s="2"/>
      <x:c r="L335" s="2"/>
      <x:c r="M335" s="2"/>
      <x:c r="N335" s="2"/>
      <x:c r="O335" s="2"/>
      <x:c r="P335" s="2"/>
      <x:c r="Q335" s="2"/>
    </x:row>
    <x:row r="336">
      <x:c r="A336" s="2"/>
      <x:c r="B336" s="2"/>
      <x:c r="C336" s="2"/>
      <x:c r="D336" s="2"/>
      <x:c r="E336" s="2"/>
      <x:c r="F336" s="2"/>
      <x:c r="G336" s="97"/>
      <x:c r="H336" s="97"/>
      <x:c r="I336" s="98"/>
      <x:c r="J336" s="98"/>
      <x:c r="K336" s="2"/>
      <x:c r="L336" s="2"/>
      <x:c r="M336" s="2"/>
      <x:c r="N336" s="2"/>
      <x:c r="O336" s="2"/>
      <x:c r="P336" s="2"/>
      <x:c r="Q336" s="2"/>
    </x:row>
    <x:row r="337">
      <x:c r="A337" s="2"/>
      <x:c r="B337" s="2"/>
      <x:c r="C337" s="2"/>
      <x:c r="D337" s="2"/>
      <x:c r="E337" s="2"/>
      <x:c r="F337" s="2"/>
      <x:c r="G337" s="97"/>
      <x:c r="H337" s="97"/>
      <x:c r="I337" s="98"/>
      <x:c r="J337" s="98"/>
      <x:c r="K337" s="2"/>
      <x:c r="L337" s="2"/>
      <x:c r="M337" s="2"/>
      <x:c r="N337" s="2"/>
      <x:c r="O337" s="2"/>
      <x:c r="P337" s="2"/>
      <x:c r="Q337" s="2"/>
    </x:row>
    <x:row r="338">
      <x:c r="A338" s="2"/>
      <x:c r="B338" s="2"/>
      <x:c r="C338" s="2"/>
      <x:c r="D338" s="2"/>
      <x:c r="E338" s="2"/>
      <x:c r="F338" s="2"/>
      <x:c r="G338" s="97"/>
      <x:c r="H338" s="97"/>
      <x:c r="I338" s="98"/>
      <x:c r="J338" s="98"/>
      <x:c r="K338" s="2"/>
      <x:c r="L338" s="2"/>
      <x:c r="M338" s="2"/>
      <x:c r="N338" s="2"/>
      <x:c r="O338" s="2"/>
      <x:c r="P338" s="2"/>
      <x:c r="Q338" s="2"/>
    </x:row>
    <x:row r="339">
      <x:c r="A339" s="2"/>
      <x:c r="B339" s="2"/>
      <x:c r="C339" s="2"/>
      <x:c r="D339" s="2"/>
      <x:c r="E339" s="2"/>
      <x:c r="F339" s="2"/>
      <x:c r="G339" s="97"/>
      <x:c r="H339" s="97"/>
      <x:c r="I339" s="98"/>
      <x:c r="J339" s="98"/>
      <x:c r="K339" s="2"/>
      <x:c r="L339" s="2"/>
      <x:c r="M339" s="2"/>
      <x:c r="N339" s="2"/>
      <x:c r="O339" s="2"/>
      <x:c r="P339" s="2"/>
      <x:c r="Q339" s="2"/>
    </x:row>
    <x:row r="340">
      <x:c r="A340" s="2"/>
      <x:c r="B340" s="2"/>
      <x:c r="C340" s="2"/>
      <x:c r="D340" s="2"/>
      <x:c r="E340" s="2"/>
      <x:c r="F340" s="2"/>
      <x:c r="G340" s="97"/>
      <x:c r="H340" s="97"/>
      <x:c r="I340" s="98"/>
      <x:c r="J340" s="98"/>
      <x:c r="K340" s="2"/>
      <x:c r="L340" s="2"/>
      <x:c r="M340" s="2"/>
      <x:c r="N340" s="2"/>
      <x:c r="O340" s="2"/>
      <x:c r="P340" s="2"/>
      <x:c r="Q340" s="2"/>
    </x:row>
    <x:row r="341">
      <x:c r="A341" s="2"/>
      <x:c r="B341" s="2"/>
      <x:c r="C341" s="2"/>
      <x:c r="D341" s="2"/>
      <x:c r="E341" s="2"/>
      <x:c r="F341" s="2"/>
      <x:c r="G341" s="97"/>
      <x:c r="H341" s="97"/>
      <x:c r="I341" s="98"/>
      <x:c r="J341" s="98"/>
      <x:c r="K341" s="2"/>
      <x:c r="L341" s="2"/>
      <x:c r="M341" s="2"/>
      <x:c r="N341" s="2"/>
      <x:c r="O341" s="2"/>
      <x:c r="P341" s="2"/>
      <x:c r="Q341" s="2"/>
    </x:row>
    <x:row r="342">
      <x:c r="A342" s="2"/>
      <x:c r="B342" s="2"/>
      <x:c r="C342" s="2"/>
      <x:c r="D342" s="2"/>
      <x:c r="E342" s="2"/>
      <x:c r="F342" s="2"/>
      <x:c r="G342" s="97"/>
      <x:c r="H342" s="97"/>
      <x:c r="I342" s="98"/>
      <x:c r="J342" s="98"/>
      <x:c r="K342" s="2"/>
      <x:c r="L342" s="2"/>
      <x:c r="M342" s="2"/>
      <x:c r="N342" s="2"/>
      <x:c r="O342" s="2"/>
      <x:c r="P342" s="2"/>
      <x:c r="Q342" s="2"/>
    </x:row>
    <x:row r="343">
      <x:c r="A343" s="2"/>
      <x:c r="B343" s="2"/>
      <x:c r="C343" s="2"/>
      <x:c r="D343" s="2"/>
      <x:c r="E343" s="2"/>
      <x:c r="F343" s="2"/>
      <x:c r="G343" s="97"/>
      <x:c r="H343" s="97"/>
      <x:c r="I343" s="98"/>
      <x:c r="J343" s="98"/>
      <x:c r="K343" s="2"/>
      <x:c r="L343" s="2"/>
      <x:c r="M343" s="2"/>
      <x:c r="N343" s="2"/>
      <x:c r="O343" s="2"/>
      <x:c r="P343" s="2"/>
      <x:c r="Q343" s="2"/>
    </x:row>
    <x:row r="344">
      <x:c r="A344" s="2"/>
      <x:c r="B344" s="2"/>
      <x:c r="C344" s="2"/>
      <x:c r="D344" s="2"/>
      <x:c r="E344" s="2"/>
      <x:c r="F344" s="2"/>
      <x:c r="G344" s="97"/>
      <x:c r="H344" s="97"/>
      <x:c r="I344" s="98"/>
      <x:c r="J344" s="98"/>
      <x:c r="K344" s="2"/>
      <x:c r="L344" s="2"/>
      <x:c r="M344" s="2"/>
      <x:c r="N344" s="2"/>
      <x:c r="O344" s="2"/>
      <x:c r="P344" s="2"/>
      <x:c r="Q344" s="2"/>
    </x:row>
    <x:row r="345">
      <x:c r="A345" s="2"/>
      <x:c r="B345" s="2"/>
      <x:c r="C345" s="2"/>
      <x:c r="D345" s="2"/>
      <x:c r="E345" s="2"/>
      <x:c r="F345" s="2"/>
      <x:c r="G345" s="97"/>
      <x:c r="H345" s="97"/>
      <x:c r="I345" s="98"/>
      <x:c r="J345" s="98"/>
      <x:c r="K345" s="2"/>
      <x:c r="L345" s="2"/>
      <x:c r="M345" s="2"/>
      <x:c r="N345" s="2"/>
      <x:c r="O345" s="2"/>
      <x:c r="P345" s="2"/>
      <x:c r="Q345" s="2"/>
    </x:row>
    <x:row r="346">
      <x:c r="A346" s="2"/>
      <x:c r="B346" s="2"/>
      <x:c r="C346" s="2"/>
      <x:c r="D346" s="2"/>
      <x:c r="E346" s="2"/>
      <x:c r="F346" s="2"/>
      <x:c r="G346" s="97"/>
      <x:c r="H346" s="97"/>
      <x:c r="I346" s="98"/>
      <x:c r="J346" s="98"/>
      <x:c r="K346" s="2"/>
      <x:c r="L346" s="2"/>
      <x:c r="M346" s="2"/>
      <x:c r="N346" s="2"/>
      <x:c r="O346" s="2"/>
      <x:c r="P346" s="2"/>
      <x:c r="Q346" s="2"/>
    </x:row>
    <x:row r="347">
      <x:c r="A347" s="2"/>
      <x:c r="B347" s="2"/>
      <x:c r="C347" s="2"/>
      <x:c r="D347" s="2"/>
      <x:c r="E347" s="2"/>
      <x:c r="F347" s="2"/>
      <x:c r="G347" s="97"/>
      <x:c r="H347" s="97"/>
      <x:c r="I347" s="98"/>
      <x:c r="J347" s="98"/>
      <x:c r="K347" s="2"/>
      <x:c r="L347" s="2"/>
      <x:c r="M347" s="2"/>
      <x:c r="N347" s="2"/>
      <x:c r="O347" s="2"/>
      <x:c r="P347" s="2"/>
      <x:c r="Q347" s="2"/>
    </x:row>
    <x:row r="348">
      <x:c r="A348" s="2"/>
      <x:c r="B348" s="2"/>
      <x:c r="C348" s="2"/>
      <x:c r="D348" s="2"/>
      <x:c r="E348" s="2"/>
      <x:c r="F348" s="2"/>
      <x:c r="G348" s="97"/>
      <x:c r="H348" s="97"/>
      <x:c r="I348" s="98"/>
      <x:c r="J348" s="98"/>
      <x:c r="K348" s="2"/>
      <x:c r="L348" s="2"/>
      <x:c r="M348" s="2"/>
      <x:c r="N348" s="2"/>
      <x:c r="O348" s="2"/>
      <x:c r="P348" s="2"/>
      <x:c r="Q348" s="2"/>
    </x:row>
    <x:row r="349">
      <x:c r="A349" s="2"/>
      <x:c r="B349" s="2"/>
      <x:c r="C349" s="2"/>
      <x:c r="D349" s="2"/>
      <x:c r="E349" s="2"/>
      <x:c r="F349" s="2"/>
      <x:c r="G349" s="97"/>
      <x:c r="H349" s="97"/>
      <x:c r="I349" s="98"/>
      <x:c r="J349" s="98"/>
      <x:c r="K349" s="2"/>
      <x:c r="L349" s="2"/>
      <x:c r="M349" s="2"/>
      <x:c r="N349" s="2"/>
      <x:c r="O349" s="2"/>
      <x:c r="P349" s="2"/>
      <x:c r="Q349" s="2"/>
    </x:row>
    <x:row r="350">
      <x:c r="A350" s="2"/>
      <x:c r="B350" s="2"/>
      <x:c r="C350" s="2"/>
      <x:c r="D350" s="2"/>
      <x:c r="E350" s="2"/>
      <x:c r="F350" s="2"/>
      <x:c r="G350" s="97"/>
      <x:c r="H350" s="97"/>
      <x:c r="I350" s="98"/>
      <x:c r="J350" s="98"/>
      <x:c r="K350" s="2"/>
      <x:c r="L350" s="2"/>
      <x:c r="M350" s="2"/>
      <x:c r="N350" s="2"/>
      <x:c r="O350" s="2"/>
      <x:c r="P350" s="2"/>
      <x:c r="Q350" s="2"/>
    </x:row>
    <x:row r="351">
      <x:c r="A351" s="2"/>
      <x:c r="B351" s="2"/>
      <x:c r="C351" s="2"/>
      <x:c r="D351" s="2"/>
      <x:c r="E351" s="2"/>
      <x:c r="F351" s="2"/>
      <x:c r="G351" s="97"/>
      <x:c r="H351" s="97"/>
      <x:c r="I351" s="98"/>
      <x:c r="J351" s="98"/>
      <x:c r="K351" s="2"/>
      <x:c r="L351" s="2"/>
      <x:c r="M351" s="2"/>
      <x:c r="N351" s="2"/>
      <x:c r="O351" s="2"/>
      <x:c r="P351" s="2"/>
      <x:c r="Q351" s="2"/>
    </x:row>
    <x:row r="352">
      <x:c r="A352" s="2"/>
      <x:c r="B352" s="2"/>
      <x:c r="C352" s="2"/>
      <x:c r="D352" s="2"/>
      <x:c r="E352" s="2"/>
      <x:c r="F352" s="2"/>
      <x:c r="G352" s="97"/>
      <x:c r="H352" s="97"/>
      <x:c r="I352" s="98"/>
      <x:c r="J352" s="98"/>
      <x:c r="K352" s="2"/>
      <x:c r="L352" s="2"/>
      <x:c r="M352" s="2"/>
      <x:c r="N352" s="2"/>
      <x:c r="O352" s="2"/>
      <x:c r="P352" s="2"/>
      <x:c r="Q352" s="2"/>
    </x:row>
    <x:row r="353">
      <x:c r="A353" s="2"/>
      <x:c r="B353" s="2"/>
      <x:c r="C353" s="2"/>
      <x:c r="D353" s="2"/>
      <x:c r="E353" s="2"/>
      <x:c r="F353" s="2"/>
      <x:c r="G353" s="97"/>
      <x:c r="H353" s="97"/>
      <x:c r="I353" s="98"/>
      <x:c r="J353" s="98"/>
      <x:c r="K353" s="2"/>
      <x:c r="L353" s="2"/>
      <x:c r="M353" s="2"/>
      <x:c r="N353" s="2"/>
      <x:c r="O353" s="2"/>
      <x:c r="P353" s="2"/>
      <x:c r="Q353" s="2"/>
    </x:row>
    <x:row r="354">
      <x:c r="A354" s="2"/>
      <x:c r="B354" s="2"/>
      <x:c r="C354" s="2"/>
      <x:c r="D354" s="2"/>
      <x:c r="E354" s="2"/>
      <x:c r="F354" s="2"/>
      <x:c r="G354" s="97"/>
      <x:c r="H354" s="97"/>
      <x:c r="I354" s="98"/>
      <x:c r="J354" s="98"/>
      <x:c r="K354" s="2"/>
      <x:c r="L354" s="2"/>
      <x:c r="M354" s="2"/>
      <x:c r="N354" s="2"/>
      <x:c r="O354" s="2"/>
      <x:c r="P354" s="2"/>
      <x:c r="Q354" s="2"/>
    </x:row>
    <x:row r="355">
      <x:c r="A355" s="2"/>
      <x:c r="B355" s="2"/>
      <x:c r="C355" s="2"/>
      <x:c r="D355" s="2"/>
      <x:c r="E355" s="2"/>
      <x:c r="F355" s="2"/>
      <x:c r="G355" s="97"/>
      <x:c r="H355" s="97"/>
      <x:c r="I355" s="98"/>
      <x:c r="J355" s="98"/>
      <x:c r="K355" s="2"/>
      <x:c r="L355" s="2"/>
      <x:c r="M355" s="2"/>
      <x:c r="N355" s="2"/>
      <x:c r="O355" s="2"/>
      <x:c r="P355" s="2"/>
      <x:c r="Q355" s="2"/>
    </x:row>
    <x:row r="356">
      <x:c r="A356" s="2"/>
      <x:c r="B356" s="2"/>
      <x:c r="C356" s="2"/>
      <x:c r="D356" s="2"/>
      <x:c r="E356" s="2"/>
      <x:c r="F356" s="2"/>
      <x:c r="G356" s="97"/>
      <x:c r="H356" s="97"/>
      <x:c r="I356" s="98"/>
      <x:c r="J356" s="98"/>
      <x:c r="K356" s="2"/>
      <x:c r="L356" s="2"/>
      <x:c r="M356" s="2"/>
      <x:c r="N356" s="2"/>
      <x:c r="O356" s="2"/>
      <x:c r="P356" s="2"/>
      <x:c r="Q356" s="2"/>
    </x:row>
    <x:row r="357">
      <x:c r="A357" s="2"/>
      <x:c r="B357" s="2"/>
      <x:c r="C357" s="2"/>
      <x:c r="D357" s="2"/>
      <x:c r="E357" s="2"/>
      <x:c r="F357" s="2"/>
      <x:c r="G357" s="97"/>
      <x:c r="H357" s="97"/>
      <x:c r="I357" s="98"/>
      <x:c r="J357" s="98"/>
      <x:c r="K357" s="2"/>
      <x:c r="L357" s="2"/>
      <x:c r="M357" s="2"/>
      <x:c r="N357" s="2"/>
      <x:c r="O357" s="2"/>
      <x:c r="P357" s="2"/>
      <x:c r="Q357" s="2"/>
    </x:row>
    <x:row r="358">
      <x:c r="A358" s="2"/>
      <x:c r="B358" s="2"/>
      <x:c r="C358" s="2"/>
      <x:c r="D358" s="2"/>
      <x:c r="E358" s="2"/>
      <x:c r="F358" s="2"/>
      <x:c r="G358" s="97"/>
      <x:c r="H358" s="97"/>
      <x:c r="I358" s="98"/>
      <x:c r="J358" s="98"/>
      <x:c r="K358" s="2"/>
      <x:c r="L358" s="2"/>
      <x:c r="M358" s="2"/>
      <x:c r="N358" s="2"/>
      <x:c r="O358" s="2"/>
      <x:c r="P358" s="2"/>
      <x:c r="Q358" s="2"/>
    </x:row>
    <x:row r="359">
      <x:c r="A359" s="2"/>
      <x:c r="B359" s="2"/>
      <x:c r="C359" s="2"/>
      <x:c r="D359" s="2"/>
      <x:c r="E359" s="2"/>
      <x:c r="F359" s="2"/>
      <x:c r="G359" s="97"/>
      <x:c r="H359" s="97"/>
      <x:c r="I359" s="98"/>
      <x:c r="J359" s="98"/>
      <x:c r="K359" s="2"/>
      <x:c r="L359" s="2"/>
      <x:c r="M359" s="2"/>
      <x:c r="N359" s="2"/>
      <x:c r="O359" s="2"/>
      <x:c r="P359" s="2"/>
      <x:c r="Q359" s="2"/>
    </x:row>
    <x:row r="360">
      <x:c r="A360" s="2"/>
      <x:c r="B360" s="2"/>
      <x:c r="C360" s="2"/>
      <x:c r="D360" s="2"/>
      <x:c r="E360" s="2"/>
      <x:c r="F360" s="2"/>
      <x:c r="G360" s="97"/>
      <x:c r="H360" s="97"/>
      <x:c r="I360" s="98"/>
      <x:c r="J360" s="98"/>
      <x:c r="K360" s="2"/>
      <x:c r="L360" s="2"/>
      <x:c r="M360" s="2"/>
      <x:c r="N360" s="2"/>
      <x:c r="O360" s="2"/>
      <x:c r="P360" s="2"/>
      <x:c r="Q360" s="2"/>
    </x:row>
    <x:row r="361">
      <x:c r="A361" s="2"/>
      <x:c r="B361" s="2"/>
      <x:c r="C361" s="2"/>
      <x:c r="D361" s="2"/>
      <x:c r="E361" s="2"/>
      <x:c r="F361" s="2"/>
      <x:c r="G361" s="97"/>
      <x:c r="H361" s="97"/>
      <x:c r="I361" s="98"/>
      <x:c r="J361" s="98"/>
      <x:c r="K361" s="2"/>
      <x:c r="L361" s="2"/>
      <x:c r="M361" s="2"/>
      <x:c r="N361" s="2"/>
      <x:c r="O361" s="2"/>
      <x:c r="P361" s="2"/>
      <x:c r="Q361" s="2"/>
    </x:row>
    <x:row r="362">
      <x:c r="A362" s="2"/>
      <x:c r="B362" s="2"/>
      <x:c r="C362" s="2"/>
      <x:c r="D362" s="2"/>
      <x:c r="E362" s="2"/>
      <x:c r="F362" s="2"/>
      <x:c r="G362" s="97"/>
      <x:c r="H362" s="97"/>
      <x:c r="I362" s="98"/>
      <x:c r="J362" s="98"/>
      <x:c r="K362" s="2"/>
      <x:c r="L362" s="2"/>
      <x:c r="M362" s="2"/>
      <x:c r="N362" s="2"/>
      <x:c r="O362" s="2"/>
      <x:c r="P362" s="2"/>
      <x:c r="Q362" s="2"/>
    </x:row>
    <x:row r="363">
      <x:c r="A363" s="2"/>
      <x:c r="B363" s="2"/>
      <x:c r="C363" s="2"/>
      <x:c r="D363" s="2"/>
      <x:c r="E363" s="2"/>
      <x:c r="F363" s="2"/>
      <x:c r="G363" s="97"/>
      <x:c r="H363" s="97"/>
      <x:c r="I363" s="98"/>
      <x:c r="J363" s="98"/>
      <x:c r="K363" s="2"/>
      <x:c r="L363" s="2"/>
      <x:c r="M363" s="2"/>
      <x:c r="N363" s="2"/>
      <x:c r="O363" s="2"/>
      <x:c r="P363" s="2"/>
      <x:c r="Q363" s="2"/>
    </x:row>
    <x:row r="364">
      <x:c r="A364" s="2"/>
      <x:c r="B364" s="2"/>
      <x:c r="C364" s="2"/>
      <x:c r="D364" s="2"/>
      <x:c r="E364" s="2"/>
      <x:c r="F364" s="2"/>
      <x:c r="G364" s="97"/>
      <x:c r="H364" s="97"/>
      <x:c r="I364" s="98"/>
      <x:c r="J364" s="98"/>
      <x:c r="K364" s="2"/>
      <x:c r="L364" s="2"/>
      <x:c r="M364" s="2"/>
      <x:c r="N364" s="2"/>
      <x:c r="O364" s="2"/>
      <x:c r="P364" s="2"/>
      <x:c r="Q364" s="2"/>
    </x:row>
    <x:row r="365">
      <x:c r="A365" s="2"/>
      <x:c r="B365" s="2"/>
      <x:c r="C365" s="2"/>
      <x:c r="D365" s="2"/>
      <x:c r="E365" s="2"/>
      <x:c r="F365" s="2"/>
      <x:c r="G365" s="97"/>
      <x:c r="H365" s="97"/>
      <x:c r="I365" s="98"/>
      <x:c r="J365" s="98"/>
      <x:c r="K365" s="2"/>
      <x:c r="L365" s="2"/>
      <x:c r="M365" s="2"/>
      <x:c r="N365" s="2"/>
      <x:c r="O365" s="2"/>
      <x:c r="P365" s="2"/>
      <x:c r="Q365" s="2"/>
    </x:row>
    <x:row r="366">
      <x:c r="A366" s="2"/>
      <x:c r="B366" s="2"/>
      <x:c r="C366" s="2"/>
      <x:c r="D366" s="2"/>
      <x:c r="E366" s="2"/>
      <x:c r="F366" s="2"/>
      <x:c r="G366" s="97"/>
      <x:c r="H366" s="97"/>
      <x:c r="I366" s="98"/>
      <x:c r="J366" s="98"/>
      <x:c r="K366" s="2"/>
      <x:c r="L366" s="2"/>
      <x:c r="M366" s="2"/>
      <x:c r="N366" s="2"/>
      <x:c r="O366" s="2"/>
      <x:c r="P366" s="2"/>
      <x:c r="Q366" s="2"/>
    </x:row>
    <x:row r="367">
      <x:c r="A367" s="2"/>
      <x:c r="B367" s="2"/>
      <x:c r="C367" s="2"/>
      <x:c r="D367" s="2"/>
      <x:c r="E367" s="2"/>
      <x:c r="F367" s="2"/>
      <x:c r="G367" s="97"/>
      <x:c r="H367" s="97"/>
      <x:c r="I367" s="98"/>
      <x:c r="J367" s="98"/>
      <x:c r="K367" s="2"/>
      <x:c r="L367" s="2"/>
      <x:c r="M367" s="2"/>
      <x:c r="N367" s="2"/>
      <x:c r="O367" s="2"/>
      <x:c r="P367" s="2"/>
      <x:c r="Q367" s="2"/>
    </x:row>
    <x:row r="368">
      <x:c r="A368" s="2"/>
      <x:c r="B368" s="2"/>
      <x:c r="C368" s="2"/>
      <x:c r="D368" s="2"/>
      <x:c r="E368" s="2"/>
      <x:c r="F368" s="2"/>
      <x:c r="G368" s="97"/>
      <x:c r="H368" s="97"/>
      <x:c r="I368" s="98"/>
      <x:c r="J368" s="98"/>
      <x:c r="K368" s="2"/>
      <x:c r="L368" s="2"/>
      <x:c r="M368" s="2"/>
      <x:c r="N368" s="2"/>
      <x:c r="O368" s="2"/>
      <x:c r="P368" s="2"/>
      <x:c r="Q368" s="2"/>
    </x:row>
    <x:row r="369">
      <x:c r="A369" s="2"/>
      <x:c r="B369" s="2"/>
      <x:c r="C369" s="2"/>
      <x:c r="D369" s="2"/>
      <x:c r="E369" s="2"/>
      <x:c r="F369" s="2"/>
      <x:c r="G369" s="97"/>
      <x:c r="H369" s="97"/>
      <x:c r="I369" s="98"/>
      <x:c r="J369" s="98"/>
      <x:c r="K369" s="2"/>
      <x:c r="L369" s="2"/>
      <x:c r="M369" s="2"/>
      <x:c r="N369" s="2"/>
      <x:c r="O369" s="2"/>
      <x:c r="P369" s="2"/>
      <x:c r="Q369" s="2"/>
    </x:row>
    <x:row r="370">
      <x:c r="A370" s="2"/>
      <x:c r="B370" s="2"/>
      <x:c r="C370" s="2"/>
      <x:c r="D370" s="2"/>
      <x:c r="E370" s="2"/>
      <x:c r="F370" s="2"/>
      <x:c r="G370" s="97"/>
      <x:c r="H370" s="97"/>
      <x:c r="I370" s="98"/>
      <x:c r="J370" s="98"/>
      <x:c r="K370" s="2"/>
      <x:c r="L370" s="2"/>
      <x:c r="M370" s="2"/>
      <x:c r="N370" s="2"/>
      <x:c r="O370" s="2"/>
      <x:c r="P370" s="2"/>
      <x:c r="Q370" s="2"/>
    </x:row>
    <x:row r="371">
      <x:c r="A371" s="2"/>
      <x:c r="B371" s="2"/>
      <x:c r="C371" s="2"/>
      <x:c r="D371" s="2"/>
      <x:c r="E371" s="2"/>
      <x:c r="F371" s="2"/>
      <x:c r="G371" s="97"/>
      <x:c r="H371" s="97"/>
      <x:c r="I371" s="98"/>
      <x:c r="J371" s="98"/>
      <x:c r="K371" s="2"/>
      <x:c r="L371" s="2"/>
      <x:c r="M371" s="2"/>
      <x:c r="N371" s="2"/>
      <x:c r="O371" s="2"/>
      <x:c r="P371" s="2"/>
      <x:c r="Q371" s="2"/>
    </x:row>
    <x:row r="372">
      <x:c r="A372" s="2"/>
      <x:c r="B372" s="2"/>
      <x:c r="C372" s="2"/>
      <x:c r="D372" s="2"/>
      <x:c r="E372" s="2"/>
      <x:c r="F372" s="2"/>
      <x:c r="G372" s="97"/>
      <x:c r="H372" s="97"/>
      <x:c r="I372" s="98"/>
      <x:c r="J372" s="98"/>
      <x:c r="K372" s="2"/>
      <x:c r="L372" s="2"/>
      <x:c r="M372" s="2"/>
      <x:c r="N372" s="2"/>
      <x:c r="O372" s="2"/>
      <x:c r="P372" s="2"/>
      <x:c r="Q372" s="2"/>
    </x:row>
    <x:row r="373">
      <x:c r="A373" s="2"/>
      <x:c r="B373" s="2"/>
      <x:c r="C373" s="2"/>
      <x:c r="D373" s="2"/>
      <x:c r="E373" s="2"/>
      <x:c r="F373" s="2"/>
      <x:c r="G373" s="97"/>
      <x:c r="H373" s="97"/>
      <x:c r="I373" s="98"/>
      <x:c r="J373" s="98"/>
      <x:c r="K373" s="2"/>
      <x:c r="L373" s="2"/>
      <x:c r="M373" s="2"/>
      <x:c r="N373" s="2"/>
      <x:c r="O373" s="2"/>
      <x:c r="P373" s="2"/>
      <x:c r="Q373" s="2"/>
    </x:row>
    <x:row r="374">
      <x:c r="A374" s="2"/>
      <x:c r="B374" s="2"/>
      <x:c r="C374" s="2"/>
      <x:c r="D374" s="2"/>
      <x:c r="E374" s="2"/>
      <x:c r="F374" s="2"/>
      <x:c r="G374" s="97"/>
      <x:c r="H374" s="97"/>
      <x:c r="I374" s="98"/>
      <x:c r="J374" s="98"/>
      <x:c r="K374" s="2"/>
      <x:c r="L374" s="2"/>
      <x:c r="M374" s="2"/>
      <x:c r="N374" s="2"/>
      <x:c r="O374" s="2"/>
      <x:c r="P374" s="2"/>
      <x:c r="Q374" s="2"/>
    </x:row>
    <x:row r="375">
      <x:c r="A375" s="2"/>
      <x:c r="B375" s="2"/>
      <x:c r="C375" s="2"/>
      <x:c r="D375" s="2"/>
      <x:c r="E375" s="2"/>
      <x:c r="F375" s="2"/>
      <x:c r="G375" s="97"/>
      <x:c r="H375" s="97"/>
      <x:c r="I375" s="98"/>
      <x:c r="J375" s="98"/>
      <x:c r="K375" s="2"/>
      <x:c r="L375" s="2"/>
      <x:c r="M375" s="2"/>
      <x:c r="N375" s="2"/>
      <x:c r="O375" s="2"/>
      <x:c r="P375" s="2"/>
      <x:c r="Q375" s="2"/>
    </x:row>
    <x:row r="376">
      <x:c r="A376" s="2"/>
      <x:c r="B376" s="2"/>
      <x:c r="C376" s="2"/>
      <x:c r="D376" s="2"/>
      <x:c r="E376" s="2"/>
      <x:c r="F376" s="2"/>
      <x:c r="G376" s="97"/>
      <x:c r="H376" s="97"/>
      <x:c r="I376" s="98"/>
      <x:c r="J376" s="98"/>
      <x:c r="K376" s="2"/>
      <x:c r="L376" s="2"/>
      <x:c r="M376" s="2"/>
      <x:c r="N376" s="2"/>
      <x:c r="O376" s="2"/>
      <x:c r="P376" s="2"/>
      <x:c r="Q376" s="2"/>
    </x:row>
    <x:row r="377">
      <x:c r="A377" s="2"/>
      <x:c r="B377" s="2"/>
      <x:c r="C377" s="2"/>
      <x:c r="D377" s="2"/>
      <x:c r="E377" s="2"/>
      <x:c r="F377" s="2"/>
      <x:c r="G377" s="97"/>
      <x:c r="H377" s="97"/>
      <x:c r="I377" s="98"/>
      <x:c r="J377" s="98"/>
      <x:c r="K377" s="2"/>
      <x:c r="L377" s="2"/>
      <x:c r="M377" s="2"/>
      <x:c r="N377" s="2"/>
      <x:c r="O377" s="2"/>
      <x:c r="P377" s="2"/>
      <x:c r="Q377" s="2"/>
    </x:row>
    <x:row r="378">
      <x:c r="A378" s="2"/>
      <x:c r="B378" s="2"/>
      <x:c r="C378" s="2"/>
      <x:c r="D378" s="2"/>
      <x:c r="E378" s="2"/>
      <x:c r="F378" s="2"/>
      <x:c r="G378" s="97"/>
      <x:c r="H378" s="97"/>
      <x:c r="I378" s="98"/>
      <x:c r="J378" s="98"/>
      <x:c r="K378" s="2"/>
      <x:c r="L378" s="2"/>
      <x:c r="M378" s="2"/>
      <x:c r="N378" s="2"/>
      <x:c r="O378" s="2"/>
      <x:c r="P378" s="2"/>
      <x:c r="Q378" s="2"/>
    </x:row>
    <x:row r="379">
      <x:c r="A379" s="2"/>
      <x:c r="B379" s="2"/>
      <x:c r="C379" s="2"/>
      <x:c r="D379" s="2"/>
      <x:c r="E379" s="2"/>
      <x:c r="F379" s="2"/>
      <x:c r="G379" s="97"/>
      <x:c r="H379" s="97"/>
      <x:c r="I379" s="98"/>
      <x:c r="J379" s="98"/>
      <x:c r="K379" s="2"/>
      <x:c r="L379" s="2"/>
      <x:c r="M379" s="2"/>
      <x:c r="N379" s="2"/>
      <x:c r="O379" s="2"/>
      <x:c r="P379" s="2"/>
      <x:c r="Q379" s="2"/>
    </x:row>
    <x:row r="380">
      <x:c r="A380" s="2"/>
      <x:c r="B380" s="2"/>
      <x:c r="C380" s="2"/>
      <x:c r="D380" s="2"/>
      <x:c r="E380" s="2"/>
      <x:c r="F380" s="2"/>
      <x:c r="G380" s="97"/>
      <x:c r="H380" s="97"/>
      <x:c r="I380" s="98"/>
      <x:c r="J380" s="98"/>
      <x:c r="K380" s="2"/>
      <x:c r="L380" s="2"/>
      <x:c r="M380" s="2"/>
      <x:c r="N380" s="2"/>
      <x:c r="O380" s="2"/>
      <x:c r="P380" s="2"/>
      <x:c r="Q380" s="2"/>
    </x:row>
    <x:row r="381">
      <x:c r="A381" s="2"/>
      <x:c r="B381" s="2"/>
      <x:c r="C381" s="2"/>
      <x:c r="D381" s="2"/>
      <x:c r="E381" s="2"/>
      <x:c r="F381" s="2"/>
      <x:c r="G381" s="97"/>
      <x:c r="H381" s="97"/>
      <x:c r="I381" s="98"/>
      <x:c r="J381" s="98"/>
      <x:c r="K381" s="2"/>
      <x:c r="L381" s="2"/>
      <x:c r="M381" s="2"/>
      <x:c r="N381" s="2"/>
      <x:c r="O381" s="2"/>
      <x:c r="P381" s="2"/>
      <x:c r="Q381" s="2"/>
    </x:row>
    <x:row r="382">
      <x:c r="A382" s="2"/>
      <x:c r="B382" s="2"/>
      <x:c r="C382" s="2"/>
      <x:c r="D382" s="2"/>
      <x:c r="E382" s="2"/>
      <x:c r="F382" s="2"/>
      <x:c r="G382" s="97"/>
      <x:c r="H382" s="97"/>
      <x:c r="I382" s="98"/>
      <x:c r="J382" s="98"/>
      <x:c r="K382" s="2"/>
      <x:c r="L382" s="2"/>
      <x:c r="M382" s="2"/>
      <x:c r="N382" s="2"/>
      <x:c r="O382" s="2"/>
      <x:c r="P382" s="2"/>
      <x:c r="Q382" s="2"/>
    </x:row>
    <x:row r="383">
      <x:c r="A383" s="2"/>
      <x:c r="B383" s="2"/>
      <x:c r="C383" s="2"/>
      <x:c r="D383" s="2"/>
      <x:c r="E383" s="2"/>
      <x:c r="F383" s="2"/>
      <x:c r="G383" s="97"/>
      <x:c r="H383" s="97"/>
      <x:c r="I383" s="98"/>
      <x:c r="J383" s="98"/>
      <x:c r="K383" s="2"/>
      <x:c r="L383" s="2"/>
      <x:c r="M383" s="2"/>
      <x:c r="N383" s="2"/>
      <x:c r="O383" s="2"/>
      <x:c r="P383" s="2"/>
      <x:c r="Q383" s="2"/>
    </x:row>
    <x:row r="384">
      <x:c r="A384" s="2"/>
      <x:c r="B384" s="2"/>
      <x:c r="C384" s="2"/>
      <x:c r="D384" s="2"/>
      <x:c r="E384" s="2"/>
      <x:c r="F384" s="2"/>
      <x:c r="G384" s="97"/>
      <x:c r="H384" s="97"/>
      <x:c r="I384" s="98"/>
      <x:c r="J384" s="98"/>
      <x:c r="K384" s="2"/>
      <x:c r="L384" s="2"/>
      <x:c r="M384" s="2"/>
      <x:c r="N384" s="2"/>
      <x:c r="O384" s="2"/>
      <x:c r="P384" s="2"/>
      <x:c r="Q384" s="2"/>
    </x:row>
    <x:row r="385">
      <x:c r="A385" s="2"/>
      <x:c r="B385" s="2"/>
      <x:c r="C385" s="2"/>
      <x:c r="D385" s="2"/>
      <x:c r="E385" s="2"/>
      <x:c r="F385" s="2"/>
      <x:c r="G385" s="97"/>
      <x:c r="H385" s="97"/>
      <x:c r="I385" s="98"/>
      <x:c r="J385" s="98"/>
      <x:c r="K385" s="2"/>
      <x:c r="L385" s="2"/>
      <x:c r="M385" s="2"/>
      <x:c r="N385" s="2"/>
      <x:c r="O385" s="2"/>
      <x:c r="P385" s="2"/>
      <x:c r="Q385" s="2"/>
    </x:row>
    <x:row r="386">
      <x:c r="A386" s="2"/>
      <x:c r="B386" s="2"/>
      <x:c r="C386" s="2"/>
      <x:c r="D386" s="2"/>
      <x:c r="E386" s="2"/>
      <x:c r="F386" s="2"/>
      <x:c r="G386" s="97"/>
      <x:c r="H386" s="97"/>
      <x:c r="I386" s="98"/>
      <x:c r="J386" s="98"/>
      <x:c r="K386" s="2"/>
      <x:c r="L386" s="2"/>
      <x:c r="M386" s="2"/>
      <x:c r="N386" s="2"/>
      <x:c r="O386" s="2"/>
      <x:c r="P386" s="2"/>
      <x:c r="Q386" s="2"/>
    </x:row>
    <x:row r="387">
      <x:c r="A387" s="2"/>
      <x:c r="B387" s="2"/>
      <x:c r="C387" s="2"/>
      <x:c r="D387" s="2"/>
      <x:c r="E387" s="2"/>
      <x:c r="F387" s="2"/>
      <x:c r="G387" s="97"/>
      <x:c r="H387" s="97"/>
      <x:c r="I387" s="98"/>
      <x:c r="J387" s="98"/>
      <x:c r="K387" s="2"/>
      <x:c r="L387" s="2"/>
      <x:c r="M387" s="2"/>
      <x:c r="N387" s="2"/>
      <x:c r="O387" s="2"/>
      <x:c r="P387" s="2"/>
      <x:c r="Q387" s="2"/>
    </x:row>
    <x:row r="388">
      <x:c r="A388" s="2"/>
      <x:c r="B388" s="2"/>
      <x:c r="C388" s="2"/>
      <x:c r="D388" s="2"/>
      <x:c r="E388" s="2"/>
      <x:c r="F388" s="2"/>
      <x:c r="G388" s="97"/>
      <x:c r="H388" s="97"/>
      <x:c r="I388" s="98"/>
      <x:c r="J388" s="98"/>
      <x:c r="K388" s="2"/>
      <x:c r="L388" s="2"/>
      <x:c r="M388" s="2"/>
      <x:c r="N388" s="2"/>
      <x:c r="O388" s="2"/>
      <x:c r="P388" s="2"/>
      <x:c r="Q388" s="2"/>
    </x:row>
    <x:row r="389">
      <x:c r="A389" s="2"/>
      <x:c r="B389" s="2"/>
      <x:c r="C389" s="2"/>
      <x:c r="D389" s="2"/>
      <x:c r="E389" s="2"/>
      <x:c r="F389" s="2"/>
      <x:c r="G389" s="97"/>
      <x:c r="H389" s="97"/>
      <x:c r="I389" s="98"/>
      <x:c r="J389" s="98"/>
      <x:c r="K389" s="2"/>
      <x:c r="L389" s="2"/>
      <x:c r="M389" s="2"/>
      <x:c r="N389" s="2"/>
      <x:c r="O389" s="2"/>
      <x:c r="P389" s="2"/>
      <x:c r="Q389" s="2"/>
    </x:row>
    <x:row r="390">
      <x:c r="A390" s="2"/>
      <x:c r="B390" s="2"/>
      <x:c r="C390" s="2"/>
      <x:c r="D390" s="2"/>
      <x:c r="E390" s="2"/>
      <x:c r="F390" s="2"/>
      <x:c r="G390" s="97"/>
      <x:c r="H390" s="97"/>
      <x:c r="I390" s="98"/>
      <x:c r="J390" s="98"/>
      <x:c r="K390" s="2"/>
      <x:c r="L390" s="2"/>
      <x:c r="M390" s="2"/>
      <x:c r="N390" s="2"/>
      <x:c r="O390" s="2"/>
      <x:c r="P390" s="2"/>
      <x:c r="Q390" s="2"/>
    </x:row>
    <x:row r="391">
      <x:c r="A391" s="2"/>
      <x:c r="B391" s="2"/>
      <x:c r="C391" s="2"/>
      <x:c r="D391" s="2"/>
      <x:c r="E391" s="2"/>
      <x:c r="F391" s="2"/>
      <x:c r="G391" s="97"/>
      <x:c r="H391" s="97"/>
      <x:c r="I391" s="98"/>
      <x:c r="J391" s="98"/>
      <x:c r="K391" s="2"/>
      <x:c r="L391" s="2"/>
      <x:c r="M391" s="2"/>
      <x:c r="N391" s="2"/>
      <x:c r="O391" s="2"/>
      <x:c r="P391" s="2"/>
      <x:c r="Q391" s="2"/>
    </x:row>
    <x:row r="392">
      <x:c r="A392" s="2"/>
      <x:c r="B392" s="2"/>
      <x:c r="C392" s="2"/>
      <x:c r="D392" s="2"/>
      <x:c r="E392" s="2"/>
      <x:c r="F392" s="2"/>
      <x:c r="G392" s="97"/>
      <x:c r="H392" s="97"/>
      <x:c r="I392" s="98"/>
      <x:c r="J392" s="98"/>
      <x:c r="K392" s="2"/>
      <x:c r="L392" s="2"/>
      <x:c r="M392" s="2"/>
      <x:c r="N392" s="2"/>
      <x:c r="O392" s="2"/>
      <x:c r="P392" s="2"/>
      <x:c r="Q392" s="2"/>
    </x:row>
    <x:row r="393">
      <x:c r="A393" s="2"/>
      <x:c r="B393" s="2"/>
      <x:c r="C393" s="2"/>
      <x:c r="D393" s="2"/>
      <x:c r="E393" s="2"/>
      <x:c r="F393" s="2"/>
      <x:c r="G393" s="97"/>
      <x:c r="H393" s="97"/>
      <x:c r="I393" s="98"/>
      <x:c r="J393" s="98"/>
      <x:c r="K393" s="2"/>
      <x:c r="L393" s="2"/>
      <x:c r="M393" s="2"/>
      <x:c r="N393" s="2"/>
      <x:c r="O393" s="2"/>
      <x:c r="P393" s="2"/>
      <x:c r="Q393" s="2"/>
    </x:row>
    <x:row r="394">
      <x:c r="A394" s="2"/>
      <x:c r="B394" s="2"/>
      <x:c r="C394" s="2"/>
      <x:c r="D394" s="2"/>
      <x:c r="E394" s="2"/>
      <x:c r="F394" s="2"/>
      <x:c r="G394" s="97"/>
      <x:c r="H394" s="97"/>
      <x:c r="I394" s="98"/>
      <x:c r="J394" s="98"/>
      <x:c r="K394" s="2"/>
      <x:c r="L394" s="2"/>
      <x:c r="M394" s="2"/>
      <x:c r="N394" s="2"/>
      <x:c r="O394" s="2"/>
      <x:c r="P394" s="2"/>
      <x:c r="Q394" s="2"/>
    </x:row>
    <x:row r="395">
      <x:c r="A395" s="2"/>
      <x:c r="B395" s="2"/>
      <x:c r="C395" s="2"/>
      <x:c r="D395" s="2"/>
      <x:c r="E395" s="2"/>
      <x:c r="F395" s="2"/>
      <x:c r="G395" s="97"/>
      <x:c r="H395" s="97"/>
      <x:c r="I395" s="98"/>
      <x:c r="J395" s="98"/>
      <x:c r="K395" s="2"/>
      <x:c r="L395" s="2"/>
      <x:c r="M395" s="2"/>
      <x:c r="N395" s="2"/>
      <x:c r="O395" s="2"/>
      <x:c r="P395" s="2"/>
      <x:c r="Q395" s="2"/>
    </x:row>
    <x:row r="396">
      <x:c r="A396" s="2"/>
      <x:c r="B396" s="2"/>
      <x:c r="C396" s="2"/>
      <x:c r="D396" s="2"/>
      <x:c r="E396" s="2"/>
      <x:c r="F396" s="2"/>
      <x:c r="G396" s="97"/>
      <x:c r="H396" s="97"/>
      <x:c r="I396" s="98"/>
      <x:c r="J396" s="98"/>
      <x:c r="K396" s="2"/>
      <x:c r="L396" s="2"/>
      <x:c r="M396" s="2"/>
      <x:c r="N396" s="2"/>
      <x:c r="O396" s="2"/>
      <x:c r="P396" s="2"/>
      <x:c r="Q396" s="2"/>
    </x:row>
    <x:row r="397">
      <x:c r="A397" s="2"/>
      <x:c r="B397" s="2"/>
      <x:c r="C397" s="2"/>
      <x:c r="D397" s="2"/>
      <x:c r="E397" s="2"/>
      <x:c r="F397" s="2"/>
      <x:c r="G397" s="97"/>
      <x:c r="H397" s="97"/>
      <x:c r="I397" s="98"/>
      <x:c r="J397" s="98"/>
      <x:c r="K397" s="2"/>
      <x:c r="L397" s="2"/>
      <x:c r="M397" s="2"/>
      <x:c r="N397" s="2"/>
      <x:c r="O397" s="2"/>
      <x:c r="P397" s="2"/>
      <x:c r="Q397" s="2"/>
    </x:row>
    <x:row r="398">
      <x:c r="A398" s="2"/>
      <x:c r="B398" s="2"/>
      <x:c r="C398" s="2"/>
      <x:c r="D398" s="2"/>
      <x:c r="E398" s="2"/>
      <x:c r="F398" s="2"/>
      <x:c r="G398" s="97"/>
      <x:c r="H398" s="97"/>
      <x:c r="I398" s="98"/>
      <x:c r="J398" s="98"/>
      <x:c r="K398" s="2"/>
      <x:c r="L398" s="2"/>
      <x:c r="M398" s="2"/>
      <x:c r="N398" s="2"/>
      <x:c r="O398" s="2"/>
      <x:c r="P398" s="2"/>
      <x:c r="Q398" s="2"/>
    </x:row>
    <x:row r="399">
      <x:c r="A399" s="2"/>
      <x:c r="B399" s="2"/>
      <x:c r="C399" s="2"/>
      <x:c r="D399" s="2"/>
      <x:c r="E399" s="2"/>
      <x:c r="F399" s="2"/>
      <x:c r="G399" s="97"/>
      <x:c r="H399" s="97"/>
      <x:c r="I399" s="98"/>
      <x:c r="J399" s="98"/>
      <x:c r="K399" s="2"/>
      <x:c r="L399" s="2"/>
      <x:c r="M399" s="2"/>
      <x:c r="N399" s="2"/>
      <x:c r="O399" s="2"/>
      <x:c r="P399" s="2"/>
      <x:c r="Q399" s="2"/>
    </x:row>
    <x:row r="400">
      <x:c r="A400" s="2"/>
      <x:c r="B400" s="2"/>
      <x:c r="C400" s="2"/>
      <x:c r="D400" s="2"/>
      <x:c r="E400" s="2"/>
      <x:c r="F400" s="2"/>
      <x:c r="G400" s="97"/>
      <x:c r="H400" s="97"/>
      <x:c r="I400" s="98"/>
      <x:c r="J400" s="98"/>
      <x:c r="K400" s="2"/>
      <x:c r="L400" s="2"/>
      <x:c r="M400" s="2"/>
      <x:c r="N400" s="2"/>
      <x:c r="O400" s="2"/>
      <x:c r="P400" s="2"/>
      <x:c r="Q400" s="2"/>
    </x:row>
    <x:row r="401">
      <x:c r="A401" s="2"/>
      <x:c r="B401" s="2"/>
      <x:c r="C401" s="2"/>
      <x:c r="D401" s="2"/>
      <x:c r="E401" s="2"/>
      <x:c r="F401" s="2"/>
      <x:c r="G401" s="97"/>
      <x:c r="H401" s="97"/>
      <x:c r="I401" s="98"/>
      <x:c r="J401" s="98"/>
      <x:c r="K401" s="2"/>
      <x:c r="L401" s="2"/>
      <x:c r="M401" s="2"/>
      <x:c r="N401" s="2"/>
      <x:c r="O401" s="2"/>
      <x:c r="P401" s="2"/>
      <x:c r="Q401" s="2"/>
    </x:row>
    <x:row r="402">
      <x:c r="A402" s="2"/>
      <x:c r="B402" s="2"/>
      <x:c r="C402" s="2"/>
      <x:c r="D402" s="2"/>
      <x:c r="E402" s="2"/>
      <x:c r="F402" s="2"/>
      <x:c r="G402" s="97"/>
      <x:c r="H402" s="97"/>
      <x:c r="I402" s="98"/>
      <x:c r="J402" s="98"/>
      <x:c r="K402" s="2"/>
      <x:c r="L402" s="2"/>
      <x:c r="M402" s="2"/>
      <x:c r="N402" s="2"/>
      <x:c r="O402" s="2"/>
      <x:c r="P402" s="2"/>
      <x:c r="Q402" s="2"/>
    </x:row>
    <x:row r="403">
      <x:c r="A403" s="2"/>
      <x:c r="B403" s="2"/>
      <x:c r="C403" s="2"/>
      <x:c r="D403" s="2"/>
      <x:c r="E403" s="2"/>
      <x:c r="F403" s="2"/>
      <x:c r="G403" s="97"/>
      <x:c r="H403" s="97"/>
      <x:c r="I403" s="98"/>
      <x:c r="J403" s="98"/>
      <x:c r="K403" s="2"/>
      <x:c r="L403" s="2"/>
      <x:c r="M403" s="2"/>
      <x:c r="N403" s="2"/>
      <x:c r="O403" s="2"/>
      <x:c r="P403" s="2"/>
      <x:c r="Q403" s="2"/>
    </x:row>
    <x:row r="404">
      <x:c r="A404" s="2"/>
      <x:c r="B404" s="2"/>
      <x:c r="C404" s="2"/>
      <x:c r="D404" s="2"/>
      <x:c r="E404" s="2"/>
      <x:c r="F404" s="2"/>
      <x:c r="G404" s="97"/>
      <x:c r="H404" s="97"/>
      <x:c r="I404" s="98"/>
      <x:c r="J404" s="98"/>
      <x:c r="K404" s="2"/>
      <x:c r="L404" s="2"/>
      <x:c r="M404" s="2"/>
      <x:c r="N404" s="2"/>
      <x:c r="O404" s="2"/>
      <x:c r="P404" s="2"/>
      <x:c r="Q404" s="2"/>
    </x:row>
    <x:row r="405">
      <x:c r="A405" s="2"/>
      <x:c r="B405" s="2"/>
      <x:c r="C405" s="2"/>
      <x:c r="D405" s="2"/>
      <x:c r="E405" s="2"/>
      <x:c r="F405" s="2"/>
      <x:c r="G405" s="97"/>
      <x:c r="H405" s="97"/>
      <x:c r="I405" s="98"/>
      <x:c r="J405" s="98"/>
      <x:c r="K405" s="2"/>
      <x:c r="L405" s="2"/>
      <x:c r="M405" s="2"/>
      <x:c r="N405" s="2"/>
      <x:c r="O405" s="2"/>
      <x:c r="P405" s="2"/>
      <x:c r="Q405" s="2"/>
    </x:row>
    <x:row r="406">
      <x:c r="A406" s="2"/>
      <x:c r="B406" s="2"/>
      <x:c r="C406" s="2"/>
      <x:c r="D406" s="2"/>
      <x:c r="E406" s="2"/>
      <x:c r="F406" s="2"/>
      <x:c r="G406" s="97"/>
      <x:c r="H406" s="97"/>
      <x:c r="I406" s="98"/>
      <x:c r="J406" s="98"/>
      <x:c r="K406" s="2"/>
      <x:c r="L406" s="2"/>
      <x:c r="M406" s="2"/>
      <x:c r="N406" s="2"/>
      <x:c r="O406" s="2"/>
      <x:c r="P406" s="2"/>
      <x:c r="Q406" s="2"/>
    </x:row>
    <x:row r="407">
      <x:c r="A407" s="2"/>
      <x:c r="B407" s="2"/>
      <x:c r="C407" s="2"/>
      <x:c r="D407" s="2"/>
      <x:c r="E407" s="2"/>
      <x:c r="F407" s="2"/>
      <x:c r="G407" s="97"/>
      <x:c r="H407" s="97"/>
      <x:c r="I407" s="98"/>
      <x:c r="J407" s="98"/>
      <x:c r="K407" s="2"/>
      <x:c r="L407" s="2"/>
      <x:c r="M407" s="2"/>
      <x:c r="N407" s="2"/>
      <x:c r="O407" s="2"/>
      <x:c r="P407" s="2"/>
      <x:c r="Q407" s="2"/>
    </x:row>
    <x:row r="408">
      <x:c r="A408" s="2"/>
      <x:c r="B408" s="2"/>
      <x:c r="C408" s="2"/>
      <x:c r="D408" s="2"/>
      <x:c r="E408" s="2"/>
      <x:c r="F408" s="2"/>
      <x:c r="G408" s="97"/>
      <x:c r="H408" s="97"/>
      <x:c r="I408" s="98"/>
      <x:c r="J408" s="98"/>
      <x:c r="K408" s="2"/>
      <x:c r="L408" s="2"/>
      <x:c r="M408" s="2"/>
      <x:c r="N408" s="2"/>
      <x:c r="O408" s="2"/>
      <x:c r="P408" s="2"/>
      <x:c r="Q408" s="2"/>
    </x:row>
    <x:row r="409">
      <x:c r="A409" s="2"/>
      <x:c r="B409" s="2"/>
      <x:c r="C409" s="2"/>
      <x:c r="D409" s="2"/>
      <x:c r="E409" s="2"/>
      <x:c r="F409" s="2"/>
      <x:c r="G409" s="97"/>
      <x:c r="H409" s="97"/>
      <x:c r="I409" s="98"/>
      <x:c r="J409" s="98"/>
      <x:c r="K409" s="2"/>
      <x:c r="L409" s="2"/>
      <x:c r="M409" s="2"/>
      <x:c r="N409" s="2"/>
      <x:c r="O409" s="2"/>
      <x:c r="P409" s="2"/>
      <x:c r="Q409" s="2"/>
    </x:row>
    <x:row r="410">
      <x:c r="A410" s="2"/>
      <x:c r="B410" s="2"/>
      <x:c r="C410" s="2"/>
      <x:c r="D410" s="2"/>
      <x:c r="E410" s="2"/>
      <x:c r="F410" s="2"/>
      <x:c r="G410" s="97"/>
      <x:c r="H410" s="97"/>
      <x:c r="I410" s="98"/>
      <x:c r="J410" s="98"/>
      <x:c r="K410" s="2"/>
      <x:c r="L410" s="2"/>
      <x:c r="M410" s="2"/>
      <x:c r="N410" s="2"/>
      <x:c r="O410" s="2"/>
      <x:c r="P410" s="2"/>
      <x:c r="Q410" s="2"/>
    </x:row>
    <x:row r="411">
      <x:c r="A411" s="2"/>
      <x:c r="B411" s="2"/>
      <x:c r="C411" s="2"/>
      <x:c r="D411" s="2"/>
      <x:c r="E411" s="2"/>
      <x:c r="F411" s="2"/>
      <x:c r="G411" s="97"/>
      <x:c r="H411" s="97"/>
      <x:c r="I411" s="98"/>
      <x:c r="J411" s="98"/>
      <x:c r="K411" s="2"/>
      <x:c r="L411" s="2"/>
      <x:c r="M411" s="2"/>
      <x:c r="N411" s="2"/>
      <x:c r="O411" s="2"/>
      <x:c r="P411" s="2"/>
      <x:c r="Q411" s="2"/>
    </x:row>
    <x:row r="412">
      <x:c r="A412" s="2"/>
      <x:c r="B412" s="2"/>
      <x:c r="C412" s="2"/>
      <x:c r="D412" s="2"/>
      <x:c r="E412" s="2"/>
      <x:c r="F412" s="2"/>
      <x:c r="G412" s="97"/>
      <x:c r="H412" s="97"/>
      <x:c r="I412" s="98"/>
      <x:c r="J412" s="98"/>
      <x:c r="K412" s="2"/>
      <x:c r="L412" s="2"/>
      <x:c r="M412" s="2"/>
      <x:c r="N412" s="2"/>
      <x:c r="O412" s="2"/>
      <x:c r="P412" s="2"/>
      <x:c r="Q412" s="2"/>
    </x:row>
    <x:row r="413">
      <x:c r="A413" s="2"/>
      <x:c r="B413" s="2"/>
      <x:c r="C413" s="2"/>
      <x:c r="D413" s="2"/>
      <x:c r="E413" s="2"/>
      <x:c r="F413" s="2"/>
      <x:c r="G413" s="97"/>
      <x:c r="H413" s="97"/>
      <x:c r="I413" s="98"/>
      <x:c r="J413" s="98"/>
      <x:c r="K413" s="2"/>
      <x:c r="L413" s="2"/>
      <x:c r="M413" s="2"/>
      <x:c r="N413" s="2"/>
      <x:c r="O413" s="2"/>
      <x:c r="P413" s="2"/>
      <x:c r="Q413" s="2"/>
    </x:row>
    <x:row r="414">
      <x:c r="A414" s="2"/>
      <x:c r="B414" s="2"/>
      <x:c r="C414" s="2"/>
      <x:c r="D414" s="2"/>
      <x:c r="E414" s="2"/>
      <x:c r="F414" s="2"/>
      <x:c r="G414" s="97"/>
      <x:c r="H414" s="97"/>
      <x:c r="I414" s="98"/>
      <x:c r="J414" s="98"/>
      <x:c r="K414" s="2"/>
      <x:c r="L414" s="2"/>
      <x:c r="M414" s="2"/>
      <x:c r="N414" s="2"/>
      <x:c r="O414" s="2"/>
      <x:c r="P414" s="2"/>
      <x:c r="Q414" s="2"/>
    </x:row>
    <x:row r="415">
      <x:c r="A415" s="2"/>
      <x:c r="B415" s="2"/>
      <x:c r="C415" s="2"/>
      <x:c r="D415" s="2"/>
      <x:c r="E415" s="2"/>
      <x:c r="F415" s="2"/>
      <x:c r="G415" s="97"/>
      <x:c r="H415" s="97"/>
      <x:c r="I415" s="98"/>
      <x:c r="J415" s="98"/>
      <x:c r="K415" s="2"/>
      <x:c r="L415" s="2"/>
      <x:c r="M415" s="2"/>
      <x:c r="N415" s="2"/>
      <x:c r="O415" s="2"/>
      <x:c r="P415" s="2"/>
      <x:c r="Q415" s="2"/>
    </x:row>
    <x:row r="416">
      <x:c r="A416" s="2"/>
      <x:c r="B416" s="2"/>
      <x:c r="C416" s="2"/>
      <x:c r="D416" s="2"/>
      <x:c r="E416" s="2"/>
      <x:c r="F416" s="2"/>
      <x:c r="G416" s="97"/>
      <x:c r="H416" s="97"/>
      <x:c r="I416" s="98"/>
      <x:c r="J416" s="98"/>
      <x:c r="K416" s="2"/>
      <x:c r="L416" s="2"/>
      <x:c r="M416" s="2"/>
      <x:c r="N416" s="2"/>
      <x:c r="O416" s="2"/>
      <x:c r="P416" s="2"/>
      <x:c r="Q416" s="2"/>
    </x:row>
    <x:row r="417">
      <x:c r="A417" s="2"/>
      <x:c r="B417" s="2"/>
      <x:c r="C417" s="2"/>
      <x:c r="D417" s="2"/>
      <x:c r="E417" s="2"/>
      <x:c r="F417" s="2"/>
      <x:c r="G417" s="97"/>
      <x:c r="H417" s="97"/>
      <x:c r="I417" s="98"/>
      <x:c r="J417" s="98"/>
      <x:c r="K417" s="2"/>
      <x:c r="L417" s="2"/>
      <x:c r="M417" s="2"/>
      <x:c r="N417" s="2"/>
      <x:c r="O417" s="2"/>
      <x:c r="P417" s="2"/>
      <x:c r="Q417" s="2"/>
    </x:row>
    <x:row r="418">
      <x:c r="A418" s="2"/>
      <x:c r="B418" s="2"/>
      <x:c r="C418" s="2"/>
      <x:c r="D418" s="2"/>
      <x:c r="E418" s="2"/>
      <x:c r="F418" s="2"/>
      <x:c r="G418" s="97"/>
      <x:c r="H418" s="97"/>
      <x:c r="I418" s="98"/>
      <x:c r="J418" s="98"/>
      <x:c r="K418" s="2"/>
      <x:c r="L418" s="2"/>
      <x:c r="M418" s="2"/>
      <x:c r="N418" s="2"/>
      <x:c r="O418" s="2"/>
      <x:c r="P418" s="2"/>
      <x:c r="Q418" s="2"/>
    </x:row>
    <x:row r="419">
      <x:c r="A419" s="2"/>
      <x:c r="B419" s="2"/>
      <x:c r="C419" s="2"/>
      <x:c r="D419" s="2"/>
      <x:c r="E419" s="2"/>
      <x:c r="F419" s="2"/>
      <x:c r="G419" s="97"/>
      <x:c r="H419" s="97"/>
      <x:c r="I419" s="98"/>
      <x:c r="J419" s="98"/>
      <x:c r="K419" s="2"/>
      <x:c r="L419" s="2"/>
      <x:c r="M419" s="2"/>
      <x:c r="N419" s="2"/>
      <x:c r="O419" s="2"/>
      <x:c r="P419" s="2"/>
      <x:c r="Q419" s="2"/>
    </x:row>
    <x:row r="420">
      <x:c r="A420" s="2"/>
      <x:c r="B420" s="2"/>
      <x:c r="C420" s="2"/>
      <x:c r="D420" s="2"/>
      <x:c r="E420" s="2"/>
      <x:c r="F420" s="2"/>
      <x:c r="G420" s="97"/>
      <x:c r="H420" s="97"/>
      <x:c r="I420" s="98"/>
      <x:c r="J420" s="98"/>
      <x:c r="K420" s="2"/>
      <x:c r="L420" s="2"/>
      <x:c r="M420" s="2"/>
      <x:c r="N420" s="2"/>
      <x:c r="O420" s="2"/>
      <x:c r="P420" s="2"/>
      <x:c r="Q420" s="2"/>
    </x:row>
    <x:row r="421">
      <x:c r="A421" s="2"/>
      <x:c r="B421" s="2"/>
      <x:c r="C421" s="2"/>
      <x:c r="D421" s="2"/>
      <x:c r="E421" s="2"/>
      <x:c r="F421" s="2"/>
      <x:c r="G421" s="97"/>
      <x:c r="H421" s="97"/>
      <x:c r="I421" s="98"/>
      <x:c r="J421" s="98"/>
      <x:c r="K421" s="2"/>
      <x:c r="L421" s="2"/>
      <x:c r="M421" s="2"/>
      <x:c r="N421" s="2"/>
      <x:c r="O421" s="2"/>
      <x:c r="P421" s="2"/>
      <x:c r="Q421" s="2"/>
    </x:row>
    <x:row r="422">
      <x:c r="A422" s="2"/>
      <x:c r="B422" s="2"/>
      <x:c r="C422" s="2"/>
      <x:c r="D422" s="2"/>
      <x:c r="E422" s="2"/>
      <x:c r="F422" s="2"/>
      <x:c r="G422" s="97"/>
      <x:c r="H422" s="97"/>
      <x:c r="I422" s="98"/>
      <x:c r="J422" s="98"/>
      <x:c r="K422" s="2"/>
      <x:c r="L422" s="2"/>
      <x:c r="M422" s="2"/>
      <x:c r="N422" s="2"/>
      <x:c r="O422" s="2"/>
      <x:c r="P422" s="2"/>
      <x:c r="Q422" s="2"/>
    </x:row>
    <x:row r="423">
      <x:c r="A423" s="2"/>
      <x:c r="B423" s="2"/>
      <x:c r="C423" s="2"/>
      <x:c r="D423" s="2"/>
      <x:c r="E423" s="2"/>
      <x:c r="F423" s="2"/>
      <x:c r="G423" s="97"/>
      <x:c r="H423" s="97"/>
      <x:c r="I423" s="98"/>
      <x:c r="J423" s="98"/>
      <x:c r="K423" s="2"/>
      <x:c r="L423" s="2"/>
      <x:c r="M423" s="2"/>
      <x:c r="N423" s="2"/>
      <x:c r="O423" s="2"/>
      <x:c r="P423" s="2"/>
      <x:c r="Q423" s="2"/>
    </x:row>
    <x:row r="424">
      <x:c r="A424" s="2"/>
      <x:c r="B424" s="2"/>
      <x:c r="C424" s="2"/>
      <x:c r="D424" s="2"/>
      <x:c r="E424" s="2"/>
      <x:c r="F424" s="2"/>
      <x:c r="G424" s="97"/>
      <x:c r="H424" s="97"/>
      <x:c r="I424" s="98"/>
      <x:c r="J424" s="98"/>
      <x:c r="K424" s="2"/>
      <x:c r="L424" s="2"/>
      <x:c r="M424" s="2"/>
      <x:c r="N424" s="2"/>
      <x:c r="O424" s="2"/>
      <x:c r="P424" s="2"/>
      <x:c r="Q424" s="2"/>
    </x:row>
    <x:row r="425">
      <x:c r="A425" s="2"/>
      <x:c r="B425" s="2"/>
      <x:c r="C425" s="2"/>
      <x:c r="D425" s="2"/>
      <x:c r="E425" s="2"/>
      <x:c r="F425" s="2"/>
      <x:c r="G425" s="97"/>
      <x:c r="H425" s="97"/>
      <x:c r="I425" s="98"/>
      <x:c r="J425" s="98"/>
      <x:c r="K425" s="2"/>
      <x:c r="L425" s="2"/>
      <x:c r="M425" s="2"/>
      <x:c r="N425" s="2"/>
      <x:c r="O425" s="2"/>
      <x:c r="P425" s="2"/>
      <x:c r="Q425" s="2"/>
    </x:row>
    <x:row r="426">
      <x:c r="A426" s="2"/>
      <x:c r="B426" s="2"/>
      <x:c r="C426" s="2"/>
      <x:c r="D426" s="2"/>
      <x:c r="E426" s="2"/>
      <x:c r="F426" s="2"/>
      <x:c r="G426" s="97"/>
      <x:c r="H426" s="97"/>
      <x:c r="I426" s="98"/>
      <x:c r="J426" s="98"/>
      <x:c r="K426" s="2"/>
      <x:c r="L426" s="2"/>
      <x:c r="M426" s="2"/>
      <x:c r="N426" s="2"/>
      <x:c r="O426" s="2"/>
      <x:c r="P426" s="2"/>
      <x:c r="Q426" s="2"/>
    </x:row>
    <x:row r="427">
      <x:c r="A427" s="2"/>
      <x:c r="B427" s="2"/>
      <x:c r="C427" s="2"/>
      <x:c r="D427" s="2"/>
      <x:c r="E427" s="2"/>
      <x:c r="F427" s="2"/>
      <x:c r="G427" s="97"/>
      <x:c r="H427" s="97"/>
      <x:c r="I427" s="98"/>
      <x:c r="J427" s="98"/>
      <x:c r="K427" s="2"/>
      <x:c r="L427" s="2"/>
      <x:c r="M427" s="2"/>
      <x:c r="N427" s="2"/>
      <x:c r="O427" s="2"/>
      <x:c r="P427" s="2"/>
      <x:c r="Q427" s="2"/>
    </x:row>
    <x:row r="428">
      <x:c r="A428" s="2"/>
      <x:c r="B428" s="2"/>
      <x:c r="C428" s="2"/>
      <x:c r="D428" s="2"/>
      <x:c r="E428" s="2"/>
      <x:c r="F428" s="2"/>
      <x:c r="G428" s="97"/>
      <x:c r="H428" s="97"/>
      <x:c r="I428" s="98"/>
      <x:c r="J428" s="98"/>
      <x:c r="K428" s="2"/>
      <x:c r="L428" s="2"/>
      <x:c r="M428" s="2"/>
      <x:c r="N428" s="2"/>
      <x:c r="O428" s="2"/>
      <x:c r="P428" s="2"/>
      <x:c r="Q428" s="2"/>
    </x:row>
    <x:row r="429">
      <x:c r="A429" s="2"/>
      <x:c r="B429" s="2"/>
      <x:c r="C429" s="2"/>
      <x:c r="D429" s="2"/>
      <x:c r="E429" s="2"/>
      <x:c r="F429" s="2"/>
      <x:c r="G429" s="97"/>
      <x:c r="H429" s="97"/>
      <x:c r="I429" s="98"/>
      <x:c r="J429" s="98"/>
      <x:c r="K429" s="2"/>
      <x:c r="L429" s="2"/>
      <x:c r="M429" s="2"/>
      <x:c r="N429" s="2"/>
      <x:c r="O429" s="2"/>
      <x:c r="P429" s="2"/>
      <x:c r="Q429" s="2"/>
    </x:row>
    <x:row r="430">
      <x:c r="A430" s="2"/>
      <x:c r="B430" s="2"/>
      <x:c r="C430" s="2"/>
      <x:c r="D430" s="2"/>
      <x:c r="E430" s="2"/>
      <x:c r="F430" s="2"/>
      <x:c r="G430" s="97"/>
      <x:c r="H430" s="97"/>
      <x:c r="I430" s="98"/>
      <x:c r="J430" s="98"/>
      <x:c r="K430" s="2"/>
      <x:c r="L430" s="2"/>
      <x:c r="M430" s="2"/>
      <x:c r="N430" s="2"/>
      <x:c r="O430" s="2"/>
      <x:c r="P430" s="2"/>
      <x:c r="Q430" s="2"/>
    </x:row>
    <x:row r="431">
      <x:c r="A431" s="2"/>
      <x:c r="B431" s="2"/>
      <x:c r="C431" s="2"/>
      <x:c r="D431" s="2"/>
      <x:c r="E431" s="2"/>
      <x:c r="F431" s="2"/>
      <x:c r="G431" s="97"/>
      <x:c r="H431" s="97"/>
      <x:c r="I431" s="98"/>
      <x:c r="J431" s="98"/>
      <x:c r="K431" s="2"/>
      <x:c r="L431" s="2"/>
      <x:c r="M431" s="2"/>
      <x:c r="N431" s="2"/>
      <x:c r="O431" s="2"/>
      <x:c r="P431" s="2"/>
      <x:c r="Q431" s="2"/>
    </x:row>
    <x:row r="432">
      <x:c r="A432" s="2"/>
      <x:c r="B432" s="2"/>
      <x:c r="C432" s="2"/>
      <x:c r="D432" s="2"/>
      <x:c r="E432" s="2"/>
      <x:c r="F432" s="2"/>
      <x:c r="G432" s="97"/>
      <x:c r="H432" s="97"/>
      <x:c r="I432" s="98"/>
      <x:c r="J432" s="98"/>
      <x:c r="K432" s="2"/>
      <x:c r="L432" s="2"/>
      <x:c r="M432" s="2"/>
      <x:c r="N432" s="2"/>
      <x:c r="O432" s="2"/>
      <x:c r="P432" s="2"/>
      <x:c r="Q432" s="2"/>
    </x:row>
    <x:row r="433">
      <x:c r="A433" s="2"/>
      <x:c r="B433" s="2"/>
      <x:c r="C433" s="2"/>
      <x:c r="D433" s="2"/>
      <x:c r="E433" s="2"/>
      <x:c r="F433" s="2"/>
      <x:c r="G433" s="97"/>
      <x:c r="H433" s="97"/>
      <x:c r="I433" s="98"/>
      <x:c r="J433" s="98"/>
      <x:c r="K433" s="2"/>
      <x:c r="L433" s="2"/>
      <x:c r="M433" s="2"/>
      <x:c r="N433" s="2"/>
      <x:c r="O433" s="2"/>
      <x:c r="P433" s="2"/>
      <x:c r="Q433" s="2"/>
    </x:row>
    <x:row r="434">
      <x:c r="A434" s="2"/>
      <x:c r="B434" s="2"/>
      <x:c r="C434" s="2"/>
      <x:c r="D434" s="2"/>
      <x:c r="E434" s="2"/>
      <x:c r="F434" s="2"/>
      <x:c r="G434" s="97"/>
      <x:c r="H434" s="97"/>
      <x:c r="I434" s="98"/>
      <x:c r="J434" s="98"/>
      <x:c r="K434" s="2"/>
      <x:c r="L434" s="2"/>
      <x:c r="M434" s="2"/>
      <x:c r="N434" s="2"/>
      <x:c r="O434" s="2"/>
      <x:c r="P434" s="2"/>
      <x:c r="Q434" s="2"/>
    </x:row>
    <x:row r="435">
      <x:c r="A435" s="2"/>
      <x:c r="B435" s="2"/>
      <x:c r="C435" s="2"/>
      <x:c r="D435" s="2"/>
      <x:c r="E435" s="2"/>
      <x:c r="F435" s="2"/>
      <x:c r="G435" s="97"/>
      <x:c r="H435" s="97"/>
      <x:c r="I435" s="98"/>
      <x:c r="J435" s="98"/>
      <x:c r="K435" s="2"/>
      <x:c r="L435" s="2"/>
      <x:c r="M435" s="2"/>
      <x:c r="N435" s="2"/>
      <x:c r="O435" s="2"/>
      <x:c r="P435" s="2"/>
      <x:c r="Q435" s="2"/>
    </x:row>
    <x:row r="436">
      <x:c r="A436" s="2"/>
      <x:c r="B436" s="2"/>
      <x:c r="C436" s="2"/>
      <x:c r="D436" s="2"/>
      <x:c r="E436" s="2"/>
      <x:c r="F436" s="2"/>
      <x:c r="G436" s="97"/>
      <x:c r="H436" s="97"/>
      <x:c r="I436" s="98"/>
      <x:c r="J436" s="98"/>
      <x:c r="K436" s="2"/>
      <x:c r="L436" s="2"/>
      <x:c r="M436" s="2"/>
      <x:c r="N436" s="2"/>
      <x:c r="O436" s="2"/>
      <x:c r="P436" s="2"/>
      <x:c r="Q436" s="2"/>
    </x:row>
    <x:row r="437">
      <x:c r="A437" s="2"/>
      <x:c r="B437" s="2"/>
      <x:c r="C437" s="2"/>
      <x:c r="D437" s="2"/>
      <x:c r="E437" s="2"/>
      <x:c r="F437" s="2"/>
      <x:c r="G437" s="97"/>
      <x:c r="H437" s="97"/>
      <x:c r="I437" s="98"/>
      <x:c r="J437" s="98"/>
      <x:c r="K437" s="2"/>
      <x:c r="L437" s="2"/>
      <x:c r="M437" s="2"/>
      <x:c r="N437" s="2"/>
      <x:c r="O437" s="2"/>
      <x:c r="P437" s="2"/>
      <x:c r="Q437" s="2"/>
    </x:row>
    <x:row r="438">
      <x:c r="A438" s="2"/>
      <x:c r="B438" s="2"/>
      <x:c r="C438" s="2"/>
      <x:c r="D438" s="2"/>
      <x:c r="E438" s="2"/>
      <x:c r="F438" s="2"/>
      <x:c r="G438" s="97"/>
      <x:c r="H438" s="97"/>
      <x:c r="I438" s="98"/>
      <x:c r="J438" s="98"/>
      <x:c r="K438" s="2"/>
      <x:c r="L438" s="2"/>
      <x:c r="M438" s="2"/>
      <x:c r="N438" s="2"/>
      <x:c r="O438" s="2"/>
      <x:c r="P438" s="2"/>
      <x:c r="Q438" s="2"/>
    </x:row>
    <x:row r="439">
      <x:c r="A439" s="2"/>
      <x:c r="B439" s="2"/>
      <x:c r="C439" s="2"/>
      <x:c r="D439" s="2"/>
      <x:c r="E439" s="2"/>
      <x:c r="F439" s="2"/>
      <x:c r="G439" s="97"/>
      <x:c r="H439" s="97"/>
      <x:c r="I439" s="98"/>
      <x:c r="J439" s="98"/>
      <x:c r="K439" s="2"/>
      <x:c r="L439" s="2"/>
      <x:c r="M439" s="2"/>
      <x:c r="N439" s="2"/>
      <x:c r="O439" s="2"/>
      <x:c r="P439" s="2"/>
      <x:c r="Q439" s="2"/>
    </x:row>
    <x:row r="440">
      <x:c r="A440" s="2"/>
      <x:c r="B440" s="2"/>
      <x:c r="C440" s="2"/>
      <x:c r="D440" s="2"/>
      <x:c r="E440" s="2"/>
      <x:c r="F440" s="2"/>
      <x:c r="G440" s="97"/>
      <x:c r="H440" s="97"/>
      <x:c r="I440" s="98"/>
      <x:c r="J440" s="98"/>
      <x:c r="K440" s="2"/>
      <x:c r="L440" s="2"/>
      <x:c r="M440" s="2"/>
      <x:c r="N440" s="2"/>
      <x:c r="O440" s="2"/>
      <x:c r="P440" s="2"/>
      <x:c r="Q440" s="2"/>
    </x:row>
    <x:row r="441">
      <x:c r="A441" s="2"/>
      <x:c r="B441" s="2"/>
      <x:c r="C441" s="2"/>
      <x:c r="D441" s="2"/>
      <x:c r="E441" s="2"/>
      <x:c r="F441" s="2"/>
      <x:c r="G441" s="97"/>
      <x:c r="H441" s="97"/>
      <x:c r="I441" s="98"/>
      <x:c r="J441" s="98"/>
      <x:c r="K441" s="2"/>
      <x:c r="L441" s="2"/>
      <x:c r="M441" s="2"/>
      <x:c r="N441" s="2"/>
      <x:c r="O441" s="2"/>
      <x:c r="P441" s="2"/>
      <x:c r="Q441" s="2"/>
    </x:row>
    <x:row r="442">
      <x:c r="A442" s="2"/>
      <x:c r="B442" s="2"/>
      <x:c r="C442" s="2"/>
      <x:c r="D442" s="2"/>
      <x:c r="E442" s="2"/>
      <x:c r="F442" s="2"/>
      <x:c r="G442" s="97"/>
      <x:c r="H442" s="97"/>
      <x:c r="I442" s="98"/>
      <x:c r="J442" s="98"/>
      <x:c r="K442" s="2"/>
      <x:c r="L442" s="2"/>
      <x:c r="M442" s="2"/>
      <x:c r="N442" s="2"/>
      <x:c r="O442" s="2"/>
      <x:c r="P442" s="2"/>
      <x:c r="Q442" s="2"/>
    </x:row>
    <x:row r="443">
      <x:c r="A443" s="2"/>
      <x:c r="B443" s="2"/>
      <x:c r="C443" s="2"/>
      <x:c r="D443" s="2"/>
      <x:c r="E443" s="2"/>
      <x:c r="F443" s="2"/>
      <x:c r="G443" s="97"/>
      <x:c r="H443" s="97"/>
      <x:c r="I443" s="98"/>
      <x:c r="J443" s="98"/>
      <x:c r="K443" s="2"/>
      <x:c r="L443" s="2"/>
      <x:c r="M443" s="2"/>
      <x:c r="N443" s="2"/>
      <x:c r="O443" s="2"/>
      <x:c r="P443" s="2"/>
      <x:c r="Q443" s="2"/>
    </x:row>
    <x:row r="444">
      <x:c r="A444" s="2"/>
      <x:c r="B444" s="2"/>
      <x:c r="C444" s="2"/>
      <x:c r="D444" s="2"/>
      <x:c r="E444" s="2"/>
      <x:c r="F444" s="2"/>
      <x:c r="G444" s="97"/>
      <x:c r="H444" s="97"/>
      <x:c r="I444" s="98"/>
      <x:c r="J444" s="98"/>
      <x:c r="K444" s="2"/>
      <x:c r="L444" s="2"/>
      <x:c r="M444" s="2"/>
      <x:c r="N444" s="2"/>
      <x:c r="O444" s="2"/>
      <x:c r="P444" s="2"/>
      <x:c r="Q444" s="2"/>
    </x:row>
    <x:row r="445">
      <x:c r="A445" s="2"/>
      <x:c r="B445" s="2"/>
      <x:c r="C445" s="2"/>
      <x:c r="D445" s="2"/>
      <x:c r="E445" s="2"/>
      <x:c r="F445" s="2"/>
      <x:c r="G445" s="97"/>
      <x:c r="H445" s="97"/>
      <x:c r="I445" s="98"/>
      <x:c r="J445" s="98"/>
      <x:c r="K445" s="2"/>
      <x:c r="L445" s="2"/>
      <x:c r="M445" s="2"/>
      <x:c r="N445" s="2"/>
      <x:c r="O445" s="2"/>
      <x:c r="P445" s="2"/>
      <x:c r="Q445" s="2"/>
    </x:row>
    <x:row r="446">
      <x:c r="A446" s="2"/>
      <x:c r="B446" s="2"/>
      <x:c r="C446" s="2"/>
      <x:c r="D446" s="2"/>
      <x:c r="E446" s="2"/>
      <x:c r="F446" s="2"/>
      <x:c r="G446" s="97"/>
      <x:c r="H446" s="97"/>
      <x:c r="I446" s="98"/>
      <x:c r="J446" s="98"/>
      <x:c r="K446" s="2"/>
      <x:c r="L446" s="2"/>
      <x:c r="M446" s="2"/>
      <x:c r="N446" s="2"/>
      <x:c r="O446" s="2"/>
      <x:c r="P446" s="2"/>
      <x:c r="Q446" s="2"/>
    </x:row>
    <x:row r="447">
      <x:c r="A447" s="2"/>
      <x:c r="B447" s="2"/>
      <x:c r="C447" s="2"/>
      <x:c r="D447" s="2"/>
      <x:c r="E447" s="2"/>
      <x:c r="F447" s="2"/>
      <x:c r="G447" s="97"/>
      <x:c r="H447" s="97"/>
      <x:c r="I447" s="98"/>
      <x:c r="J447" s="98"/>
      <x:c r="K447" s="2"/>
      <x:c r="L447" s="2"/>
      <x:c r="M447" s="2"/>
      <x:c r="N447" s="2"/>
      <x:c r="O447" s="2"/>
      <x:c r="P447" s="2"/>
      <x:c r="Q447" s="2"/>
    </x:row>
    <x:row r="448">
      <x:c r="A448" s="2"/>
      <x:c r="B448" s="2"/>
      <x:c r="C448" s="2"/>
      <x:c r="D448" s="2"/>
      <x:c r="E448" s="2"/>
      <x:c r="F448" s="2"/>
      <x:c r="G448" s="97"/>
      <x:c r="H448" s="97"/>
      <x:c r="I448" s="98"/>
      <x:c r="J448" s="98"/>
      <x:c r="K448" s="2"/>
      <x:c r="L448" s="2"/>
      <x:c r="M448" s="2"/>
      <x:c r="N448" s="2"/>
      <x:c r="O448" s="2"/>
      <x:c r="P448" s="2"/>
      <x:c r="Q448" s="2"/>
    </x:row>
    <x:row r="449">
      <x:c r="A449" s="2"/>
      <x:c r="B449" s="2"/>
      <x:c r="C449" s="2"/>
      <x:c r="D449" s="2"/>
      <x:c r="E449" s="2"/>
      <x:c r="F449" s="2"/>
      <x:c r="G449" s="97"/>
      <x:c r="H449" s="97"/>
      <x:c r="I449" s="98"/>
      <x:c r="J449" s="98"/>
      <x:c r="K449" s="2"/>
      <x:c r="L449" s="2"/>
      <x:c r="M449" s="2"/>
      <x:c r="N449" s="2"/>
      <x:c r="O449" s="2"/>
      <x:c r="P449" s="2"/>
      <x:c r="Q449" s="2"/>
    </x:row>
    <x:row r="450">
      <x:c r="A450" s="2"/>
      <x:c r="B450" s="2"/>
      <x:c r="C450" s="2"/>
      <x:c r="D450" s="2"/>
      <x:c r="E450" s="2"/>
      <x:c r="F450" s="2"/>
      <x:c r="G450" s="97"/>
      <x:c r="H450" s="97"/>
      <x:c r="I450" s="98"/>
      <x:c r="J450" s="98"/>
      <x:c r="K450" s="2"/>
      <x:c r="L450" s="2"/>
      <x:c r="M450" s="2"/>
      <x:c r="N450" s="2"/>
      <x:c r="O450" s="2"/>
      <x:c r="P450" s="2"/>
      <x:c r="Q450" s="2"/>
    </x:row>
    <x:row r="451">
      <x:c r="A451" s="2"/>
      <x:c r="B451" s="2"/>
      <x:c r="C451" s="2"/>
      <x:c r="D451" s="2"/>
      <x:c r="E451" s="2"/>
      <x:c r="F451" s="2"/>
      <x:c r="G451" s="97"/>
      <x:c r="H451" s="97"/>
      <x:c r="I451" s="98"/>
      <x:c r="J451" s="98"/>
      <x:c r="K451" s="2"/>
      <x:c r="L451" s="2"/>
      <x:c r="M451" s="2"/>
      <x:c r="N451" s="2"/>
      <x:c r="O451" s="2"/>
      <x:c r="P451" s="2"/>
      <x:c r="Q451" s="2"/>
    </x:row>
    <x:row r="452">
      <x:c r="A452" s="2"/>
      <x:c r="B452" s="2"/>
      <x:c r="C452" s="2"/>
      <x:c r="D452" s="2"/>
      <x:c r="E452" s="2"/>
      <x:c r="F452" s="2"/>
      <x:c r="G452" s="97"/>
      <x:c r="H452" s="97"/>
      <x:c r="I452" s="98"/>
      <x:c r="J452" s="98"/>
      <x:c r="K452" s="2"/>
      <x:c r="L452" s="2"/>
      <x:c r="M452" s="2"/>
      <x:c r="N452" s="2"/>
      <x:c r="O452" s="2"/>
      <x:c r="P452" s="2"/>
      <x:c r="Q452" s="2"/>
    </x:row>
    <x:row r="453">
      <x:c r="A453" s="2"/>
      <x:c r="B453" s="2"/>
      <x:c r="C453" s="2"/>
      <x:c r="D453" s="2"/>
      <x:c r="E453" s="2"/>
      <x:c r="F453" s="2"/>
      <x:c r="G453" s="97"/>
      <x:c r="H453" s="97"/>
      <x:c r="I453" s="98"/>
      <x:c r="J453" s="98"/>
      <x:c r="K453" s="2"/>
      <x:c r="L453" s="2"/>
      <x:c r="M453" s="2"/>
      <x:c r="N453" s="2"/>
      <x:c r="O453" s="2"/>
      <x:c r="P453" s="2"/>
      <x:c r="Q453" s="2"/>
    </x:row>
    <x:row r="454">
      <x:c r="A454" s="2"/>
      <x:c r="B454" s="2"/>
      <x:c r="C454" s="2"/>
      <x:c r="D454" s="2"/>
      <x:c r="E454" s="2"/>
      <x:c r="F454" s="2"/>
      <x:c r="G454" s="97"/>
      <x:c r="H454" s="97"/>
      <x:c r="I454" s="98"/>
      <x:c r="J454" s="98"/>
      <x:c r="K454" s="2"/>
      <x:c r="L454" s="2"/>
      <x:c r="M454" s="2"/>
      <x:c r="N454" s="2"/>
      <x:c r="O454" s="2"/>
      <x:c r="P454" s="2"/>
      <x:c r="Q454" s="2"/>
    </x:row>
    <x:row r="455">
      <x:c r="A455" s="2"/>
      <x:c r="B455" s="2"/>
      <x:c r="C455" s="2"/>
      <x:c r="D455" s="2"/>
      <x:c r="E455" s="2"/>
      <x:c r="F455" s="2"/>
      <x:c r="G455" s="97"/>
      <x:c r="H455" s="97"/>
      <x:c r="I455" s="98"/>
      <x:c r="J455" s="98"/>
      <x:c r="K455" s="2"/>
      <x:c r="L455" s="2"/>
      <x:c r="M455" s="2"/>
      <x:c r="N455" s="2"/>
      <x:c r="O455" s="2"/>
      <x:c r="P455" s="2"/>
      <x:c r="Q455" s="2"/>
    </x:row>
    <x:row r="456">
      <x:c r="A456" s="2"/>
      <x:c r="B456" s="2"/>
      <x:c r="C456" s="2"/>
      <x:c r="D456" s="2"/>
      <x:c r="E456" s="2"/>
      <x:c r="F456" s="2"/>
      <x:c r="G456" s="97"/>
      <x:c r="H456" s="97"/>
      <x:c r="I456" s="98"/>
      <x:c r="J456" s="98"/>
      <x:c r="K456" s="2"/>
      <x:c r="L456" s="2"/>
      <x:c r="M456" s="2"/>
      <x:c r="N456" s="2"/>
      <x:c r="O456" s="2"/>
      <x:c r="P456" s="2"/>
      <x:c r="Q456" s="2"/>
    </x:row>
    <x:row r="457">
      <x:c r="A457" s="2"/>
      <x:c r="B457" s="2"/>
      <x:c r="C457" s="2"/>
      <x:c r="D457" s="2"/>
      <x:c r="E457" s="2"/>
      <x:c r="F457" s="2"/>
      <x:c r="G457" s="97"/>
      <x:c r="H457" s="97"/>
      <x:c r="I457" s="98"/>
      <x:c r="J457" s="98"/>
      <x:c r="K457" s="2"/>
      <x:c r="L457" s="2"/>
      <x:c r="M457" s="2"/>
      <x:c r="N457" s="2"/>
      <x:c r="O457" s="2"/>
      <x:c r="P457" s="2"/>
      <x:c r="Q457" s="2"/>
    </x:row>
    <x:row r="458">
      <x:c r="A458" s="2"/>
      <x:c r="B458" s="2"/>
      <x:c r="C458" s="2"/>
      <x:c r="D458" s="2"/>
      <x:c r="E458" s="2"/>
      <x:c r="F458" s="2"/>
      <x:c r="G458" s="97"/>
      <x:c r="H458" s="97"/>
      <x:c r="I458" s="98"/>
      <x:c r="J458" s="98"/>
      <x:c r="K458" s="2"/>
      <x:c r="L458" s="2"/>
      <x:c r="M458" s="2"/>
      <x:c r="N458" s="2"/>
      <x:c r="O458" s="2"/>
      <x:c r="P458" s="2"/>
      <x:c r="Q458" s="2"/>
    </x:row>
    <x:row r="459">
      <x:c r="A459" s="2"/>
      <x:c r="B459" s="2"/>
      <x:c r="C459" s="2"/>
      <x:c r="D459" s="2"/>
      <x:c r="E459" s="2"/>
      <x:c r="F459" s="2"/>
      <x:c r="G459" s="97"/>
      <x:c r="H459" s="97"/>
      <x:c r="I459" s="98"/>
      <x:c r="J459" s="98"/>
      <x:c r="K459" s="2"/>
      <x:c r="L459" s="2"/>
      <x:c r="M459" s="2"/>
      <x:c r="N459" s="2"/>
      <x:c r="O459" s="2"/>
      <x:c r="P459" s="2"/>
      <x:c r="Q459" s="2"/>
    </x:row>
    <x:row r="460">
      <x:c r="A460" s="2"/>
      <x:c r="B460" s="2"/>
      <x:c r="C460" s="2"/>
      <x:c r="D460" s="2"/>
      <x:c r="E460" s="2"/>
      <x:c r="F460" s="2"/>
      <x:c r="G460" s="97"/>
      <x:c r="H460" s="97"/>
      <x:c r="I460" s="98"/>
      <x:c r="J460" s="98"/>
      <x:c r="K460" s="2"/>
      <x:c r="L460" s="2"/>
      <x:c r="M460" s="2"/>
      <x:c r="N460" s="2"/>
      <x:c r="O460" s="2"/>
      <x:c r="P460" s="2"/>
      <x:c r="Q460" s="2"/>
    </x:row>
    <x:row r="461">
      <x:c r="A461" s="2"/>
      <x:c r="B461" s="2"/>
      <x:c r="C461" s="2"/>
      <x:c r="D461" s="2"/>
      <x:c r="E461" s="2"/>
      <x:c r="F461" s="2"/>
      <x:c r="G461" s="97"/>
      <x:c r="H461" s="97"/>
      <x:c r="I461" s="98"/>
      <x:c r="J461" s="98"/>
      <x:c r="K461" s="2"/>
      <x:c r="L461" s="2"/>
      <x:c r="M461" s="2"/>
      <x:c r="N461" s="2"/>
      <x:c r="O461" s="2"/>
      <x:c r="P461" s="2"/>
      <x:c r="Q461" s="2"/>
    </x:row>
    <x:row r="462">
      <x:c r="A462" s="2"/>
      <x:c r="B462" s="2"/>
      <x:c r="C462" s="2"/>
      <x:c r="D462" s="2"/>
      <x:c r="E462" s="2"/>
      <x:c r="F462" s="2"/>
      <x:c r="G462" s="97"/>
      <x:c r="H462" s="97"/>
      <x:c r="I462" s="98"/>
      <x:c r="J462" s="98"/>
      <x:c r="K462" s="2"/>
      <x:c r="L462" s="2"/>
      <x:c r="M462" s="2"/>
      <x:c r="N462" s="2"/>
      <x:c r="O462" s="2"/>
      <x:c r="P462" s="2"/>
      <x:c r="Q462" s="2"/>
    </x:row>
    <x:row r="463">
      <x:c r="A463" s="2"/>
      <x:c r="B463" s="2"/>
      <x:c r="C463" s="2"/>
      <x:c r="D463" s="2"/>
      <x:c r="E463" s="2"/>
      <x:c r="F463" s="2"/>
      <x:c r="G463" s="97"/>
      <x:c r="H463" s="97"/>
      <x:c r="I463" s="98"/>
      <x:c r="J463" s="98"/>
      <x:c r="K463" s="2"/>
      <x:c r="L463" s="2"/>
      <x:c r="M463" s="2"/>
      <x:c r="N463" s="2"/>
      <x:c r="O463" s="2"/>
      <x:c r="P463" s="2"/>
      <x:c r="Q463" s="2"/>
    </x:row>
    <x:row r="464">
      <x:c r="A464" s="2"/>
      <x:c r="B464" s="2"/>
      <x:c r="C464" s="2"/>
      <x:c r="D464" s="2"/>
      <x:c r="E464" s="2"/>
      <x:c r="F464" s="2"/>
      <x:c r="G464" s="97"/>
      <x:c r="H464" s="97"/>
      <x:c r="I464" s="98"/>
      <x:c r="J464" s="98"/>
      <x:c r="K464" s="2"/>
      <x:c r="L464" s="2"/>
      <x:c r="M464" s="2"/>
      <x:c r="N464" s="2"/>
      <x:c r="O464" s="2"/>
      <x:c r="P464" s="2"/>
      <x:c r="Q464" s="2"/>
    </x:row>
    <x:row r="465">
      <x:c r="A465" s="2"/>
      <x:c r="B465" s="2"/>
      <x:c r="C465" s="2"/>
      <x:c r="D465" s="2"/>
      <x:c r="E465" s="2"/>
      <x:c r="F465" s="2"/>
      <x:c r="G465" s="97"/>
      <x:c r="H465" s="97"/>
      <x:c r="I465" s="98"/>
      <x:c r="J465" s="98"/>
      <x:c r="K465" s="2"/>
      <x:c r="L465" s="2"/>
      <x:c r="M465" s="2"/>
      <x:c r="N465" s="2"/>
      <x:c r="O465" s="2"/>
      <x:c r="P465" s="2"/>
      <x:c r="Q465" s="2"/>
    </x:row>
    <x:row r="466">
      <x:c r="A466" s="2"/>
      <x:c r="B466" s="2"/>
      <x:c r="C466" s="2"/>
      <x:c r="D466" s="2"/>
      <x:c r="E466" s="2"/>
      <x:c r="F466" s="2"/>
      <x:c r="G466" s="97"/>
      <x:c r="H466" s="97"/>
      <x:c r="I466" s="98"/>
      <x:c r="J466" s="98"/>
      <x:c r="K466" s="2"/>
      <x:c r="L466" s="2"/>
      <x:c r="M466" s="2"/>
      <x:c r="N466" s="2"/>
      <x:c r="O466" s="2"/>
      <x:c r="P466" s="2"/>
      <x:c r="Q466" s="2"/>
    </x:row>
    <x:row r="467">
      <x:c r="A467" s="2"/>
      <x:c r="B467" s="2"/>
      <x:c r="C467" s="2"/>
      <x:c r="D467" s="2"/>
      <x:c r="E467" s="2"/>
      <x:c r="F467" s="2"/>
      <x:c r="G467" s="97"/>
      <x:c r="H467" s="97"/>
      <x:c r="I467" s="98"/>
      <x:c r="J467" s="98"/>
      <x:c r="K467" s="2"/>
      <x:c r="L467" s="2"/>
      <x:c r="M467" s="2"/>
      <x:c r="N467" s="2"/>
      <x:c r="O467" s="2"/>
      <x:c r="P467" s="2"/>
      <x:c r="Q467" s="2"/>
    </x:row>
    <x:row r="468">
      <x:c r="A468" s="2"/>
      <x:c r="B468" s="2"/>
      <x:c r="C468" s="2"/>
      <x:c r="D468" s="2"/>
      <x:c r="E468" s="2"/>
      <x:c r="F468" s="2"/>
      <x:c r="G468" s="97"/>
      <x:c r="H468" s="97"/>
      <x:c r="I468" s="98"/>
      <x:c r="J468" s="98"/>
      <x:c r="K468" s="2"/>
      <x:c r="L468" s="2"/>
      <x:c r="M468" s="2"/>
      <x:c r="N468" s="2"/>
      <x:c r="O468" s="2"/>
      <x:c r="P468" s="2"/>
      <x:c r="Q468" s="2"/>
    </x:row>
    <x:row r="469">
      <x:c r="A469" s="2"/>
      <x:c r="B469" s="2"/>
      <x:c r="C469" s="2"/>
      <x:c r="D469" s="2"/>
      <x:c r="E469" s="2"/>
      <x:c r="F469" s="2"/>
      <x:c r="G469" s="97"/>
      <x:c r="H469" s="97"/>
      <x:c r="I469" s="98"/>
      <x:c r="J469" s="98"/>
      <x:c r="K469" s="2"/>
      <x:c r="L469" s="2"/>
      <x:c r="M469" s="2"/>
      <x:c r="N469" s="2"/>
      <x:c r="O469" s="2"/>
      <x:c r="P469" s="2"/>
      <x:c r="Q469" s="2"/>
    </x:row>
    <x:row r="470">
      <x:c r="A470" s="2"/>
      <x:c r="B470" s="2"/>
      <x:c r="C470" s="2"/>
      <x:c r="D470" s="2"/>
      <x:c r="E470" s="2"/>
      <x:c r="F470" s="2"/>
      <x:c r="G470" s="97"/>
      <x:c r="H470" s="97"/>
      <x:c r="I470" s="98"/>
      <x:c r="J470" s="98"/>
      <x:c r="K470" s="2"/>
      <x:c r="L470" s="2"/>
      <x:c r="M470" s="2"/>
      <x:c r="N470" s="2"/>
      <x:c r="O470" s="2"/>
      <x:c r="P470" s="2"/>
      <x:c r="Q470" s="2"/>
    </x:row>
    <x:row r="471">
      <x:c r="A471" s="2"/>
      <x:c r="B471" s="2"/>
      <x:c r="C471" s="2"/>
      <x:c r="D471" s="2"/>
      <x:c r="E471" s="2"/>
      <x:c r="F471" s="2"/>
      <x:c r="G471" s="97"/>
      <x:c r="H471" s="97"/>
      <x:c r="I471" s="98"/>
      <x:c r="J471" s="98"/>
      <x:c r="K471" s="2"/>
      <x:c r="L471" s="2"/>
      <x:c r="M471" s="2"/>
      <x:c r="N471" s="2"/>
      <x:c r="O471" s="2"/>
      <x:c r="P471" s="2"/>
      <x:c r="Q471" s="2"/>
    </x:row>
    <x:row r="472">
      <x:c r="A472" s="2"/>
      <x:c r="B472" s="2"/>
      <x:c r="C472" s="2"/>
      <x:c r="D472" s="2"/>
      <x:c r="E472" s="2"/>
      <x:c r="F472" s="2"/>
      <x:c r="G472" s="97"/>
      <x:c r="H472" s="97"/>
      <x:c r="I472" s="98"/>
      <x:c r="J472" s="98"/>
      <x:c r="K472" s="2"/>
      <x:c r="L472" s="2"/>
      <x:c r="M472" s="2"/>
      <x:c r="N472" s="2"/>
      <x:c r="O472" s="2"/>
      <x:c r="P472" s="2"/>
      <x:c r="Q472" s="2"/>
    </x:row>
    <x:row r="473">
      <x:c r="A473" s="2"/>
      <x:c r="B473" s="2"/>
      <x:c r="C473" s="2"/>
      <x:c r="D473" s="2"/>
      <x:c r="E473" s="2"/>
      <x:c r="F473" s="2"/>
      <x:c r="G473" s="97"/>
      <x:c r="H473" s="97"/>
      <x:c r="I473" s="98"/>
      <x:c r="J473" s="98"/>
      <x:c r="K473" s="2"/>
      <x:c r="L473" s="2"/>
      <x:c r="M473" s="2"/>
      <x:c r="N473" s="2"/>
      <x:c r="O473" s="2"/>
      <x:c r="P473" s="2"/>
      <x:c r="Q473" s="2"/>
    </x:row>
    <x:row r="474">
      <x:c r="A474" s="2"/>
      <x:c r="B474" s="2"/>
      <x:c r="C474" s="2"/>
      <x:c r="D474" s="2"/>
      <x:c r="E474" s="2"/>
      <x:c r="F474" s="2"/>
      <x:c r="G474" s="97"/>
      <x:c r="H474" s="97"/>
      <x:c r="I474" s="98"/>
      <x:c r="J474" s="98"/>
      <x:c r="K474" s="2"/>
      <x:c r="L474" s="2"/>
      <x:c r="M474" s="2"/>
      <x:c r="N474" s="2"/>
      <x:c r="O474" s="2"/>
      <x:c r="P474" s="2"/>
      <x:c r="Q474" s="2"/>
    </x:row>
    <x:row r="475">
      <x:c r="A475" s="2"/>
      <x:c r="B475" s="2"/>
      <x:c r="C475" s="2"/>
      <x:c r="D475" s="2"/>
      <x:c r="E475" s="2"/>
      <x:c r="F475" s="2"/>
      <x:c r="G475" s="97"/>
      <x:c r="H475" s="97"/>
      <x:c r="I475" s="98"/>
      <x:c r="J475" s="98"/>
      <x:c r="K475" s="2"/>
      <x:c r="L475" s="2"/>
      <x:c r="M475" s="2"/>
      <x:c r="N475" s="2"/>
      <x:c r="O475" s="2"/>
      <x:c r="P475" s="2"/>
      <x:c r="Q475" s="2"/>
    </x:row>
    <x:row r="476">
      <x:c r="A476" s="2"/>
      <x:c r="B476" s="2"/>
      <x:c r="C476" s="2"/>
      <x:c r="D476" s="2"/>
      <x:c r="E476" s="2"/>
      <x:c r="F476" s="2"/>
      <x:c r="G476" s="97"/>
      <x:c r="H476" s="97"/>
      <x:c r="I476" s="98"/>
      <x:c r="J476" s="98"/>
      <x:c r="K476" s="2"/>
      <x:c r="L476" s="2"/>
      <x:c r="M476" s="2"/>
      <x:c r="N476" s="2"/>
      <x:c r="O476" s="2"/>
      <x:c r="P476" s="2"/>
      <x:c r="Q476" s="2"/>
    </x:row>
    <x:row r="477">
      <x:c r="A477" s="2"/>
      <x:c r="B477" s="2"/>
      <x:c r="C477" s="2"/>
      <x:c r="D477" s="2"/>
      <x:c r="E477" s="2"/>
      <x:c r="F477" s="2"/>
      <x:c r="G477" s="97"/>
      <x:c r="H477" s="97"/>
      <x:c r="I477" s="98"/>
      <x:c r="J477" s="98"/>
      <x:c r="K477" s="2"/>
      <x:c r="L477" s="2"/>
      <x:c r="M477" s="2"/>
      <x:c r="N477" s="2"/>
      <x:c r="O477" s="2"/>
      <x:c r="P477" s="2"/>
      <x:c r="Q477" s="2"/>
    </x:row>
    <x:row r="478">
      <x:c r="A478" s="2"/>
      <x:c r="B478" s="2"/>
      <x:c r="C478" s="2"/>
      <x:c r="D478" s="2"/>
      <x:c r="E478" s="2"/>
      <x:c r="F478" s="2"/>
      <x:c r="G478" s="97"/>
      <x:c r="H478" s="97"/>
      <x:c r="I478" s="98"/>
      <x:c r="J478" s="98"/>
      <x:c r="K478" s="2"/>
      <x:c r="L478" s="2"/>
      <x:c r="M478" s="2"/>
      <x:c r="N478" s="2"/>
      <x:c r="O478" s="2"/>
      <x:c r="P478" s="2"/>
      <x:c r="Q478" s="2"/>
    </x:row>
    <x:row r="479">
      <x:c r="A479" s="2"/>
      <x:c r="B479" s="2"/>
      <x:c r="C479" s="2"/>
      <x:c r="D479" s="2"/>
      <x:c r="E479" s="2"/>
      <x:c r="F479" s="2"/>
      <x:c r="G479" s="97"/>
      <x:c r="H479" s="97"/>
      <x:c r="I479" s="98"/>
      <x:c r="J479" s="98"/>
      <x:c r="K479" s="2"/>
      <x:c r="L479" s="2"/>
      <x:c r="M479" s="2"/>
      <x:c r="N479" s="2"/>
      <x:c r="O479" s="2"/>
      <x:c r="P479" s="2"/>
      <x:c r="Q479" s="2"/>
    </x:row>
    <x:row r="480">
      <x:c r="A480" s="2"/>
      <x:c r="B480" s="2"/>
      <x:c r="C480" s="2"/>
      <x:c r="D480" s="2"/>
      <x:c r="E480" s="2"/>
      <x:c r="F480" s="2"/>
      <x:c r="G480" s="97"/>
      <x:c r="H480" s="97"/>
      <x:c r="I480" s="98"/>
      <x:c r="J480" s="98"/>
      <x:c r="K480" s="2"/>
      <x:c r="L480" s="2"/>
      <x:c r="M480" s="2"/>
      <x:c r="N480" s="2"/>
      <x:c r="O480" s="2"/>
      <x:c r="P480" s="2"/>
      <x:c r="Q480" s="2"/>
    </x:row>
    <x:row r="481">
      <x:c r="A481" s="2"/>
      <x:c r="B481" s="2"/>
      <x:c r="C481" s="2"/>
      <x:c r="D481" s="2"/>
      <x:c r="E481" s="2"/>
      <x:c r="F481" s="2"/>
      <x:c r="G481" s="97"/>
      <x:c r="H481" s="97"/>
      <x:c r="I481" s="98"/>
      <x:c r="J481" s="98"/>
      <x:c r="K481" s="2"/>
      <x:c r="L481" s="2"/>
      <x:c r="M481" s="2"/>
      <x:c r="N481" s="2"/>
      <x:c r="O481" s="2"/>
      <x:c r="P481" s="2"/>
      <x:c r="Q481" s="2"/>
    </x:row>
    <x:row r="482">
      <x:c r="A482" s="2"/>
      <x:c r="B482" s="2"/>
      <x:c r="C482" s="2"/>
      <x:c r="D482" s="2"/>
      <x:c r="E482" s="2"/>
      <x:c r="F482" s="2"/>
      <x:c r="G482" s="97"/>
      <x:c r="H482" s="97"/>
      <x:c r="I482" s="98"/>
      <x:c r="J482" s="98"/>
      <x:c r="K482" s="2"/>
      <x:c r="L482" s="2"/>
      <x:c r="M482" s="2"/>
      <x:c r="N482" s="2"/>
      <x:c r="O482" s="2"/>
      <x:c r="P482" s="2"/>
      <x:c r="Q482" s="2"/>
    </x:row>
    <x:row r="483">
      <x:c r="A483" s="2"/>
      <x:c r="B483" s="2"/>
      <x:c r="C483" s="2"/>
      <x:c r="D483" s="2"/>
      <x:c r="E483" s="2"/>
      <x:c r="F483" s="2"/>
      <x:c r="G483" s="97"/>
      <x:c r="H483" s="97"/>
      <x:c r="I483" s="98"/>
      <x:c r="J483" s="98"/>
      <x:c r="K483" s="2"/>
      <x:c r="L483" s="2"/>
      <x:c r="M483" s="2"/>
      <x:c r="N483" s="2"/>
      <x:c r="O483" s="2"/>
      <x:c r="P483" s="2"/>
      <x:c r="Q483" s="2"/>
    </x:row>
    <x:row r="484">
      <x:c r="A484" s="2"/>
      <x:c r="B484" s="2"/>
      <x:c r="C484" s="2"/>
      <x:c r="D484" s="2"/>
      <x:c r="E484" s="2"/>
      <x:c r="F484" s="2"/>
      <x:c r="G484" s="97"/>
      <x:c r="H484" s="97"/>
      <x:c r="I484" s="98"/>
      <x:c r="J484" s="98"/>
      <x:c r="K484" s="2"/>
      <x:c r="L484" s="2"/>
      <x:c r="M484" s="2"/>
      <x:c r="N484" s="2"/>
      <x:c r="O484" s="2"/>
      <x:c r="P484" s="2"/>
      <x:c r="Q484" s="2"/>
    </x:row>
    <x:row r="485">
      <x:c r="A485" s="2"/>
      <x:c r="B485" s="2"/>
      <x:c r="C485" s="2"/>
      <x:c r="D485" s="2"/>
      <x:c r="E485" s="2"/>
      <x:c r="F485" s="2"/>
      <x:c r="G485" s="97"/>
      <x:c r="H485" s="97"/>
      <x:c r="I485" s="98"/>
      <x:c r="J485" s="98"/>
      <x:c r="K485" s="2"/>
      <x:c r="L485" s="2"/>
      <x:c r="M485" s="2"/>
      <x:c r="N485" s="2"/>
      <x:c r="O485" s="2"/>
      <x:c r="P485" s="2"/>
      <x:c r="Q485" s="2"/>
    </x:row>
    <x:row r="486">
      <x:c r="A486" s="2"/>
      <x:c r="B486" s="2"/>
      <x:c r="C486" s="2"/>
      <x:c r="D486" s="2"/>
      <x:c r="E486" s="2"/>
      <x:c r="F486" s="2"/>
      <x:c r="G486" s="97"/>
      <x:c r="H486" s="97"/>
      <x:c r="I486" s="98"/>
      <x:c r="J486" s="98"/>
      <x:c r="K486" s="2"/>
      <x:c r="L486" s="2"/>
      <x:c r="M486" s="2"/>
      <x:c r="N486" s="2"/>
      <x:c r="O486" s="2"/>
      <x:c r="P486" s="2"/>
      <x:c r="Q486" s="2"/>
    </x:row>
    <x:row r="487">
      <x:c r="A487" s="2"/>
      <x:c r="B487" s="2"/>
      <x:c r="C487" s="2"/>
      <x:c r="D487" s="2"/>
      <x:c r="E487" s="2"/>
      <x:c r="F487" s="2"/>
      <x:c r="G487" s="97"/>
      <x:c r="H487" s="97"/>
      <x:c r="I487" s="98"/>
      <x:c r="J487" s="98"/>
      <x:c r="K487" s="2"/>
      <x:c r="L487" s="2"/>
      <x:c r="M487" s="2"/>
      <x:c r="N487" s="2"/>
      <x:c r="O487" s="2"/>
      <x:c r="P487" s="2"/>
      <x:c r="Q487" s="2"/>
    </x:row>
    <x:row r="488">
      <x:c r="A488" s="2"/>
      <x:c r="B488" s="2"/>
      <x:c r="C488" s="2"/>
      <x:c r="D488" s="2"/>
      <x:c r="E488" s="2"/>
      <x:c r="F488" s="2"/>
      <x:c r="G488" s="97"/>
      <x:c r="H488" s="97"/>
      <x:c r="I488" s="98"/>
      <x:c r="J488" s="98"/>
      <x:c r="K488" s="2"/>
      <x:c r="L488" s="2"/>
      <x:c r="M488" s="2"/>
      <x:c r="N488" s="2"/>
      <x:c r="O488" s="2"/>
      <x:c r="P488" s="2"/>
      <x:c r="Q488" s="2"/>
    </x:row>
    <x:row r="489">
      <x:c r="A489" s="2"/>
      <x:c r="B489" s="2"/>
      <x:c r="C489" s="2"/>
      <x:c r="D489" s="2"/>
      <x:c r="E489" s="2"/>
      <x:c r="F489" s="2"/>
      <x:c r="G489" s="97"/>
      <x:c r="H489" s="97"/>
      <x:c r="I489" s="98"/>
      <x:c r="J489" s="98"/>
      <x:c r="K489" s="2"/>
      <x:c r="L489" s="2"/>
      <x:c r="M489" s="2"/>
      <x:c r="N489" s="2"/>
      <x:c r="O489" s="2"/>
      <x:c r="P489" s="2"/>
      <x:c r="Q489" s="2"/>
    </x:row>
    <x:row r="490">
      <x:c r="A490" s="2"/>
      <x:c r="B490" s="2"/>
      <x:c r="C490" s="2"/>
      <x:c r="D490" s="2"/>
      <x:c r="E490" s="2"/>
      <x:c r="F490" s="2"/>
      <x:c r="G490" s="97"/>
      <x:c r="H490" s="97"/>
      <x:c r="I490" s="98"/>
      <x:c r="J490" s="98"/>
      <x:c r="K490" s="2"/>
      <x:c r="L490" s="2"/>
      <x:c r="M490" s="2"/>
      <x:c r="N490" s="2"/>
      <x:c r="O490" s="2"/>
      <x:c r="P490" s="2"/>
      <x:c r="Q490" s="2"/>
    </x:row>
    <x:row r="491">
      <x:c r="A491" s="2"/>
      <x:c r="B491" s="2"/>
      <x:c r="C491" s="2"/>
      <x:c r="D491" s="2"/>
      <x:c r="E491" s="2"/>
      <x:c r="F491" s="2"/>
      <x:c r="G491" s="97"/>
      <x:c r="H491" s="97"/>
      <x:c r="I491" s="98"/>
      <x:c r="J491" s="98"/>
      <x:c r="K491" s="2"/>
      <x:c r="L491" s="2"/>
      <x:c r="M491" s="2"/>
      <x:c r="N491" s="2"/>
      <x:c r="O491" s="2"/>
      <x:c r="P491" s="2"/>
      <x:c r="Q491" s="2"/>
    </x:row>
    <x:row r="492">
      <x:c r="A492" s="2"/>
      <x:c r="B492" s="2"/>
      <x:c r="C492" s="2"/>
      <x:c r="D492" s="2"/>
      <x:c r="E492" s="2"/>
      <x:c r="F492" s="2"/>
      <x:c r="G492" s="97"/>
      <x:c r="H492" s="97"/>
      <x:c r="I492" s="98"/>
      <x:c r="J492" s="98"/>
      <x:c r="K492" s="2"/>
      <x:c r="L492" s="2"/>
      <x:c r="M492" s="2"/>
      <x:c r="N492" s="2"/>
      <x:c r="O492" s="2"/>
      <x:c r="P492" s="2"/>
      <x:c r="Q492" s="2"/>
    </x:row>
    <x:row r="493">
      <x:c r="A493" s="2"/>
      <x:c r="B493" s="2"/>
      <x:c r="C493" s="2"/>
      <x:c r="D493" s="2"/>
      <x:c r="E493" s="2"/>
      <x:c r="F493" s="2"/>
      <x:c r="G493" s="97"/>
      <x:c r="H493" s="97"/>
      <x:c r="I493" s="98"/>
      <x:c r="J493" s="98"/>
      <x:c r="K493" s="2"/>
      <x:c r="L493" s="2"/>
      <x:c r="M493" s="2"/>
      <x:c r="N493" s="2"/>
      <x:c r="O493" s="2"/>
      <x:c r="P493" s="2"/>
      <x:c r="Q493" s="2"/>
    </x:row>
    <x:row r="494">
      <x:c r="A494" s="2"/>
      <x:c r="B494" s="2"/>
      <x:c r="C494" s="2"/>
      <x:c r="D494" s="2"/>
      <x:c r="E494" s="2"/>
      <x:c r="F494" s="2"/>
      <x:c r="G494" s="97"/>
      <x:c r="H494" s="97"/>
      <x:c r="I494" s="98"/>
      <x:c r="J494" s="98"/>
      <x:c r="K494" s="2"/>
      <x:c r="L494" s="2"/>
      <x:c r="M494" s="2"/>
      <x:c r="N494" s="2"/>
      <x:c r="O494" s="2"/>
      <x:c r="P494" s="2"/>
      <x:c r="Q494" s="2"/>
    </x:row>
    <x:row r="495">
      <x:c r="A495" s="2"/>
      <x:c r="B495" s="2"/>
      <x:c r="C495" s="2"/>
      <x:c r="D495" s="2"/>
      <x:c r="E495" s="2"/>
      <x:c r="F495" s="2"/>
      <x:c r="G495" s="97"/>
      <x:c r="H495" s="97"/>
      <x:c r="I495" s="98"/>
      <x:c r="J495" s="98"/>
      <x:c r="K495" s="2"/>
      <x:c r="L495" s="2"/>
      <x:c r="M495" s="2"/>
      <x:c r="N495" s="2"/>
      <x:c r="O495" s="2"/>
      <x:c r="P495" s="2"/>
      <x:c r="Q495" s="2"/>
    </x:row>
    <x:row r="496">
      <x:c r="A496" s="2"/>
      <x:c r="B496" s="2"/>
      <x:c r="C496" s="2"/>
      <x:c r="D496" s="2"/>
      <x:c r="E496" s="2"/>
      <x:c r="F496" s="2"/>
      <x:c r="G496" s="97"/>
      <x:c r="H496" s="97"/>
      <x:c r="I496" s="98"/>
      <x:c r="J496" s="98"/>
      <x:c r="K496" s="2"/>
      <x:c r="L496" s="2"/>
      <x:c r="M496" s="2"/>
      <x:c r="N496" s="2"/>
      <x:c r="O496" s="2"/>
      <x:c r="P496" s="2"/>
      <x:c r="Q496" s="2"/>
    </x:row>
    <x:row r="497">
      <x:c r="A497" s="2"/>
      <x:c r="B497" s="2"/>
      <x:c r="C497" s="2"/>
      <x:c r="D497" s="2"/>
      <x:c r="E497" s="2"/>
      <x:c r="F497" s="2"/>
      <x:c r="G497" s="97"/>
      <x:c r="H497" s="97"/>
      <x:c r="I497" s="98"/>
      <x:c r="J497" s="98"/>
      <x:c r="K497" s="2"/>
      <x:c r="L497" s="2"/>
      <x:c r="M497" s="2"/>
      <x:c r="N497" s="2"/>
      <x:c r="O497" s="2"/>
      <x:c r="P497" s="2"/>
      <x:c r="Q497" s="2"/>
    </x:row>
    <x:row r="498">
      <x:c r="A498" s="2"/>
      <x:c r="B498" s="2"/>
      <x:c r="C498" s="2"/>
      <x:c r="D498" s="2"/>
      <x:c r="E498" s="2"/>
      <x:c r="F498" s="2"/>
      <x:c r="G498" s="97"/>
      <x:c r="H498" s="97"/>
      <x:c r="I498" s="98"/>
      <x:c r="J498" s="98"/>
      <x:c r="K498" s="2"/>
      <x:c r="L498" s="2"/>
      <x:c r="M498" s="2"/>
      <x:c r="N498" s="2"/>
      <x:c r="O498" s="2"/>
      <x:c r="P498" s="2"/>
      <x:c r="Q498" s="2"/>
    </x:row>
    <x:row r="499">
      <x:c r="A499" s="2"/>
      <x:c r="B499" s="2"/>
      <x:c r="C499" s="2"/>
      <x:c r="D499" s="2"/>
      <x:c r="E499" s="2"/>
      <x:c r="F499" s="2"/>
      <x:c r="G499" s="97"/>
      <x:c r="H499" s="97"/>
      <x:c r="I499" s="98"/>
      <x:c r="J499" s="98"/>
      <x:c r="K499" s="2"/>
      <x:c r="L499" s="2"/>
      <x:c r="M499" s="2"/>
      <x:c r="N499" s="2"/>
      <x:c r="O499" s="2"/>
      <x:c r="P499" s="2"/>
      <x:c r="Q499" s="2"/>
    </x:row>
    <x:row r="500">
      <x:c r="A500" s="2"/>
      <x:c r="B500" s="2"/>
      <x:c r="C500" s="2"/>
      <x:c r="D500" s="2"/>
      <x:c r="E500" s="2"/>
      <x:c r="F500" s="2"/>
      <x:c r="G500" s="97"/>
      <x:c r="H500" s="97"/>
      <x:c r="I500" s="98"/>
      <x:c r="J500" s="98"/>
      <x:c r="K500" s="2"/>
      <x:c r="L500" s="2"/>
      <x:c r="M500" s="2"/>
      <x:c r="N500" s="2"/>
      <x:c r="O500" s="2"/>
      <x:c r="P500" s="2"/>
      <x:c r="Q500" s="2"/>
    </x:row>
  </x:sheetData>
  <x:mergeCells>
    <x:mergeCell ref="A1:Q1"/>
  </x:mergeCells>
  <x:dataValidations count="3">
    <x:dataValidation type="list" sqref="E4:E500">
      <x:formula1>"Application,Point purchase,License,Tag purchase,Research,Refund"</x:formula1>
    </x:dataValidation>
    <x:dataValidation type="list" sqref="L4:L500">
      <x:formula1>"Not Started,Planned,Submitted,Paid,Complete,Missed,Refunded"</x:formula1>
    </x:dataValidation>
    <x:dataValidation type="list" sqref="M4:M500">
      <x:formula1>"Pending,Drawn,Not Drawn,Alternate,Successful Purchase,N/A"</x:formula1>
    </x:dataValidation>
  </x:dataValidation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</x:cols>
  <x:sheetData>
    <x:row r="1" ht="34" customHeight="1">
      <x:c r="A1" s="63" t="str">
        <x:v>DREAM HUNT ROADMAP</x:v>
      </x:c>
    </x:row>
    <x:row r="3">
      <x:c r="A3" s="89" t="str">
        <x:v>Dream Hunt</x:v>
      </x:c>
      <x:c r="B3" s="89" t="str">
        <x:v>Location</x:v>
      </x:c>
      <x:c r="C3" s="89" t="str">
        <x:v>Species</x:v>
      </x:c>
      <x:c r="D3" s="89" t="str">
        <x:v>Hunter(s)</x:v>
      </x:c>
      <x:c r="E3" s="89" t="str">
        <x:v>Priority</x:v>
      </x:c>
      <x:c r="F3" s="89" t="str">
        <x:v>Target Year</x:v>
      </x:c>
      <x:c r="G3" s="89" t="str">
        <x:v>Planning Horizon</x:v>
      </x:c>
      <x:c r="H3" s="89" t="str">
        <x:v>Estimated Total Cost</x:v>
      </x:c>
      <x:c r="I3" s="89" t="str">
        <x:v>Funding Status</x:v>
      </x:c>
      <x:c r="J3" s="89" t="str">
        <x:v>Physical Prep</x:v>
      </x:c>
      <x:c r="K3" s="89" t="str">
        <x:v>Point / Draw Requirement</x:v>
      </x:c>
      <x:c r="L3" s="89" t="str">
        <x:v>Major Logistics</x:v>
      </x:c>
      <x:c r="M3" s="89" t="str">
        <x:v>Next Research Step</x:v>
      </x:c>
      <x:c r="N3" s="89" t="str">
        <x:v>Notes</x:v>
      </x:c>
    </x:row>
    <x:row r="4">
      <x:c r="A4" s="2" t="str">
        <x:v>Alaska Caribou</x:v>
      </x:c>
      <x:c r="B4" s="2" t="str">
        <x:v>Alaska</x:v>
      </x:c>
      <x:c r="C4" s="2" t="str">
        <x:v>Caribou</x:v>
      </x:c>
      <x:c r="D4" s="2" t="str">
        <x:v>Family</x:v>
      </x:c>
      <x:c r="E4" s="91" t="n">
        <x:v>1</x:v>
      </x:c>
      <x:c r="F4" s="2" t="n">
        <x:v>2032</x:v>
      </x:c>
      <x:c r="G4" s="2" t="str">
        <x:v>Long term</x:v>
      </x:c>
      <x:c r="H4" s="92" t="n">
        <x:v>18000</x:v>
      </x:c>
      <x:c r="I4" s="2" t="str">
        <x:v>Start dedicated fund</x:v>
      </x:c>
      <x:c r="J4" s="2" t="str">
        <x:v>Backpack/endurance</x:v>
      </x:c>
      <x:c r="K4" s="2" t="str">
        <x:v>Varies by hunt and land status</x:v>
      </x:c>
      <x:c r="L4" s="2" t="str">
        <x:v>Air transport, meat care, weather, gear</x:v>
      </x:c>
      <x:c r="M4" s="2" t="str">
        <x:v>Compare guided vs transporter-supported options</x:v>
      </x:c>
      <x:c r="N4" s="2" t="str">
        <x:v>Cost is a placeholder; verify current quotes.</x:v>
      </x:c>
    </x:row>
    <x:row r="5">
      <x:c r="A5" s="2" t="str">
        <x:v>Alaska Interior Grizzly</x:v>
      </x:c>
      <x:c r="B5" s="2" t="str">
        <x:v>Interior Alaska</x:v>
      </x:c>
      <x:c r="C5" s="2" t="str">
        <x:v>Grizzly</x:v>
      </x:c>
      <x:c r="D5" s="2" t="str">
        <x:v>Adult</x:v>
      </x:c>
      <x:c r="E5" s="91" t="n">
        <x:v>2</x:v>
      </x:c>
      <x:c r="F5" s="2" t="n">
        <x:v>2036</x:v>
      </x:c>
      <x:c r="G5" s="2" t="str">
        <x:v>Long term</x:v>
      </x:c>
      <x:c r="H5" s="92" t="n">
        <x:v>30000</x:v>
      </x:c>
      <x:c r="I5" s="2" t="str">
        <x:v>Future</x:v>
      </x:c>
      <x:c r="J5" s="2" t="str">
        <x:v>High fitness</x:v>
      </x:c>
      <x:c r="K5" s="2" t="str">
        <x:v>Confirm guide requirement and current law</x:v>
      </x:c>
      <x:c r="L5" s="2" t="str">
        <x:v>Guide/outfitter, travel, trophy/meat rules</x:v>
      </x:c>
      <x:c r="M5" s="2" t="str">
        <x:v>Research reputable interior outfitters</x:v>
      </x:c>
      <x:c r="N5" s="2" t="str">
        <x:v>User's stated dream hunt.</x:v>
      </x:c>
    </x:row>
    <x:row r="6">
      <x:c r="A6" s="2" t="str">
        <x:v>Alaska Moose</x:v>
      </x:c>
      <x:c r="B6" s="2" t="str">
        <x:v>Alaska</x:v>
      </x:c>
      <x:c r="C6" s="2" t="str">
        <x:v>Moose</x:v>
      </x:c>
      <x:c r="D6" s="2" t="str">
        <x:v>Family</x:v>
      </x:c>
      <x:c r="E6" s="91" t="n">
        <x:v>3</x:v>
      </x:c>
      <x:c r="F6" s="2" t="n">
        <x:v>2038</x:v>
      </x:c>
      <x:c r="G6" s="2" t="str">
        <x:v>Long term</x:v>
      </x:c>
      <x:c r="H6" s="92" t="n">
        <x:v>28000</x:v>
      </x:c>
      <x:c r="I6" s="2" t="str">
        <x:v>Future</x:v>
      </x:c>
      <x:c r="J6" s="2" t="str">
        <x:v>High fitness / pack-out</x:v>
      </x:c>
      <x:c r="K6" s="2" t="str">
        <x:v>Varies</x:v>
      </x:c>
      <x:c r="L6" s="2" t="str">
        <x:v>Air transport, meat logistics, extended trip</x:v>
      </x:c>
      <x:c r="M6" s="2" t="str">
        <x:v>Compare guided, transporter, and legal requirements</x:v>
      </x:c>
      <x:c r="N6" s="2" t="str">
        <x:v>Corrected from 'mouse' based on context; revise if needed.</x:v>
      </x:c>
    </x:row>
    <x:row r="7">
      <x:c r="A7" s="2"/>
      <x:c r="B7" s="2"/>
      <x:c r="C7" s="2"/>
      <x:c r="D7" s="2"/>
      <x:c r="E7" s="91"/>
      <x:c r="F7" s="2"/>
      <x:c r="G7" s="2"/>
      <x:c r="H7" s="92"/>
      <x:c r="I7" s="2"/>
      <x:c r="J7" s="2"/>
      <x:c r="K7" s="2"/>
      <x:c r="L7" s="2"/>
      <x:c r="M7" s="2"/>
      <x:c r="N7" s="2"/>
    </x:row>
    <x:row r="8">
      <x:c r="A8" s="2"/>
      <x:c r="B8" s="2"/>
      <x:c r="C8" s="2"/>
      <x:c r="D8" s="2"/>
      <x:c r="E8" s="91"/>
      <x:c r="F8" s="2"/>
      <x:c r="G8" s="2"/>
      <x:c r="H8" s="92"/>
      <x:c r="I8" s="2"/>
      <x:c r="J8" s="2"/>
      <x:c r="K8" s="2"/>
      <x:c r="L8" s="2"/>
      <x:c r="M8" s="2"/>
      <x:c r="N8" s="2"/>
    </x:row>
    <x:row r="9">
      <x:c r="A9" s="2"/>
      <x:c r="B9" s="2"/>
      <x:c r="C9" s="2"/>
      <x:c r="D9" s="2"/>
      <x:c r="E9" s="91"/>
      <x:c r="F9" s="2"/>
      <x:c r="G9" s="2"/>
      <x:c r="H9" s="92"/>
      <x:c r="I9" s="2"/>
      <x:c r="J9" s="2"/>
      <x:c r="K9" s="2"/>
      <x:c r="L9" s="2"/>
      <x:c r="M9" s="2"/>
      <x:c r="N9" s="2"/>
    </x:row>
    <x:row r="10">
      <x:c r="A10" s="2"/>
      <x:c r="B10" s="2"/>
      <x:c r="C10" s="2"/>
      <x:c r="D10" s="2"/>
      <x:c r="E10" s="91"/>
      <x:c r="F10" s="2"/>
      <x:c r="G10" s="2"/>
      <x:c r="H10" s="92"/>
      <x:c r="I10" s="2"/>
      <x:c r="J10" s="2"/>
      <x:c r="K10" s="2"/>
      <x:c r="L10" s="2"/>
      <x:c r="M10" s="2"/>
      <x:c r="N10" s="2"/>
    </x:row>
    <x:row r="11">
      <x:c r="A11" s="2"/>
      <x:c r="B11" s="2"/>
      <x:c r="C11" s="2"/>
      <x:c r="D11" s="2"/>
      <x:c r="E11" s="91"/>
      <x:c r="F11" s="2"/>
      <x:c r="G11" s="2"/>
      <x:c r="H11" s="92"/>
      <x:c r="I11" s="2"/>
      <x:c r="J11" s="2"/>
      <x:c r="K11" s="2"/>
      <x:c r="L11" s="2"/>
      <x:c r="M11" s="2"/>
      <x:c r="N11" s="2"/>
    </x:row>
    <x:row r="12">
      <x:c r="A12" s="2"/>
      <x:c r="B12" s="2"/>
      <x:c r="C12" s="2"/>
      <x:c r="D12" s="2"/>
      <x:c r="E12" s="91"/>
      <x:c r="F12" s="2"/>
      <x:c r="G12" s="2"/>
      <x:c r="H12" s="92"/>
      <x:c r="I12" s="2"/>
      <x:c r="J12" s="2"/>
      <x:c r="K12" s="2"/>
      <x:c r="L12" s="2"/>
      <x:c r="M12" s="2"/>
      <x:c r="N12" s="2"/>
    </x:row>
    <x:row r="13">
      <x:c r="A13" s="2"/>
      <x:c r="B13" s="2"/>
      <x:c r="C13" s="2"/>
      <x:c r="D13" s="2"/>
      <x:c r="E13" s="91"/>
      <x:c r="F13" s="2"/>
      <x:c r="G13" s="2"/>
      <x:c r="H13" s="92"/>
      <x:c r="I13" s="2"/>
      <x:c r="J13" s="2"/>
      <x:c r="K13" s="2"/>
      <x:c r="L13" s="2"/>
      <x:c r="M13" s="2"/>
      <x:c r="N13" s="2"/>
    </x:row>
    <x:row r="14">
      <x:c r="A14" s="2"/>
      <x:c r="B14" s="2"/>
      <x:c r="C14" s="2"/>
      <x:c r="D14" s="2"/>
      <x:c r="E14" s="91"/>
      <x:c r="F14" s="2"/>
      <x:c r="G14" s="2"/>
      <x:c r="H14" s="92"/>
      <x:c r="I14" s="2"/>
      <x:c r="J14" s="2"/>
      <x:c r="K14" s="2"/>
      <x:c r="L14" s="2"/>
      <x:c r="M14" s="2"/>
      <x:c r="N14" s="2"/>
    </x:row>
    <x:row r="15">
      <x:c r="A15" s="2"/>
      <x:c r="B15" s="2"/>
      <x:c r="C15" s="2"/>
      <x:c r="D15" s="2"/>
      <x:c r="E15" s="91"/>
      <x:c r="F15" s="2"/>
      <x:c r="G15" s="2"/>
      <x:c r="H15" s="92"/>
      <x:c r="I15" s="2"/>
      <x:c r="J15" s="2"/>
      <x:c r="K15" s="2"/>
      <x:c r="L15" s="2"/>
      <x:c r="M15" s="2"/>
      <x:c r="N15" s="2"/>
    </x:row>
    <x:row r="16">
      <x:c r="A16" s="2"/>
      <x:c r="B16" s="2"/>
      <x:c r="C16" s="2"/>
      <x:c r="D16" s="2"/>
      <x:c r="E16" s="91"/>
      <x:c r="F16" s="2"/>
      <x:c r="G16" s="2"/>
      <x:c r="H16" s="92"/>
      <x:c r="I16" s="2"/>
      <x:c r="J16" s="2"/>
      <x:c r="K16" s="2"/>
      <x:c r="L16" s="2"/>
      <x:c r="M16" s="2"/>
      <x:c r="N16" s="2"/>
    </x:row>
    <x:row r="17">
      <x:c r="A17" s="2"/>
      <x:c r="B17" s="2"/>
      <x:c r="C17" s="2"/>
      <x:c r="D17" s="2"/>
      <x:c r="E17" s="91"/>
      <x:c r="F17" s="2"/>
      <x:c r="G17" s="2"/>
      <x:c r="H17" s="92"/>
      <x:c r="I17" s="2"/>
      <x:c r="J17" s="2"/>
      <x:c r="K17" s="2"/>
      <x:c r="L17" s="2"/>
      <x:c r="M17" s="2"/>
      <x:c r="N17" s="2"/>
    </x:row>
    <x:row r="18">
      <x:c r="A18" s="2"/>
      <x:c r="B18" s="2"/>
      <x:c r="C18" s="2"/>
      <x:c r="D18" s="2"/>
      <x:c r="E18" s="91"/>
      <x:c r="F18" s="2"/>
      <x:c r="G18" s="2"/>
      <x:c r="H18" s="92"/>
      <x:c r="I18" s="2"/>
      <x:c r="J18" s="2"/>
      <x:c r="K18" s="2"/>
      <x:c r="L18" s="2"/>
      <x:c r="M18" s="2"/>
      <x:c r="N18" s="2"/>
    </x:row>
    <x:row r="19">
      <x:c r="A19" s="2"/>
      <x:c r="B19" s="2"/>
      <x:c r="C19" s="2"/>
      <x:c r="D19" s="2"/>
      <x:c r="E19" s="91"/>
      <x:c r="F19" s="2"/>
      <x:c r="G19" s="2"/>
      <x:c r="H19" s="92"/>
      <x:c r="I19" s="2"/>
      <x:c r="J19" s="2"/>
      <x:c r="K19" s="2"/>
      <x:c r="L19" s="2"/>
      <x:c r="M19" s="2"/>
      <x:c r="N19" s="2"/>
    </x:row>
    <x:row r="20">
      <x:c r="A20" s="2"/>
      <x:c r="B20" s="2"/>
      <x:c r="C20" s="2"/>
      <x:c r="D20" s="2"/>
      <x:c r="E20" s="91"/>
      <x:c r="F20" s="2"/>
      <x:c r="G20" s="2"/>
      <x:c r="H20" s="92"/>
      <x:c r="I20" s="2"/>
      <x:c r="J20" s="2"/>
      <x:c r="K20" s="2"/>
      <x:c r="L20" s="2"/>
      <x:c r="M20" s="2"/>
      <x:c r="N20" s="2"/>
    </x:row>
    <x:row r="21">
      <x:c r="A21" s="2"/>
      <x:c r="B21" s="2"/>
      <x:c r="C21" s="2"/>
      <x:c r="D21" s="2"/>
      <x:c r="E21" s="91"/>
      <x:c r="F21" s="2"/>
      <x:c r="G21" s="2"/>
      <x:c r="H21" s="92"/>
      <x:c r="I21" s="2"/>
      <x:c r="J21" s="2"/>
      <x:c r="K21" s="2"/>
      <x:c r="L21" s="2"/>
      <x:c r="M21" s="2"/>
      <x:c r="N21" s="2"/>
    </x:row>
    <x:row r="22">
      <x:c r="A22" s="2"/>
      <x:c r="B22" s="2"/>
      <x:c r="C22" s="2"/>
      <x:c r="D22" s="2"/>
      <x:c r="E22" s="91"/>
      <x:c r="F22" s="2"/>
      <x:c r="G22" s="2"/>
      <x:c r="H22" s="92"/>
      <x:c r="I22" s="2"/>
      <x:c r="J22" s="2"/>
      <x:c r="K22" s="2"/>
      <x:c r="L22" s="2"/>
      <x:c r="M22" s="2"/>
      <x:c r="N22" s="2"/>
    </x:row>
    <x:row r="23">
      <x:c r="A23" s="2"/>
      <x:c r="B23" s="2"/>
      <x:c r="C23" s="2"/>
      <x:c r="D23" s="2"/>
      <x:c r="E23" s="91"/>
      <x:c r="F23" s="2"/>
      <x:c r="G23" s="2"/>
      <x:c r="H23" s="92"/>
      <x:c r="I23" s="2"/>
      <x:c r="J23" s="2"/>
      <x:c r="K23" s="2"/>
      <x:c r="L23" s="2"/>
      <x:c r="M23" s="2"/>
      <x:c r="N23" s="2"/>
    </x:row>
    <x:row r="24">
      <x:c r="A24" s="2"/>
      <x:c r="B24" s="2"/>
      <x:c r="C24" s="2"/>
      <x:c r="D24" s="2"/>
      <x:c r="E24" s="91"/>
      <x:c r="F24" s="2"/>
      <x:c r="G24" s="2"/>
      <x:c r="H24" s="92"/>
      <x:c r="I24" s="2"/>
      <x:c r="J24" s="2"/>
      <x:c r="K24" s="2"/>
      <x:c r="L24" s="2"/>
      <x:c r="M24" s="2"/>
      <x:c r="N24" s="2"/>
    </x:row>
    <x:row r="25">
      <x:c r="A25" s="2"/>
      <x:c r="B25" s="2"/>
      <x:c r="C25" s="2"/>
      <x:c r="D25" s="2"/>
      <x:c r="E25" s="91"/>
      <x:c r="F25" s="2"/>
      <x:c r="G25" s="2"/>
      <x:c r="H25" s="92"/>
      <x:c r="I25" s="2"/>
      <x:c r="J25" s="2"/>
      <x:c r="K25" s="2"/>
      <x:c r="L25" s="2"/>
      <x:c r="M25" s="2"/>
      <x:c r="N25" s="2"/>
    </x:row>
    <x:row r="26">
      <x:c r="A26" s="2"/>
      <x:c r="B26" s="2"/>
      <x:c r="C26" s="2"/>
      <x:c r="D26" s="2"/>
      <x:c r="E26" s="91"/>
      <x:c r="F26" s="2"/>
      <x:c r="G26" s="2"/>
      <x:c r="H26" s="92"/>
      <x:c r="I26" s="2"/>
      <x:c r="J26" s="2"/>
      <x:c r="K26" s="2"/>
      <x:c r="L26" s="2"/>
      <x:c r="M26" s="2"/>
      <x:c r="N26" s="2"/>
    </x:row>
    <x:row r="27">
      <x:c r="A27" s="2"/>
      <x:c r="B27" s="2"/>
      <x:c r="C27" s="2"/>
      <x:c r="D27" s="2"/>
      <x:c r="E27" s="91"/>
      <x:c r="F27" s="2"/>
      <x:c r="G27" s="2"/>
      <x:c r="H27" s="92"/>
      <x:c r="I27" s="2"/>
      <x:c r="J27" s="2"/>
      <x:c r="K27" s="2"/>
      <x:c r="L27" s="2"/>
      <x:c r="M27" s="2"/>
      <x:c r="N27" s="2"/>
    </x:row>
    <x:row r="28">
      <x:c r="A28" s="2"/>
      <x:c r="B28" s="2"/>
      <x:c r="C28" s="2"/>
      <x:c r="D28" s="2"/>
      <x:c r="E28" s="91"/>
      <x:c r="F28" s="2"/>
      <x:c r="G28" s="2"/>
      <x:c r="H28" s="92"/>
      <x:c r="I28" s="2"/>
      <x:c r="J28" s="2"/>
      <x:c r="K28" s="2"/>
      <x:c r="L28" s="2"/>
      <x:c r="M28" s="2"/>
      <x:c r="N28" s="2"/>
    </x:row>
    <x:row r="29">
      <x:c r="A29" s="2"/>
      <x:c r="B29" s="2"/>
      <x:c r="C29" s="2"/>
      <x:c r="D29" s="2"/>
      <x:c r="E29" s="91"/>
      <x:c r="F29" s="2"/>
      <x:c r="G29" s="2"/>
      <x:c r="H29" s="92"/>
      <x:c r="I29" s="2"/>
      <x:c r="J29" s="2"/>
      <x:c r="K29" s="2"/>
      <x:c r="L29" s="2"/>
      <x:c r="M29" s="2"/>
      <x:c r="N29" s="2"/>
    </x:row>
    <x:row r="30">
      <x:c r="A30" s="2"/>
      <x:c r="B30" s="2"/>
      <x:c r="C30" s="2"/>
      <x:c r="D30" s="2"/>
      <x:c r="E30" s="91"/>
      <x:c r="F30" s="2"/>
      <x:c r="G30" s="2"/>
      <x:c r="H30" s="92"/>
      <x:c r="I30" s="2"/>
      <x:c r="J30" s="2"/>
      <x:c r="K30" s="2"/>
      <x:c r="L30" s="2"/>
      <x:c r="M30" s="2"/>
      <x:c r="N30" s="2"/>
    </x:row>
    <x:row r="31">
      <x:c r="A31" s="2"/>
      <x:c r="B31" s="2"/>
      <x:c r="C31" s="2"/>
      <x:c r="D31" s="2"/>
      <x:c r="E31" s="91"/>
      <x:c r="F31" s="2"/>
      <x:c r="G31" s="2"/>
      <x:c r="H31" s="92"/>
      <x:c r="I31" s="2"/>
      <x:c r="J31" s="2"/>
      <x:c r="K31" s="2"/>
      <x:c r="L31" s="2"/>
      <x:c r="M31" s="2"/>
      <x:c r="N31" s="2"/>
    </x:row>
    <x:row r="32">
      <x:c r="A32" s="2"/>
      <x:c r="B32" s="2"/>
      <x:c r="C32" s="2"/>
      <x:c r="D32" s="2"/>
      <x:c r="E32" s="91"/>
      <x:c r="F32" s="2"/>
      <x:c r="G32" s="2"/>
      <x:c r="H32" s="92"/>
      <x:c r="I32" s="2"/>
      <x:c r="J32" s="2"/>
      <x:c r="K32" s="2"/>
      <x:c r="L32" s="2"/>
      <x:c r="M32" s="2"/>
      <x:c r="N32" s="2"/>
    </x:row>
    <x:row r="33">
      <x:c r="A33" s="2"/>
      <x:c r="B33" s="2"/>
      <x:c r="C33" s="2"/>
      <x:c r="D33" s="2"/>
      <x:c r="E33" s="91"/>
      <x:c r="F33" s="2"/>
      <x:c r="G33" s="2"/>
      <x:c r="H33" s="92"/>
      <x:c r="I33" s="2"/>
      <x:c r="J33" s="2"/>
      <x:c r="K33" s="2"/>
      <x:c r="L33" s="2"/>
      <x:c r="M33" s="2"/>
      <x:c r="N33" s="2"/>
    </x:row>
    <x:row r="34">
      <x:c r="A34" s="2"/>
      <x:c r="B34" s="2"/>
      <x:c r="C34" s="2"/>
      <x:c r="D34" s="2"/>
      <x:c r="E34" s="91"/>
      <x:c r="F34" s="2"/>
      <x:c r="G34" s="2"/>
      <x:c r="H34" s="92"/>
      <x:c r="I34" s="2"/>
      <x:c r="J34" s="2"/>
      <x:c r="K34" s="2"/>
      <x:c r="L34" s="2"/>
      <x:c r="M34" s="2"/>
      <x:c r="N34" s="2"/>
    </x:row>
    <x:row r="35">
      <x:c r="A35" s="2"/>
      <x:c r="B35" s="2"/>
      <x:c r="C35" s="2"/>
      <x:c r="D35" s="2"/>
      <x:c r="E35" s="91"/>
      <x:c r="F35" s="2"/>
      <x:c r="G35" s="2"/>
      <x:c r="H35" s="92"/>
      <x:c r="I35" s="2"/>
      <x:c r="J35" s="2"/>
      <x:c r="K35" s="2"/>
      <x:c r="L35" s="2"/>
      <x:c r="M35" s="2"/>
      <x:c r="N35" s="2"/>
    </x:row>
    <x:row r="36">
      <x:c r="A36" s="2"/>
      <x:c r="B36" s="2"/>
      <x:c r="C36" s="2"/>
      <x:c r="D36" s="2"/>
      <x:c r="E36" s="91"/>
      <x:c r="F36" s="2"/>
      <x:c r="G36" s="2"/>
      <x:c r="H36" s="92"/>
      <x:c r="I36" s="2"/>
      <x:c r="J36" s="2"/>
      <x:c r="K36" s="2"/>
      <x:c r="L36" s="2"/>
      <x:c r="M36" s="2"/>
      <x:c r="N36" s="2"/>
    </x:row>
    <x:row r="37">
      <x:c r="A37" s="2"/>
      <x:c r="B37" s="2"/>
      <x:c r="C37" s="2"/>
      <x:c r="D37" s="2"/>
      <x:c r="E37" s="91"/>
      <x:c r="F37" s="2"/>
      <x:c r="G37" s="2"/>
      <x:c r="H37" s="92"/>
      <x:c r="I37" s="2"/>
      <x:c r="J37" s="2"/>
      <x:c r="K37" s="2"/>
      <x:c r="L37" s="2"/>
      <x:c r="M37" s="2"/>
      <x:c r="N37" s="2"/>
    </x:row>
    <x:row r="38">
      <x:c r="A38" s="2"/>
      <x:c r="B38" s="2"/>
      <x:c r="C38" s="2"/>
      <x:c r="D38" s="2"/>
      <x:c r="E38" s="91"/>
      <x:c r="F38" s="2"/>
      <x:c r="G38" s="2"/>
      <x:c r="H38" s="92"/>
      <x:c r="I38" s="2"/>
      <x:c r="J38" s="2"/>
      <x:c r="K38" s="2"/>
      <x:c r="L38" s="2"/>
      <x:c r="M38" s="2"/>
      <x:c r="N38" s="2"/>
    </x:row>
    <x:row r="39">
      <x:c r="A39" s="2"/>
      <x:c r="B39" s="2"/>
      <x:c r="C39" s="2"/>
      <x:c r="D39" s="2"/>
      <x:c r="E39" s="91"/>
      <x:c r="F39" s="2"/>
      <x:c r="G39" s="2"/>
      <x:c r="H39" s="92"/>
      <x:c r="I39" s="2"/>
      <x:c r="J39" s="2"/>
      <x:c r="K39" s="2"/>
      <x:c r="L39" s="2"/>
      <x:c r="M39" s="2"/>
      <x:c r="N39" s="2"/>
    </x:row>
    <x:row r="40">
      <x:c r="A40" s="2"/>
      <x:c r="B40" s="2"/>
      <x:c r="C40" s="2"/>
      <x:c r="D40" s="2"/>
      <x:c r="E40" s="91"/>
      <x:c r="F40" s="2"/>
      <x:c r="G40" s="2"/>
      <x:c r="H40" s="92"/>
      <x:c r="I40" s="2"/>
      <x:c r="J40" s="2"/>
      <x:c r="K40" s="2"/>
      <x:c r="L40" s="2"/>
      <x:c r="M40" s="2"/>
      <x:c r="N40" s="2"/>
    </x:row>
    <x:row r="41">
      <x:c r="A41" s="2"/>
      <x:c r="B41" s="2"/>
      <x:c r="C41" s="2"/>
      <x:c r="D41" s="2"/>
      <x:c r="E41" s="91"/>
      <x:c r="F41" s="2"/>
      <x:c r="G41" s="2"/>
      <x:c r="H41" s="92"/>
      <x:c r="I41" s="2"/>
      <x:c r="J41" s="2"/>
      <x:c r="K41" s="2"/>
      <x:c r="L41" s="2"/>
      <x:c r="M41" s="2"/>
      <x:c r="N41" s="2"/>
    </x:row>
    <x:row r="42">
      <x:c r="A42" s="2"/>
      <x:c r="B42" s="2"/>
      <x:c r="C42" s="2"/>
      <x:c r="D42" s="2"/>
      <x:c r="E42" s="91"/>
      <x:c r="F42" s="2"/>
      <x:c r="G42" s="2"/>
      <x:c r="H42" s="92"/>
      <x:c r="I42" s="2"/>
      <x:c r="J42" s="2"/>
      <x:c r="K42" s="2"/>
      <x:c r="L42" s="2"/>
      <x:c r="M42" s="2"/>
      <x:c r="N42" s="2"/>
    </x:row>
    <x:row r="43">
      <x:c r="A43" s="2"/>
      <x:c r="B43" s="2"/>
      <x:c r="C43" s="2"/>
      <x:c r="D43" s="2"/>
      <x:c r="E43" s="91"/>
      <x:c r="F43" s="2"/>
      <x:c r="G43" s="2"/>
      <x:c r="H43" s="92"/>
      <x:c r="I43" s="2"/>
      <x:c r="J43" s="2"/>
      <x:c r="K43" s="2"/>
      <x:c r="L43" s="2"/>
      <x:c r="M43" s="2"/>
      <x:c r="N43" s="2"/>
    </x:row>
    <x:row r="44">
      <x:c r="A44" s="2"/>
      <x:c r="B44" s="2"/>
      <x:c r="C44" s="2"/>
      <x:c r="D44" s="2"/>
      <x:c r="E44" s="91"/>
      <x:c r="F44" s="2"/>
      <x:c r="G44" s="2"/>
      <x:c r="H44" s="92"/>
      <x:c r="I44" s="2"/>
      <x:c r="J44" s="2"/>
      <x:c r="K44" s="2"/>
      <x:c r="L44" s="2"/>
      <x:c r="M44" s="2"/>
      <x:c r="N44" s="2"/>
    </x:row>
    <x:row r="45">
      <x:c r="A45" s="2"/>
      <x:c r="B45" s="2"/>
      <x:c r="C45" s="2"/>
      <x:c r="D45" s="2"/>
      <x:c r="E45" s="91"/>
      <x:c r="F45" s="2"/>
      <x:c r="G45" s="2"/>
      <x:c r="H45" s="92"/>
      <x:c r="I45" s="2"/>
      <x:c r="J45" s="2"/>
      <x:c r="K45" s="2"/>
      <x:c r="L45" s="2"/>
      <x:c r="M45" s="2"/>
      <x:c r="N45" s="2"/>
    </x:row>
    <x:row r="46">
      <x:c r="A46" s="2"/>
      <x:c r="B46" s="2"/>
      <x:c r="C46" s="2"/>
      <x:c r="D46" s="2"/>
      <x:c r="E46" s="91"/>
      <x:c r="F46" s="2"/>
      <x:c r="G46" s="2"/>
      <x:c r="H46" s="92"/>
      <x:c r="I46" s="2"/>
      <x:c r="J46" s="2"/>
      <x:c r="K46" s="2"/>
      <x:c r="L46" s="2"/>
      <x:c r="M46" s="2"/>
      <x:c r="N46" s="2"/>
    </x:row>
    <x:row r="47">
      <x:c r="A47" s="2"/>
      <x:c r="B47" s="2"/>
      <x:c r="C47" s="2"/>
      <x:c r="D47" s="2"/>
      <x:c r="E47" s="91"/>
      <x:c r="F47" s="2"/>
      <x:c r="G47" s="2"/>
      <x:c r="H47" s="92"/>
      <x:c r="I47" s="2"/>
      <x:c r="J47" s="2"/>
      <x:c r="K47" s="2"/>
      <x:c r="L47" s="2"/>
      <x:c r="M47" s="2"/>
      <x:c r="N47" s="2"/>
    </x:row>
    <x:row r="48">
      <x:c r="A48" s="2"/>
      <x:c r="B48" s="2"/>
      <x:c r="C48" s="2"/>
      <x:c r="D48" s="2"/>
      <x:c r="E48" s="91"/>
      <x:c r="F48" s="2"/>
      <x:c r="G48" s="2"/>
      <x:c r="H48" s="92"/>
      <x:c r="I48" s="2"/>
      <x:c r="J48" s="2"/>
      <x:c r="K48" s="2"/>
      <x:c r="L48" s="2"/>
      <x:c r="M48" s="2"/>
      <x:c r="N48" s="2"/>
    </x:row>
    <x:row r="49">
      <x:c r="A49" s="2"/>
      <x:c r="B49" s="2"/>
      <x:c r="C49" s="2"/>
      <x:c r="D49" s="2"/>
      <x:c r="E49" s="91"/>
      <x:c r="F49" s="2"/>
      <x:c r="G49" s="2"/>
      <x:c r="H49" s="92"/>
      <x:c r="I49" s="2"/>
      <x:c r="J49" s="2"/>
      <x:c r="K49" s="2"/>
      <x:c r="L49" s="2"/>
      <x:c r="M49" s="2"/>
      <x:c r="N49" s="2"/>
    </x:row>
    <x:row r="50">
      <x:c r="A50" s="2"/>
      <x:c r="B50" s="2"/>
      <x:c r="C50" s="2"/>
      <x:c r="D50" s="2"/>
      <x:c r="E50" s="91"/>
      <x:c r="F50" s="2"/>
      <x:c r="G50" s="2"/>
      <x:c r="H50" s="92"/>
      <x:c r="I50" s="2"/>
      <x:c r="J50" s="2"/>
      <x:c r="K50" s="2"/>
      <x:c r="L50" s="2"/>
      <x:c r="M50" s="2"/>
      <x:c r="N50" s="2"/>
    </x:row>
    <x:row r="51">
      <x:c r="A51" s="2"/>
      <x:c r="B51" s="2"/>
      <x:c r="C51" s="2"/>
      <x:c r="D51" s="2"/>
      <x:c r="E51" s="91"/>
      <x:c r="F51" s="2"/>
      <x:c r="G51" s="2"/>
      <x:c r="H51" s="92"/>
      <x:c r="I51" s="2"/>
      <x:c r="J51" s="2"/>
      <x:c r="K51" s="2"/>
      <x:c r="L51" s="2"/>
      <x:c r="M51" s="2"/>
      <x:c r="N51" s="2"/>
    </x:row>
    <x:row r="52">
      <x:c r="A52" s="2"/>
      <x:c r="B52" s="2"/>
      <x:c r="C52" s="2"/>
      <x:c r="D52" s="2"/>
      <x:c r="E52" s="91"/>
      <x:c r="F52" s="2"/>
      <x:c r="G52" s="2"/>
      <x:c r="H52" s="92"/>
      <x:c r="I52" s="2"/>
      <x:c r="J52" s="2"/>
      <x:c r="K52" s="2"/>
      <x:c r="L52" s="2"/>
      <x:c r="M52" s="2"/>
      <x:c r="N52" s="2"/>
    </x:row>
    <x:row r="53">
      <x:c r="A53" s="2"/>
      <x:c r="B53" s="2"/>
      <x:c r="C53" s="2"/>
      <x:c r="D53" s="2"/>
      <x:c r="E53" s="91"/>
      <x:c r="F53" s="2"/>
      <x:c r="G53" s="2"/>
      <x:c r="H53" s="92"/>
      <x:c r="I53" s="2"/>
      <x:c r="J53" s="2"/>
      <x:c r="K53" s="2"/>
      <x:c r="L53" s="2"/>
      <x:c r="M53" s="2"/>
      <x:c r="N53" s="2"/>
    </x:row>
    <x:row r="54">
      <x:c r="A54" s="2"/>
      <x:c r="B54" s="2"/>
      <x:c r="C54" s="2"/>
      <x:c r="D54" s="2"/>
      <x:c r="E54" s="91"/>
      <x:c r="F54" s="2"/>
      <x:c r="G54" s="2"/>
      <x:c r="H54" s="92"/>
      <x:c r="I54" s="2"/>
      <x:c r="J54" s="2"/>
      <x:c r="K54" s="2"/>
      <x:c r="L54" s="2"/>
      <x:c r="M54" s="2"/>
      <x:c r="N54" s="2"/>
    </x:row>
    <x:row r="55">
      <x:c r="A55" s="2"/>
      <x:c r="B55" s="2"/>
      <x:c r="C55" s="2"/>
      <x:c r="D55" s="2"/>
      <x:c r="E55" s="91"/>
      <x:c r="F55" s="2"/>
      <x:c r="G55" s="2"/>
      <x:c r="H55" s="92"/>
      <x:c r="I55" s="2"/>
      <x:c r="J55" s="2"/>
      <x:c r="K55" s="2"/>
      <x:c r="L55" s="2"/>
      <x:c r="M55" s="2"/>
      <x:c r="N55" s="2"/>
    </x:row>
    <x:row r="56">
      <x:c r="A56" s="2"/>
      <x:c r="B56" s="2"/>
      <x:c r="C56" s="2"/>
      <x:c r="D56" s="2"/>
      <x:c r="E56" s="91"/>
      <x:c r="F56" s="2"/>
      <x:c r="G56" s="2"/>
      <x:c r="H56" s="92"/>
      <x:c r="I56" s="2"/>
      <x:c r="J56" s="2"/>
      <x:c r="K56" s="2"/>
      <x:c r="L56" s="2"/>
      <x:c r="M56" s="2"/>
      <x:c r="N56" s="2"/>
    </x:row>
    <x:row r="57">
      <x:c r="A57" s="2"/>
      <x:c r="B57" s="2"/>
      <x:c r="C57" s="2"/>
      <x:c r="D57" s="2"/>
      <x:c r="E57" s="91"/>
      <x:c r="F57" s="2"/>
      <x:c r="G57" s="2"/>
      <x:c r="H57" s="92"/>
      <x:c r="I57" s="2"/>
      <x:c r="J57" s="2"/>
      <x:c r="K57" s="2"/>
      <x:c r="L57" s="2"/>
      <x:c r="M57" s="2"/>
      <x:c r="N57" s="2"/>
    </x:row>
    <x:row r="58">
      <x:c r="A58" s="2"/>
      <x:c r="B58" s="2"/>
      <x:c r="C58" s="2"/>
      <x:c r="D58" s="2"/>
      <x:c r="E58" s="91"/>
      <x:c r="F58" s="2"/>
      <x:c r="G58" s="2"/>
      <x:c r="H58" s="92"/>
      <x:c r="I58" s="2"/>
      <x:c r="J58" s="2"/>
      <x:c r="K58" s="2"/>
      <x:c r="L58" s="2"/>
      <x:c r="M58" s="2"/>
      <x:c r="N58" s="2"/>
    </x:row>
    <x:row r="59">
      <x:c r="A59" s="2"/>
      <x:c r="B59" s="2"/>
      <x:c r="C59" s="2"/>
      <x:c r="D59" s="2"/>
      <x:c r="E59" s="91"/>
      <x:c r="F59" s="2"/>
      <x:c r="G59" s="2"/>
      <x:c r="H59" s="92"/>
      <x:c r="I59" s="2"/>
      <x:c r="J59" s="2"/>
      <x:c r="K59" s="2"/>
      <x:c r="L59" s="2"/>
      <x:c r="M59" s="2"/>
      <x:c r="N59" s="2"/>
    </x:row>
    <x:row r="60">
      <x:c r="A60" s="2"/>
      <x:c r="B60" s="2"/>
      <x:c r="C60" s="2"/>
      <x:c r="D60" s="2"/>
      <x:c r="E60" s="91"/>
      <x:c r="F60" s="2"/>
      <x:c r="G60" s="2"/>
      <x:c r="H60" s="92"/>
      <x:c r="I60" s="2"/>
      <x:c r="J60" s="2"/>
      <x:c r="K60" s="2"/>
      <x:c r="L60" s="2"/>
      <x:c r="M60" s="2"/>
      <x:c r="N60" s="2"/>
    </x:row>
    <x:row r="61">
      <x:c r="A61" s="2"/>
      <x:c r="B61" s="2"/>
      <x:c r="C61" s="2"/>
      <x:c r="D61" s="2"/>
      <x:c r="E61" s="91"/>
      <x:c r="F61" s="2"/>
      <x:c r="G61" s="2"/>
      <x:c r="H61" s="92"/>
      <x:c r="I61" s="2"/>
      <x:c r="J61" s="2"/>
      <x:c r="K61" s="2"/>
      <x:c r="L61" s="2"/>
      <x:c r="M61" s="2"/>
      <x:c r="N61" s="2"/>
    </x:row>
    <x:row r="62">
      <x:c r="A62" s="2"/>
      <x:c r="B62" s="2"/>
      <x:c r="C62" s="2"/>
      <x:c r="D62" s="2"/>
      <x:c r="E62" s="91"/>
      <x:c r="F62" s="2"/>
      <x:c r="G62" s="2"/>
      <x:c r="H62" s="92"/>
      <x:c r="I62" s="2"/>
      <x:c r="J62" s="2"/>
      <x:c r="K62" s="2"/>
      <x:c r="L62" s="2"/>
      <x:c r="M62" s="2"/>
      <x:c r="N62" s="2"/>
    </x:row>
    <x:row r="63">
      <x:c r="A63" s="2"/>
      <x:c r="B63" s="2"/>
      <x:c r="C63" s="2"/>
      <x:c r="D63" s="2"/>
      <x:c r="E63" s="91"/>
      <x:c r="F63" s="2"/>
      <x:c r="G63" s="2"/>
      <x:c r="H63" s="92"/>
      <x:c r="I63" s="2"/>
      <x:c r="J63" s="2"/>
      <x:c r="K63" s="2"/>
      <x:c r="L63" s="2"/>
      <x:c r="M63" s="2"/>
      <x:c r="N63" s="2"/>
    </x:row>
    <x:row r="64">
      <x:c r="A64" s="2"/>
      <x:c r="B64" s="2"/>
      <x:c r="C64" s="2"/>
      <x:c r="D64" s="2"/>
      <x:c r="E64" s="91"/>
      <x:c r="F64" s="2"/>
      <x:c r="G64" s="2"/>
      <x:c r="H64" s="92"/>
      <x:c r="I64" s="2"/>
      <x:c r="J64" s="2"/>
      <x:c r="K64" s="2"/>
      <x:c r="L64" s="2"/>
      <x:c r="M64" s="2"/>
      <x:c r="N64" s="2"/>
    </x:row>
    <x:row r="65">
      <x:c r="A65" s="2"/>
      <x:c r="B65" s="2"/>
      <x:c r="C65" s="2"/>
      <x:c r="D65" s="2"/>
      <x:c r="E65" s="91"/>
      <x:c r="F65" s="2"/>
      <x:c r="G65" s="2"/>
      <x:c r="H65" s="92"/>
      <x:c r="I65" s="2"/>
      <x:c r="J65" s="2"/>
      <x:c r="K65" s="2"/>
      <x:c r="L65" s="2"/>
      <x:c r="M65" s="2"/>
      <x:c r="N65" s="2"/>
    </x:row>
    <x:row r="66">
      <x:c r="A66" s="2"/>
      <x:c r="B66" s="2"/>
      <x:c r="C66" s="2"/>
      <x:c r="D66" s="2"/>
      <x:c r="E66" s="91"/>
      <x:c r="F66" s="2"/>
      <x:c r="G66" s="2"/>
      <x:c r="H66" s="92"/>
      <x:c r="I66" s="2"/>
      <x:c r="J66" s="2"/>
      <x:c r="K66" s="2"/>
      <x:c r="L66" s="2"/>
      <x:c r="M66" s="2"/>
      <x:c r="N66" s="2"/>
    </x:row>
    <x:row r="67">
      <x:c r="A67" s="2"/>
      <x:c r="B67" s="2"/>
      <x:c r="C67" s="2"/>
      <x:c r="D67" s="2"/>
      <x:c r="E67" s="91"/>
      <x:c r="F67" s="2"/>
      <x:c r="G67" s="2"/>
      <x:c r="H67" s="92"/>
      <x:c r="I67" s="2"/>
      <x:c r="J67" s="2"/>
      <x:c r="K67" s="2"/>
      <x:c r="L67" s="2"/>
      <x:c r="M67" s="2"/>
      <x:c r="N67" s="2"/>
    </x:row>
    <x:row r="68">
      <x:c r="A68" s="2"/>
      <x:c r="B68" s="2"/>
      <x:c r="C68" s="2"/>
      <x:c r="D68" s="2"/>
      <x:c r="E68" s="91"/>
      <x:c r="F68" s="2"/>
      <x:c r="G68" s="2"/>
      <x:c r="H68" s="92"/>
      <x:c r="I68" s="2"/>
      <x:c r="J68" s="2"/>
      <x:c r="K68" s="2"/>
      <x:c r="L68" s="2"/>
      <x:c r="M68" s="2"/>
      <x:c r="N68" s="2"/>
    </x:row>
    <x:row r="69">
      <x:c r="A69" s="2"/>
      <x:c r="B69" s="2"/>
      <x:c r="C69" s="2"/>
      <x:c r="D69" s="2"/>
      <x:c r="E69" s="91"/>
      <x:c r="F69" s="2"/>
      <x:c r="G69" s="2"/>
      <x:c r="H69" s="92"/>
      <x:c r="I69" s="2"/>
      <x:c r="J69" s="2"/>
      <x:c r="K69" s="2"/>
      <x:c r="L69" s="2"/>
      <x:c r="M69" s="2"/>
      <x:c r="N69" s="2"/>
    </x:row>
    <x:row r="70">
      <x:c r="A70" s="2"/>
      <x:c r="B70" s="2"/>
      <x:c r="C70" s="2"/>
      <x:c r="D70" s="2"/>
      <x:c r="E70" s="91"/>
      <x:c r="F70" s="2"/>
      <x:c r="G70" s="2"/>
      <x:c r="H70" s="92"/>
      <x:c r="I70" s="2"/>
      <x:c r="J70" s="2"/>
      <x:c r="K70" s="2"/>
      <x:c r="L70" s="2"/>
      <x:c r="M70" s="2"/>
      <x:c r="N70" s="2"/>
    </x:row>
    <x:row r="71">
      <x:c r="A71" s="2"/>
      <x:c r="B71" s="2"/>
      <x:c r="C71" s="2"/>
      <x:c r="D71" s="2"/>
      <x:c r="E71" s="91"/>
      <x:c r="F71" s="2"/>
      <x:c r="G71" s="2"/>
      <x:c r="H71" s="92"/>
      <x:c r="I71" s="2"/>
      <x:c r="J71" s="2"/>
      <x:c r="K71" s="2"/>
      <x:c r="L71" s="2"/>
      <x:c r="M71" s="2"/>
      <x:c r="N71" s="2"/>
    </x:row>
    <x:row r="72">
      <x:c r="A72" s="2"/>
      <x:c r="B72" s="2"/>
      <x:c r="C72" s="2"/>
      <x:c r="D72" s="2"/>
      <x:c r="E72" s="91"/>
      <x:c r="F72" s="2"/>
      <x:c r="G72" s="2"/>
      <x:c r="H72" s="92"/>
      <x:c r="I72" s="2"/>
      <x:c r="J72" s="2"/>
      <x:c r="K72" s="2"/>
      <x:c r="L72" s="2"/>
      <x:c r="M72" s="2"/>
      <x:c r="N72" s="2"/>
    </x:row>
    <x:row r="73">
      <x:c r="A73" s="2"/>
      <x:c r="B73" s="2"/>
      <x:c r="C73" s="2"/>
      <x:c r="D73" s="2"/>
      <x:c r="E73" s="91"/>
      <x:c r="F73" s="2"/>
      <x:c r="G73" s="2"/>
      <x:c r="H73" s="92"/>
      <x:c r="I73" s="2"/>
      <x:c r="J73" s="2"/>
      <x:c r="K73" s="2"/>
      <x:c r="L73" s="2"/>
      <x:c r="M73" s="2"/>
      <x:c r="N73" s="2"/>
    </x:row>
    <x:row r="74">
      <x:c r="A74" s="2"/>
      <x:c r="B74" s="2"/>
      <x:c r="C74" s="2"/>
      <x:c r="D74" s="2"/>
      <x:c r="E74" s="91"/>
      <x:c r="F74" s="2"/>
      <x:c r="G74" s="2"/>
      <x:c r="H74" s="92"/>
      <x:c r="I74" s="2"/>
      <x:c r="J74" s="2"/>
      <x:c r="K74" s="2"/>
      <x:c r="L74" s="2"/>
      <x:c r="M74" s="2"/>
      <x:c r="N74" s="2"/>
    </x:row>
    <x:row r="75">
      <x:c r="A75" s="2"/>
      <x:c r="B75" s="2"/>
      <x:c r="C75" s="2"/>
      <x:c r="D75" s="2"/>
      <x:c r="E75" s="91"/>
      <x:c r="F75" s="2"/>
      <x:c r="G75" s="2"/>
      <x:c r="H75" s="92"/>
      <x:c r="I75" s="2"/>
      <x:c r="J75" s="2"/>
      <x:c r="K75" s="2"/>
      <x:c r="L75" s="2"/>
      <x:c r="M75" s="2"/>
      <x:c r="N75" s="2"/>
    </x:row>
    <x:row r="76">
      <x:c r="A76" s="2"/>
      <x:c r="B76" s="2"/>
      <x:c r="C76" s="2"/>
      <x:c r="D76" s="2"/>
      <x:c r="E76" s="91"/>
      <x:c r="F76" s="2"/>
      <x:c r="G76" s="2"/>
      <x:c r="H76" s="92"/>
      <x:c r="I76" s="2"/>
      <x:c r="J76" s="2"/>
      <x:c r="K76" s="2"/>
      <x:c r="L76" s="2"/>
      <x:c r="M76" s="2"/>
      <x:c r="N76" s="2"/>
    </x:row>
    <x:row r="77">
      <x:c r="A77" s="2"/>
      <x:c r="B77" s="2"/>
      <x:c r="C77" s="2"/>
      <x:c r="D77" s="2"/>
      <x:c r="E77" s="91"/>
      <x:c r="F77" s="2"/>
      <x:c r="G77" s="2"/>
      <x:c r="H77" s="92"/>
      <x:c r="I77" s="2"/>
      <x:c r="J77" s="2"/>
      <x:c r="K77" s="2"/>
      <x:c r="L77" s="2"/>
      <x:c r="M77" s="2"/>
      <x:c r="N77" s="2"/>
    </x:row>
    <x:row r="78">
      <x:c r="A78" s="2"/>
      <x:c r="B78" s="2"/>
      <x:c r="C78" s="2"/>
      <x:c r="D78" s="2"/>
      <x:c r="E78" s="91"/>
      <x:c r="F78" s="2"/>
      <x:c r="G78" s="2"/>
      <x:c r="H78" s="92"/>
      <x:c r="I78" s="2"/>
      <x:c r="J78" s="2"/>
      <x:c r="K78" s="2"/>
      <x:c r="L78" s="2"/>
      <x:c r="M78" s="2"/>
      <x:c r="N78" s="2"/>
    </x:row>
    <x:row r="79">
      <x:c r="A79" s="2"/>
      <x:c r="B79" s="2"/>
      <x:c r="C79" s="2"/>
      <x:c r="D79" s="2"/>
      <x:c r="E79" s="91"/>
      <x:c r="F79" s="2"/>
      <x:c r="G79" s="2"/>
      <x:c r="H79" s="92"/>
      <x:c r="I79" s="2"/>
      <x:c r="J79" s="2"/>
      <x:c r="K79" s="2"/>
      <x:c r="L79" s="2"/>
      <x:c r="M79" s="2"/>
      <x:c r="N79" s="2"/>
    </x:row>
    <x:row r="80">
      <x:c r="A80" s="2"/>
      <x:c r="B80" s="2"/>
      <x:c r="C80" s="2"/>
      <x:c r="D80" s="2"/>
      <x:c r="E80" s="91"/>
      <x:c r="F80" s="2"/>
      <x:c r="G80" s="2"/>
      <x:c r="H80" s="92"/>
      <x:c r="I80" s="2"/>
      <x:c r="J80" s="2"/>
      <x:c r="K80" s="2"/>
      <x:c r="L80" s="2"/>
      <x:c r="M80" s="2"/>
      <x:c r="N80" s="2"/>
    </x:row>
    <x:row r="81">
      <x:c r="A81" s="2"/>
      <x:c r="B81" s="2"/>
      <x:c r="C81" s="2"/>
      <x:c r="D81" s="2"/>
      <x:c r="E81" s="91"/>
      <x:c r="F81" s="2"/>
      <x:c r="G81" s="2"/>
      <x:c r="H81" s="92"/>
      <x:c r="I81" s="2"/>
      <x:c r="J81" s="2"/>
      <x:c r="K81" s="2"/>
      <x:c r="L81" s="2"/>
      <x:c r="M81" s="2"/>
      <x:c r="N81" s="2"/>
    </x:row>
    <x:row r="82">
      <x:c r="A82" s="2"/>
      <x:c r="B82" s="2"/>
      <x:c r="C82" s="2"/>
      <x:c r="D82" s="2"/>
      <x:c r="E82" s="91"/>
      <x:c r="F82" s="2"/>
      <x:c r="G82" s="2"/>
      <x:c r="H82" s="92"/>
      <x:c r="I82" s="2"/>
      <x:c r="J82" s="2"/>
      <x:c r="K82" s="2"/>
      <x:c r="L82" s="2"/>
      <x:c r="M82" s="2"/>
      <x:c r="N82" s="2"/>
    </x:row>
    <x:row r="83">
      <x:c r="A83" s="2"/>
      <x:c r="B83" s="2"/>
      <x:c r="C83" s="2"/>
      <x:c r="D83" s="2"/>
      <x:c r="E83" s="91"/>
      <x:c r="F83" s="2"/>
      <x:c r="G83" s="2"/>
      <x:c r="H83" s="92"/>
      <x:c r="I83" s="2"/>
      <x:c r="J83" s="2"/>
      <x:c r="K83" s="2"/>
      <x:c r="L83" s="2"/>
      <x:c r="M83" s="2"/>
      <x:c r="N83" s="2"/>
    </x:row>
    <x:row r="84">
      <x:c r="A84" s="2"/>
      <x:c r="B84" s="2"/>
      <x:c r="C84" s="2"/>
      <x:c r="D84" s="2"/>
      <x:c r="E84" s="91"/>
      <x:c r="F84" s="2"/>
      <x:c r="G84" s="2"/>
      <x:c r="H84" s="92"/>
      <x:c r="I84" s="2"/>
      <x:c r="J84" s="2"/>
      <x:c r="K84" s="2"/>
      <x:c r="L84" s="2"/>
      <x:c r="M84" s="2"/>
      <x:c r="N84" s="2"/>
    </x:row>
    <x:row r="85">
      <x:c r="A85" s="2"/>
      <x:c r="B85" s="2"/>
      <x:c r="C85" s="2"/>
      <x:c r="D85" s="2"/>
      <x:c r="E85" s="91"/>
      <x:c r="F85" s="2"/>
      <x:c r="G85" s="2"/>
      <x:c r="H85" s="92"/>
      <x:c r="I85" s="2"/>
      <x:c r="J85" s="2"/>
      <x:c r="K85" s="2"/>
      <x:c r="L85" s="2"/>
      <x:c r="M85" s="2"/>
      <x:c r="N85" s="2"/>
    </x:row>
    <x:row r="86">
      <x:c r="A86" s="2"/>
      <x:c r="B86" s="2"/>
      <x:c r="C86" s="2"/>
      <x:c r="D86" s="2"/>
      <x:c r="E86" s="91"/>
      <x:c r="F86" s="2"/>
      <x:c r="G86" s="2"/>
      <x:c r="H86" s="92"/>
      <x:c r="I86" s="2"/>
      <x:c r="J86" s="2"/>
      <x:c r="K86" s="2"/>
      <x:c r="L86" s="2"/>
      <x:c r="M86" s="2"/>
      <x:c r="N86" s="2"/>
    </x:row>
    <x:row r="87">
      <x:c r="A87" s="2"/>
      <x:c r="B87" s="2"/>
      <x:c r="C87" s="2"/>
      <x:c r="D87" s="2"/>
      <x:c r="E87" s="91"/>
      <x:c r="F87" s="2"/>
      <x:c r="G87" s="2"/>
      <x:c r="H87" s="92"/>
      <x:c r="I87" s="2"/>
      <x:c r="J87" s="2"/>
      <x:c r="K87" s="2"/>
      <x:c r="L87" s="2"/>
      <x:c r="M87" s="2"/>
      <x:c r="N87" s="2"/>
    </x:row>
    <x:row r="88">
      <x:c r="A88" s="2"/>
      <x:c r="B88" s="2"/>
      <x:c r="C88" s="2"/>
      <x:c r="D88" s="2"/>
      <x:c r="E88" s="91"/>
      <x:c r="F88" s="2"/>
      <x:c r="G88" s="2"/>
      <x:c r="H88" s="92"/>
      <x:c r="I88" s="2"/>
      <x:c r="J88" s="2"/>
      <x:c r="K88" s="2"/>
      <x:c r="L88" s="2"/>
      <x:c r="M88" s="2"/>
      <x:c r="N88" s="2"/>
    </x:row>
    <x:row r="89">
      <x:c r="A89" s="2"/>
      <x:c r="B89" s="2"/>
      <x:c r="C89" s="2"/>
      <x:c r="D89" s="2"/>
      <x:c r="E89" s="91"/>
      <x:c r="F89" s="2"/>
      <x:c r="G89" s="2"/>
      <x:c r="H89" s="92"/>
      <x:c r="I89" s="2"/>
      <x:c r="J89" s="2"/>
      <x:c r="K89" s="2"/>
      <x:c r="L89" s="2"/>
      <x:c r="M89" s="2"/>
      <x:c r="N89" s="2"/>
    </x:row>
    <x:row r="90">
      <x:c r="A90" s="2"/>
      <x:c r="B90" s="2"/>
      <x:c r="C90" s="2"/>
      <x:c r="D90" s="2"/>
      <x:c r="E90" s="91"/>
      <x:c r="F90" s="2"/>
      <x:c r="G90" s="2"/>
      <x:c r="H90" s="92"/>
      <x:c r="I90" s="2"/>
      <x:c r="J90" s="2"/>
      <x:c r="K90" s="2"/>
      <x:c r="L90" s="2"/>
      <x:c r="M90" s="2"/>
      <x:c r="N90" s="2"/>
    </x:row>
    <x:row r="91">
      <x:c r="A91" s="2"/>
      <x:c r="B91" s="2"/>
      <x:c r="C91" s="2"/>
      <x:c r="D91" s="2"/>
      <x:c r="E91" s="91"/>
      <x:c r="F91" s="2"/>
      <x:c r="G91" s="2"/>
      <x:c r="H91" s="92"/>
      <x:c r="I91" s="2"/>
      <x:c r="J91" s="2"/>
      <x:c r="K91" s="2"/>
      <x:c r="L91" s="2"/>
      <x:c r="M91" s="2"/>
      <x:c r="N91" s="2"/>
    </x:row>
    <x:row r="92">
      <x:c r="A92" s="2"/>
      <x:c r="B92" s="2"/>
      <x:c r="C92" s="2"/>
      <x:c r="D92" s="2"/>
      <x:c r="E92" s="91"/>
      <x:c r="F92" s="2"/>
      <x:c r="G92" s="2"/>
      <x:c r="H92" s="92"/>
      <x:c r="I92" s="2"/>
      <x:c r="J92" s="2"/>
      <x:c r="K92" s="2"/>
      <x:c r="L92" s="2"/>
      <x:c r="M92" s="2"/>
      <x:c r="N92" s="2"/>
    </x:row>
    <x:row r="93">
      <x:c r="A93" s="2"/>
      <x:c r="B93" s="2"/>
      <x:c r="C93" s="2"/>
      <x:c r="D93" s="2"/>
      <x:c r="E93" s="91"/>
      <x:c r="F93" s="2"/>
      <x:c r="G93" s="2"/>
      <x:c r="H93" s="92"/>
      <x:c r="I93" s="2"/>
      <x:c r="J93" s="2"/>
      <x:c r="K93" s="2"/>
      <x:c r="L93" s="2"/>
      <x:c r="M93" s="2"/>
      <x:c r="N93" s="2"/>
    </x:row>
    <x:row r="94">
      <x:c r="A94" s="2"/>
      <x:c r="B94" s="2"/>
      <x:c r="C94" s="2"/>
      <x:c r="D94" s="2"/>
      <x:c r="E94" s="91"/>
      <x:c r="F94" s="2"/>
      <x:c r="G94" s="2"/>
      <x:c r="H94" s="92"/>
      <x:c r="I94" s="2"/>
      <x:c r="J94" s="2"/>
      <x:c r="K94" s="2"/>
      <x:c r="L94" s="2"/>
      <x:c r="M94" s="2"/>
      <x:c r="N94" s="2"/>
    </x:row>
    <x:row r="95">
      <x:c r="A95" s="2"/>
      <x:c r="B95" s="2"/>
      <x:c r="C95" s="2"/>
      <x:c r="D95" s="2"/>
      <x:c r="E95" s="91"/>
      <x:c r="F95" s="2"/>
      <x:c r="G95" s="2"/>
      <x:c r="H95" s="92"/>
      <x:c r="I95" s="2"/>
      <x:c r="J95" s="2"/>
      <x:c r="K95" s="2"/>
      <x:c r="L95" s="2"/>
      <x:c r="M95" s="2"/>
      <x:c r="N95" s="2"/>
    </x:row>
    <x:row r="96">
      <x:c r="A96" s="2"/>
      <x:c r="B96" s="2"/>
      <x:c r="C96" s="2"/>
      <x:c r="D96" s="2"/>
      <x:c r="E96" s="91"/>
      <x:c r="F96" s="2"/>
      <x:c r="G96" s="2"/>
      <x:c r="H96" s="92"/>
      <x:c r="I96" s="2"/>
      <x:c r="J96" s="2"/>
      <x:c r="K96" s="2"/>
      <x:c r="L96" s="2"/>
      <x:c r="M96" s="2"/>
      <x:c r="N96" s="2"/>
    </x:row>
    <x:row r="97">
      <x:c r="A97" s="2"/>
      <x:c r="B97" s="2"/>
      <x:c r="C97" s="2"/>
      <x:c r="D97" s="2"/>
      <x:c r="E97" s="91"/>
      <x:c r="F97" s="2"/>
      <x:c r="G97" s="2"/>
      <x:c r="H97" s="92"/>
      <x:c r="I97" s="2"/>
      <x:c r="J97" s="2"/>
      <x:c r="K97" s="2"/>
      <x:c r="L97" s="2"/>
      <x:c r="M97" s="2"/>
      <x:c r="N97" s="2"/>
    </x:row>
    <x:row r="98">
      <x:c r="A98" s="2"/>
      <x:c r="B98" s="2"/>
      <x:c r="C98" s="2"/>
      <x:c r="D98" s="2"/>
      <x:c r="E98" s="91"/>
      <x:c r="F98" s="2"/>
      <x:c r="G98" s="2"/>
      <x:c r="H98" s="92"/>
      <x:c r="I98" s="2"/>
      <x:c r="J98" s="2"/>
      <x:c r="K98" s="2"/>
      <x:c r="L98" s="2"/>
      <x:c r="M98" s="2"/>
      <x:c r="N98" s="2"/>
    </x:row>
    <x:row r="99">
      <x:c r="A99" s="2"/>
      <x:c r="B99" s="2"/>
      <x:c r="C99" s="2"/>
      <x:c r="D99" s="2"/>
      <x:c r="E99" s="91"/>
      <x:c r="F99" s="2"/>
      <x:c r="G99" s="2"/>
      <x:c r="H99" s="92"/>
      <x:c r="I99" s="2"/>
      <x:c r="J99" s="2"/>
      <x:c r="K99" s="2"/>
      <x:c r="L99" s="2"/>
      <x:c r="M99" s="2"/>
      <x:c r="N99" s="2"/>
    </x:row>
    <x:row r="100">
      <x:c r="A100" s="2"/>
      <x:c r="B100" s="2"/>
      <x:c r="C100" s="2"/>
      <x:c r="D100" s="2"/>
      <x:c r="E100" s="91"/>
      <x:c r="F100" s="2"/>
      <x:c r="G100" s="2"/>
      <x:c r="H100" s="92"/>
      <x:c r="I100" s="2"/>
      <x:c r="J100" s="2"/>
      <x:c r="K100" s="2"/>
      <x:c r="L100" s="2"/>
      <x:c r="M100" s="2"/>
      <x:c r="N100" s="2"/>
    </x:row>
  </x:sheetData>
  <x:mergeCells>
    <x:mergeCell ref="A1:N1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2" hidden="0" customWidth="1"/>
  </x:cols>
  <x:sheetData>
    <x:row r="1" ht="34" customHeight="1">
      <x:c r="A1" s="63" t="str">
        <x:v>DREAM HUNT SAVINGS &amp; COST PLAN</x:v>
      </x:c>
    </x:row>
    <x:row r="3">
      <x:c r="A3" s="89" t="str">
        <x:v>Dream Hunt</x:v>
      </x:c>
      <x:c r="B3" s="89" t="str">
        <x:v>Target Cost</x:v>
      </x:c>
      <x:c r="C3" s="89" t="str">
        <x:v>Target Year</x:v>
      </x:c>
      <x:c r="D3" s="89" t="str">
        <x:v>Saved to Date</x:v>
      </x:c>
      <x:c r="E3" s="89" t="str">
        <x:v>Remaining</x:v>
      </x:c>
      <x:c r="F3" s="89" t="str">
        <x:v>Years Remaining</x:v>
      </x:c>
      <x:c r="G3" s="89" t="str">
        <x:v>Required per Year</x:v>
      </x:c>
      <x:c r="H3" s="89" t="str">
        <x:v>Required per Month</x:v>
      </x:c>
      <x:c r="I3" s="89" t="str">
        <x:v>Priority</x:v>
      </x:c>
      <x:c r="J3" s="89" t="str">
        <x:v>Notes</x:v>
      </x:c>
    </x:row>
    <x:row r="4">
      <x:c r="A4" t="str">
        <x:v>Alaska Caribou</x:v>
      </x:c>
      <x:c r="B4" s="90" t="n">
        <x:v>18000</x:v>
      </x:c>
      <x:c r="C4" t="n">
        <x:v>2032</x:v>
      </x:c>
      <x:c r="D4" s="90" t="n">
        <x:v>0</x:v>
      </x:c>
      <x:c r="E4" s="90" t="n">
        <x:f>IF(A4="","",MAX(B4-D4,0))</x:f>
        <x:v>18000</x:v>
      </x:c>
      <x:c r="F4" t="n">
        <x:f>IF(A4="","",MAX(C4-YEAR(TODAY()),1))</x:f>
        <x:v>6</x:v>
      </x:c>
      <x:c r="G4" s="99" t="n">
        <x:f>IF(A4="","",E4/F4)</x:f>
        <x:v>3000</x:v>
      </x:c>
      <x:c r="H4" s="99" t="n">
        <x:f>IF(A4="","",G4/12)</x:f>
        <x:v>250</x:v>
      </x:c>
      <x:c r="I4" t="n">
        <x:v>1</x:v>
      </x:c>
      <x:c r="J4" t="str">
        <x:v>Primary near-term Alaska dream.</x:v>
      </x:c>
    </x:row>
    <x:row r="5">
      <x:c r="A5" t="str">
        <x:v>Alaska Interior Grizzly</x:v>
      </x:c>
      <x:c r="B5" s="90" t="n">
        <x:v>30000</x:v>
      </x:c>
      <x:c r="C5" t="n">
        <x:v>2036</x:v>
      </x:c>
      <x:c r="D5" s="90" t="n">
        <x:v>0</x:v>
      </x:c>
      <x:c r="E5" s="90" t="n">
        <x:f>IF(A5="","",MAX(B5-D5,0))</x:f>
        <x:v>30000</x:v>
      </x:c>
      <x:c r="F5" t="n">
        <x:f>IF(A5="","",MAX(C5-YEAR(TODAY()),1))</x:f>
        <x:v>10</x:v>
      </x:c>
      <x:c r="G5" s="99" t="n">
        <x:f>IF(A5="","",E5/F5)</x:f>
        <x:v>3000</x:v>
      </x:c>
      <x:c r="H5" s="99" t="n">
        <x:f>IF(A5="","",G5/12)</x:f>
        <x:v>250</x:v>
      </x:c>
      <x:c r="I5" t="n">
        <x:v>2</x:v>
      </x:c>
      <x:c r="J5" t="str">
        <x:v>Long-range goal.</x:v>
      </x:c>
    </x:row>
    <x:row r="6">
      <x:c r="A6" t="str">
        <x:v>Alaska Moose</x:v>
      </x:c>
      <x:c r="B6" s="90" t="n">
        <x:v>28000</x:v>
      </x:c>
      <x:c r="C6" t="n">
        <x:v>2038</x:v>
      </x:c>
      <x:c r="D6" s="90" t="n">
        <x:v>0</x:v>
      </x:c>
      <x:c r="E6" s="90" t="n">
        <x:f>IF(A6="","",MAX(B6-D6,0))</x:f>
        <x:v>28000</x:v>
      </x:c>
      <x:c r="F6" t="n">
        <x:f>IF(A6="","",MAX(C6-YEAR(TODAY()),1))</x:f>
        <x:v>12</x:v>
      </x:c>
      <x:c r="G6" s="99" t="n">
        <x:f>IF(A6="","",E6/F6)</x:f>
        <x:v>2333.3333333333335</x:v>
      </x:c>
      <x:c r="H6" s="99" t="n">
        <x:f>IF(A6="","",G6/12)</x:f>
        <x:v>194.44444444444446</x:v>
      </x:c>
      <x:c r="I6" t="n">
        <x:v>3</x:v>
      </x:c>
      <x:c r="J6" t="str">
        <x:v>Long-range goal.</x:v>
      </x:c>
    </x:row>
    <x:row r="7">
      <x:c r="B7" s="90"/>
      <x:c r="D7" s="90"/>
      <x:c r="E7" s="90" t="str">
        <x:f>IF(A7="","",MAX(B7-D7,0))</x:f>
      </x:c>
      <x:c r="F7" t="str">
        <x:f>IF(A7="","",MAX(C7-YEAR(TODAY()),1))</x:f>
      </x:c>
      <x:c r="G7" s="99" t="str">
        <x:f>IF(A7="","",E7/F7)</x:f>
      </x:c>
      <x:c r="H7" s="99" t="str">
        <x:f>IF(A7="","",G7/12)</x:f>
      </x:c>
    </x:row>
    <x:row r="8">
      <x:c r="B8" s="90"/>
      <x:c r="D8" s="90"/>
      <x:c r="E8" s="90" t="str">
        <x:f>IF(A8="","",MAX(B8-D8,0))</x:f>
      </x:c>
      <x:c r="F8" t="str">
        <x:f>IF(A8="","",MAX(C8-YEAR(TODAY()),1))</x:f>
      </x:c>
      <x:c r="G8" s="99" t="str">
        <x:f>IF(A8="","",E8/F8)</x:f>
      </x:c>
      <x:c r="H8" s="99" t="str">
        <x:f>IF(A8="","",G8/12)</x:f>
      </x:c>
    </x:row>
    <x:row r="9">
      <x:c r="B9" s="90"/>
      <x:c r="D9" s="90"/>
      <x:c r="E9" s="90" t="str">
        <x:f>IF(A9="","",MAX(B9-D9,0))</x:f>
      </x:c>
      <x:c r="F9" t="str">
        <x:f>IF(A9="","",MAX(C9-YEAR(TODAY()),1))</x:f>
      </x:c>
      <x:c r="G9" s="99" t="str">
        <x:f>IF(A9="","",E9/F9)</x:f>
      </x:c>
      <x:c r="H9" s="99" t="str">
        <x:f>IF(A9="","",G9/12)</x:f>
      </x:c>
    </x:row>
    <x:row r="10">
      <x:c r="B10" s="90"/>
      <x:c r="D10" s="90"/>
      <x:c r="E10" s="90" t="str">
        <x:f>IF(A10="","",MAX(B10-D10,0))</x:f>
      </x:c>
      <x:c r="F10" t="str">
        <x:f>IF(A10="","",MAX(C10-YEAR(TODAY()),1))</x:f>
      </x:c>
      <x:c r="G10" s="99" t="str">
        <x:f>IF(A10="","",E10/F10)</x:f>
      </x:c>
      <x:c r="H10" s="99" t="str">
        <x:f>IF(A10="","",G10/12)</x:f>
      </x:c>
    </x:row>
    <x:row r="11">
      <x:c r="B11" s="90"/>
      <x:c r="D11" s="90"/>
      <x:c r="E11" s="90" t="str">
        <x:f>IF(A11="","",MAX(B11-D11,0))</x:f>
      </x:c>
      <x:c r="F11" t="str">
        <x:f>IF(A11="","",MAX(C11-YEAR(TODAY()),1))</x:f>
      </x:c>
      <x:c r="G11" s="99" t="str">
        <x:f>IF(A11="","",E11/F11)</x:f>
      </x:c>
      <x:c r="H11" s="99" t="str">
        <x:f>IF(A11="","",G11/12)</x:f>
      </x:c>
    </x:row>
    <x:row r="12">
      <x:c r="B12" s="90"/>
      <x:c r="D12" s="90"/>
      <x:c r="E12" s="90" t="str">
        <x:f>IF(A12="","",MAX(B12-D12,0))</x:f>
      </x:c>
      <x:c r="F12" t="str">
        <x:f>IF(A12="","",MAX(C12-YEAR(TODAY()),1))</x:f>
      </x:c>
      <x:c r="G12" s="99" t="str">
        <x:f>IF(A12="","",E12/F12)</x:f>
      </x:c>
      <x:c r="H12" s="99" t="str">
        <x:f>IF(A12="","",G12/12)</x:f>
      </x:c>
    </x:row>
    <x:row r="13">
      <x:c r="B13" s="90"/>
      <x:c r="D13" s="90"/>
      <x:c r="E13" s="90" t="str">
        <x:f>IF(A13="","",MAX(B13-D13,0))</x:f>
      </x:c>
      <x:c r="F13" t="str">
        <x:f>IF(A13="","",MAX(C13-YEAR(TODAY()),1))</x:f>
      </x:c>
      <x:c r="G13" s="99" t="str">
        <x:f>IF(A13="","",E13/F13)</x:f>
      </x:c>
      <x:c r="H13" s="99" t="str">
        <x:f>IF(A13="","",G13/12)</x:f>
      </x:c>
    </x:row>
    <x:row r="14">
      <x:c r="B14" s="90"/>
      <x:c r="D14" s="90"/>
      <x:c r="E14" s="90" t="str">
        <x:f>IF(A14="","",MAX(B14-D14,0))</x:f>
      </x:c>
      <x:c r="F14" t="str">
        <x:f>IF(A14="","",MAX(C14-YEAR(TODAY()),1))</x:f>
      </x:c>
      <x:c r="G14" s="99" t="str">
        <x:f>IF(A14="","",E14/F14)</x:f>
      </x:c>
      <x:c r="H14" s="99" t="str">
        <x:f>IF(A14="","",G14/12)</x:f>
      </x:c>
    </x:row>
    <x:row r="15">
      <x:c r="B15" s="90"/>
      <x:c r="D15" s="90"/>
      <x:c r="E15" s="90" t="str">
        <x:f>IF(A15="","",MAX(B15-D15,0))</x:f>
      </x:c>
      <x:c r="F15" t="str">
        <x:f>IF(A15="","",MAX(C15-YEAR(TODAY()),1))</x:f>
      </x:c>
      <x:c r="G15" s="99" t="str">
        <x:f>IF(A15="","",E15/F15)</x:f>
      </x:c>
      <x:c r="H15" s="99" t="str">
        <x:f>IF(A15="","",G15/12)</x:f>
      </x:c>
    </x:row>
    <x:row r="16">
      <x:c r="B16" s="90"/>
      <x:c r="D16" s="90"/>
      <x:c r="E16" s="90" t="str">
        <x:f>IF(A16="","",MAX(B16-D16,0))</x:f>
      </x:c>
      <x:c r="F16" t="str">
        <x:f>IF(A16="","",MAX(C16-YEAR(TODAY()),1))</x:f>
      </x:c>
      <x:c r="G16" s="99" t="str">
        <x:f>IF(A16="","",E16/F16)</x:f>
      </x:c>
      <x:c r="H16" s="99" t="str">
        <x:f>IF(A16="","",G16/12)</x:f>
      </x:c>
    </x:row>
    <x:row r="17">
      <x:c r="B17" s="90"/>
      <x:c r="D17" s="90"/>
      <x:c r="E17" s="90" t="str">
        <x:f>IF(A17="","",MAX(B17-D17,0))</x:f>
      </x:c>
      <x:c r="F17" t="str">
        <x:f>IF(A17="","",MAX(C17-YEAR(TODAY()),1))</x:f>
      </x:c>
      <x:c r="G17" s="99" t="str">
        <x:f>IF(A17="","",E17/F17)</x:f>
      </x:c>
      <x:c r="H17" s="99" t="str">
        <x:f>IF(A17="","",G17/12)</x:f>
      </x:c>
    </x:row>
    <x:row r="18">
      <x:c r="B18" s="90"/>
      <x:c r="D18" s="90"/>
      <x:c r="E18" s="90" t="str">
        <x:f>IF(A18="","",MAX(B18-D18,0))</x:f>
      </x:c>
      <x:c r="F18" t="str">
        <x:f>IF(A18="","",MAX(C18-YEAR(TODAY()),1))</x:f>
      </x:c>
      <x:c r="G18" s="99" t="str">
        <x:f>IF(A18="","",E18/F18)</x:f>
      </x:c>
      <x:c r="H18" s="99" t="str">
        <x:f>IF(A18="","",G18/12)</x:f>
      </x:c>
    </x:row>
    <x:row r="19">
      <x:c r="B19" s="90"/>
      <x:c r="D19" s="90"/>
      <x:c r="E19" s="90" t="str">
        <x:f>IF(A19="","",MAX(B19-D19,0))</x:f>
      </x:c>
      <x:c r="F19" t="str">
        <x:f>IF(A19="","",MAX(C19-YEAR(TODAY()),1))</x:f>
      </x:c>
      <x:c r="G19" s="99" t="str">
        <x:f>IF(A19="","",E19/F19)</x:f>
      </x:c>
      <x:c r="H19" s="99" t="str">
        <x:f>IF(A19="","",G19/12)</x:f>
      </x:c>
    </x:row>
    <x:row r="20">
      <x:c r="B20" s="90"/>
      <x:c r="D20" s="90"/>
      <x:c r="E20" s="90" t="str">
        <x:f>IF(A20="","",MAX(B20-D20,0))</x:f>
      </x:c>
      <x:c r="F20" t="str">
        <x:f>IF(A20="","",MAX(C20-YEAR(TODAY()),1))</x:f>
      </x:c>
      <x:c r="G20" s="99" t="str">
        <x:f>IF(A20="","",E20/F20)</x:f>
      </x:c>
      <x:c r="H20" s="99" t="str">
        <x:f>IF(A20="","",G20/12)</x:f>
      </x:c>
    </x:row>
    <x:row r="21">
      <x:c r="B21" s="90"/>
      <x:c r="D21" s="90"/>
      <x:c r="E21" s="90" t="str">
        <x:f>IF(A21="","",MAX(B21-D21,0))</x:f>
      </x:c>
      <x:c r="F21" t="str">
        <x:f>IF(A21="","",MAX(C21-YEAR(TODAY()),1))</x:f>
      </x:c>
      <x:c r="G21" s="99" t="str">
        <x:f>IF(A21="","",E21/F21)</x:f>
      </x:c>
      <x:c r="H21" s="99" t="str">
        <x:f>IF(A21="","",G21/12)</x:f>
      </x:c>
    </x:row>
    <x:row r="22">
      <x:c r="B22" s="90"/>
      <x:c r="D22" s="90"/>
      <x:c r="E22" s="90" t="str">
        <x:f>IF(A22="","",MAX(B22-D22,0))</x:f>
      </x:c>
      <x:c r="F22" t="str">
        <x:f>IF(A22="","",MAX(C22-YEAR(TODAY()),1))</x:f>
      </x:c>
      <x:c r="G22" s="99" t="str">
        <x:f>IF(A22="","",E22/F22)</x:f>
      </x:c>
      <x:c r="H22" s="99" t="str">
        <x:f>IF(A22="","",G22/12)</x:f>
      </x:c>
    </x:row>
    <x:row r="23">
      <x:c r="B23" s="90"/>
      <x:c r="D23" s="90"/>
      <x:c r="E23" s="90" t="str">
        <x:f>IF(A23="","",MAX(B23-D23,0))</x:f>
      </x:c>
      <x:c r="F23" t="str">
        <x:f>IF(A23="","",MAX(C23-YEAR(TODAY()),1))</x:f>
      </x:c>
      <x:c r="G23" s="99" t="str">
        <x:f>IF(A23="","",E23/F23)</x:f>
      </x:c>
      <x:c r="H23" s="99" t="str">
        <x:f>IF(A23="","",G23/12)</x:f>
      </x:c>
    </x:row>
    <x:row r="24">
      <x:c r="B24" s="90"/>
      <x:c r="D24" s="90"/>
      <x:c r="E24" s="90" t="str">
        <x:f>IF(A24="","",MAX(B24-D24,0))</x:f>
      </x:c>
      <x:c r="F24" t="str">
        <x:f>IF(A24="","",MAX(C24-YEAR(TODAY()),1))</x:f>
      </x:c>
      <x:c r="G24" s="99" t="str">
        <x:f>IF(A24="","",E24/F24)</x:f>
      </x:c>
      <x:c r="H24" s="99" t="str">
        <x:f>IF(A24="","",G24/12)</x:f>
      </x:c>
    </x:row>
    <x:row r="25">
      <x:c r="B25" s="90"/>
      <x:c r="D25" s="90"/>
      <x:c r="E25" s="90" t="str">
        <x:f>IF(A25="","",MAX(B25-D25,0))</x:f>
      </x:c>
      <x:c r="F25" t="str">
        <x:f>IF(A25="","",MAX(C25-YEAR(TODAY()),1))</x:f>
      </x:c>
      <x:c r="G25" s="99" t="str">
        <x:f>IF(A25="","",E25/F25)</x:f>
      </x:c>
      <x:c r="H25" s="99" t="str">
        <x:f>IF(A25="","",G25/12)</x:f>
      </x:c>
    </x:row>
    <x:row r="26">
      <x:c r="B26" s="90"/>
      <x:c r="D26" s="90"/>
      <x:c r="E26" s="90" t="str">
        <x:f>IF(A26="","",MAX(B26-D26,0))</x:f>
      </x:c>
      <x:c r="F26" t="str">
        <x:f>IF(A26="","",MAX(C26-YEAR(TODAY()),1))</x:f>
      </x:c>
      <x:c r="G26" s="99" t="str">
        <x:f>IF(A26="","",E26/F26)</x:f>
      </x:c>
      <x:c r="H26" s="99" t="str">
        <x:f>IF(A26="","",G26/12)</x:f>
      </x:c>
    </x:row>
    <x:row r="27">
      <x:c r="B27" s="90"/>
      <x:c r="D27" s="90"/>
      <x:c r="E27" s="90" t="str">
        <x:f>IF(A27="","",MAX(B27-D27,0))</x:f>
      </x:c>
      <x:c r="F27" t="str">
        <x:f>IF(A27="","",MAX(C27-YEAR(TODAY()),1))</x:f>
      </x:c>
      <x:c r="G27" s="99" t="str">
        <x:f>IF(A27="","",E27/F27)</x:f>
      </x:c>
      <x:c r="H27" s="99" t="str">
        <x:f>IF(A27="","",G27/12)</x:f>
      </x:c>
    </x:row>
    <x:row r="28">
      <x:c r="B28" s="90"/>
      <x:c r="D28" s="90"/>
      <x:c r="E28" s="90" t="str">
        <x:f>IF(A28="","",MAX(B28-D28,0))</x:f>
      </x:c>
      <x:c r="F28" t="str">
        <x:f>IF(A28="","",MAX(C28-YEAR(TODAY()),1))</x:f>
      </x:c>
      <x:c r="G28" s="99" t="str">
        <x:f>IF(A28="","",E28/F28)</x:f>
      </x:c>
      <x:c r="H28" s="99" t="str">
        <x:f>IF(A28="","",G28/12)</x:f>
      </x:c>
    </x:row>
    <x:row r="29">
      <x:c r="B29" s="90"/>
      <x:c r="D29" s="90"/>
      <x:c r="E29" s="90" t="str">
        <x:f>IF(A29="","",MAX(B29-D29,0))</x:f>
      </x:c>
      <x:c r="F29" t="str">
        <x:f>IF(A29="","",MAX(C29-YEAR(TODAY()),1))</x:f>
      </x:c>
      <x:c r="G29" s="99" t="str">
        <x:f>IF(A29="","",E29/F29)</x:f>
      </x:c>
      <x:c r="H29" s="99" t="str">
        <x:f>IF(A29="","",G29/12)</x:f>
      </x:c>
    </x:row>
    <x:row r="30">
      <x:c r="B30" s="90"/>
      <x:c r="D30" s="90"/>
      <x:c r="E30" s="90" t="str">
        <x:f>IF(A30="","",MAX(B30-D30,0))</x:f>
      </x:c>
      <x:c r="F30" t="str">
        <x:f>IF(A30="","",MAX(C30-YEAR(TODAY()),1))</x:f>
      </x:c>
      <x:c r="G30" s="99" t="str">
        <x:f>IF(A30="","",E30/F30)</x:f>
      </x:c>
      <x:c r="H30" s="99" t="str">
        <x:f>IF(A30="","",G30/12)</x:f>
      </x:c>
    </x:row>
    <x:row r="31">
      <x:c r="B31" s="90"/>
      <x:c r="D31" s="90"/>
      <x:c r="E31" s="90" t="str">
        <x:f>IF(A31="","",MAX(B31-D31,0))</x:f>
      </x:c>
      <x:c r="F31" t="str">
        <x:f>IF(A31="","",MAX(C31-YEAR(TODAY()),1))</x:f>
      </x:c>
      <x:c r="G31" s="99" t="str">
        <x:f>IF(A31="","",E31/F31)</x:f>
      </x:c>
      <x:c r="H31" s="99" t="str">
        <x:f>IF(A31="","",G31/12)</x:f>
      </x:c>
    </x:row>
    <x:row r="32">
      <x:c r="B32" s="90"/>
      <x:c r="D32" s="90"/>
      <x:c r="E32" s="90" t="str">
        <x:f>IF(A32="","",MAX(B32-D32,0))</x:f>
      </x:c>
      <x:c r="F32" t="str">
        <x:f>IF(A32="","",MAX(C32-YEAR(TODAY()),1))</x:f>
      </x:c>
      <x:c r="G32" s="99" t="str">
        <x:f>IF(A32="","",E32/F32)</x:f>
      </x:c>
      <x:c r="H32" s="99" t="str">
        <x:f>IF(A32="","",G32/12)</x:f>
      </x:c>
    </x:row>
    <x:row r="33">
      <x:c r="B33" s="90"/>
      <x:c r="D33" s="90"/>
      <x:c r="E33" s="90" t="str">
        <x:f>IF(A33="","",MAX(B33-D33,0))</x:f>
      </x:c>
      <x:c r="F33" t="str">
        <x:f>IF(A33="","",MAX(C33-YEAR(TODAY()),1))</x:f>
      </x:c>
      <x:c r="G33" s="99" t="str">
        <x:f>IF(A33="","",E33/F33)</x:f>
      </x:c>
      <x:c r="H33" s="99" t="str">
        <x:f>IF(A33="","",G33/12)</x:f>
      </x:c>
    </x:row>
    <x:row r="34">
      <x:c r="B34" s="90"/>
      <x:c r="D34" s="90"/>
      <x:c r="E34" s="90" t="str">
        <x:f>IF(A34="","",MAX(B34-D34,0))</x:f>
      </x:c>
      <x:c r="F34" t="str">
        <x:f>IF(A34="","",MAX(C34-YEAR(TODAY()),1))</x:f>
      </x:c>
      <x:c r="G34" s="99" t="str">
        <x:f>IF(A34="","",E34/F34)</x:f>
      </x:c>
      <x:c r="H34" s="99" t="str">
        <x:f>IF(A34="","",G34/12)</x:f>
      </x:c>
    </x:row>
    <x:row r="35">
      <x:c r="B35" s="90"/>
      <x:c r="D35" s="90"/>
      <x:c r="E35" s="90" t="str">
        <x:f>IF(A35="","",MAX(B35-D35,0))</x:f>
      </x:c>
      <x:c r="F35" t="str">
        <x:f>IF(A35="","",MAX(C35-YEAR(TODAY()),1))</x:f>
      </x:c>
      <x:c r="G35" s="99" t="str">
        <x:f>IF(A35="","",E35/F35)</x:f>
      </x:c>
      <x:c r="H35" s="99" t="str">
        <x:f>IF(A35="","",G35/12)</x:f>
      </x:c>
    </x:row>
    <x:row r="36">
      <x:c r="B36" s="90"/>
      <x:c r="D36" s="90"/>
      <x:c r="E36" s="90" t="str">
        <x:f>IF(A36="","",MAX(B36-D36,0))</x:f>
      </x:c>
      <x:c r="F36" t="str">
        <x:f>IF(A36="","",MAX(C36-YEAR(TODAY()),1))</x:f>
      </x:c>
      <x:c r="G36" s="99" t="str">
        <x:f>IF(A36="","",E36/F36)</x:f>
      </x:c>
      <x:c r="H36" s="99" t="str">
        <x:f>IF(A36="","",G36/12)</x:f>
      </x:c>
    </x:row>
    <x:row r="37">
      <x:c r="B37" s="90"/>
      <x:c r="D37" s="90"/>
      <x:c r="E37" s="90" t="str">
        <x:f>IF(A37="","",MAX(B37-D37,0))</x:f>
      </x:c>
      <x:c r="F37" t="str">
        <x:f>IF(A37="","",MAX(C37-YEAR(TODAY()),1))</x:f>
      </x:c>
      <x:c r="G37" s="99" t="str">
        <x:f>IF(A37="","",E37/F37)</x:f>
      </x:c>
      <x:c r="H37" s="99" t="str">
        <x:f>IF(A37="","",G37/12)</x:f>
      </x:c>
    </x:row>
    <x:row r="38">
      <x:c r="B38" s="90"/>
      <x:c r="D38" s="90"/>
      <x:c r="E38" s="90" t="str">
        <x:f>IF(A38="","",MAX(B38-D38,0))</x:f>
      </x:c>
      <x:c r="F38" t="str">
        <x:f>IF(A38="","",MAX(C38-YEAR(TODAY()),1))</x:f>
      </x:c>
      <x:c r="G38" s="99" t="str">
        <x:f>IF(A38="","",E38/F38)</x:f>
      </x:c>
      <x:c r="H38" s="99" t="str">
        <x:f>IF(A38="","",G38/12)</x:f>
      </x:c>
    </x:row>
    <x:row r="39">
      <x:c r="B39" s="90"/>
      <x:c r="D39" s="90"/>
      <x:c r="E39" s="90" t="str">
        <x:f>IF(A39="","",MAX(B39-D39,0))</x:f>
      </x:c>
      <x:c r="F39" t="str">
        <x:f>IF(A39="","",MAX(C39-YEAR(TODAY()),1))</x:f>
      </x:c>
      <x:c r="G39" s="99" t="str">
        <x:f>IF(A39="","",E39/F39)</x:f>
      </x:c>
      <x:c r="H39" s="99" t="str">
        <x:f>IF(A39="","",G39/12)</x:f>
      </x:c>
    </x:row>
    <x:row r="40">
      <x:c r="B40" s="90"/>
      <x:c r="D40" s="90"/>
      <x:c r="E40" s="90" t="str">
        <x:f>IF(A40="","",MAX(B40-D40,0))</x:f>
      </x:c>
      <x:c r="F40" t="str">
        <x:f>IF(A40="","",MAX(C40-YEAR(TODAY()),1))</x:f>
      </x:c>
      <x:c r="G40" s="99" t="str">
        <x:f>IF(A40="","",E40/F40)</x:f>
      </x:c>
      <x:c r="H40" s="99" t="str">
        <x:f>IF(A40="","",G40/12)</x:f>
      </x:c>
    </x:row>
    <x:row r="41">
      <x:c r="B41" s="90"/>
      <x:c r="D41" s="90"/>
      <x:c r="E41" s="90" t="str">
        <x:f>IF(A41="","",MAX(B41-D41,0))</x:f>
      </x:c>
      <x:c r="F41" t="str">
        <x:f>IF(A41="","",MAX(C41-YEAR(TODAY()),1))</x:f>
      </x:c>
      <x:c r="G41" s="99" t="str">
        <x:f>IF(A41="","",E41/F41)</x:f>
      </x:c>
      <x:c r="H41" s="99" t="str">
        <x:f>IF(A41="","",G41/12)</x:f>
      </x:c>
    </x:row>
    <x:row r="42">
      <x:c r="B42" s="90"/>
      <x:c r="D42" s="90"/>
      <x:c r="E42" s="90" t="str">
        <x:f>IF(A42="","",MAX(B42-D42,0))</x:f>
      </x:c>
      <x:c r="F42" t="str">
        <x:f>IF(A42="","",MAX(C42-YEAR(TODAY()),1))</x:f>
      </x:c>
      <x:c r="G42" s="99" t="str">
        <x:f>IF(A42="","",E42/F42)</x:f>
      </x:c>
      <x:c r="H42" s="99" t="str">
        <x:f>IF(A42="","",G42/12)</x:f>
      </x:c>
    </x:row>
    <x:row r="43">
      <x:c r="B43" s="90"/>
      <x:c r="D43" s="90"/>
      <x:c r="E43" s="90" t="str">
        <x:f>IF(A43="","",MAX(B43-D43,0))</x:f>
      </x:c>
      <x:c r="F43" t="str">
        <x:f>IF(A43="","",MAX(C43-YEAR(TODAY()),1))</x:f>
      </x:c>
      <x:c r="G43" s="99" t="str">
        <x:f>IF(A43="","",E43/F43)</x:f>
      </x:c>
      <x:c r="H43" s="99" t="str">
        <x:f>IF(A43="","",G43/12)</x:f>
      </x:c>
    </x:row>
    <x:row r="44">
      <x:c r="B44" s="90"/>
      <x:c r="D44" s="90"/>
      <x:c r="E44" s="90" t="str">
        <x:f>IF(A44="","",MAX(B44-D44,0))</x:f>
      </x:c>
      <x:c r="F44" t="str">
        <x:f>IF(A44="","",MAX(C44-YEAR(TODAY()),1))</x:f>
      </x:c>
      <x:c r="G44" s="99" t="str">
        <x:f>IF(A44="","",E44/F44)</x:f>
      </x:c>
      <x:c r="H44" s="99" t="str">
        <x:f>IF(A44="","",G44/12)</x:f>
      </x:c>
    </x:row>
    <x:row r="45">
      <x:c r="B45" s="90"/>
      <x:c r="D45" s="90"/>
      <x:c r="E45" s="90" t="str">
        <x:f>IF(A45="","",MAX(B45-D45,0))</x:f>
      </x:c>
      <x:c r="F45" t="str">
        <x:f>IF(A45="","",MAX(C45-YEAR(TODAY()),1))</x:f>
      </x:c>
      <x:c r="G45" s="99" t="str">
        <x:f>IF(A45="","",E45/F45)</x:f>
      </x:c>
      <x:c r="H45" s="99" t="str">
        <x:f>IF(A45="","",G45/12)</x:f>
      </x:c>
    </x:row>
    <x:row r="46">
      <x:c r="B46" s="90"/>
      <x:c r="D46" s="90"/>
      <x:c r="E46" s="90" t="str">
        <x:f>IF(A46="","",MAX(B46-D46,0))</x:f>
      </x:c>
      <x:c r="F46" t="str">
        <x:f>IF(A46="","",MAX(C46-YEAR(TODAY()),1))</x:f>
      </x:c>
      <x:c r="G46" s="99" t="str">
        <x:f>IF(A46="","",E46/F46)</x:f>
      </x:c>
      <x:c r="H46" s="99" t="str">
        <x:f>IF(A46="","",G46/12)</x:f>
      </x:c>
    </x:row>
    <x:row r="47">
      <x:c r="B47" s="90"/>
      <x:c r="D47" s="90"/>
      <x:c r="E47" s="90" t="str">
        <x:f>IF(A47="","",MAX(B47-D47,0))</x:f>
      </x:c>
      <x:c r="F47" t="str">
        <x:f>IF(A47="","",MAX(C47-YEAR(TODAY()),1))</x:f>
      </x:c>
      <x:c r="G47" s="99" t="str">
        <x:f>IF(A47="","",E47/F47)</x:f>
      </x:c>
      <x:c r="H47" s="99" t="str">
        <x:f>IF(A47="","",G47/12)</x:f>
      </x:c>
    </x:row>
    <x:row r="48">
      <x:c r="B48" s="90"/>
      <x:c r="D48" s="90"/>
      <x:c r="E48" s="90" t="str">
        <x:f>IF(A48="","",MAX(B48-D48,0))</x:f>
      </x:c>
      <x:c r="F48" t="str">
        <x:f>IF(A48="","",MAX(C48-YEAR(TODAY()),1))</x:f>
      </x:c>
      <x:c r="G48" s="99" t="str">
        <x:f>IF(A48="","",E48/F48)</x:f>
      </x:c>
      <x:c r="H48" s="99" t="str">
        <x:f>IF(A48="","",G48/12)</x:f>
      </x:c>
    </x:row>
    <x:row r="49">
      <x:c r="B49" s="90"/>
      <x:c r="D49" s="90"/>
      <x:c r="E49" s="90" t="str">
        <x:f>IF(A49="","",MAX(B49-D49,0))</x:f>
      </x:c>
      <x:c r="F49" t="str">
        <x:f>IF(A49="","",MAX(C49-YEAR(TODAY()),1))</x:f>
      </x:c>
      <x:c r="G49" s="99" t="str">
        <x:f>IF(A49="","",E49/F49)</x:f>
      </x:c>
      <x:c r="H49" s="99" t="str">
        <x:f>IF(A49="","",G49/12)</x:f>
      </x:c>
    </x:row>
    <x:row r="50">
      <x:c r="B50" s="90"/>
      <x:c r="D50" s="90"/>
      <x:c r="E50" s="90" t="str">
        <x:f>IF(A50="","",MAX(B50-D50,0))</x:f>
      </x:c>
      <x:c r="F50" t="str">
        <x:f>IF(A50="","",MAX(C50-YEAR(TODAY()),1))</x:f>
      </x:c>
      <x:c r="G50" s="99" t="str">
        <x:f>IF(A50="","",E50/F50)</x:f>
      </x:c>
      <x:c r="H50" s="99" t="str">
        <x:f>IF(A50="","",G50/12)</x:f>
      </x:c>
    </x:row>
    <x:row r="51">
      <x:c r="B51" s="90"/>
      <x:c r="D51" s="90"/>
      <x:c r="E51" s="90" t="str">
        <x:f>IF(A51="","",MAX(B51-D51,0))</x:f>
      </x:c>
      <x:c r="F51" t="str">
        <x:f>IF(A51="","",MAX(C51-YEAR(TODAY()),1))</x:f>
      </x:c>
      <x:c r="G51" s="99" t="str">
        <x:f>IF(A51="","",E51/F51)</x:f>
      </x:c>
      <x:c r="H51" s="99" t="str">
        <x:f>IF(A51="","",G51/12)</x:f>
      </x:c>
    </x:row>
    <x:row r="52">
      <x:c r="B52" s="90"/>
      <x:c r="D52" s="90"/>
      <x:c r="E52" s="90" t="str">
        <x:f>IF(A52="","",MAX(B52-D52,0))</x:f>
      </x:c>
      <x:c r="F52" t="str">
        <x:f>IF(A52="","",MAX(C52-YEAR(TODAY()),1))</x:f>
      </x:c>
      <x:c r="G52" s="99" t="str">
        <x:f>IF(A52="","",E52/F52)</x:f>
      </x:c>
      <x:c r="H52" s="99" t="str">
        <x:f>IF(A52="","",G52/12)</x:f>
      </x:c>
    </x:row>
    <x:row r="53">
      <x:c r="B53" s="90"/>
      <x:c r="D53" s="90"/>
      <x:c r="E53" s="90" t="str">
        <x:f>IF(A53="","",MAX(B53-D53,0))</x:f>
      </x:c>
      <x:c r="F53" t="str">
        <x:f>IF(A53="","",MAX(C53-YEAR(TODAY()),1))</x:f>
      </x:c>
      <x:c r="G53" s="99" t="str">
        <x:f>IF(A53="","",E53/F53)</x:f>
      </x:c>
      <x:c r="H53" s="99" t="str">
        <x:f>IF(A53="","",G53/12)</x:f>
      </x:c>
    </x:row>
    <x:row r="54">
      <x:c r="B54" s="90"/>
      <x:c r="D54" s="90"/>
      <x:c r="E54" s="90" t="str">
        <x:f>IF(A54="","",MAX(B54-D54,0))</x:f>
      </x:c>
      <x:c r="F54" t="str">
        <x:f>IF(A54="","",MAX(C54-YEAR(TODAY()),1))</x:f>
      </x:c>
      <x:c r="G54" s="99" t="str">
        <x:f>IF(A54="","",E54/F54)</x:f>
      </x:c>
      <x:c r="H54" s="99" t="str">
        <x:f>IF(A54="","",G54/12)</x:f>
      </x:c>
    </x:row>
    <x:row r="55">
      <x:c r="B55" s="90"/>
      <x:c r="D55" s="90"/>
      <x:c r="E55" s="90" t="str">
        <x:f>IF(A55="","",MAX(B55-D55,0))</x:f>
      </x:c>
      <x:c r="F55" t="str">
        <x:f>IF(A55="","",MAX(C55-YEAR(TODAY()),1))</x:f>
      </x:c>
      <x:c r="G55" s="99" t="str">
        <x:f>IF(A55="","",E55/F55)</x:f>
      </x:c>
      <x:c r="H55" s="99" t="str">
        <x:f>IF(A55="","",G55/12)</x:f>
      </x:c>
    </x:row>
    <x:row r="56">
      <x:c r="B56" s="90"/>
      <x:c r="D56" s="90"/>
      <x:c r="E56" s="90" t="str">
        <x:f>IF(A56="","",MAX(B56-D56,0))</x:f>
      </x:c>
      <x:c r="F56" t="str">
        <x:f>IF(A56="","",MAX(C56-YEAR(TODAY()),1))</x:f>
      </x:c>
      <x:c r="G56" s="99" t="str">
        <x:f>IF(A56="","",E56/F56)</x:f>
      </x:c>
      <x:c r="H56" s="99" t="str">
        <x:f>IF(A56="","",G56/12)</x:f>
      </x:c>
    </x:row>
    <x:row r="57">
      <x:c r="B57" s="90"/>
      <x:c r="D57" s="90"/>
      <x:c r="E57" s="90" t="str">
        <x:f>IF(A57="","",MAX(B57-D57,0))</x:f>
      </x:c>
      <x:c r="F57" t="str">
        <x:f>IF(A57="","",MAX(C57-YEAR(TODAY()),1))</x:f>
      </x:c>
      <x:c r="G57" s="99" t="str">
        <x:f>IF(A57="","",E57/F57)</x:f>
      </x:c>
      <x:c r="H57" s="99" t="str">
        <x:f>IF(A57="","",G57/12)</x:f>
      </x:c>
    </x:row>
    <x:row r="58">
      <x:c r="B58" s="90"/>
      <x:c r="D58" s="90"/>
      <x:c r="E58" s="90" t="str">
        <x:f>IF(A58="","",MAX(B58-D58,0))</x:f>
      </x:c>
      <x:c r="F58" t="str">
        <x:f>IF(A58="","",MAX(C58-YEAR(TODAY()),1))</x:f>
      </x:c>
      <x:c r="G58" s="99" t="str">
        <x:f>IF(A58="","",E58/F58)</x:f>
      </x:c>
      <x:c r="H58" s="99" t="str">
        <x:f>IF(A58="","",G58/12)</x:f>
      </x:c>
    </x:row>
    <x:row r="59">
      <x:c r="B59" s="90"/>
      <x:c r="D59" s="90"/>
      <x:c r="E59" s="90" t="str">
        <x:f>IF(A59="","",MAX(B59-D59,0))</x:f>
      </x:c>
      <x:c r="F59" t="str">
        <x:f>IF(A59="","",MAX(C59-YEAR(TODAY()),1))</x:f>
      </x:c>
      <x:c r="G59" s="99" t="str">
        <x:f>IF(A59="","",E59/F59)</x:f>
      </x:c>
      <x:c r="H59" s="99" t="str">
        <x:f>IF(A59="","",G59/12)</x:f>
      </x:c>
    </x:row>
    <x:row r="60">
      <x:c r="B60" s="90"/>
      <x:c r="D60" s="90"/>
      <x:c r="E60" s="90" t="str">
        <x:f>IF(A60="","",MAX(B60-D60,0))</x:f>
      </x:c>
      <x:c r="F60" t="str">
        <x:f>IF(A60="","",MAX(C60-YEAR(TODAY()),1))</x:f>
      </x:c>
      <x:c r="G60" s="99" t="str">
        <x:f>IF(A60="","",E60/F60)</x:f>
      </x:c>
      <x:c r="H60" s="99" t="str">
        <x:f>IF(A60="","",G60/12)</x:f>
      </x:c>
    </x:row>
    <x:row r="61">
      <x:c r="B61" s="90"/>
      <x:c r="D61" s="90"/>
      <x:c r="E61" s="90" t="str">
        <x:f>IF(A61="","",MAX(B61-D61,0))</x:f>
      </x:c>
      <x:c r="F61" t="str">
        <x:f>IF(A61="","",MAX(C61-YEAR(TODAY()),1))</x:f>
      </x:c>
      <x:c r="G61" s="99" t="str">
        <x:f>IF(A61="","",E61/F61)</x:f>
      </x:c>
      <x:c r="H61" s="99" t="str">
        <x:f>IF(A61="","",G61/12)</x:f>
      </x:c>
    </x:row>
    <x:row r="62">
      <x:c r="B62" s="90"/>
      <x:c r="D62" s="90"/>
      <x:c r="E62" s="90" t="str">
        <x:f>IF(A62="","",MAX(B62-D62,0))</x:f>
      </x:c>
      <x:c r="F62" t="str">
        <x:f>IF(A62="","",MAX(C62-YEAR(TODAY()),1))</x:f>
      </x:c>
      <x:c r="G62" s="99" t="str">
        <x:f>IF(A62="","",E62/F62)</x:f>
      </x:c>
      <x:c r="H62" s="99" t="str">
        <x:f>IF(A62="","",G62/12)</x:f>
      </x:c>
    </x:row>
    <x:row r="63">
      <x:c r="B63" s="90"/>
      <x:c r="D63" s="90"/>
      <x:c r="E63" s="90" t="str">
        <x:f>IF(A63="","",MAX(B63-D63,0))</x:f>
      </x:c>
      <x:c r="F63" t="str">
        <x:f>IF(A63="","",MAX(C63-YEAR(TODAY()),1))</x:f>
      </x:c>
      <x:c r="G63" s="99" t="str">
        <x:f>IF(A63="","",E63/F63)</x:f>
      </x:c>
      <x:c r="H63" s="99" t="str">
        <x:f>IF(A63="","",G63/12)</x:f>
      </x:c>
    </x:row>
    <x:row r="64">
      <x:c r="B64" s="90"/>
      <x:c r="D64" s="90"/>
      <x:c r="E64" s="90" t="str">
        <x:f>IF(A64="","",MAX(B64-D64,0))</x:f>
      </x:c>
      <x:c r="F64" t="str">
        <x:f>IF(A64="","",MAX(C64-YEAR(TODAY()),1))</x:f>
      </x:c>
      <x:c r="G64" s="99" t="str">
        <x:f>IF(A64="","",E64/F64)</x:f>
      </x:c>
      <x:c r="H64" s="99" t="str">
        <x:f>IF(A64="","",G64/12)</x:f>
      </x:c>
    </x:row>
    <x:row r="65">
      <x:c r="B65" s="90"/>
      <x:c r="D65" s="90"/>
      <x:c r="E65" s="90" t="str">
        <x:f>IF(A65="","",MAX(B65-D65,0))</x:f>
      </x:c>
      <x:c r="F65" t="str">
        <x:f>IF(A65="","",MAX(C65-YEAR(TODAY()),1))</x:f>
      </x:c>
      <x:c r="G65" s="99" t="str">
        <x:f>IF(A65="","",E65/F65)</x:f>
      </x:c>
      <x:c r="H65" s="99" t="str">
        <x:f>IF(A65="","",G65/12)</x:f>
      </x:c>
    </x:row>
    <x:row r="66">
      <x:c r="B66" s="90"/>
      <x:c r="D66" s="90"/>
      <x:c r="E66" s="90" t="str">
        <x:f>IF(A66="","",MAX(B66-D66,0))</x:f>
      </x:c>
      <x:c r="F66" t="str">
        <x:f>IF(A66="","",MAX(C66-YEAR(TODAY()),1))</x:f>
      </x:c>
      <x:c r="G66" s="99" t="str">
        <x:f>IF(A66="","",E66/F66)</x:f>
      </x:c>
      <x:c r="H66" s="99" t="str">
        <x:f>IF(A66="","",G66/12)</x:f>
      </x:c>
    </x:row>
    <x:row r="67">
      <x:c r="B67" s="90"/>
      <x:c r="D67" s="90"/>
      <x:c r="E67" s="90" t="str">
        <x:f>IF(A67="","",MAX(B67-D67,0))</x:f>
      </x:c>
      <x:c r="F67" t="str">
        <x:f>IF(A67="","",MAX(C67-YEAR(TODAY()),1))</x:f>
      </x:c>
      <x:c r="G67" s="99" t="str">
        <x:f>IF(A67="","",E67/F67)</x:f>
      </x:c>
      <x:c r="H67" s="99" t="str">
        <x:f>IF(A67="","",G67/12)</x:f>
      </x:c>
    </x:row>
    <x:row r="68">
      <x:c r="B68" s="90"/>
      <x:c r="D68" s="90"/>
      <x:c r="E68" s="90" t="str">
        <x:f>IF(A68="","",MAX(B68-D68,0))</x:f>
      </x:c>
      <x:c r="F68" t="str">
        <x:f>IF(A68="","",MAX(C68-YEAR(TODAY()),1))</x:f>
      </x:c>
      <x:c r="G68" s="99" t="str">
        <x:f>IF(A68="","",E68/F68)</x:f>
      </x:c>
      <x:c r="H68" s="99" t="str">
        <x:f>IF(A68="","",G68/12)</x:f>
      </x:c>
    </x:row>
    <x:row r="69">
      <x:c r="B69" s="90"/>
      <x:c r="D69" s="90"/>
      <x:c r="E69" s="90" t="str">
        <x:f>IF(A69="","",MAX(B69-D69,0))</x:f>
      </x:c>
      <x:c r="F69" t="str">
        <x:f>IF(A69="","",MAX(C69-YEAR(TODAY()),1))</x:f>
      </x:c>
      <x:c r="G69" s="99" t="str">
        <x:f>IF(A69="","",E69/F69)</x:f>
      </x:c>
      <x:c r="H69" s="99" t="str">
        <x:f>IF(A69="","",G69/12)</x:f>
      </x:c>
    </x:row>
    <x:row r="70">
      <x:c r="B70" s="90"/>
      <x:c r="D70" s="90"/>
      <x:c r="E70" s="90" t="str">
        <x:f>IF(A70="","",MAX(B70-D70,0))</x:f>
      </x:c>
      <x:c r="F70" t="str">
        <x:f>IF(A70="","",MAX(C70-YEAR(TODAY()),1))</x:f>
      </x:c>
      <x:c r="G70" s="99" t="str">
        <x:f>IF(A70="","",E70/F70)</x:f>
      </x:c>
      <x:c r="H70" s="99" t="str">
        <x:f>IF(A70="","",G70/12)</x:f>
      </x:c>
    </x:row>
    <x:row r="71">
      <x:c r="B71" s="90"/>
      <x:c r="D71" s="90"/>
      <x:c r="E71" s="90" t="str">
        <x:f>IF(A71="","",MAX(B71-D71,0))</x:f>
      </x:c>
      <x:c r="F71" t="str">
        <x:f>IF(A71="","",MAX(C71-YEAR(TODAY()),1))</x:f>
      </x:c>
      <x:c r="G71" s="99" t="str">
        <x:f>IF(A71="","",E71/F71)</x:f>
      </x:c>
      <x:c r="H71" s="99" t="str">
        <x:f>IF(A71="","",G71/12)</x:f>
      </x:c>
    </x:row>
    <x:row r="72">
      <x:c r="B72" s="90"/>
      <x:c r="D72" s="90"/>
      <x:c r="E72" s="90" t="str">
        <x:f>IF(A72="","",MAX(B72-D72,0))</x:f>
      </x:c>
      <x:c r="F72" t="str">
        <x:f>IF(A72="","",MAX(C72-YEAR(TODAY()),1))</x:f>
      </x:c>
      <x:c r="G72" s="99" t="str">
        <x:f>IF(A72="","",E72/F72)</x:f>
      </x:c>
      <x:c r="H72" s="99" t="str">
        <x:f>IF(A72="","",G72/12)</x:f>
      </x:c>
    </x:row>
    <x:row r="73">
      <x:c r="B73" s="90"/>
      <x:c r="D73" s="90"/>
      <x:c r="E73" s="90" t="str">
        <x:f>IF(A73="","",MAX(B73-D73,0))</x:f>
      </x:c>
      <x:c r="F73" t="str">
        <x:f>IF(A73="","",MAX(C73-YEAR(TODAY()),1))</x:f>
      </x:c>
      <x:c r="G73" s="99" t="str">
        <x:f>IF(A73="","",E73/F73)</x:f>
      </x:c>
      <x:c r="H73" s="99" t="str">
        <x:f>IF(A73="","",G73/12)</x:f>
      </x:c>
    </x:row>
    <x:row r="74">
      <x:c r="B74" s="90"/>
      <x:c r="D74" s="90"/>
      <x:c r="E74" s="90" t="str">
        <x:f>IF(A74="","",MAX(B74-D74,0))</x:f>
      </x:c>
      <x:c r="F74" t="str">
        <x:f>IF(A74="","",MAX(C74-YEAR(TODAY()),1))</x:f>
      </x:c>
      <x:c r="G74" s="99" t="str">
        <x:f>IF(A74="","",E74/F74)</x:f>
      </x:c>
      <x:c r="H74" s="99" t="str">
        <x:f>IF(A74="","",G74/12)</x:f>
      </x:c>
    </x:row>
    <x:row r="75">
      <x:c r="B75" s="90"/>
      <x:c r="D75" s="90"/>
      <x:c r="E75" s="90" t="str">
        <x:f>IF(A75="","",MAX(B75-D75,0))</x:f>
      </x:c>
      <x:c r="F75" t="str">
        <x:f>IF(A75="","",MAX(C75-YEAR(TODAY()),1))</x:f>
      </x:c>
      <x:c r="G75" s="99" t="str">
        <x:f>IF(A75="","",E75/F75)</x:f>
      </x:c>
      <x:c r="H75" s="99" t="str">
        <x:f>IF(A75="","",G75/12)</x:f>
      </x:c>
    </x:row>
    <x:row r="76">
      <x:c r="B76" s="90"/>
      <x:c r="D76" s="90"/>
      <x:c r="E76" s="90" t="str">
        <x:f>IF(A76="","",MAX(B76-D76,0))</x:f>
      </x:c>
      <x:c r="F76" t="str">
        <x:f>IF(A76="","",MAX(C76-YEAR(TODAY()),1))</x:f>
      </x:c>
      <x:c r="G76" s="99" t="str">
        <x:f>IF(A76="","",E76/F76)</x:f>
      </x:c>
      <x:c r="H76" s="99" t="str">
        <x:f>IF(A76="","",G76/12)</x:f>
      </x:c>
    </x:row>
    <x:row r="77">
      <x:c r="B77" s="90"/>
      <x:c r="D77" s="90"/>
      <x:c r="E77" s="90" t="str">
        <x:f>IF(A77="","",MAX(B77-D77,0))</x:f>
      </x:c>
      <x:c r="F77" t="str">
        <x:f>IF(A77="","",MAX(C77-YEAR(TODAY()),1))</x:f>
      </x:c>
      <x:c r="G77" s="99" t="str">
        <x:f>IF(A77="","",E77/F77)</x:f>
      </x:c>
      <x:c r="H77" s="99" t="str">
        <x:f>IF(A77="","",G77/12)</x:f>
      </x:c>
    </x:row>
    <x:row r="78">
      <x:c r="B78" s="90"/>
      <x:c r="D78" s="90"/>
      <x:c r="E78" s="90" t="str">
        <x:f>IF(A78="","",MAX(B78-D78,0))</x:f>
      </x:c>
      <x:c r="F78" t="str">
        <x:f>IF(A78="","",MAX(C78-YEAR(TODAY()),1))</x:f>
      </x:c>
      <x:c r="G78" s="99" t="str">
        <x:f>IF(A78="","",E78/F78)</x:f>
      </x:c>
      <x:c r="H78" s="99" t="str">
        <x:f>IF(A78="","",G78/12)</x:f>
      </x:c>
    </x:row>
    <x:row r="79">
      <x:c r="B79" s="90"/>
      <x:c r="D79" s="90"/>
      <x:c r="E79" s="90" t="str">
        <x:f>IF(A79="","",MAX(B79-D79,0))</x:f>
      </x:c>
      <x:c r="F79" t="str">
        <x:f>IF(A79="","",MAX(C79-YEAR(TODAY()),1))</x:f>
      </x:c>
      <x:c r="G79" s="99" t="str">
        <x:f>IF(A79="","",E79/F79)</x:f>
      </x:c>
      <x:c r="H79" s="99" t="str">
        <x:f>IF(A79="","",G79/12)</x:f>
      </x:c>
    </x:row>
    <x:row r="80">
      <x:c r="B80" s="90"/>
      <x:c r="D80" s="90"/>
      <x:c r="E80" s="90" t="str">
        <x:f>IF(A80="","",MAX(B80-D80,0))</x:f>
      </x:c>
      <x:c r="F80" t="str">
        <x:f>IF(A80="","",MAX(C80-YEAR(TODAY()),1))</x:f>
      </x:c>
      <x:c r="G80" s="99" t="str">
        <x:f>IF(A80="","",E80/F80)</x:f>
      </x:c>
      <x:c r="H80" s="99" t="str">
        <x:f>IF(A80="","",G80/12)</x:f>
      </x:c>
    </x:row>
    <x:row r="81">
      <x:c r="B81" s="90"/>
      <x:c r="D81" s="90"/>
      <x:c r="E81" s="90" t="str">
        <x:f>IF(A81="","",MAX(B81-D81,0))</x:f>
      </x:c>
      <x:c r="F81" t="str">
        <x:f>IF(A81="","",MAX(C81-YEAR(TODAY()),1))</x:f>
      </x:c>
      <x:c r="G81" s="99" t="str">
        <x:f>IF(A81="","",E81/F81)</x:f>
      </x:c>
      <x:c r="H81" s="99" t="str">
        <x:f>IF(A81="","",G81/12)</x:f>
      </x:c>
    </x:row>
    <x:row r="82">
      <x:c r="B82" s="90"/>
      <x:c r="D82" s="90"/>
      <x:c r="E82" s="90" t="str">
        <x:f>IF(A82="","",MAX(B82-D82,0))</x:f>
      </x:c>
      <x:c r="F82" t="str">
        <x:f>IF(A82="","",MAX(C82-YEAR(TODAY()),1))</x:f>
      </x:c>
      <x:c r="G82" s="99" t="str">
        <x:f>IF(A82="","",E82/F82)</x:f>
      </x:c>
      <x:c r="H82" s="99" t="str">
        <x:f>IF(A82="","",G82/12)</x:f>
      </x:c>
    </x:row>
    <x:row r="83">
      <x:c r="B83" s="90"/>
      <x:c r="D83" s="90"/>
      <x:c r="E83" s="90" t="str">
        <x:f>IF(A83="","",MAX(B83-D83,0))</x:f>
      </x:c>
      <x:c r="F83" t="str">
        <x:f>IF(A83="","",MAX(C83-YEAR(TODAY()),1))</x:f>
      </x:c>
      <x:c r="G83" s="99" t="str">
        <x:f>IF(A83="","",E83/F83)</x:f>
      </x:c>
      <x:c r="H83" s="99" t="str">
        <x:f>IF(A83="","",G83/12)</x:f>
      </x:c>
    </x:row>
    <x:row r="84">
      <x:c r="B84" s="90"/>
      <x:c r="D84" s="90"/>
      <x:c r="E84" s="90" t="str">
        <x:f>IF(A84="","",MAX(B84-D84,0))</x:f>
      </x:c>
      <x:c r="F84" t="str">
        <x:f>IF(A84="","",MAX(C84-YEAR(TODAY()),1))</x:f>
      </x:c>
      <x:c r="G84" s="99" t="str">
        <x:f>IF(A84="","",E84/F84)</x:f>
      </x:c>
      <x:c r="H84" s="99" t="str">
        <x:f>IF(A84="","",G84/12)</x:f>
      </x:c>
    </x:row>
    <x:row r="85">
      <x:c r="B85" s="90"/>
      <x:c r="D85" s="90"/>
      <x:c r="E85" s="90" t="str">
        <x:f>IF(A85="","",MAX(B85-D85,0))</x:f>
      </x:c>
      <x:c r="F85" t="str">
        <x:f>IF(A85="","",MAX(C85-YEAR(TODAY()),1))</x:f>
      </x:c>
      <x:c r="G85" s="99" t="str">
        <x:f>IF(A85="","",E85/F85)</x:f>
      </x:c>
      <x:c r="H85" s="99" t="str">
        <x:f>IF(A85="","",G85/12)</x:f>
      </x:c>
    </x:row>
    <x:row r="86">
      <x:c r="B86" s="90"/>
      <x:c r="D86" s="90"/>
      <x:c r="E86" s="90" t="str">
        <x:f>IF(A86="","",MAX(B86-D86,0))</x:f>
      </x:c>
      <x:c r="F86" t="str">
        <x:f>IF(A86="","",MAX(C86-YEAR(TODAY()),1))</x:f>
      </x:c>
      <x:c r="G86" s="99" t="str">
        <x:f>IF(A86="","",E86/F86)</x:f>
      </x:c>
      <x:c r="H86" s="99" t="str">
        <x:f>IF(A86="","",G86/12)</x:f>
      </x:c>
    </x:row>
    <x:row r="87">
      <x:c r="B87" s="90"/>
      <x:c r="D87" s="90"/>
      <x:c r="E87" s="90" t="str">
        <x:f>IF(A87="","",MAX(B87-D87,0))</x:f>
      </x:c>
      <x:c r="F87" t="str">
        <x:f>IF(A87="","",MAX(C87-YEAR(TODAY()),1))</x:f>
      </x:c>
      <x:c r="G87" s="99" t="str">
        <x:f>IF(A87="","",E87/F87)</x:f>
      </x:c>
      <x:c r="H87" s="99" t="str">
        <x:f>IF(A87="","",G87/12)</x:f>
      </x:c>
    </x:row>
    <x:row r="88">
      <x:c r="B88" s="90"/>
      <x:c r="D88" s="90"/>
      <x:c r="E88" s="90" t="str">
        <x:f>IF(A88="","",MAX(B88-D88,0))</x:f>
      </x:c>
      <x:c r="F88" t="str">
        <x:f>IF(A88="","",MAX(C88-YEAR(TODAY()),1))</x:f>
      </x:c>
      <x:c r="G88" s="99" t="str">
        <x:f>IF(A88="","",E88/F88)</x:f>
      </x:c>
      <x:c r="H88" s="99" t="str">
        <x:f>IF(A88="","",G88/12)</x:f>
      </x:c>
    </x:row>
    <x:row r="89">
      <x:c r="B89" s="90"/>
      <x:c r="D89" s="90"/>
      <x:c r="E89" s="90" t="str">
        <x:f>IF(A89="","",MAX(B89-D89,0))</x:f>
      </x:c>
      <x:c r="F89" t="str">
        <x:f>IF(A89="","",MAX(C89-YEAR(TODAY()),1))</x:f>
      </x:c>
      <x:c r="G89" s="99" t="str">
        <x:f>IF(A89="","",E89/F89)</x:f>
      </x:c>
      <x:c r="H89" s="99" t="str">
        <x:f>IF(A89="","",G89/12)</x:f>
      </x:c>
    </x:row>
    <x:row r="90">
      <x:c r="B90" s="90"/>
      <x:c r="D90" s="90"/>
      <x:c r="E90" s="90" t="str">
        <x:f>IF(A90="","",MAX(B90-D90,0))</x:f>
      </x:c>
      <x:c r="F90" t="str">
        <x:f>IF(A90="","",MAX(C90-YEAR(TODAY()),1))</x:f>
      </x:c>
      <x:c r="G90" s="99" t="str">
        <x:f>IF(A90="","",E90/F90)</x:f>
      </x:c>
      <x:c r="H90" s="99" t="str">
        <x:f>IF(A90="","",G90/12)</x:f>
      </x:c>
    </x:row>
    <x:row r="91">
      <x:c r="B91" s="90"/>
      <x:c r="D91" s="90"/>
      <x:c r="E91" s="90" t="str">
        <x:f>IF(A91="","",MAX(B91-D91,0))</x:f>
      </x:c>
      <x:c r="F91" t="str">
        <x:f>IF(A91="","",MAX(C91-YEAR(TODAY()),1))</x:f>
      </x:c>
      <x:c r="G91" s="99" t="str">
        <x:f>IF(A91="","",E91/F91)</x:f>
      </x:c>
      <x:c r="H91" s="99" t="str">
        <x:f>IF(A91="","",G91/12)</x:f>
      </x:c>
    </x:row>
    <x:row r="92">
      <x:c r="B92" s="90"/>
      <x:c r="D92" s="90"/>
      <x:c r="E92" s="90" t="str">
        <x:f>IF(A92="","",MAX(B92-D92,0))</x:f>
      </x:c>
      <x:c r="F92" t="str">
        <x:f>IF(A92="","",MAX(C92-YEAR(TODAY()),1))</x:f>
      </x:c>
      <x:c r="G92" s="99" t="str">
        <x:f>IF(A92="","",E92/F92)</x:f>
      </x:c>
      <x:c r="H92" s="99" t="str">
        <x:f>IF(A92="","",G92/12)</x:f>
      </x:c>
    </x:row>
    <x:row r="93">
      <x:c r="B93" s="90"/>
      <x:c r="D93" s="90"/>
      <x:c r="E93" s="90" t="str">
        <x:f>IF(A93="","",MAX(B93-D93,0))</x:f>
      </x:c>
      <x:c r="F93" t="str">
        <x:f>IF(A93="","",MAX(C93-YEAR(TODAY()),1))</x:f>
      </x:c>
      <x:c r="G93" s="99" t="str">
        <x:f>IF(A93="","",E93/F93)</x:f>
      </x:c>
      <x:c r="H93" s="99" t="str">
        <x:f>IF(A93="","",G93/12)</x:f>
      </x:c>
    </x:row>
    <x:row r="94">
      <x:c r="B94" s="90"/>
      <x:c r="D94" s="90"/>
      <x:c r="E94" s="90" t="str">
        <x:f>IF(A94="","",MAX(B94-D94,0))</x:f>
      </x:c>
      <x:c r="F94" t="str">
        <x:f>IF(A94="","",MAX(C94-YEAR(TODAY()),1))</x:f>
      </x:c>
      <x:c r="G94" s="99" t="str">
        <x:f>IF(A94="","",E94/F94)</x:f>
      </x:c>
      <x:c r="H94" s="99" t="str">
        <x:f>IF(A94="","",G94/12)</x:f>
      </x:c>
    </x:row>
    <x:row r="95">
      <x:c r="B95" s="90"/>
      <x:c r="D95" s="90"/>
      <x:c r="E95" s="90" t="str">
        <x:f>IF(A95="","",MAX(B95-D95,0))</x:f>
      </x:c>
      <x:c r="F95" t="str">
        <x:f>IF(A95="","",MAX(C95-YEAR(TODAY()),1))</x:f>
      </x:c>
      <x:c r="G95" s="99" t="str">
        <x:f>IF(A95="","",E95/F95)</x:f>
      </x:c>
      <x:c r="H95" s="99" t="str">
        <x:f>IF(A95="","",G95/12)</x:f>
      </x:c>
    </x:row>
    <x:row r="96">
      <x:c r="B96" s="90"/>
      <x:c r="D96" s="90"/>
      <x:c r="E96" s="90" t="str">
        <x:f>IF(A96="","",MAX(B96-D96,0))</x:f>
      </x:c>
      <x:c r="F96" t="str">
        <x:f>IF(A96="","",MAX(C96-YEAR(TODAY()),1))</x:f>
      </x:c>
      <x:c r="G96" s="99" t="str">
        <x:f>IF(A96="","",E96/F96)</x:f>
      </x:c>
      <x:c r="H96" s="99" t="str">
        <x:f>IF(A96="","",G96/12)</x:f>
      </x:c>
    </x:row>
    <x:row r="97">
      <x:c r="B97" s="90"/>
      <x:c r="D97" s="90"/>
      <x:c r="E97" s="90" t="str">
        <x:f>IF(A97="","",MAX(B97-D97,0))</x:f>
      </x:c>
      <x:c r="F97" t="str">
        <x:f>IF(A97="","",MAX(C97-YEAR(TODAY()),1))</x:f>
      </x:c>
      <x:c r="G97" s="99" t="str">
        <x:f>IF(A97="","",E97/F97)</x:f>
      </x:c>
      <x:c r="H97" s="99" t="str">
        <x:f>IF(A97="","",G97/12)</x:f>
      </x:c>
    </x:row>
    <x:row r="98">
      <x:c r="B98" s="90"/>
      <x:c r="D98" s="90"/>
      <x:c r="E98" s="90" t="str">
        <x:f>IF(A98="","",MAX(B98-D98,0))</x:f>
      </x:c>
      <x:c r="F98" t="str">
        <x:f>IF(A98="","",MAX(C98-YEAR(TODAY()),1))</x:f>
      </x:c>
      <x:c r="G98" s="99" t="str">
        <x:f>IF(A98="","",E98/F98)</x:f>
      </x:c>
      <x:c r="H98" s="99" t="str">
        <x:f>IF(A98="","",G98/12)</x:f>
      </x:c>
    </x:row>
    <x:row r="99">
      <x:c r="B99" s="90"/>
      <x:c r="D99" s="90"/>
      <x:c r="E99" s="90" t="str">
        <x:f>IF(A99="","",MAX(B99-D99,0))</x:f>
      </x:c>
      <x:c r="F99" t="str">
        <x:f>IF(A99="","",MAX(C99-YEAR(TODAY()),1))</x:f>
      </x:c>
      <x:c r="G99" s="99" t="str">
        <x:f>IF(A99="","",E99/F99)</x:f>
      </x:c>
      <x:c r="H99" s="99" t="str">
        <x:f>IF(A99="","",G99/12)</x:f>
      </x:c>
    </x:row>
    <x:row r="100">
      <x:c r="B100" s="90"/>
      <x:c r="D100" s="90"/>
      <x:c r="E100" s="90" t="str">
        <x:f>IF(A100="","",MAX(B100-D100,0))</x:f>
      </x:c>
      <x:c r="F100" t="str">
        <x:f>IF(A100="","",MAX(C100-YEAR(TODAY()),1))</x:f>
      </x:c>
      <x:c r="G100" s="99" t="str">
        <x:f>IF(A100="","",E100/F100)</x:f>
      </x:c>
      <x:c r="H100" s="99" t="str">
        <x:f>IF(A100="","",G100/12)</x:f>
      </x:c>
    </x:row>
  </x:sheetData>
  <x:mergeCells>
    <x:mergeCell ref="A1:J1"/>
  </x:mergeCells>
  <x:conditionalFormatting sqref="D4:D100">
    <x:cfRule type="dataBar" priority="1">
      <x:dataBar>
        <x:cfvo type="min"/>
        <x:cfvo type="max"/>
        <x:color rgb="FF548235"/>
      </x:dataBar>
      <x:extLst>
        <x:ext xmlns:x14="http://schemas.microsoft.com/office/spreadsheetml/2009/9/main" uri="{B025F937-C7B1-47D3-B67F-A62EFF666E3E}">
          <x14:id>{DC4654A2-8833-A398-138F-0C57BBB6ADEB}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C4654A2-8833-A398-138F-0C57BBB6ADEB}">
            <x14:dataBar gradient="1">
              <x14:cfvo type="min"/>
              <x14:cfvo type="max"/>
              <x14:fillColor rgb="FF548235"/>
            </x14:dataBar>
          </x14:cfRule>
          <xm:sqref>D4:D100</xm:sqref>
        </x14:conditionalFormatting>
      </x14:conditionalFormattings>
    </x:ext>
  </x:extLst>
</x:worksheet>
</file>

<file path=xl/worksheets/sheet2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28" hidden="0" customWidth="1"/>
    <x:col min="13" max="13" width="14" hidden="0" customWidth="1"/>
    <x:col min="14" max="14" width="14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14" hidden="0" customWidth="1"/>
    <x:col min="22" max="22" width="28" hidden="0" customWidth="1"/>
  </x:cols>
  <x:sheetData>
    <x:row r="1" ht="34" customHeight="1">
      <x:c r="A1" s="63" t="str">
        <x:v>FAMILY HUNT JOURNAL &amp; HARVEST LOG</x:v>
      </x:c>
    </x:row>
    <x:row r="3">
      <x:c r="A3" s="89" t="str">
        <x:v>Hunt ID</x:v>
      </x:c>
      <x:c r="B3" s="89" t="str">
        <x:v>Year</x:v>
      </x:c>
      <x:c r="C3" s="89" t="str">
        <x:v>State</x:v>
      </x:c>
      <x:c r="D3" s="89" t="str">
        <x:v>Area / Unit</x:v>
      </x:c>
      <x:c r="E3" s="89" t="str">
        <x:v>Species</x:v>
      </x:c>
      <x:c r="F3" s="89" t="str">
        <x:v>Hunter(s)</x:v>
      </x:c>
      <x:c r="G3" s="89" t="str">
        <x:v>Hunt Type</x:v>
      </x:c>
      <x:c r="H3" s="89" t="str">
        <x:v>Start Date</x:v>
      </x:c>
      <x:c r="I3" s="89" t="str">
        <x:v>End Date</x:v>
      </x:c>
      <x:c r="J3" s="89" t="str">
        <x:v>Drawn / OTC</x:v>
      </x:c>
      <x:c r="K3" s="89" t="str">
        <x:v>Harvest</x:v>
      </x:c>
      <x:c r="L3" s="89" t="str">
        <x:v>Animal / Details</x:v>
      </x:c>
      <x:c r="M3" s="89" t="str">
        <x:v>Miles Hiked</x:v>
      </x:c>
      <x:c r="N3" s="89" t="str">
        <x:v>Days Afield</x:v>
      </x:c>
      <x:c r="O3" s="89" t="str">
        <x:v>Weather</x:v>
      </x:c>
      <x:c r="P3" s="89" t="str">
        <x:v>Camp</x:v>
      </x:c>
      <x:c r="Q3" s="89" t="str">
        <x:v>Favorite Memory</x:v>
      </x:c>
      <x:c r="R3" s="89" t="str">
        <x:v>What We Learned</x:v>
      </x:c>
      <x:c r="S3" s="89" t="str">
        <x:v>What to Change</x:v>
      </x:c>
      <x:c r="T3" s="89" t="str">
        <x:v>Photo / Folder Link</x:v>
      </x:c>
      <x:c r="U3" s="89" t="str">
        <x:v>Would Apply Again?</x:v>
      </x:c>
      <x:c r="V3" s="89" t="str">
        <x:v>Legacy Story</x:v>
      </x:c>
    </x:row>
    <x:row r="4">
      <x:c r="A4" s="2"/>
      <x:c r="B4" s="2"/>
      <x:c r="C4" s="2"/>
      <x:c r="D4" s="2"/>
      <x:c r="E4" s="2"/>
      <x:c r="F4" s="2"/>
      <x:c r="G4" s="2"/>
      <x:c r="H4" s="97"/>
      <x:c r="I4" s="97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</x:row>
    <x:row r="5">
      <x:c r="A5" s="2"/>
      <x:c r="B5" s="2"/>
      <x:c r="C5" s="2"/>
      <x:c r="D5" s="2"/>
      <x:c r="E5" s="2"/>
      <x:c r="F5" s="2"/>
      <x:c r="G5" s="2"/>
      <x:c r="H5" s="97"/>
      <x:c r="I5" s="97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</x:row>
    <x:row r="6">
      <x:c r="A6" s="2"/>
      <x:c r="B6" s="2"/>
      <x:c r="C6" s="2"/>
      <x:c r="D6" s="2"/>
      <x:c r="E6" s="2"/>
      <x:c r="F6" s="2"/>
      <x:c r="G6" s="2"/>
      <x:c r="H6" s="97"/>
      <x:c r="I6" s="97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</x:row>
    <x:row r="7">
      <x:c r="A7" s="2"/>
      <x:c r="B7" s="2"/>
      <x:c r="C7" s="2"/>
      <x:c r="D7" s="2"/>
      <x:c r="E7" s="2"/>
      <x:c r="F7" s="2"/>
      <x:c r="G7" s="2"/>
      <x:c r="H7" s="97"/>
      <x:c r="I7" s="97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</x:row>
    <x:row r="8">
      <x:c r="A8" s="2"/>
      <x:c r="B8" s="2"/>
      <x:c r="C8" s="2"/>
      <x:c r="D8" s="2"/>
      <x:c r="E8" s="2"/>
      <x:c r="F8" s="2"/>
      <x:c r="G8" s="2"/>
      <x:c r="H8" s="97"/>
      <x:c r="I8" s="97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</x:row>
    <x:row r="9">
      <x:c r="A9" s="2"/>
      <x:c r="B9" s="2"/>
      <x:c r="C9" s="2"/>
      <x:c r="D9" s="2"/>
      <x:c r="E9" s="2"/>
      <x:c r="F9" s="2"/>
      <x:c r="G9" s="2"/>
      <x:c r="H9" s="97"/>
      <x:c r="I9" s="97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</x:row>
    <x:row r="10">
      <x:c r="A10" s="2"/>
      <x:c r="B10" s="2"/>
      <x:c r="C10" s="2"/>
      <x:c r="D10" s="2"/>
      <x:c r="E10" s="2"/>
      <x:c r="F10" s="2"/>
      <x:c r="G10" s="2"/>
      <x:c r="H10" s="97"/>
      <x:c r="I10" s="97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</x:row>
    <x:row r="11">
      <x:c r="A11" s="2"/>
      <x:c r="B11" s="2"/>
      <x:c r="C11" s="2"/>
      <x:c r="D11" s="2"/>
      <x:c r="E11" s="2"/>
      <x:c r="F11" s="2"/>
      <x:c r="G11" s="2"/>
      <x:c r="H11" s="97"/>
      <x:c r="I11" s="97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</x:row>
    <x:row r="12">
      <x:c r="A12" s="2"/>
      <x:c r="B12" s="2"/>
      <x:c r="C12" s="2"/>
      <x:c r="D12" s="2"/>
      <x:c r="E12" s="2"/>
      <x:c r="F12" s="2"/>
      <x:c r="G12" s="2"/>
      <x:c r="H12" s="97"/>
      <x:c r="I12" s="97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</x:row>
    <x:row r="13">
      <x:c r="A13" s="2"/>
      <x:c r="B13" s="2"/>
      <x:c r="C13" s="2"/>
      <x:c r="D13" s="2"/>
      <x:c r="E13" s="2"/>
      <x:c r="F13" s="2"/>
      <x:c r="G13" s="2"/>
      <x:c r="H13" s="97"/>
      <x:c r="I13" s="97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</x:row>
    <x:row r="14">
      <x:c r="A14" s="2"/>
      <x:c r="B14" s="2"/>
      <x:c r="C14" s="2"/>
      <x:c r="D14" s="2"/>
      <x:c r="E14" s="2"/>
      <x:c r="F14" s="2"/>
      <x:c r="G14" s="2"/>
      <x:c r="H14" s="97"/>
      <x:c r="I14" s="97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</x:row>
    <x:row r="15">
      <x:c r="A15" s="2"/>
      <x:c r="B15" s="2"/>
      <x:c r="C15" s="2"/>
      <x:c r="D15" s="2"/>
      <x:c r="E15" s="2"/>
      <x:c r="F15" s="2"/>
      <x:c r="G15" s="2"/>
      <x:c r="H15" s="97"/>
      <x:c r="I15" s="97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</x:row>
    <x:row r="16">
      <x:c r="A16" s="2"/>
      <x:c r="B16" s="2"/>
      <x:c r="C16" s="2"/>
      <x:c r="D16" s="2"/>
      <x:c r="E16" s="2"/>
      <x:c r="F16" s="2"/>
      <x:c r="G16" s="2"/>
      <x:c r="H16" s="97"/>
      <x:c r="I16" s="97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</x:row>
    <x:row r="17">
      <x:c r="A17" s="2"/>
      <x:c r="B17" s="2"/>
      <x:c r="C17" s="2"/>
      <x:c r="D17" s="2"/>
      <x:c r="E17" s="2"/>
      <x:c r="F17" s="2"/>
      <x:c r="G17" s="2"/>
      <x:c r="H17" s="97"/>
      <x:c r="I17" s="97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</x:row>
    <x:row r="18">
      <x:c r="A18" s="2"/>
      <x:c r="B18" s="2"/>
      <x:c r="C18" s="2"/>
      <x:c r="D18" s="2"/>
      <x:c r="E18" s="2"/>
      <x:c r="F18" s="2"/>
      <x:c r="G18" s="2"/>
      <x:c r="H18" s="97"/>
      <x:c r="I18" s="97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</x:row>
    <x:row r="19">
      <x:c r="A19" s="2"/>
      <x:c r="B19" s="2"/>
      <x:c r="C19" s="2"/>
      <x:c r="D19" s="2"/>
      <x:c r="E19" s="2"/>
      <x:c r="F19" s="2"/>
      <x:c r="G19" s="2"/>
      <x:c r="H19" s="97"/>
      <x:c r="I19" s="97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</x:row>
    <x:row r="20">
      <x:c r="A20" s="2"/>
      <x:c r="B20" s="2"/>
      <x:c r="C20" s="2"/>
      <x:c r="D20" s="2"/>
      <x:c r="E20" s="2"/>
      <x:c r="F20" s="2"/>
      <x:c r="G20" s="2"/>
      <x:c r="H20" s="97"/>
      <x:c r="I20" s="97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</x:row>
    <x:row r="21">
      <x:c r="A21" s="2"/>
      <x:c r="B21" s="2"/>
      <x:c r="C21" s="2"/>
      <x:c r="D21" s="2"/>
      <x:c r="E21" s="2"/>
      <x:c r="F21" s="2"/>
      <x:c r="G21" s="2"/>
      <x:c r="H21" s="97"/>
      <x:c r="I21" s="97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</x:row>
    <x:row r="22">
      <x:c r="A22" s="2"/>
      <x:c r="B22" s="2"/>
      <x:c r="C22" s="2"/>
      <x:c r="D22" s="2"/>
      <x:c r="E22" s="2"/>
      <x:c r="F22" s="2"/>
      <x:c r="G22" s="2"/>
      <x:c r="H22" s="97"/>
      <x:c r="I22" s="97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</x:row>
    <x:row r="23">
      <x:c r="A23" s="2"/>
      <x:c r="B23" s="2"/>
      <x:c r="C23" s="2"/>
      <x:c r="D23" s="2"/>
      <x:c r="E23" s="2"/>
      <x:c r="F23" s="2"/>
      <x:c r="G23" s="2"/>
      <x:c r="H23" s="97"/>
      <x:c r="I23" s="97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</x:row>
    <x:row r="24">
      <x:c r="A24" s="2"/>
      <x:c r="B24" s="2"/>
      <x:c r="C24" s="2"/>
      <x:c r="D24" s="2"/>
      <x:c r="E24" s="2"/>
      <x:c r="F24" s="2"/>
      <x:c r="G24" s="2"/>
      <x:c r="H24" s="97"/>
      <x:c r="I24" s="97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</x:row>
    <x:row r="25">
      <x:c r="A25" s="2"/>
      <x:c r="B25" s="2"/>
      <x:c r="C25" s="2"/>
      <x:c r="D25" s="2"/>
      <x:c r="E25" s="2"/>
      <x:c r="F25" s="2"/>
      <x:c r="G25" s="2"/>
      <x:c r="H25" s="97"/>
      <x:c r="I25" s="97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</x:row>
    <x:row r="26">
      <x:c r="A26" s="2"/>
      <x:c r="B26" s="2"/>
      <x:c r="C26" s="2"/>
      <x:c r="D26" s="2"/>
      <x:c r="E26" s="2"/>
      <x:c r="F26" s="2"/>
      <x:c r="G26" s="2"/>
      <x:c r="H26" s="97"/>
      <x:c r="I26" s="97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</x:row>
    <x:row r="27">
      <x:c r="A27" s="2"/>
      <x:c r="B27" s="2"/>
      <x:c r="C27" s="2"/>
      <x:c r="D27" s="2"/>
      <x:c r="E27" s="2"/>
      <x:c r="F27" s="2"/>
      <x:c r="G27" s="2"/>
      <x:c r="H27" s="97"/>
      <x:c r="I27" s="97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</x:row>
    <x:row r="28">
      <x:c r="A28" s="2"/>
      <x:c r="B28" s="2"/>
      <x:c r="C28" s="2"/>
      <x:c r="D28" s="2"/>
      <x:c r="E28" s="2"/>
      <x:c r="F28" s="2"/>
      <x:c r="G28" s="2"/>
      <x:c r="H28" s="97"/>
      <x:c r="I28" s="97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</x:row>
    <x:row r="29">
      <x:c r="A29" s="2"/>
      <x:c r="B29" s="2"/>
      <x:c r="C29" s="2"/>
      <x:c r="D29" s="2"/>
      <x:c r="E29" s="2"/>
      <x:c r="F29" s="2"/>
      <x:c r="G29" s="2"/>
      <x:c r="H29" s="97"/>
      <x:c r="I29" s="97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</x:row>
    <x:row r="30">
      <x:c r="A30" s="2"/>
      <x:c r="B30" s="2"/>
      <x:c r="C30" s="2"/>
      <x:c r="D30" s="2"/>
      <x:c r="E30" s="2"/>
      <x:c r="F30" s="2"/>
      <x:c r="G30" s="2"/>
      <x:c r="H30" s="97"/>
      <x:c r="I30" s="97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</x:row>
    <x:row r="31">
      <x:c r="A31" s="2"/>
      <x:c r="B31" s="2"/>
      <x:c r="C31" s="2"/>
      <x:c r="D31" s="2"/>
      <x:c r="E31" s="2"/>
      <x:c r="F31" s="2"/>
      <x:c r="G31" s="2"/>
      <x:c r="H31" s="97"/>
      <x:c r="I31" s="97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</x:row>
    <x:row r="32">
      <x:c r="A32" s="2"/>
      <x:c r="B32" s="2"/>
      <x:c r="C32" s="2"/>
      <x:c r="D32" s="2"/>
      <x:c r="E32" s="2"/>
      <x:c r="F32" s="2"/>
      <x:c r="G32" s="2"/>
      <x:c r="H32" s="97"/>
      <x:c r="I32" s="97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</x:row>
    <x:row r="33">
      <x:c r="A33" s="2"/>
      <x:c r="B33" s="2"/>
      <x:c r="C33" s="2"/>
      <x:c r="D33" s="2"/>
      <x:c r="E33" s="2"/>
      <x:c r="F33" s="2"/>
      <x:c r="G33" s="2"/>
      <x:c r="H33" s="97"/>
      <x:c r="I33" s="97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</x:row>
    <x:row r="34">
      <x:c r="A34" s="2"/>
      <x:c r="B34" s="2"/>
      <x:c r="C34" s="2"/>
      <x:c r="D34" s="2"/>
      <x:c r="E34" s="2"/>
      <x:c r="F34" s="2"/>
      <x:c r="G34" s="2"/>
      <x:c r="H34" s="97"/>
      <x:c r="I34" s="97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</x:row>
    <x:row r="35">
      <x:c r="A35" s="2"/>
      <x:c r="B35" s="2"/>
      <x:c r="C35" s="2"/>
      <x:c r="D35" s="2"/>
      <x:c r="E35" s="2"/>
      <x:c r="F35" s="2"/>
      <x:c r="G35" s="2"/>
      <x:c r="H35" s="97"/>
      <x:c r="I35" s="97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</x:row>
    <x:row r="36">
      <x:c r="A36" s="2"/>
      <x:c r="B36" s="2"/>
      <x:c r="C36" s="2"/>
      <x:c r="D36" s="2"/>
      <x:c r="E36" s="2"/>
      <x:c r="F36" s="2"/>
      <x:c r="G36" s="2"/>
      <x:c r="H36" s="97"/>
      <x:c r="I36" s="97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</x:row>
    <x:row r="37">
      <x:c r="A37" s="2"/>
      <x:c r="B37" s="2"/>
      <x:c r="C37" s="2"/>
      <x:c r="D37" s="2"/>
      <x:c r="E37" s="2"/>
      <x:c r="F37" s="2"/>
      <x:c r="G37" s="2"/>
      <x:c r="H37" s="97"/>
      <x:c r="I37" s="97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</x:row>
    <x:row r="38">
      <x:c r="A38" s="2"/>
      <x:c r="B38" s="2"/>
      <x:c r="C38" s="2"/>
      <x:c r="D38" s="2"/>
      <x:c r="E38" s="2"/>
      <x:c r="F38" s="2"/>
      <x:c r="G38" s="2"/>
      <x:c r="H38" s="97"/>
      <x:c r="I38" s="97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</x:row>
    <x:row r="39">
      <x:c r="A39" s="2"/>
      <x:c r="B39" s="2"/>
      <x:c r="C39" s="2"/>
      <x:c r="D39" s="2"/>
      <x:c r="E39" s="2"/>
      <x:c r="F39" s="2"/>
      <x:c r="G39" s="2"/>
      <x:c r="H39" s="97"/>
      <x:c r="I39" s="97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</x:row>
    <x:row r="40">
      <x:c r="A40" s="2"/>
      <x:c r="B40" s="2"/>
      <x:c r="C40" s="2"/>
      <x:c r="D40" s="2"/>
      <x:c r="E40" s="2"/>
      <x:c r="F40" s="2"/>
      <x:c r="G40" s="2"/>
      <x:c r="H40" s="97"/>
      <x:c r="I40" s="97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</x:row>
    <x:row r="41">
      <x:c r="A41" s="2"/>
      <x:c r="B41" s="2"/>
      <x:c r="C41" s="2"/>
      <x:c r="D41" s="2"/>
      <x:c r="E41" s="2"/>
      <x:c r="F41" s="2"/>
      <x:c r="G41" s="2"/>
      <x:c r="H41" s="97"/>
      <x:c r="I41" s="97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</x:row>
    <x:row r="42">
      <x:c r="A42" s="2"/>
      <x:c r="B42" s="2"/>
      <x:c r="C42" s="2"/>
      <x:c r="D42" s="2"/>
      <x:c r="E42" s="2"/>
      <x:c r="F42" s="2"/>
      <x:c r="G42" s="2"/>
      <x:c r="H42" s="97"/>
      <x:c r="I42" s="97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</x:row>
    <x:row r="43">
      <x:c r="A43" s="2"/>
      <x:c r="B43" s="2"/>
      <x:c r="C43" s="2"/>
      <x:c r="D43" s="2"/>
      <x:c r="E43" s="2"/>
      <x:c r="F43" s="2"/>
      <x:c r="G43" s="2"/>
      <x:c r="H43" s="97"/>
      <x:c r="I43" s="97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</x:row>
    <x:row r="44">
      <x:c r="A44" s="2"/>
      <x:c r="B44" s="2"/>
      <x:c r="C44" s="2"/>
      <x:c r="D44" s="2"/>
      <x:c r="E44" s="2"/>
      <x:c r="F44" s="2"/>
      <x:c r="G44" s="2"/>
      <x:c r="H44" s="97"/>
      <x:c r="I44" s="97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</x:row>
    <x:row r="45">
      <x:c r="A45" s="2"/>
      <x:c r="B45" s="2"/>
      <x:c r="C45" s="2"/>
      <x:c r="D45" s="2"/>
      <x:c r="E45" s="2"/>
      <x:c r="F45" s="2"/>
      <x:c r="G45" s="2"/>
      <x:c r="H45" s="97"/>
      <x:c r="I45" s="97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</x:row>
    <x:row r="46">
      <x:c r="A46" s="2"/>
      <x:c r="B46" s="2"/>
      <x:c r="C46" s="2"/>
      <x:c r="D46" s="2"/>
      <x:c r="E46" s="2"/>
      <x:c r="F46" s="2"/>
      <x:c r="G46" s="2"/>
      <x:c r="H46" s="97"/>
      <x:c r="I46" s="97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</x:row>
    <x:row r="47">
      <x:c r="A47" s="2"/>
      <x:c r="B47" s="2"/>
      <x:c r="C47" s="2"/>
      <x:c r="D47" s="2"/>
      <x:c r="E47" s="2"/>
      <x:c r="F47" s="2"/>
      <x:c r="G47" s="2"/>
      <x:c r="H47" s="97"/>
      <x:c r="I47" s="97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</x:row>
    <x:row r="48">
      <x:c r="A48" s="2"/>
      <x:c r="B48" s="2"/>
      <x:c r="C48" s="2"/>
      <x:c r="D48" s="2"/>
      <x:c r="E48" s="2"/>
      <x:c r="F48" s="2"/>
      <x:c r="G48" s="2"/>
      <x:c r="H48" s="97"/>
      <x:c r="I48" s="97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</x:row>
    <x:row r="49">
      <x:c r="A49" s="2"/>
      <x:c r="B49" s="2"/>
      <x:c r="C49" s="2"/>
      <x:c r="D49" s="2"/>
      <x:c r="E49" s="2"/>
      <x:c r="F49" s="2"/>
      <x:c r="G49" s="2"/>
      <x:c r="H49" s="97"/>
      <x:c r="I49" s="97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</x:row>
    <x:row r="50">
      <x:c r="A50" s="2"/>
      <x:c r="B50" s="2"/>
      <x:c r="C50" s="2"/>
      <x:c r="D50" s="2"/>
      <x:c r="E50" s="2"/>
      <x:c r="F50" s="2"/>
      <x:c r="G50" s="2"/>
      <x:c r="H50" s="97"/>
      <x:c r="I50" s="97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</x:row>
    <x:row r="51">
      <x:c r="A51" s="2"/>
      <x:c r="B51" s="2"/>
      <x:c r="C51" s="2"/>
      <x:c r="D51" s="2"/>
      <x:c r="E51" s="2"/>
      <x:c r="F51" s="2"/>
      <x:c r="G51" s="2"/>
      <x:c r="H51" s="97"/>
      <x:c r="I51" s="97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</x:row>
    <x:row r="52">
      <x:c r="A52" s="2"/>
      <x:c r="B52" s="2"/>
      <x:c r="C52" s="2"/>
      <x:c r="D52" s="2"/>
      <x:c r="E52" s="2"/>
      <x:c r="F52" s="2"/>
      <x:c r="G52" s="2"/>
      <x:c r="H52" s="97"/>
      <x:c r="I52" s="97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</x:row>
    <x:row r="53">
      <x:c r="A53" s="2"/>
      <x:c r="B53" s="2"/>
      <x:c r="C53" s="2"/>
      <x:c r="D53" s="2"/>
      <x:c r="E53" s="2"/>
      <x:c r="F53" s="2"/>
      <x:c r="G53" s="2"/>
      <x:c r="H53" s="97"/>
      <x:c r="I53" s="97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</x:row>
    <x:row r="54">
      <x:c r="A54" s="2"/>
      <x:c r="B54" s="2"/>
      <x:c r="C54" s="2"/>
      <x:c r="D54" s="2"/>
      <x:c r="E54" s="2"/>
      <x:c r="F54" s="2"/>
      <x:c r="G54" s="2"/>
      <x:c r="H54" s="97"/>
      <x:c r="I54" s="97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</x:row>
    <x:row r="55">
      <x:c r="A55" s="2"/>
      <x:c r="B55" s="2"/>
      <x:c r="C55" s="2"/>
      <x:c r="D55" s="2"/>
      <x:c r="E55" s="2"/>
      <x:c r="F55" s="2"/>
      <x:c r="G55" s="2"/>
      <x:c r="H55" s="97"/>
      <x:c r="I55" s="97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</x:row>
    <x:row r="56">
      <x:c r="A56" s="2"/>
      <x:c r="B56" s="2"/>
      <x:c r="C56" s="2"/>
      <x:c r="D56" s="2"/>
      <x:c r="E56" s="2"/>
      <x:c r="F56" s="2"/>
      <x:c r="G56" s="2"/>
      <x:c r="H56" s="97"/>
      <x:c r="I56" s="97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</x:row>
    <x:row r="57">
      <x:c r="A57" s="2"/>
      <x:c r="B57" s="2"/>
      <x:c r="C57" s="2"/>
      <x:c r="D57" s="2"/>
      <x:c r="E57" s="2"/>
      <x:c r="F57" s="2"/>
      <x:c r="G57" s="2"/>
      <x:c r="H57" s="97"/>
      <x:c r="I57" s="97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</x:row>
    <x:row r="58">
      <x:c r="A58" s="2"/>
      <x:c r="B58" s="2"/>
      <x:c r="C58" s="2"/>
      <x:c r="D58" s="2"/>
      <x:c r="E58" s="2"/>
      <x:c r="F58" s="2"/>
      <x:c r="G58" s="2"/>
      <x:c r="H58" s="97"/>
      <x:c r="I58" s="97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</x:row>
    <x:row r="59">
      <x:c r="A59" s="2"/>
      <x:c r="B59" s="2"/>
      <x:c r="C59" s="2"/>
      <x:c r="D59" s="2"/>
      <x:c r="E59" s="2"/>
      <x:c r="F59" s="2"/>
      <x:c r="G59" s="2"/>
      <x:c r="H59" s="97"/>
      <x:c r="I59" s="97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</x:row>
    <x:row r="60">
      <x:c r="A60" s="2"/>
      <x:c r="B60" s="2"/>
      <x:c r="C60" s="2"/>
      <x:c r="D60" s="2"/>
      <x:c r="E60" s="2"/>
      <x:c r="F60" s="2"/>
      <x:c r="G60" s="2"/>
      <x:c r="H60" s="97"/>
      <x:c r="I60" s="97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</x:row>
    <x:row r="61">
      <x:c r="A61" s="2"/>
      <x:c r="B61" s="2"/>
      <x:c r="C61" s="2"/>
      <x:c r="D61" s="2"/>
      <x:c r="E61" s="2"/>
      <x:c r="F61" s="2"/>
      <x:c r="G61" s="2"/>
      <x:c r="H61" s="97"/>
      <x:c r="I61" s="97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</x:row>
    <x:row r="62">
      <x:c r="A62" s="2"/>
      <x:c r="B62" s="2"/>
      <x:c r="C62" s="2"/>
      <x:c r="D62" s="2"/>
      <x:c r="E62" s="2"/>
      <x:c r="F62" s="2"/>
      <x:c r="G62" s="2"/>
      <x:c r="H62" s="97"/>
      <x:c r="I62" s="97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</x:row>
    <x:row r="63">
      <x:c r="A63" s="2"/>
      <x:c r="B63" s="2"/>
      <x:c r="C63" s="2"/>
      <x:c r="D63" s="2"/>
      <x:c r="E63" s="2"/>
      <x:c r="F63" s="2"/>
      <x:c r="G63" s="2"/>
      <x:c r="H63" s="97"/>
      <x:c r="I63" s="97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</x:row>
    <x:row r="64">
      <x:c r="A64" s="2"/>
      <x:c r="B64" s="2"/>
      <x:c r="C64" s="2"/>
      <x:c r="D64" s="2"/>
      <x:c r="E64" s="2"/>
      <x:c r="F64" s="2"/>
      <x:c r="G64" s="2"/>
      <x:c r="H64" s="97"/>
      <x:c r="I64" s="97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</x:row>
    <x:row r="65">
      <x:c r="A65" s="2"/>
      <x:c r="B65" s="2"/>
      <x:c r="C65" s="2"/>
      <x:c r="D65" s="2"/>
      <x:c r="E65" s="2"/>
      <x:c r="F65" s="2"/>
      <x:c r="G65" s="2"/>
      <x:c r="H65" s="97"/>
      <x:c r="I65" s="97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</x:row>
    <x:row r="66">
      <x:c r="A66" s="2"/>
      <x:c r="B66" s="2"/>
      <x:c r="C66" s="2"/>
      <x:c r="D66" s="2"/>
      <x:c r="E66" s="2"/>
      <x:c r="F66" s="2"/>
      <x:c r="G66" s="2"/>
      <x:c r="H66" s="97"/>
      <x:c r="I66" s="97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</x:row>
    <x:row r="67">
      <x:c r="A67" s="2"/>
      <x:c r="B67" s="2"/>
      <x:c r="C67" s="2"/>
      <x:c r="D67" s="2"/>
      <x:c r="E67" s="2"/>
      <x:c r="F67" s="2"/>
      <x:c r="G67" s="2"/>
      <x:c r="H67" s="97"/>
      <x:c r="I67" s="97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</x:row>
    <x:row r="68">
      <x:c r="A68" s="2"/>
      <x:c r="B68" s="2"/>
      <x:c r="C68" s="2"/>
      <x:c r="D68" s="2"/>
      <x:c r="E68" s="2"/>
      <x:c r="F68" s="2"/>
      <x:c r="G68" s="2"/>
      <x:c r="H68" s="97"/>
      <x:c r="I68" s="97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</x:row>
    <x:row r="69">
      <x:c r="A69" s="2"/>
      <x:c r="B69" s="2"/>
      <x:c r="C69" s="2"/>
      <x:c r="D69" s="2"/>
      <x:c r="E69" s="2"/>
      <x:c r="F69" s="2"/>
      <x:c r="G69" s="2"/>
      <x:c r="H69" s="97"/>
      <x:c r="I69" s="97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</x:row>
    <x:row r="70">
      <x:c r="A70" s="2"/>
      <x:c r="B70" s="2"/>
      <x:c r="C70" s="2"/>
      <x:c r="D70" s="2"/>
      <x:c r="E70" s="2"/>
      <x:c r="F70" s="2"/>
      <x:c r="G70" s="2"/>
      <x:c r="H70" s="97"/>
      <x:c r="I70" s="97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</x:row>
    <x:row r="71">
      <x:c r="A71" s="2"/>
      <x:c r="B71" s="2"/>
      <x:c r="C71" s="2"/>
      <x:c r="D71" s="2"/>
      <x:c r="E71" s="2"/>
      <x:c r="F71" s="2"/>
      <x:c r="G71" s="2"/>
      <x:c r="H71" s="97"/>
      <x:c r="I71" s="97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</x:row>
    <x:row r="72">
      <x:c r="A72" s="2"/>
      <x:c r="B72" s="2"/>
      <x:c r="C72" s="2"/>
      <x:c r="D72" s="2"/>
      <x:c r="E72" s="2"/>
      <x:c r="F72" s="2"/>
      <x:c r="G72" s="2"/>
      <x:c r="H72" s="97"/>
      <x:c r="I72" s="97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</x:row>
    <x:row r="73">
      <x:c r="A73" s="2"/>
      <x:c r="B73" s="2"/>
      <x:c r="C73" s="2"/>
      <x:c r="D73" s="2"/>
      <x:c r="E73" s="2"/>
      <x:c r="F73" s="2"/>
      <x:c r="G73" s="2"/>
      <x:c r="H73" s="97"/>
      <x:c r="I73" s="97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</x:row>
    <x:row r="74">
      <x:c r="A74" s="2"/>
      <x:c r="B74" s="2"/>
      <x:c r="C74" s="2"/>
      <x:c r="D74" s="2"/>
      <x:c r="E74" s="2"/>
      <x:c r="F74" s="2"/>
      <x:c r="G74" s="2"/>
      <x:c r="H74" s="97"/>
      <x:c r="I74" s="97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</x:row>
    <x:row r="75">
      <x:c r="A75" s="2"/>
      <x:c r="B75" s="2"/>
      <x:c r="C75" s="2"/>
      <x:c r="D75" s="2"/>
      <x:c r="E75" s="2"/>
      <x:c r="F75" s="2"/>
      <x:c r="G75" s="2"/>
      <x:c r="H75" s="97"/>
      <x:c r="I75" s="97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</x:row>
    <x:row r="76">
      <x:c r="A76" s="2"/>
      <x:c r="B76" s="2"/>
      <x:c r="C76" s="2"/>
      <x:c r="D76" s="2"/>
      <x:c r="E76" s="2"/>
      <x:c r="F76" s="2"/>
      <x:c r="G76" s="2"/>
      <x:c r="H76" s="97"/>
      <x:c r="I76" s="97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</x:row>
    <x:row r="77">
      <x:c r="A77" s="2"/>
      <x:c r="B77" s="2"/>
      <x:c r="C77" s="2"/>
      <x:c r="D77" s="2"/>
      <x:c r="E77" s="2"/>
      <x:c r="F77" s="2"/>
      <x:c r="G77" s="2"/>
      <x:c r="H77" s="97"/>
      <x:c r="I77" s="97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</x:row>
    <x:row r="78">
      <x:c r="A78" s="2"/>
      <x:c r="B78" s="2"/>
      <x:c r="C78" s="2"/>
      <x:c r="D78" s="2"/>
      <x:c r="E78" s="2"/>
      <x:c r="F78" s="2"/>
      <x:c r="G78" s="2"/>
      <x:c r="H78" s="97"/>
      <x:c r="I78" s="97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</x:row>
    <x:row r="79">
      <x:c r="A79" s="2"/>
      <x:c r="B79" s="2"/>
      <x:c r="C79" s="2"/>
      <x:c r="D79" s="2"/>
      <x:c r="E79" s="2"/>
      <x:c r="F79" s="2"/>
      <x:c r="G79" s="2"/>
      <x:c r="H79" s="97"/>
      <x:c r="I79" s="97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</x:row>
    <x:row r="80">
      <x:c r="A80" s="2"/>
      <x:c r="B80" s="2"/>
      <x:c r="C80" s="2"/>
      <x:c r="D80" s="2"/>
      <x:c r="E80" s="2"/>
      <x:c r="F80" s="2"/>
      <x:c r="G80" s="2"/>
      <x:c r="H80" s="97"/>
      <x:c r="I80" s="97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</x:row>
    <x:row r="81">
      <x:c r="A81" s="2"/>
      <x:c r="B81" s="2"/>
      <x:c r="C81" s="2"/>
      <x:c r="D81" s="2"/>
      <x:c r="E81" s="2"/>
      <x:c r="F81" s="2"/>
      <x:c r="G81" s="2"/>
      <x:c r="H81" s="97"/>
      <x:c r="I81" s="97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</x:row>
    <x:row r="82">
      <x:c r="A82" s="2"/>
      <x:c r="B82" s="2"/>
      <x:c r="C82" s="2"/>
      <x:c r="D82" s="2"/>
      <x:c r="E82" s="2"/>
      <x:c r="F82" s="2"/>
      <x:c r="G82" s="2"/>
      <x:c r="H82" s="97"/>
      <x:c r="I82" s="97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</x:row>
    <x:row r="83">
      <x:c r="A83" s="2"/>
      <x:c r="B83" s="2"/>
      <x:c r="C83" s="2"/>
      <x:c r="D83" s="2"/>
      <x:c r="E83" s="2"/>
      <x:c r="F83" s="2"/>
      <x:c r="G83" s="2"/>
      <x:c r="H83" s="97"/>
      <x:c r="I83" s="97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</x:row>
    <x:row r="84">
      <x:c r="A84" s="2"/>
      <x:c r="B84" s="2"/>
      <x:c r="C84" s="2"/>
      <x:c r="D84" s="2"/>
      <x:c r="E84" s="2"/>
      <x:c r="F84" s="2"/>
      <x:c r="G84" s="2"/>
      <x:c r="H84" s="97"/>
      <x:c r="I84" s="97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</x:row>
    <x:row r="85">
      <x:c r="A85" s="2"/>
      <x:c r="B85" s="2"/>
      <x:c r="C85" s="2"/>
      <x:c r="D85" s="2"/>
      <x:c r="E85" s="2"/>
      <x:c r="F85" s="2"/>
      <x:c r="G85" s="2"/>
      <x:c r="H85" s="97"/>
      <x:c r="I85" s="97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</x:row>
    <x:row r="86">
      <x:c r="A86" s="2"/>
      <x:c r="B86" s="2"/>
      <x:c r="C86" s="2"/>
      <x:c r="D86" s="2"/>
      <x:c r="E86" s="2"/>
      <x:c r="F86" s="2"/>
      <x:c r="G86" s="2"/>
      <x:c r="H86" s="97"/>
      <x:c r="I86" s="97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</x:row>
    <x:row r="87">
      <x:c r="A87" s="2"/>
      <x:c r="B87" s="2"/>
      <x:c r="C87" s="2"/>
      <x:c r="D87" s="2"/>
      <x:c r="E87" s="2"/>
      <x:c r="F87" s="2"/>
      <x:c r="G87" s="2"/>
      <x:c r="H87" s="97"/>
      <x:c r="I87" s="97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</x:row>
    <x:row r="88">
      <x:c r="A88" s="2"/>
      <x:c r="B88" s="2"/>
      <x:c r="C88" s="2"/>
      <x:c r="D88" s="2"/>
      <x:c r="E88" s="2"/>
      <x:c r="F88" s="2"/>
      <x:c r="G88" s="2"/>
      <x:c r="H88" s="97"/>
      <x:c r="I88" s="97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</x:row>
    <x:row r="89">
      <x:c r="A89" s="2"/>
      <x:c r="B89" s="2"/>
      <x:c r="C89" s="2"/>
      <x:c r="D89" s="2"/>
      <x:c r="E89" s="2"/>
      <x:c r="F89" s="2"/>
      <x:c r="G89" s="2"/>
      <x:c r="H89" s="97"/>
      <x:c r="I89" s="97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</x:row>
    <x:row r="90">
      <x:c r="A90" s="2"/>
      <x:c r="B90" s="2"/>
      <x:c r="C90" s="2"/>
      <x:c r="D90" s="2"/>
      <x:c r="E90" s="2"/>
      <x:c r="F90" s="2"/>
      <x:c r="G90" s="2"/>
      <x:c r="H90" s="97"/>
      <x:c r="I90" s="97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</x:row>
    <x:row r="91">
      <x:c r="A91" s="2"/>
      <x:c r="B91" s="2"/>
      <x:c r="C91" s="2"/>
      <x:c r="D91" s="2"/>
      <x:c r="E91" s="2"/>
      <x:c r="F91" s="2"/>
      <x:c r="G91" s="2"/>
      <x:c r="H91" s="97"/>
      <x:c r="I91" s="97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</x:row>
    <x:row r="92">
      <x:c r="A92" s="2"/>
      <x:c r="B92" s="2"/>
      <x:c r="C92" s="2"/>
      <x:c r="D92" s="2"/>
      <x:c r="E92" s="2"/>
      <x:c r="F92" s="2"/>
      <x:c r="G92" s="2"/>
      <x:c r="H92" s="97"/>
      <x:c r="I92" s="97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</x:row>
    <x:row r="93">
      <x:c r="A93" s="2"/>
      <x:c r="B93" s="2"/>
      <x:c r="C93" s="2"/>
      <x:c r="D93" s="2"/>
      <x:c r="E93" s="2"/>
      <x:c r="F93" s="2"/>
      <x:c r="G93" s="2"/>
      <x:c r="H93" s="97"/>
      <x:c r="I93" s="97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</x:row>
    <x:row r="94">
      <x:c r="A94" s="2"/>
      <x:c r="B94" s="2"/>
      <x:c r="C94" s="2"/>
      <x:c r="D94" s="2"/>
      <x:c r="E94" s="2"/>
      <x:c r="F94" s="2"/>
      <x:c r="G94" s="2"/>
      <x:c r="H94" s="97"/>
      <x:c r="I94" s="97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</x:row>
    <x:row r="95">
      <x:c r="A95" s="2"/>
      <x:c r="B95" s="2"/>
      <x:c r="C95" s="2"/>
      <x:c r="D95" s="2"/>
      <x:c r="E95" s="2"/>
      <x:c r="F95" s="2"/>
      <x:c r="G95" s="2"/>
      <x:c r="H95" s="97"/>
      <x:c r="I95" s="97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</x:row>
    <x:row r="96">
      <x:c r="A96" s="2"/>
      <x:c r="B96" s="2"/>
      <x:c r="C96" s="2"/>
      <x:c r="D96" s="2"/>
      <x:c r="E96" s="2"/>
      <x:c r="F96" s="2"/>
      <x:c r="G96" s="2"/>
      <x:c r="H96" s="97"/>
      <x:c r="I96" s="97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</x:row>
    <x:row r="97">
      <x:c r="A97" s="2"/>
      <x:c r="B97" s="2"/>
      <x:c r="C97" s="2"/>
      <x:c r="D97" s="2"/>
      <x:c r="E97" s="2"/>
      <x:c r="F97" s="2"/>
      <x:c r="G97" s="2"/>
      <x:c r="H97" s="97"/>
      <x:c r="I97" s="97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</x:row>
    <x:row r="98">
      <x:c r="A98" s="2"/>
      <x:c r="B98" s="2"/>
      <x:c r="C98" s="2"/>
      <x:c r="D98" s="2"/>
      <x:c r="E98" s="2"/>
      <x:c r="F98" s="2"/>
      <x:c r="G98" s="2"/>
      <x:c r="H98" s="97"/>
      <x:c r="I98" s="97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</x:row>
    <x:row r="99">
      <x:c r="A99" s="2"/>
      <x:c r="B99" s="2"/>
      <x:c r="C99" s="2"/>
      <x:c r="D99" s="2"/>
      <x:c r="E99" s="2"/>
      <x:c r="F99" s="2"/>
      <x:c r="G99" s="2"/>
      <x:c r="H99" s="97"/>
      <x:c r="I99" s="97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</x:row>
    <x:row r="100">
      <x:c r="A100" s="2"/>
      <x:c r="B100" s="2"/>
      <x:c r="C100" s="2"/>
      <x:c r="D100" s="2"/>
      <x:c r="E100" s="2"/>
      <x:c r="F100" s="2"/>
      <x:c r="G100" s="2"/>
      <x:c r="H100" s="97"/>
      <x:c r="I100" s="97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</x:row>
    <x:row r="101">
      <x:c r="A101" s="2"/>
      <x:c r="B101" s="2"/>
      <x:c r="C101" s="2"/>
      <x:c r="D101" s="2"/>
      <x:c r="E101" s="2"/>
      <x:c r="F101" s="2"/>
      <x:c r="G101" s="2"/>
      <x:c r="H101" s="97"/>
      <x:c r="I101" s="97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</x:row>
    <x:row r="102">
      <x:c r="A102" s="2"/>
      <x:c r="B102" s="2"/>
      <x:c r="C102" s="2"/>
      <x:c r="D102" s="2"/>
      <x:c r="E102" s="2"/>
      <x:c r="F102" s="2"/>
      <x:c r="G102" s="2"/>
      <x:c r="H102" s="97"/>
      <x:c r="I102" s="97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</x:row>
    <x:row r="103">
      <x:c r="A103" s="2"/>
      <x:c r="B103" s="2"/>
      <x:c r="C103" s="2"/>
      <x:c r="D103" s="2"/>
      <x:c r="E103" s="2"/>
      <x:c r="F103" s="2"/>
      <x:c r="G103" s="2"/>
      <x:c r="H103" s="97"/>
      <x:c r="I103" s="97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</x:row>
    <x:row r="104">
      <x:c r="A104" s="2"/>
      <x:c r="B104" s="2"/>
      <x:c r="C104" s="2"/>
      <x:c r="D104" s="2"/>
      <x:c r="E104" s="2"/>
      <x:c r="F104" s="2"/>
      <x:c r="G104" s="2"/>
      <x:c r="H104" s="97"/>
      <x:c r="I104" s="97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</x:row>
    <x:row r="105">
      <x:c r="A105" s="2"/>
      <x:c r="B105" s="2"/>
      <x:c r="C105" s="2"/>
      <x:c r="D105" s="2"/>
      <x:c r="E105" s="2"/>
      <x:c r="F105" s="2"/>
      <x:c r="G105" s="2"/>
      <x:c r="H105" s="97"/>
      <x:c r="I105" s="97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</x:row>
    <x:row r="106">
      <x:c r="A106" s="2"/>
      <x:c r="B106" s="2"/>
      <x:c r="C106" s="2"/>
      <x:c r="D106" s="2"/>
      <x:c r="E106" s="2"/>
      <x:c r="F106" s="2"/>
      <x:c r="G106" s="2"/>
      <x:c r="H106" s="97"/>
      <x:c r="I106" s="97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</x:row>
    <x:row r="107">
      <x:c r="A107" s="2"/>
      <x:c r="B107" s="2"/>
      <x:c r="C107" s="2"/>
      <x:c r="D107" s="2"/>
      <x:c r="E107" s="2"/>
      <x:c r="F107" s="2"/>
      <x:c r="G107" s="2"/>
      <x:c r="H107" s="97"/>
      <x:c r="I107" s="97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</x:row>
    <x:row r="108">
      <x:c r="A108" s="2"/>
      <x:c r="B108" s="2"/>
      <x:c r="C108" s="2"/>
      <x:c r="D108" s="2"/>
      <x:c r="E108" s="2"/>
      <x:c r="F108" s="2"/>
      <x:c r="G108" s="2"/>
      <x:c r="H108" s="97"/>
      <x:c r="I108" s="97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</x:row>
    <x:row r="109">
      <x:c r="A109" s="2"/>
      <x:c r="B109" s="2"/>
      <x:c r="C109" s="2"/>
      <x:c r="D109" s="2"/>
      <x:c r="E109" s="2"/>
      <x:c r="F109" s="2"/>
      <x:c r="G109" s="2"/>
      <x:c r="H109" s="97"/>
      <x:c r="I109" s="97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</x:row>
    <x:row r="110">
      <x:c r="A110" s="2"/>
      <x:c r="B110" s="2"/>
      <x:c r="C110" s="2"/>
      <x:c r="D110" s="2"/>
      <x:c r="E110" s="2"/>
      <x:c r="F110" s="2"/>
      <x:c r="G110" s="2"/>
      <x:c r="H110" s="97"/>
      <x:c r="I110" s="97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</x:row>
    <x:row r="111">
      <x:c r="A111" s="2"/>
      <x:c r="B111" s="2"/>
      <x:c r="C111" s="2"/>
      <x:c r="D111" s="2"/>
      <x:c r="E111" s="2"/>
      <x:c r="F111" s="2"/>
      <x:c r="G111" s="2"/>
      <x:c r="H111" s="97"/>
      <x:c r="I111" s="97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</x:row>
    <x:row r="112">
      <x:c r="A112" s="2"/>
      <x:c r="B112" s="2"/>
      <x:c r="C112" s="2"/>
      <x:c r="D112" s="2"/>
      <x:c r="E112" s="2"/>
      <x:c r="F112" s="2"/>
      <x:c r="G112" s="2"/>
      <x:c r="H112" s="97"/>
      <x:c r="I112" s="97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</x:row>
    <x:row r="113">
      <x:c r="A113" s="2"/>
      <x:c r="B113" s="2"/>
      <x:c r="C113" s="2"/>
      <x:c r="D113" s="2"/>
      <x:c r="E113" s="2"/>
      <x:c r="F113" s="2"/>
      <x:c r="G113" s="2"/>
      <x:c r="H113" s="97"/>
      <x:c r="I113" s="97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</x:row>
    <x:row r="114">
      <x:c r="A114" s="2"/>
      <x:c r="B114" s="2"/>
      <x:c r="C114" s="2"/>
      <x:c r="D114" s="2"/>
      <x:c r="E114" s="2"/>
      <x:c r="F114" s="2"/>
      <x:c r="G114" s="2"/>
      <x:c r="H114" s="97"/>
      <x:c r="I114" s="97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</x:row>
    <x:row r="115">
      <x:c r="A115" s="2"/>
      <x:c r="B115" s="2"/>
      <x:c r="C115" s="2"/>
      <x:c r="D115" s="2"/>
      <x:c r="E115" s="2"/>
      <x:c r="F115" s="2"/>
      <x:c r="G115" s="2"/>
      <x:c r="H115" s="97"/>
      <x:c r="I115" s="97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</x:row>
    <x:row r="116">
      <x:c r="A116" s="2"/>
      <x:c r="B116" s="2"/>
      <x:c r="C116" s="2"/>
      <x:c r="D116" s="2"/>
      <x:c r="E116" s="2"/>
      <x:c r="F116" s="2"/>
      <x:c r="G116" s="2"/>
      <x:c r="H116" s="97"/>
      <x:c r="I116" s="97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</x:row>
    <x:row r="117">
      <x:c r="A117" s="2"/>
      <x:c r="B117" s="2"/>
      <x:c r="C117" s="2"/>
      <x:c r="D117" s="2"/>
      <x:c r="E117" s="2"/>
      <x:c r="F117" s="2"/>
      <x:c r="G117" s="2"/>
      <x:c r="H117" s="97"/>
      <x:c r="I117" s="97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</x:row>
    <x:row r="118">
      <x:c r="A118" s="2"/>
      <x:c r="B118" s="2"/>
      <x:c r="C118" s="2"/>
      <x:c r="D118" s="2"/>
      <x:c r="E118" s="2"/>
      <x:c r="F118" s="2"/>
      <x:c r="G118" s="2"/>
      <x:c r="H118" s="97"/>
      <x:c r="I118" s="97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</x:row>
    <x:row r="119">
      <x:c r="A119" s="2"/>
      <x:c r="B119" s="2"/>
      <x:c r="C119" s="2"/>
      <x:c r="D119" s="2"/>
      <x:c r="E119" s="2"/>
      <x:c r="F119" s="2"/>
      <x:c r="G119" s="2"/>
      <x:c r="H119" s="97"/>
      <x:c r="I119" s="97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</x:row>
    <x:row r="120">
      <x:c r="A120" s="2"/>
      <x:c r="B120" s="2"/>
      <x:c r="C120" s="2"/>
      <x:c r="D120" s="2"/>
      <x:c r="E120" s="2"/>
      <x:c r="F120" s="2"/>
      <x:c r="G120" s="2"/>
      <x:c r="H120" s="97"/>
      <x:c r="I120" s="97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</x:row>
    <x:row r="121">
      <x:c r="A121" s="2"/>
      <x:c r="B121" s="2"/>
      <x:c r="C121" s="2"/>
      <x:c r="D121" s="2"/>
      <x:c r="E121" s="2"/>
      <x:c r="F121" s="2"/>
      <x:c r="G121" s="2"/>
      <x:c r="H121" s="97"/>
      <x:c r="I121" s="97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</x:row>
    <x:row r="122">
      <x:c r="A122" s="2"/>
      <x:c r="B122" s="2"/>
      <x:c r="C122" s="2"/>
      <x:c r="D122" s="2"/>
      <x:c r="E122" s="2"/>
      <x:c r="F122" s="2"/>
      <x:c r="G122" s="2"/>
      <x:c r="H122" s="97"/>
      <x:c r="I122" s="97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</x:row>
    <x:row r="123">
      <x:c r="A123" s="2"/>
      <x:c r="B123" s="2"/>
      <x:c r="C123" s="2"/>
      <x:c r="D123" s="2"/>
      <x:c r="E123" s="2"/>
      <x:c r="F123" s="2"/>
      <x:c r="G123" s="2"/>
      <x:c r="H123" s="97"/>
      <x:c r="I123" s="97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</x:row>
    <x:row r="124">
      <x:c r="A124" s="2"/>
      <x:c r="B124" s="2"/>
      <x:c r="C124" s="2"/>
      <x:c r="D124" s="2"/>
      <x:c r="E124" s="2"/>
      <x:c r="F124" s="2"/>
      <x:c r="G124" s="2"/>
      <x:c r="H124" s="97"/>
      <x:c r="I124" s="97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</x:row>
    <x:row r="125">
      <x:c r="A125" s="2"/>
      <x:c r="B125" s="2"/>
      <x:c r="C125" s="2"/>
      <x:c r="D125" s="2"/>
      <x:c r="E125" s="2"/>
      <x:c r="F125" s="2"/>
      <x:c r="G125" s="2"/>
      <x:c r="H125" s="97"/>
      <x:c r="I125" s="97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</x:row>
    <x:row r="126">
      <x:c r="A126" s="2"/>
      <x:c r="B126" s="2"/>
      <x:c r="C126" s="2"/>
      <x:c r="D126" s="2"/>
      <x:c r="E126" s="2"/>
      <x:c r="F126" s="2"/>
      <x:c r="G126" s="2"/>
      <x:c r="H126" s="97"/>
      <x:c r="I126" s="97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</x:row>
    <x:row r="127">
      <x:c r="A127" s="2"/>
      <x:c r="B127" s="2"/>
      <x:c r="C127" s="2"/>
      <x:c r="D127" s="2"/>
      <x:c r="E127" s="2"/>
      <x:c r="F127" s="2"/>
      <x:c r="G127" s="2"/>
      <x:c r="H127" s="97"/>
      <x:c r="I127" s="97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</x:row>
    <x:row r="128">
      <x:c r="A128" s="2"/>
      <x:c r="B128" s="2"/>
      <x:c r="C128" s="2"/>
      <x:c r="D128" s="2"/>
      <x:c r="E128" s="2"/>
      <x:c r="F128" s="2"/>
      <x:c r="G128" s="2"/>
      <x:c r="H128" s="97"/>
      <x:c r="I128" s="97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</x:row>
    <x:row r="129">
      <x:c r="A129" s="2"/>
      <x:c r="B129" s="2"/>
      <x:c r="C129" s="2"/>
      <x:c r="D129" s="2"/>
      <x:c r="E129" s="2"/>
      <x:c r="F129" s="2"/>
      <x:c r="G129" s="2"/>
      <x:c r="H129" s="97"/>
      <x:c r="I129" s="97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</x:row>
    <x:row r="130">
      <x:c r="A130" s="2"/>
      <x:c r="B130" s="2"/>
      <x:c r="C130" s="2"/>
      <x:c r="D130" s="2"/>
      <x:c r="E130" s="2"/>
      <x:c r="F130" s="2"/>
      <x:c r="G130" s="2"/>
      <x:c r="H130" s="97"/>
      <x:c r="I130" s="97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</x:row>
    <x:row r="131">
      <x:c r="A131" s="2"/>
      <x:c r="B131" s="2"/>
      <x:c r="C131" s="2"/>
      <x:c r="D131" s="2"/>
      <x:c r="E131" s="2"/>
      <x:c r="F131" s="2"/>
      <x:c r="G131" s="2"/>
      <x:c r="H131" s="97"/>
      <x:c r="I131" s="97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</x:row>
    <x:row r="132">
      <x:c r="A132" s="2"/>
      <x:c r="B132" s="2"/>
      <x:c r="C132" s="2"/>
      <x:c r="D132" s="2"/>
      <x:c r="E132" s="2"/>
      <x:c r="F132" s="2"/>
      <x:c r="G132" s="2"/>
      <x:c r="H132" s="97"/>
      <x:c r="I132" s="97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</x:row>
    <x:row r="133">
      <x:c r="A133" s="2"/>
      <x:c r="B133" s="2"/>
      <x:c r="C133" s="2"/>
      <x:c r="D133" s="2"/>
      <x:c r="E133" s="2"/>
      <x:c r="F133" s="2"/>
      <x:c r="G133" s="2"/>
      <x:c r="H133" s="97"/>
      <x:c r="I133" s="97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</x:row>
    <x:row r="134">
      <x:c r="A134" s="2"/>
      <x:c r="B134" s="2"/>
      <x:c r="C134" s="2"/>
      <x:c r="D134" s="2"/>
      <x:c r="E134" s="2"/>
      <x:c r="F134" s="2"/>
      <x:c r="G134" s="2"/>
      <x:c r="H134" s="97"/>
      <x:c r="I134" s="97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</x:row>
    <x:row r="135">
      <x:c r="A135" s="2"/>
      <x:c r="B135" s="2"/>
      <x:c r="C135" s="2"/>
      <x:c r="D135" s="2"/>
      <x:c r="E135" s="2"/>
      <x:c r="F135" s="2"/>
      <x:c r="G135" s="2"/>
      <x:c r="H135" s="97"/>
      <x:c r="I135" s="97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</x:row>
    <x:row r="136">
      <x:c r="A136" s="2"/>
      <x:c r="B136" s="2"/>
      <x:c r="C136" s="2"/>
      <x:c r="D136" s="2"/>
      <x:c r="E136" s="2"/>
      <x:c r="F136" s="2"/>
      <x:c r="G136" s="2"/>
      <x:c r="H136" s="97"/>
      <x:c r="I136" s="97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</x:row>
    <x:row r="137">
      <x:c r="A137" s="2"/>
      <x:c r="B137" s="2"/>
      <x:c r="C137" s="2"/>
      <x:c r="D137" s="2"/>
      <x:c r="E137" s="2"/>
      <x:c r="F137" s="2"/>
      <x:c r="G137" s="2"/>
      <x:c r="H137" s="97"/>
      <x:c r="I137" s="97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</x:row>
    <x:row r="138">
      <x:c r="A138" s="2"/>
      <x:c r="B138" s="2"/>
      <x:c r="C138" s="2"/>
      <x:c r="D138" s="2"/>
      <x:c r="E138" s="2"/>
      <x:c r="F138" s="2"/>
      <x:c r="G138" s="2"/>
      <x:c r="H138" s="97"/>
      <x:c r="I138" s="97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</x:row>
    <x:row r="139">
      <x:c r="A139" s="2"/>
      <x:c r="B139" s="2"/>
      <x:c r="C139" s="2"/>
      <x:c r="D139" s="2"/>
      <x:c r="E139" s="2"/>
      <x:c r="F139" s="2"/>
      <x:c r="G139" s="2"/>
      <x:c r="H139" s="97"/>
      <x:c r="I139" s="97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</x:row>
    <x:row r="140">
      <x:c r="A140" s="2"/>
      <x:c r="B140" s="2"/>
      <x:c r="C140" s="2"/>
      <x:c r="D140" s="2"/>
      <x:c r="E140" s="2"/>
      <x:c r="F140" s="2"/>
      <x:c r="G140" s="2"/>
      <x:c r="H140" s="97"/>
      <x:c r="I140" s="97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</x:row>
    <x:row r="141">
      <x:c r="A141" s="2"/>
      <x:c r="B141" s="2"/>
      <x:c r="C141" s="2"/>
      <x:c r="D141" s="2"/>
      <x:c r="E141" s="2"/>
      <x:c r="F141" s="2"/>
      <x:c r="G141" s="2"/>
      <x:c r="H141" s="97"/>
      <x:c r="I141" s="97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</x:row>
    <x:row r="142">
      <x:c r="A142" s="2"/>
      <x:c r="B142" s="2"/>
      <x:c r="C142" s="2"/>
      <x:c r="D142" s="2"/>
      <x:c r="E142" s="2"/>
      <x:c r="F142" s="2"/>
      <x:c r="G142" s="2"/>
      <x:c r="H142" s="97"/>
      <x:c r="I142" s="97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</x:row>
    <x:row r="143">
      <x:c r="A143" s="2"/>
      <x:c r="B143" s="2"/>
      <x:c r="C143" s="2"/>
      <x:c r="D143" s="2"/>
      <x:c r="E143" s="2"/>
      <x:c r="F143" s="2"/>
      <x:c r="G143" s="2"/>
      <x:c r="H143" s="97"/>
      <x:c r="I143" s="97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</x:row>
    <x:row r="144">
      <x:c r="A144" s="2"/>
      <x:c r="B144" s="2"/>
      <x:c r="C144" s="2"/>
      <x:c r="D144" s="2"/>
      <x:c r="E144" s="2"/>
      <x:c r="F144" s="2"/>
      <x:c r="G144" s="2"/>
      <x:c r="H144" s="97"/>
      <x:c r="I144" s="97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</x:row>
    <x:row r="145">
      <x:c r="A145" s="2"/>
      <x:c r="B145" s="2"/>
      <x:c r="C145" s="2"/>
      <x:c r="D145" s="2"/>
      <x:c r="E145" s="2"/>
      <x:c r="F145" s="2"/>
      <x:c r="G145" s="2"/>
      <x:c r="H145" s="97"/>
      <x:c r="I145" s="97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</x:row>
    <x:row r="146">
      <x:c r="A146" s="2"/>
      <x:c r="B146" s="2"/>
      <x:c r="C146" s="2"/>
      <x:c r="D146" s="2"/>
      <x:c r="E146" s="2"/>
      <x:c r="F146" s="2"/>
      <x:c r="G146" s="2"/>
      <x:c r="H146" s="97"/>
      <x:c r="I146" s="97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</x:row>
    <x:row r="147">
      <x:c r="A147" s="2"/>
      <x:c r="B147" s="2"/>
      <x:c r="C147" s="2"/>
      <x:c r="D147" s="2"/>
      <x:c r="E147" s="2"/>
      <x:c r="F147" s="2"/>
      <x:c r="G147" s="2"/>
      <x:c r="H147" s="97"/>
      <x:c r="I147" s="97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</x:row>
    <x:row r="148">
      <x:c r="A148" s="2"/>
      <x:c r="B148" s="2"/>
      <x:c r="C148" s="2"/>
      <x:c r="D148" s="2"/>
      <x:c r="E148" s="2"/>
      <x:c r="F148" s="2"/>
      <x:c r="G148" s="2"/>
      <x:c r="H148" s="97"/>
      <x:c r="I148" s="97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</x:row>
    <x:row r="149">
      <x:c r="A149" s="2"/>
      <x:c r="B149" s="2"/>
      <x:c r="C149" s="2"/>
      <x:c r="D149" s="2"/>
      <x:c r="E149" s="2"/>
      <x:c r="F149" s="2"/>
      <x:c r="G149" s="2"/>
      <x:c r="H149" s="97"/>
      <x:c r="I149" s="97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</x:row>
    <x:row r="150">
      <x:c r="A150" s="2"/>
      <x:c r="B150" s="2"/>
      <x:c r="C150" s="2"/>
      <x:c r="D150" s="2"/>
      <x:c r="E150" s="2"/>
      <x:c r="F150" s="2"/>
      <x:c r="G150" s="2"/>
      <x:c r="H150" s="97"/>
      <x:c r="I150" s="97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</x:row>
    <x:row r="151">
      <x:c r="A151" s="2"/>
      <x:c r="B151" s="2"/>
      <x:c r="C151" s="2"/>
      <x:c r="D151" s="2"/>
      <x:c r="E151" s="2"/>
      <x:c r="F151" s="2"/>
      <x:c r="G151" s="2"/>
      <x:c r="H151" s="97"/>
      <x:c r="I151" s="97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</x:row>
    <x:row r="152">
      <x:c r="A152" s="2"/>
      <x:c r="B152" s="2"/>
      <x:c r="C152" s="2"/>
      <x:c r="D152" s="2"/>
      <x:c r="E152" s="2"/>
      <x:c r="F152" s="2"/>
      <x:c r="G152" s="2"/>
      <x:c r="H152" s="97"/>
      <x:c r="I152" s="97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</x:row>
    <x:row r="153">
      <x:c r="A153" s="2"/>
      <x:c r="B153" s="2"/>
      <x:c r="C153" s="2"/>
      <x:c r="D153" s="2"/>
      <x:c r="E153" s="2"/>
      <x:c r="F153" s="2"/>
      <x:c r="G153" s="2"/>
      <x:c r="H153" s="97"/>
      <x:c r="I153" s="97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</x:row>
    <x:row r="154">
      <x:c r="A154" s="2"/>
      <x:c r="B154" s="2"/>
      <x:c r="C154" s="2"/>
      <x:c r="D154" s="2"/>
      <x:c r="E154" s="2"/>
      <x:c r="F154" s="2"/>
      <x:c r="G154" s="2"/>
      <x:c r="H154" s="97"/>
      <x:c r="I154" s="97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</x:row>
    <x:row r="155">
      <x:c r="A155" s="2"/>
      <x:c r="B155" s="2"/>
      <x:c r="C155" s="2"/>
      <x:c r="D155" s="2"/>
      <x:c r="E155" s="2"/>
      <x:c r="F155" s="2"/>
      <x:c r="G155" s="2"/>
      <x:c r="H155" s="97"/>
      <x:c r="I155" s="97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</x:row>
    <x:row r="156">
      <x:c r="A156" s="2"/>
      <x:c r="B156" s="2"/>
      <x:c r="C156" s="2"/>
      <x:c r="D156" s="2"/>
      <x:c r="E156" s="2"/>
      <x:c r="F156" s="2"/>
      <x:c r="G156" s="2"/>
      <x:c r="H156" s="97"/>
      <x:c r="I156" s="97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</x:row>
    <x:row r="157">
      <x:c r="A157" s="2"/>
      <x:c r="B157" s="2"/>
      <x:c r="C157" s="2"/>
      <x:c r="D157" s="2"/>
      <x:c r="E157" s="2"/>
      <x:c r="F157" s="2"/>
      <x:c r="G157" s="2"/>
      <x:c r="H157" s="97"/>
      <x:c r="I157" s="97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</x:row>
    <x:row r="158">
      <x:c r="A158" s="2"/>
      <x:c r="B158" s="2"/>
      <x:c r="C158" s="2"/>
      <x:c r="D158" s="2"/>
      <x:c r="E158" s="2"/>
      <x:c r="F158" s="2"/>
      <x:c r="G158" s="2"/>
      <x:c r="H158" s="97"/>
      <x:c r="I158" s="97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</x:row>
    <x:row r="159">
      <x:c r="A159" s="2"/>
      <x:c r="B159" s="2"/>
      <x:c r="C159" s="2"/>
      <x:c r="D159" s="2"/>
      <x:c r="E159" s="2"/>
      <x:c r="F159" s="2"/>
      <x:c r="G159" s="2"/>
      <x:c r="H159" s="97"/>
      <x:c r="I159" s="97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</x:row>
    <x:row r="160">
      <x:c r="A160" s="2"/>
      <x:c r="B160" s="2"/>
      <x:c r="C160" s="2"/>
      <x:c r="D160" s="2"/>
      <x:c r="E160" s="2"/>
      <x:c r="F160" s="2"/>
      <x:c r="G160" s="2"/>
      <x:c r="H160" s="97"/>
      <x:c r="I160" s="97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</x:row>
    <x:row r="161">
      <x:c r="A161" s="2"/>
      <x:c r="B161" s="2"/>
      <x:c r="C161" s="2"/>
      <x:c r="D161" s="2"/>
      <x:c r="E161" s="2"/>
      <x:c r="F161" s="2"/>
      <x:c r="G161" s="2"/>
      <x:c r="H161" s="97"/>
      <x:c r="I161" s="97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</x:row>
    <x:row r="162">
      <x:c r="A162" s="2"/>
      <x:c r="B162" s="2"/>
      <x:c r="C162" s="2"/>
      <x:c r="D162" s="2"/>
      <x:c r="E162" s="2"/>
      <x:c r="F162" s="2"/>
      <x:c r="G162" s="2"/>
      <x:c r="H162" s="97"/>
      <x:c r="I162" s="97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</x:row>
    <x:row r="163">
      <x:c r="A163" s="2"/>
      <x:c r="B163" s="2"/>
      <x:c r="C163" s="2"/>
      <x:c r="D163" s="2"/>
      <x:c r="E163" s="2"/>
      <x:c r="F163" s="2"/>
      <x:c r="G163" s="2"/>
      <x:c r="H163" s="97"/>
      <x:c r="I163" s="97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</x:row>
    <x:row r="164">
      <x:c r="A164" s="2"/>
      <x:c r="B164" s="2"/>
      <x:c r="C164" s="2"/>
      <x:c r="D164" s="2"/>
      <x:c r="E164" s="2"/>
      <x:c r="F164" s="2"/>
      <x:c r="G164" s="2"/>
      <x:c r="H164" s="97"/>
      <x:c r="I164" s="97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</x:row>
    <x:row r="165">
      <x:c r="A165" s="2"/>
      <x:c r="B165" s="2"/>
      <x:c r="C165" s="2"/>
      <x:c r="D165" s="2"/>
      <x:c r="E165" s="2"/>
      <x:c r="F165" s="2"/>
      <x:c r="G165" s="2"/>
      <x:c r="H165" s="97"/>
      <x:c r="I165" s="97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</x:row>
    <x:row r="166">
      <x:c r="A166" s="2"/>
      <x:c r="B166" s="2"/>
      <x:c r="C166" s="2"/>
      <x:c r="D166" s="2"/>
      <x:c r="E166" s="2"/>
      <x:c r="F166" s="2"/>
      <x:c r="G166" s="2"/>
      <x:c r="H166" s="97"/>
      <x:c r="I166" s="97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</x:row>
    <x:row r="167">
      <x:c r="A167" s="2"/>
      <x:c r="B167" s="2"/>
      <x:c r="C167" s="2"/>
      <x:c r="D167" s="2"/>
      <x:c r="E167" s="2"/>
      <x:c r="F167" s="2"/>
      <x:c r="G167" s="2"/>
      <x:c r="H167" s="97"/>
      <x:c r="I167" s="97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</x:row>
    <x:row r="168">
      <x:c r="A168" s="2"/>
      <x:c r="B168" s="2"/>
      <x:c r="C168" s="2"/>
      <x:c r="D168" s="2"/>
      <x:c r="E168" s="2"/>
      <x:c r="F168" s="2"/>
      <x:c r="G168" s="2"/>
      <x:c r="H168" s="97"/>
      <x:c r="I168" s="97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</x:row>
    <x:row r="169">
      <x:c r="A169" s="2"/>
      <x:c r="B169" s="2"/>
      <x:c r="C169" s="2"/>
      <x:c r="D169" s="2"/>
      <x:c r="E169" s="2"/>
      <x:c r="F169" s="2"/>
      <x:c r="G169" s="2"/>
      <x:c r="H169" s="97"/>
      <x:c r="I169" s="97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</x:row>
    <x:row r="170">
      <x:c r="A170" s="2"/>
      <x:c r="B170" s="2"/>
      <x:c r="C170" s="2"/>
      <x:c r="D170" s="2"/>
      <x:c r="E170" s="2"/>
      <x:c r="F170" s="2"/>
      <x:c r="G170" s="2"/>
      <x:c r="H170" s="97"/>
      <x:c r="I170" s="97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</x:row>
    <x:row r="171">
      <x:c r="A171" s="2"/>
      <x:c r="B171" s="2"/>
      <x:c r="C171" s="2"/>
      <x:c r="D171" s="2"/>
      <x:c r="E171" s="2"/>
      <x:c r="F171" s="2"/>
      <x:c r="G171" s="2"/>
      <x:c r="H171" s="97"/>
      <x:c r="I171" s="97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</x:row>
    <x:row r="172">
      <x:c r="A172" s="2"/>
      <x:c r="B172" s="2"/>
      <x:c r="C172" s="2"/>
      <x:c r="D172" s="2"/>
      <x:c r="E172" s="2"/>
      <x:c r="F172" s="2"/>
      <x:c r="G172" s="2"/>
      <x:c r="H172" s="97"/>
      <x:c r="I172" s="97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</x:row>
    <x:row r="173">
      <x:c r="A173" s="2"/>
      <x:c r="B173" s="2"/>
      <x:c r="C173" s="2"/>
      <x:c r="D173" s="2"/>
      <x:c r="E173" s="2"/>
      <x:c r="F173" s="2"/>
      <x:c r="G173" s="2"/>
      <x:c r="H173" s="97"/>
      <x:c r="I173" s="97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</x:row>
    <x:row r="174">
      <x:c r="A174" s="2"/>
      <x:c r="B174" s="2"/>
      <x:c r="C174" s="2"/>
      <x:c r="D174" s="2"/>
      <x:c r="E174" s="2"/>
      <x:c r="F174" s="2"/>
      <x:c r="G174" s="2"/>
      <x:c r="H174" s="97"/>
      <x:c r="I174" s="97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</x:row>
    <x:row r="175">
      <x:c r="A175" s="2"/>
      <x:c r="B175" s="2"/>
      <x:c r="C175" s="2"/>
      <x:c r="D175" s="2"/>
      <x:c r="E175" s="2"/>
      <x:c r="F175" s="2"/>
      <x:c r="G175" s="2"/>
      <x:c r="H175" s="97"/>
      <x:c r="I175" s="97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</x:row>
    <x:row r="176">
      <x:c r="A176" s="2"/>
      <x:c r="B176" s="2"/>
      <x:c r="C176" s="2"/>
      <x:c r="D176" s="2"/>
      <x:c r="E176" s="2"/>
      <x:c r="F176" s="2"/>
      <x:c r="G176" s="2"/>
      <x:c r="H176" s="97"/>
      <x:c r="I176" s="97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</x:row>
    <x:row r="177">
      <x:c r="A177" s="2"/>
      <x:c r="B177" s="2"/>
      <x:c r="C177" s="2"/>
      <x:c r="D177" s="2"/>
      <x:c r="E177" s="2"/>
      <x:c r="F177" s="2"/>
      <x:c r="G177" s="2"/>
      <x:c r="H177" s="97"/>
      <x:c r="I177" s="97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</x:row>
    <x:row r="178">
      <x:c r="A178" s="2"/>
      <x:c r="B178" s="2"/>
      <x:c r="C178" s="2"/>
      <x:c r="D178" s="2"/>
      <x:c r="E178" s="2"/>
      <x:c r="F178" s="2"/>
      <x:c r="G178" s="2"/>
      <x:c r="H178" s="97"/>
      <x:c r="I178" s="97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</x:row>
    <x:row r="179">
      <x:c r="A179" s="2"/>
      <x:c r="B179" s="2"/>
      <x:c r="C179" s="2"/>
      <x:c r="D179" s="2"/>
      <x:c r="E179" s="2"/>
      <x:c r="F179" s="2"/>
      <x:c r="G179" s="2"/>
      <x:c r="H179" s="97"/>
      <x:c r="I179" s="97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</x:row>
    <x:row r="180">
      <x:c r="A180" s="2"/>
      <x:c r="B180" s="2"/>
      <x:c r="C180" s="2"/>
      <x:c r="D180" s="2"/>
      <x:c r="E180" s="2"/>
      <x:c r="F180" s="2"/>
      <x:c r="G180" s="2"/>
      <x:c r="H180" s="97"/>
      <x:c r="I180" s="97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</x:row>
    <x:row r="181">
      <x:c r="A181" s="2"/>
      <x:c r="B181" s="2"/>
      <x:c r="C181" s="2"/>
      <x:c r="D181" s="2"/>
      <x:c r="E181" s="2"/>
      <x:c r="F181" s="2"/>
      <x:c r="G181" s="2"/>
      <x:c r="H181" s="97"/>
      <x:c r="I181" s="97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</x:row>
    <x:row r="182">
      <x:c r="A182" s="2"/>
      <x:c r="B182" s="2"/>
      <x:c r="C182" s="2"/>
      <x:c r="D182" s="2"/>
      <x:c r="E182" s="2"/>
      <x:c r="F182" s="2"/>
      <x:c r="G182" s="2"/>
      <x:c r="H182" s="97"/>
      <x:c r="I182" s="97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</x:row>
    <x:row r="183">
      <x:c r="A183" s="2"/>
      <x:c r="B183" s="2"/>
      <x:c r="C183" s="2"/>
      <x:c r="D183" s="2"/>
      <x:c r="E183" s="2"/>
      <x:c r="F183" s="2"/>
      <x:c r="G183" s="2"/>
      <x:c r="H183" s="97"/>
      <x:c r="I183" s="97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</x:row>
    <x:row r="184">
      <x:c r="A184" s="2"/>
      <x:c r="B184" s="2"/>
      <x:c r="C184" s="2"/>
      <x:c r="D184" s="2"/>
      <x:c r="E184" s="2"/>
      <x:c r="F184" s="2"/>
      <x:c r="G184" s="2"/>
      <x:c r="H184" s="97"/>
      <x:c r="I184" s="97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</x:row>
    <x:row r="185">
      <x:c r="A185" s="2"/>
      <x:c r="B185" s="2"/>
      <x:c r="C185" s="2"/>
      <x:c r="D185" s="2"/>
      <x:c r="E185" s="2"/>
      <x:c r="F185" s="2"/>
      <x:c r="G185" s="2"/>
      <x:c r="H185" s="97"/>
      <x:c r="I185" s="97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</x:row>
    <x:row r="186">
      <x:c r="A186" s="2"/>
      <x:c r="B186" s="2"/>
      <x:c r="C186" s="2"/>
      <x:c r="D186" s="2"/>
      <x:c r="E186" s="2"/>
      <x:c r="F186" s="2"/>
      <x:c r="G186" s="2"/>
      <x:c r="H186" s="97"/>
      <x:c r="I186" s="97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</x:row>
    <x:row r="187">
      <x:c r="A187" s="2"/>
      <x:c r="B187" s="2"/>
      <x:c r="C187" s="2"/>
      <x:c r="D187" s="2"/>
      <x:c r="E187" s="2"/>
      <x:c r="F187" s="2"/>
      <x:c r="G187" s="2"/>
      <x:c r="H187" s="97"/>
      <x:c r="I187" s="97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</x:row>
    <x:row r="188">
      <x:c r="A188" s="2"/>
      <x:c r="B188" s="2"/>
      <x:c r="C188" s="2"/>
      <x:c r="D188" s="2"/>
      <x:c r="E188" s="2"/>
      <x:c r="F188" s="2"/>
      <x:c r="G188" s="2"/>
      <x:c r="H188" s="97"/>
      <x:c r="I188" s="97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</x:row>
    <x:row r="189">
      <x:c r="A189" s="2"/>
      <x:c r="B189" s="2"/>
      <x:c r="C189" s="2"/>
      <x:c r="D189" s="2"/>
      <x:c r="E189" s="2"/>
      <x:c r="F189" s="2"/>
      <x:c r="G189" s="2"/>
      <x:c r="H189" s="97"/>
      <x:c r="I189" s="97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</x:row>
    <x:row r="190">
      <x:c r="A190" s="2"/>
      <x:c r="B190" s="2"/>
      <x:c r="C190" s="2"/>
      <x:c r="D190" s="2"/>
      <x:c r="E190" s="2"/>
      <x:c r="F190" s="2"/>
      <x:c r="G190" s="2"/>
      <x:c r="H190" s="97"/>
      <x:c r="I190" s="97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</x:row>
    <x:row r="191">
      <x:c r="A191" s="2"/>
      <x:c r="B191" s="2"/>
      <x:c r="C191" s="2"/>
      <x:c r="D191" s="2"/>
      <x:c r="E191" s="2"/>
      <x:c r="F191" s="2"/>
      <x:c r="G191" s="2"/>
      <x:c r="H191" s="97"/>
      <x:c r="I191" s="97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</x:row>
    <x:row r="192">
      <x:c r="A192" s="2"/>
      <x:c r="B192" s="2"/>
      <x:c r="C192" s="2"/>
      <x:c r="D192" s="2"/>
      <x:c r="E192" s="2"/>
      <x:c r="F192" s="2"/>
      <x:c r="G192" s="2"/>
      <x:c r="H192" s="97"/>
      <x:c r="I192" s="97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</x:row>
    <x:row r="193">
      <x:c r="A193" s="2"/>
      <x:c r="B193" s="2"/>
      <x:c r="C193" s="2"/>
      <x:c r="D193" s="2"/>
      <x:c r="E193" s="2"/>
      <x:c r="F193" s="2"/>
      <x:c r="G193" s="2"/>
      <x:c r="H193" s="97"/>
      <x:c r="I193" s="97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</x:row>
    <x:row r="194">
      <x:c r="A194" s="2"/>
      <x:c r="B194" s="2"/>
      <x:c r="C194" s="2"/>
      <x:c r="D194" s="2"/>
      <x:c r="E194" s="2"/>
      <x:c r="F194" s="2"/>
      <x:c r="G194" s="2"/>
      <x:c r="H194" s="97"/>
      <x:c r="I194" s="97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</x:row>
    <x:row r="195">
      <x:c r="A195" s="2"/>
      <x:c r="B195" s="2"/>
      <x:c r="C195" s="2"/>
      <x:c r="D195" s="2"/>
      <x:c r="E195" s="2"/>
      <x:c r="F195" s="2"/>
      <x:c r="G195" s="2"/>
      <x:c r="H195" s="97"/>
      <x:c r="I195" s="97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</x:row>
    <x:row r="196">
      <x:c r="A196" s="2"/>
      <x:c r="B196" s="2"/>
      <x:c r="C196" s="2"/>
      <x:c r="D196" s="2"/>
      <x:c r="E196" s="2"/>
      <x:c r="F196" s="2"/>
      <x:c r="G196" s="2"/>
      <x:c r="H196" s="97"/>
      <x:c r="I196" s="97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</x:row>
    <x:row r="197">
      <x:c r="A197" s="2"/>
      <x:c r="B197" s="2"/>
      <x:c r="C197" s="2"/>
      <x:c r="D197" s="2"/>
      <x:c r="E197" s="2"/>
      <x:c r="F197" s="2"/>
      <x:c r="G197" s="2"/>
      <x:c r="H197" s="97"/>
      <x:c r="I197" s="97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</x:row>
    <x:row r="198">
      <x:c r="A198" s="2"/>
      <x:c r="B198" s="2"/>
      <x:c r="C198" s="2"/>
      <x:c r="D198" s="2"/>
      <x:c r="E198" s="2"/>
      <x:c r="F198" s="2"/>
      <x:c r="G198" s="2"/>
      <x:c r="H198" s="97"/>
      <x:c r="I198" s="97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</x:row>
    <x:row r="199">
      <x:c r="A199" s="2"/>
      <x:c r="B199" s="2"/>
      <x:c r="C199" s="2"/>
      <x:c r="D199" s="2"/>
      <x:c r="E199" s="2"/>
      <x:c r="F199" s="2"/>
      <x:c r="G199" s="2"/>
      <x:c r="H199" s="97"/>
      <x:c r="I199" s="97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</x:row>
    <x:row r="200">
      <x:c r="A200" s="2"/>
      <x:c r="B200" s="2"/>
      <x:c r="C200" s="2"/>
      <x:c r="D200" s="2"/>
      <x:c r="E200" s="2"/>
      <x:c r="F200" s="2"/>
      <x:c r="G200" s="2"/>
      <x:c r="H200" s="97"/>
      <x:c r="I200" s="97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</x:row>
    <x:row r="201">
      <x:c r="A201" s="2"/>
      <x:c r="B201" s="2"/>
      <x:c r="C201" s="2"/>
      <x:c r="D201" s="2"/>
      <x:c r="E201" s="2"/>
      <x:c r="F201" s="2"/>
      <x:c r="G201" s="2"/>
      <x:c r="H201" s="97"/>
      <x:c r="I201" s="97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</x:row>
    <x:row r="202">
      <x:c r="A202" s="2"/>
      <x:c r="B202" s="2"/>
      <x:c r="C202" s="2"/>
      <x:c r="D202" s="2"/>
      <x:c r="E202" s="2"/>
      <x:c r="F202" s="2"/>
      <x:c r="G202" s="2"/>
      <x:c r="H202" s="97"/>
      <x:c r="I202" s="97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</x:row>
    <x:row r="203">
      <x:c r="A203" s="2"/>
      <x:c r="B203" s="2"/>
      <x:c r="C203" s="2"/>
      <x:c r="D203" s="2"/>
      <x:c r="E203" s="2"/>
      <x:c r="F203" s="2"/>
      <x:c r="G203" s="2"/>
      <x:c r="H203" s="97"/>
      <x:c r="I203" s="97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</x:row>
    <x:row r="204">
      <x:c r="A204" s="2"/>
      <x:c r="B204" s="2"/>
      <x:c r="C204" s="2"/>
      <x:c r="D204" s="2"/>
      <x:c r="E204" s="2"/>
      <x:c r="F204" s="2"/>
      <x:c r="G204" s="2"/>
      <x:c r="H204" s="97"/>
      <x:c r="I204" s="97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</x:row>
    <x:row r="205">
      <x:c r="A205" s="2"/>
      <x:c r="B205" s="2"/>
      <x:c r="C205" s="2"/>
      <x:c r="D205" s="2"/>
      <x:c r="E205" s="2"/>
      <x:c r="F205" s="2"/>
      <x:c r="G205" s="2"/>
      <x:c r="H205" s="97"/>
      <x:c r="I205" s="97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</x:row>
    <x:row r="206">
      <x:c r="A206" s="2"/>
      <x:c r="B206" s="2"/>
      <x:c r="C206" s="2"/>
      <x:c r="D206" s="2"/>
      <x:c r="E206" s="2"/>
      <x:c r="F206" s="2"/>
      <x:c r="G206" s="2"/>
      <x:c r="H206" s="97"/>
      <x:c r="I206" s="97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</x:row>
    <x:row r="207">
      <x:c r="A207" s="2"/>
      <x:c r="B207" s="2"/>
      <x:c r="C207" s="2"/>
      <x:c r="D207" s="2"/>
      <x:c r="E207" s="2"/>
      <x:c r="F207" s="2"/>
      <x:c r="G207" s="2"/>
      <x:c r="H207" s="97"/>
      <x:c r="I207" s="97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</x:row>
    <x:row r="208">
      <x:c r="A208" s="2"/>
      <x:c r="B208" s="2"/>
      <x:c r="C208" s="2"/>
      <x:c r="D208" s="2"/>
      <x:c r="E208" s="2"/>
      <x:c r="F208" s="2"/>
      <x:c r="G208" s="2"/>
      <x:c r="H208" s="97"/>
      <x:c r="I208" s="97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</x:row>
    <x:row r="209">
      <x:c r="A209" s="2"/>
      <x:c r="B209" s="2"/>
      <x:c r="C209" s="2"/>
      <x:c r="D209" s="2"/>
      <x:c r="E209" s="2"/>
      <x:c r="F209" s="2"/>
      <x:c r="G209" s="2"/>
      <x:c r="H209" s="97"/>
      <x:c r="I209" s="97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</x:row>
    <x:row r="210">
      <x:c r="A210" s="2"/>
      <x:c r="B210" s="2"/>
      <x:c r="C210" s="2"/>
      <x:c r="D210" s="2"/>
      <x:c r="E210" s="2"/>
      <x:c r="F210" s="2"/>
      <x:c r="G210" s="2"/>
      <x:c r="H210" s="97"/>
      <x:c r="I210" s="97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</x:row>
    <x:row r="211">
      <x:c r="A211" s="2"/>
      <x:c r="B211" s="2"/>
      <x:c r="C211" s="2"/>
      <x:c r="D211" s="2"/>
      <x:c r="E211" s="2"/>
      <x:c r="F211" s="2"/>
      <x:c r="G211" s="2"/>
      <x:c r="H211" s="97"/>
      <x:c r="I211" s="97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</x:row>
    <x:row r="212">
      <x:c r="A212" s="2"/>
      <x:c r="B212" s="2"/>
      <x:c r="C212" s="2"/>
      <x:c r="D212" s="2"/>
      <x:c r="E212" s="2"/>
      <x:c r="F212" s="2"/>
      <x:c r="G212" s="2"/>
      <x:c r="H212" s="97"/>
      <x:c r="I212" s="97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</x:row>
    <x:row r="213">
      <x:c r="A213" s="2"/>
      <x:c r="B213" s="2"/>
      <x:c r="C213" s="2"/>
      <x:c r="D213" s="2"/>
      <x:c r="E213" s="2"/>
      <x:c r="F213" s="2"/>
      <x:c r="G213" s="2"/>
      <x:c r="H213" s="97"/>
      <x:c r="I213" s="97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</x:row>
    <x:row r="214">
      <x:c r="A214" s="2"/>
      <x:c r="B214" s="2"/>
      <x:c r="C214" s="2"/>
      <x:c r="D214" s="2"/>
      <x:c r="E214" s="2"/>
      <x:c r="F214" s="2"/>
      <x:c r="G214" s="2"/>
      <x:c r="H214" s="97"/>
      <x:c r="I214" s="97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</x:row>
    <x:row r="215">
      <x:c r="A215" s="2"/>
      <x:c r="B215" s="2"/>
      <x:c r="C215" s="2"/>
      <x:c r="D215" s="2"/>
      <x:c r="E215" s="2"/>
      <x:c r="F215" s="2"/>
      <x:c r="G215" s="2"/>
      <x:c r="H215" s="97"/>
      <x:c r="I215" s="97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</x:row>
    <x:row r="216">
      <x:c r="A216" s="2"/>
      <x:c r="B216" s="2"/>
      <x:c r="C216" s="2"/>
      <x:c r="D216" s="2"/>
      <x:c r="E216" s="2"/>
      <x:c r="F216" s="2"/>
      <x:c r="G216" s="2"/>
      <x:c r="H216" s="97"/>
      <x:c r="I216" s="97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</x:row>
    <x:row r="217">
      <x:c r="A217" s="2"/>
      <x:c r="B217" s="2"/>
      <x:c r="C217" s="2"/>
      <x:c r="D217" s="2"/>
      <x:c r="E217" s="2"/>
      <x:c r="F217" s="2"/>
      <x:c r="G217" s="2"/>
      <x:c r="H217" s="97"/>
      <x:c r="I217" s="97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</x:row>
    <x:row r="218">
      <x:c r="A218" s="2"/>
      <x:c r="B218" s="2"/>
      <x:c r="C218" s="2"/>
      <x:c r="D218" s="2"/>
      <x:c r="E218" s="2"/>
      <x:c r="F218" s="2"/>
      <x:c r="G218" s="2"/>
      <x:c r="H218" s="97"/>
      <x:c r="I218" s="97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</x:row>
    <x:row r="219">
      <x:c r="A219" s="2"/>
      <x:c r="B219" s="2"/>
      <x:c r="C219" s="2"/>
      <x:c r="D219" s="2"/>
      <x:c r="E219" s="2"/>
      <x:c r="F219" s="2"/>
      <x:c r="G219" s="2"/>
      <x:c r="H219" s="97"/>
      <x:c r="I219" s="97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</x:row>
    <x:row r="220">
      <x:c r="A220" s="2"/>
      <x:c r="B220" s="2"/>
      <x:c r="C220" s="2"/>
      <x:c r="D220" s="2"/>
      <x:c r="E220" s="2"/>
      <x:c r="F220" s="2"/>
      <x:c r="G220" s="2"/>
      <x:c r="H220" s="97"/>
      <x:c r="I220" s="97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</x:row>
    <x:row r="221">
      <x:c r="A221" s="2"/>
      <x:c r="B221" s="2"/>
      <x:c r="C221" s="2"/>
      <x:c r="D221" s="2"/>
      <x:c r="E221" s="2"/>
      <x:c r="F221" s="2"/>
      <x:c r="G221" s="2"/>
      <x:c r="H221" s="97"/>
      <x:c r="I221" s="97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</x:row>
    <x:row r="222">
      <x:c r="A222" s="2"/>
      <x:c r="B222" s="2"/>
      <x:c r="C222" s="2"/>
      <x:c r="D222" s="2"/>
      <x:c r="E222" s="2"/>
      <x:c r="F222" s="2"/>
      <x:c r="G222" s="2"/>
      <x:c r="H222" s="97"/>
      <x:c r="I222" s="97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</x:row>
    <x:row r="223">
      <x:c r="A223" s="2"/>
      <x:c r="B223" s="2"/>
      <x:c r="C223" s="2"/>
      <x:c r="D223" s="2"/>
      <x:c r="E223" s="2"/>
      <x:c r="F223" s="2"/>
      <x:c r="G223" s="2"/>
      <x:c r="H223" s="97"/>
      <x:c r="I223" s="97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</x:row>
    <x:row r="224">
      <x:c r="A224" s="2"/>
      <x:c r="B224" s="2"/>
      <x:c r="C224" s="2"/>
      <x:c r="D224" s="2"/>
      <x:c r="E224" s="2"/>
      <x:c r="F224" s="2"/>
      <x:c r="G224" s="2"/>
      <x:c r="H224" s="97"/>
      <x:c r="I224" s="97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</x:row>
    <x:row r="225">
      <x:c r="A225" s="2"/>
      <x:c r="B225" s="2"/>
      <x:c r="C225" s="2"/>
      <x:c r="D225" s="2"/>
      <x:c r="E225" s="2"/>
      <x:c r="F225" s="2"/>
      <x:c r="G225" s="2"/>
      <x:c r="H225" s="97"/>
      <x:c r="I225" s="97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</x:row>
    <x:row r="226">
      <x:c r="A226" s="2"/>
      <x:c r="B226" s="2"/>
      <x:c r="C226" s="2"/>
      <x:c r="D226" s="2"/>
      <x:c r="E226" s="2"/>
      <x:c r="F226" s="2"/>
      <x:c r="G226" s="2"/>
      <x:c r="H226" s="97"/>
      <x:c r="I226" s="97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</x:row>
    <x:row r="227">
      <x:c r="A227" s="2"/>
      <x:c r="B227" s="2"/>
      <x:c r="C227" s="2"/>
      <x:c r="D227" s="2"/>
      <x:c r="E227" s="2"/>
      <x:c r="F227" s="2"/>
      <x:c r="G227" s="2"/>
      <x:c r="H227" s="97"/>
      <x:c r="I227" s="97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</x:row>
    <x:row r="228">
      <x:c r="A228" s="2"/>
      <x:c r="B228" s="2"/>
      <x:c r="C228" s="2"/>
      <x:c r="D228" s="2"/>
      <x:c r="E228" s="2"/>
      <x:c r="F228" s="2"/>
      <x:c r="G228" s="2"/>
      <x:c r="H228" s="97"/>
      <x:c r="I228" s="97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</x:row>
    <x:row r="229">
      <x:c r="A229" s="2"/>
      <x:c r="B229" s="2"/>
      <x:c r="C229" s="2"/>
      <x:c r="D229" s="2"/>
      <x:c r="E229" s="2"/>
      <x:c r="F229" s="2"/>
      <x:c r="G229" s="2"/>
      <x:c r="H229" s="97"/>
      <x:c r="I229" s="97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</x:row>
    <x:row r="230">
      <x:c r="A230" s="2"/>
      <x:c r="B230" s="2"/>
      <x:c r="C230" s="2"/>
      <x:c r="D230" s="2"/>
      <x:c r="E230" s="2"/>
      <x:c r="F230" s="2"/>
      <x:c r="G230" s="2"/>
      <x:c r="H230" s="97"/>
      <x:c r="I230" s="97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</x:row>
    <x:row r="231">
      <x:c r="A231" s="2"/>
      <x:c r="B231" s="2"/>
      <x:c r="C231" s="2"/>
      <x:c r="D231" s="2"/>
      <x:c r="E231" s="2"/>
      <x:c r="F231" s="2"/>
      <x:c r="G231" s="2"/>
      <x:c r="H231" s="97"/>
      <x:c r="I231" s="97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</x:row>
    <x:row r="232">
      <x:c r="A232" s="2"/>
      <x:c r="B232" s="2"/>
      <x:c r="C232" s="2"/>
      <x:c r="D232" s="2"/>
      <x:c r="E232" s="2"/>
      <x:c r="F232" s="2"/>
      <x:c r="G232" s="2"/>
      <x:c r="H232" s="97"/>
      <x:c r="I232" s="97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</x:row>
    <x:row r="233">
      <x:c r="A233" s="2"/>
      <x:c r="B233" s="2"/>
      <x:c r="C233" s="2"/>
      <x:c r="D233" s="2"/>
      <x:c r="E233" s="2"/>
      <x:c r="F233" s="2"/>
      <x:c r="G233" s="2"/>
      <x:c r="H233" s="97"/>
      <x:c r="I233" s="97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</x:row>
    <x:row r="234">
      <x:c r="A234" s="2"/>
      <x:c r="B234" s="2"/>
      <x:c r="C234" s="2"/>
      <x:c r="D234" s="2"/>
      <x:c r="E234" s="2"/>
      <x:c r="F234" s="2"/>
      <x:c r="G234" s="2"/>
      <x:c r="H234" s="97"/>
      <x:c r="I234" s="97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</x:row>
    <x:row r="235">
      <x:c r="A235" s="2"/>
      <x:c r="B235" s="2"/>
      <x:c r="C235" s="2"/>
      <x:c r="D235" s="2"/>
      <x:c r="E235" s="2"/>
      <x:c r="F235" s="2"/>
      <x:c r="G235" s="2"/>
      <x:c r="H235" s="97"/>
      <x:c r="I235" s="97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</x:row>
    <x:row r="236">
      <x:c r="A236" s="2"/>
      <x:c r="B236" s="2"/>
      <x:c r="C236" s="2"/>
      <x:c r="D236" s="2"/>
      <x:c r="E236" s="2"/>
      <x:c r="F236" s="2"/>
      <x:c r="G236" s="2"/>
      <x:c r="H236" s="97"/>
      <x:c r="I236" s="97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</x:row>
    <x:row r="237">
      <x:c r="A237" s="2"/>
      <x:c r="B237" s="2"/>
      <x:c r="C237" s="2"/>
      <x:c r="D237" s="2"/>
      <x:c r="E237" s="2"/>
      <x:c r="F237" s="2"/>
      <x:c r="G237" s="2"/>
      <x:c r="H237" s="97"/>
      <x:c r="I237" s="97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</x:row>
    <x:row r="238">
      <x:c r="A238" s="2"/>
      <x:c r="B238" s="2"/>
      <x:c r="C238" s="2"/>
      <x:c r="D238" s="2"/>
      <x:c r="E238" s="2"/>
      <x:c r="F238" s="2"/>
      <x:c r="G238" s="2"/>
      <x:c r="H238" s="97"/>
      <x:c r="I238" s="97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</x:row>
    <x:row r="239">
      <x:c r="A239" s="2"/>
      <x:c r="B239" s="2"/>
      <x:c r="C239" s="2"/>
      <x:c r="D239" s="2"/>
      <x:c r="E239" s="2"/>
      <x:c r="F239" s="2"/>
      <x:c r="G239" s="2"/>
      <x:c r="H239" s="97"/>
      <x:c r="I239" s="97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</x:row>
    <x:row r="240">
      <x:c r="A240" s="2"/>
      <x:c r="B240" s="2"/>
      <x:c r="C240" s="2"/>
      <x:c r="D240" s="2"/>
      <x:c r="E240" s="2"/>
      <x:c r="F240" s="2"/>
      <x:c r="G240" s="2"/>
      <x:c r="H240" s="97"/>
      <x:c r="I240" s="97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</x:row>
    <x:row r="241">
      <x:c r="A241" s="2"/>
      <x:c r="B241" s="2"/>
      <x:c r="C241" s="2"/>
      <x:c r="D241" s="2"/>
      <x:c r="E241" s="2"/>
      <x:c r="F241" s="2"/>
      <x:c r="G241" s="2"/>
      <x:c r="H241" s="97"/>
      <x:c r="I241" s="97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</x:row>
    <x:row r="242">
      <x:c r="A242" s="2"/>
      <x:c r="B242" s="2"/>
      <x:c r="C242" s="2"/>
      <x:c r="D242" s="2"/>
      <x:c r="E242" s="2"/>
      <x:c r="F242" s="2"/>
      <x:c r="G242" s="2"/>
      <x:c r="H242" s="97"/>
      <x:c r="I242" s="97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</x:row>
    <x:row r="243">
      <x:c r="A243" s="2"/>
      <x:c r="B243" s="2"/>
      <x:c r="C243" s="2"/>
      <x:c r="D243" s="2"/>
      <x:c r="E243" s="2"/>
      <x:c r="F243" s="2"/>
      <x:c r="G243" s="2"/>
      <x:c r="H243" s="97"/>
      <x:c r="I243" s="97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</x:row>
    <x:row r="244">
      <x:c r="A244" s="2"/>
      <x:c r="B244" s="2"/>
      <x:c r="C244" s="2"/>
      <x:c r="D244" s="2"/>
      <x:c r="E244" s="2"/>
      <x:c r="F244" s="2"/>
      <x:c r="G244" s="2"/>
      <x:c r="H244" s="97"/>
      <x:c r="I244" s="97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</x:row>
    <x:row r="245">
      <x:c r="A245" s="2"/>
      <x:c r="B245" s="2"/>
      <x:c r="C245" s="2"/>
      <x:c r="D245" s="2"/>
      <x:c r="E245" s="2"/>
      <x:c r="F245" s="2"/>
      <x:c r="G245" s="2"/>
      <x:c r="H245" s="97"/>
      <x:c r="I245" s="97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</x:row>
    <x:row r="246">
      <x:c r="A246" s="2"/>
      <x:c r="B246" s="2"/>
      <x:c r="C246" s="2"/>
      <x:c r="D246" s="2"/>
      <x:c r="E246" s="2"/>
      <x:c r="F246" s="2"/>
      <x:c r="G246" s="2"/>
      <x:c r="H246" s="97"/>
      <x:c r="I246" s="97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</x:row>
    <x:row r="247">
      <x:c r="A247" s="2"/>
      <x:c r="B247" s="2"/>
      <x:c r="C247" s="2"/>
      <x:c r="D247" s="2"/>
      <x:c r="E247" s="2"/>
      <x:c r="F247" s="2"/>
      <x:c r="G247" s="2"/>
      <x:c r="H247" s="97"/>
      <x:c r="I247" s="97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</x:row>
    <x:row r="248">
      <x:c r="A248" s="2"/>
      <x:c r="B248" s="2"/>
      <x:c r="C248" s="2"/>
      <x:c r="D248" s="2"/>
      <x:c r="E248" s="2"/>
      <x:c r="F248" s="2"/>
      <x:c r="G248" s="2"/>
      <x:c r="H248" s="97"/>
      <x:c r="I248" s="97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</x:row>
    <x:row r="249">
      <x:c r="A249" s="2"/>
      <x:c r="B249" s="2"/>
      <x:c r="C249" s="2"/>
      <x:c r="D249" s="2"/>
      <x:c r="E249" s="2"/>
      <x:c r="F249" s="2"/>
      <x:c r="G249" s="2"/>
      <x:c r="H249" s="97"/>
      <x:c r="I249" s="97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</x:row>
    <x:row r="250">
      <x:c r="A250" s="2"/>
      <x:c r="B250" s="2"/>
      <x:c r="C250" s="2"/>
      <x:c r="D250" s="2"/>
      <x:c r="E250" s="2"/>
      <x:c r="F250" s="2"/>
      <x:c r="G250" s="2"/>
      <x:c r="H250" s="97"/>
      <x:c r="I250" s="97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</x:row>
    <x:row r="251">
      <x:c r="A251" s="2"/>
      <x:c r="B251" s="2"/>
      <x:c r="C251" s="2"/>
      <x:c r="D251" s="2"/>
      <x:c r="E251" s="2"/>
      <x:c r="F251" s="2"/>
      <x:c r="G251" s="2"/>
      <x:c r="H251" s="97"/>
      <x:c r="I251" s="97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</x:row>
    <x:row r="252">
      <x:c r="A252" s="2"/>
      <x:c r="B252" s="2"/>
      <x:c r="C252" s="2"/>
      <x:c r="D252" s="2"/>
      <x:c r="E252" s="2"/>
      <x:c r="F252" s="2"/>
      <x:c r="G252" s="2"/>
      <x:c r="H252" s="97"/>
      <x:c r="I252" s="97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</x:row>
    <x:row r="253">
      <x:c r="A253" s="2"/>
      <x:c r="B253" s="2"/>
      <x:c r="C253" s="2"/>
      <x:c r="D253" s="2"/>
      <x:c r="E253" s="2"/>
      <x:c r="F253" s="2"/>
      <x:c r="G253" s="2"/>
      <x:c r="H253" s="97"/>
      <x:c r="I253" s="97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</x:row>
    <x:row r="254">
      <x:c r="A254" s="2"/>
      <x:c r="B254" s="2"/>
      <x:c r="C254" s="2"/>
      <x:c r="D254" s="2"/>
      <x:c r="E254" s="2"/>
      <x:c r="F254" s="2"/>
      <x:c r="G254" s="2"/>
      <x:c r="H254" s="97"/>
      <x:c r="I254" s="97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</x:row>
    <x:row r="255">
      <x:c r="A255" s="2"/>
      <x:c r="B255" s="2"/>
      <x:c r="C255" s="2"/>
      <x:c r="D255" s="2"/>
      <x:c r="E255" s="2"/>
      <x:c r="F255" s="2"/>
      <x:c r="G255" s="2"/>
      <x:c r="H255" s="97"/>
      <x:c r="I255" s="97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</x:row>
    <x:row r="256">
      <x:c r="A256" s="2"/>
      <x:c r="B256" s="2"/>
      <x:c r="C256" s="2"/>
      <x:c r="D256" s="2"/>
      <x:c r="E256" s="2"/>
      <x:c r="F256" s="2"/>
      <x:c r="G256" s="2"/>
      <x:c r="H256" s="97"/>
      <x:c r="I256" s="97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</x:row>
    <x:row r="257">
      <x:c r="A257" s="2"/>
      <x:c r="B257" s="2"/>
      <x:c r="C257" s="2"/>
      <x:c r="D257" s="2"/>
      <x:c r="E257" s="2"/>
      <x:c r="F257" s="2"/>
      <x:c r="G257" s="2"/>
      <x:c r="H257" s="97"/>
      <x:c r="I257" s="97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</x:row>
    <x:row r="258">
      <x:c r="A258" s="2"/>
      <x:c r="B258" s="2"/>
      <x:c r="C258" s="2"/>
      <x:c r="D258" s="2"/>
      <x:c r="E258" s="2"/>
      <x:c r="F258" s="2"/>
      <x:c r="G258" s="2"/>
      <x:c r="H258" s="97"/>
      <x:c r="I258" s="97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</x:row>
    <x:row r="259">
      <x:c r="A259" s="2"/>
      <x:c r="B259" s="2"/>
      <x:c r="C259" s="2"/>
      <x:c r="D259" s="2"/>
      <x:c r="E259" s="2"/>
      <x:c r="F259" s="2"/>
      <x:c r="G259" s="2"/>
      <x:c r="H259" s="97"/>
      <x:c r="I259" s="97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</x:row>
    <x:row r="260">
      <x:c r="A260" s="2"/>
      <x:c r="B260" s="2"/>
      <x:c r="C260" s="2"/>
      <x:c r="D260" s="2"/>
      <x:c r="E260" s="2"/>
      <x:c r="F260" s="2"/>
      <x:c r="G260" s="2"/>
      <x:c r="H260" s="97"/>
      <x:c r="I260" s="97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</x:row>
    <x:row r="261">
      <x:c r="A261" s="2"/>
      <x:c r="B261" s="2"/>
      <x:c r="C261" s="2"/>
      <x:c r="D261" s="2"/>
      <x:c r="E261" s="2"/>
      <x:c r="F261" s="2"/>
      <x:c r="G261" s="2"/>
      <x:c r="H261" s="97"/>
      <x:c r="I261" s="97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</x:row>
    <x:row r="262">
      <x:c r="A262" s="2"/>
      <x:c r="B262" s="2"/>
      <x:c r="C262" s="2"/>
      <x:c r="D262" s="2"/>
      <x:c r="E262" s="2"/>
      <x:c r="F262" s="2"/>
      <x:c r="G262" s="2"/>
      <x:c r="H262" s="97"/>
      <x:c r="I262" s="97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</x:row>
    <x:row r="263">
      <x:c r="A263" s="2"/>
      <x:c r="B263" s="2"/>
      <x:c r="C263" s="2"/>
      <x:c r="D263" s="2"/>
      <x:c r="E263" s="2"/>
      <x:c r="F263" s="2"/>
      <x:c r="G263" s="2"/>
      <x:c r="H263" s="97"/>
      <x:c r="I263" s="97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</x:row>
    <x:row r="264">
      <x:c r="A264" s="2"/>
      <x:c r="B264" s="2"/>
      <x:c r="C264" s="2"/>
      <x:c r="D264" s="2"/>
      <x:c r="E264" s="2"/>
      <x:c r="F264" s="2"/>
      <x:c r="G264" s="2"/>
      <x:c r="H264" s="97"/>
      <x:c r="I264" s="97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</x:row>
    <x:row r="265">
      <x:c r="A265" s="2"/>
      <x:c r="B265" s="2"/>
      <x:c r="C265" s="2"/>
      <x:c r="D265" s="2"/>
      <x:c r="E265" s="2"/>
      <x:c r="F265" s="2"/>
      <x:c r="G265" s="2"/>
      <x:c r="H265" s="97"/>
      <x:c r="I265" s="97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</x:row>
    <x:row r="266">
      <x:c r="A266" s="2"/>
      <x:c r="B266" s="2"/>
      <x:c r="C266" s="2"/>
      <x:c r="D266" s="2"/>
      <x:c r="E266" s="2"/>
      <x:c r="F266" s="2"/>
      <x:c r="G266" s="2"/>
      <x:c r="H266" s="97"/>
      <x:c r="I266" s="97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</x:row>
    <x:row r="267">
      <x:c r="A267" s="2"/>
      <x:c r="B267" s="2"/>
      <x:c r="C267" s="2"/>
      <x:c r="D267" s="2"/>
      <x:c r="E267" s="2"/>
      <x:c r="F267" s="2"/>
      <x:c r="G267" s="2"/>
      <x:c r="H267" s="97"/>
      <x:c r="I267" s="97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</x:row>
    <x:row r="268">
      <x:c r="A268" s="2"/>
      <x:c r="B268" s="2"/>
      <x:c r="C268" s="2"/>
      <x:c r="D268" s="2"/>
      <x:c r="E268" s="2"/>
      <x:c r="F268" s="2"/>
      <x:c r="G268" s="2"/>
      <x:c r="H268" s="97"/>
      <x:c r="I268" s="97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</x:row>
    <x:row r="269">
      <x:c r="A269" s="2"/>
      <x:c r="B269" s="2"/>
      <x:c r="C269" s="2"/>
      <x:c r="D269" s="2"/>
      <x:c r="E269" s="2"/>
      <x:c r="F269" s="2"/>
      <x:c r="G269" s="2"/>
      <x:c r="H269" s="97"/>
      <x:c r="I269" s="97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</x:row>
    <x:row r="270">
      <x:c r="A270" s="2"/>
      <x:c r="B270" s="2"/>
      <x:c r="C270" s="2"/>
      <x:c r="D270" s="2"/>
      <x:c r="E270" s="2"/>
      <x:c r="F270" s="2"/>
      <x:c r="G270" s="2"/>
      <x:c r="H270" s="97"/>
      <x:c r="I270" s="97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</x:row>
    <x:row r="271">
      <x:c r="A271" s="2"/>
      <x:c r="B271" s="2"/>
      <x:c r="C271" s="2"/>
      <x:c r="D271" s="2"/>
      <x:c r="E271" s="2"/>
      <x:c r="F271" s="2"/>
      <x:c r="G271" s="2"/>
      <x:c r="H271" s="97"/>
      <x:c r="I271" s="97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</x:row>
    <x:row r="272">
      <x:c r="A272" s="2"/>
      <x:c r="B272" s="2"/>
      <x:c r="C272" s="2"/>
      <x:c r="D272" s="2"/>
      <x:c r="E272" s="2"/>
      <x:c r="F272" s="2"/>
      <x:c r="G272" s="2"/>
      <x:c r="H272" s="97"/>
      <x:c r="I272" s="97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</x:row>
    <x:row r="273">
      <x:c r="A273" s="2"/>
      <x:c r="B273" s="2"/>
      <x:c r="C273" s="2"/>
      <x:c r="D273" s="2"/>
      <x:c r="E273" s="2"/>
      <x:c r="F273" s="2"/>
      <x:c r="G273" s="2"/>
      <x:c r="H273" s="97"/>
      <x:c r="I273" s="97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</x:row>
    <x:row r="274">
      <x:c r="A274" s="2"/>
      <x:c r="B274" s="2"/>
      <x:c r="C274" s="2"/>
      <x:c r="D274" s="2"/>
      <x:c r="E274" s="2"/>
      <x:c r="F274" s="2"/>
      <x:c r="G274" s="2"/>
      <x:c r="H274" s="97"/>
      <x:c r="I274" s="97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</x:row>
    <x:row r="275">
      <x:c r="A275" s="2"/>
      <x:c r="B275" s="2"/>
      <x:c r="C275" s="2"/>
      <x:c r="D275" s="2"/>
      <x:c r="E275" s="2"/>
      <x:c r="F275" s="2"/>
      <x:c r="G275" s="2"/>
      <x:c r="H275" s="97"/>
      <x:c r="I275" s="97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</x:row>
    <x:row r="276">
      <x:c r="A276" s="2"/>
      <x:c r="B276" s="2"/>
      <x:c r="C276" s="2"/>
      <x:c r="D276" s="2"/>
      <x:c r="E276" s="2"/>
      <x:c r="F276" s="2"/>
      <x:c r="G276" s="2"/>
      <x:c r="H276" s="97"/>
      <x:c r="I276" s="97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</x:row>
    <x:row r="277">
      <x:c r="A277" s="2"/>
      <x:c r="B277" s="2"/>
      <x:c r="C277" s="2"/>
      <x:c r="D277" s="2"/>
      <x:c r="E277" s="2"/>
      <x:c r="F277" s="2"/>
      <x:c r="G277" s="2"/>
      <x:c r="H277" s="97"/>
      <x:c r="I277" s="97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</x:row>
    <x:row r="278">
      <x:c r="A278" s="2"/>
      <x:c r="B278" s="2"/>
      <x:c r="C278" s="2"/>
      <x:c r="D278" s="2"/>
      <x:c r="E278" s="2"/>
      <x:c r="F278" s="2"/>
      <x:c r="G278" s="2"/>
      <x:c r="H278" s="97"/>
      <x:c r="I278" s="97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</x:row>
    <x:row r="279">
      <x:c r="A279" s="2"/>
      <x:c r="B279" s="2"/>
      <x:c r="C279" s="2"/>
      <x:c r="D279" s="2"/>
      <x:c r="E279" s="2"/>
      <x:c r="F279" s="2"/>
      <x:c r="G279" s="2"/>
      <x:c r="H279" s="97"/>
      <x:c r="I279" s="97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</x:row>
    <x:row r="280">
      <x:c r="A280" s="2"/>
      <x:c r="B280" s="2"/>
      <x:c r="C280" s="2"/>
      <x:c r="D280" s="2"/>
      <x:c r="E280" s="2"/>
      <x:c r="F280" s="2"/>
      <x:c r="G280" s="2"/>
      <x:c r="H280" s="97"/>
      <x:c r="I280" s="97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</x:row>
    <x:row r="281">
      <x:c r="A281" s="2"/>
      <x:c r="B281" s="2"/>
      <x:c r="C281" s="2"/>
      <x:c r="D281" s="2"/>
      <x:c r="E281" s="2"/>
      <x:c r="F281" s="2"/>
      <x:c r="G281" s="2"/>
      <x:c r="H281" s="97"/>
      <x:c r="I281" s="97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</x:row>
    <x:row r="282">
      <x:c r="A282" s="2"/>
      <x:c r="B282" s="2"/>
      <x:c r="C282" s="2"/>
      <x:c r="D282" s="2"/>
      <x:c r="E282" s="2"/>
      <x:c r="F282" s="2"/>
      <x:c r="G282" s="2"/>
      <x:c r="H282" s="97"/>
      <x:c r="I282" s="97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</x:row>
    <x:row r="283">
      <x:c r="A283" s="2"/>
      <x:c r="B283" s="2"/>
      <x:c r="C283" s="2"/>
      <x:c r="D283" s="2"/>
      <x:c r="E283" s="2"/>
      <x:c r="F283" s="2"/>
      <x:c r="G283" s="2"/>
      <x:c r="H283" s="97"/>
      <x:c r="I283" s="97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</x:row>
    <x:row r="284">
      <x:c r="A284" s="2"/>
      <x:c r="B284" s="2"/>
      <x:c r="C284" s="2"/>
      <x:c r="D284" s="2"/>
      <x:c r="E284" s="2"/>
      <x:c r="F284" s="2"/>
      <x:c r="G284" s="2"/>
      <x:c r="H284" s="97"/>
      <x:c r="I284" s="97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</x:row>
    <x:row r="285">
      <x:c r="A285" s="2"/>
      <x:c r="B285" s="2"/>
      <x:c r="C285" s="2"/>
      <x:c r="D285" s="2"/>
      <x:c r="E285" s="2"/>
      <x:c r="F285" s="2"/>
      <x:c r="G285" s="2"/>
      <x:c r="H285" s="97"/>
      <x:c r="I285" s="97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</x:row>
    <x:row r="286">
      <x:c r="A286" s="2"/>
      <x:c r="B286" s="2"/>
      <x:c r="C286" s="2"/>
      <x:c r="D286" s="2"/>
      <x:c r="E286" s="2"/>
      <x:c r="F286" s="2"/>
      <x:c r="G286" s="2"/>
      <x:c r="H286" s="97"/>
      <x:c r="I286" s="97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</x:row>
    <x:row r="287">
      <x:c r="A287" s="2"/>
      <x:c r="B287" s="2"/>
      <x:c r="C287" s="2"/>
      <x:c r="D287" s="2"/>
      <x:c r="E287" s="2"/>
      <x:c r="F287" s="2"/>
      <x:c r="G287" s="2"/>
      <x:c r="H287" s="97"/>
      <x:c r="I287" s="97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</x:row>
    <x:row r="288">
      <x:c r="A288" s="2"/>
      <x:c r="B288" s="2"/>
      <x:c r="C288" s="2"/>
      <x:c r="D288" s="2"/>
      <x:c r="E288" s="2"/>
      <x:c r="F288" s="2"/>
      <x:c r="G288" s="2"/>
      <x:c r="H288" s="97"/>
      <x:c r="I288" s="97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</x:row>
    <x:row r="289">
      <x:c r="A289" s="2"/>
      <x:c r="B289" s="2"/>
      <x:c r="C289" s="2"/>
      <x:c r="D289" s="2"/>
      <x:c r="E289" s="2"/>
      <x:c r="F289" s="2"/>
      <x:c r="G289" s="2"/>
      <x:c r="H289" s="97"/>
      <x:c r="I289" s="97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</x:row>
    <x:row r="290">
      <x:c r="A290" s="2"/>
      <x:c r="B290" s="2"/>
      <x:c r="C290" s="2"/>
      <x:c r="D290" s="2"/>
      <x:c r="E290" s="2"/>
      <x:c r="F290" s="2"/>
      <x:c r="G290" s="2"/>
      <x:c r="H290" s="97"/>
      <x:c r="I290" s="97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</x:row>
    <x:row r="291">
      <x:c r="A291" s="2"/>
      <x:c r="B291" s="2"/>
      <x:c r="C291" s="2"/>
      <x:c r="D291" s="2"/>
      <x:c r="E291" s="2"/>
      <x:c r="F291" s="2"/>
      <x:c r="G291" s="2"/>
      <x:c r="H291" s="97"/>
      <x:c r="I291" s="97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</x:row>
    <x:row r="292">
      <x:c r="A292" s="2"/>
      <x:c r="B292" s="2"/>
      <x:c r="C292" s="2"/>
      <x:c r="D292" s="2"/>
      <x:c r="E292" s="2"/>
      <x:c r="F292" s="2"/>
      <x:c r="G292" s="2"/>
      <x:c r="H292" s="97"/>
      <x:c r="I292" s="97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</x:row>
    <x:row r="293">
      <x:c r="A293" s="2"/>
      <x:c r="B293" s="2"/>
      <x:c r="C293" s="2"/>
      <x:c r="D293" s="2"/>
      <x:c r="E293" s="2"/>
      <x:c r="F293" s="2"/>
      <x:c r="G293" s="2"/>
      <x:c r="H293" s="97"/>
      <x:c r="I293" s="97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</x:row>
    <x:row r="294">
      <x:c r="A294" s="2"/>
      <x:c r="B294" s="2"/>
      <x:c r="C294" s="2"/>
      <x:c r="D294" s="2"/>
      <x:c r="E294" s="2"/>
      <x:c r="F294" s="2"/>
      <x:c r="G294" s="2"/>
      <x:c r="H294" s="97"/>
      <x:c r="I294" s="97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</x:row>
    <x:row r="295">
      <x:c r="A295" s="2"/>
      <x:c r="B295" s="2"/>
      <x:c r="C295" s="2"/>
      <x:c r="D295" s="2"/>
      <x:c r="E295" s="2"/>
      <x:c r="F295" s="2"/>
      <x:c r="G295" s="2"/>
      <x:c r="H295" s="97"/>
      <x:c r="I295" s="97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</x:row>
    <x:row r="296">
      <x:c r="A296" s="2"/>
      <x:c r="B296" s="2"/>
      <x:c r="C296" s="2"/>
      <x:c r="D296" s="2"/>
      <x:c r="E296" s="2"/>
      <x:c r="F296" s="2"/>
      <x:c r="G296" s="2"/>
      <x:c r="H296" s="97"/>
      <x:c r="I296" s="97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</x:row>
    <x:row r="297">
      <x:c r="A297" s="2"/>
      <x:c r="B297" s="2"/>
      <x:c r="C297" s="2"/>
      <x:c r="D297" s="2"/>
      <x:c r="E297" s="2"/>
      <x:c r="F297" s="2"/>
      <x:c r="G297" s="2"/>
      <x:c r="H297" s="97"/>
      <x:c r="I297" s="97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</x:row>
    <x:row r="298">
      <x:c r="A298" s="2"/>
      <x:c r="B298" s="2"/>
      <x:c r="C298" s="2"/>
      <x:c r="D298" s="2"/>
      <x:c r="E298" s="2"/>
      <x:c r="F298" s="2"/>
      <x:c r="G298" s="2"/>
      <x:c r="H298" s="97"/>
      <x:c r="I298" s="97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</x:row>
    <x:row r="299">
      <x:c r="A299" s="2"/>
      <x:c r="B299" s="2"/>
      <x:c r="C299" s="2"/>
      <x:c r="D299" s="2"/>
      <x:c r="E299" s="2"/>
      <x:c r="F299" s="2"/>
      <x:c r="G299" s="2"/>
      <x:c r="H299" s="97"/>
      <x:c r="I299" s="97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</x:row>
    <x:row r="300">
      <x:c r="A300" s="2"/>
      <x:c r="B300" s="2"/>
      <x:c r="C300" s="2"/>
      <x:c r="D300" s="2"/>
      <x:c r="E300" s="2"/>
      <x:c r="F300" s="2"/>
      <x:c r="G300" s="2"/>
      <x:c r="H300" s="97"/>
      <x:c r="I300" s="97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</x:row>
    <x:row r="301">
      <x:c r="A301" s="2"/>
      <x:c r="B301" s="2"/>
      <x:c r="C301" s="2"/>
      <x:c r="D301" s="2"/>
      <x:c r="E301" s="2"/>
      <x:c r="F301" s="2"/>
      <x:c r="G301" s="2"/>
      <x:c r="H301" s="97"/>
      <x:c r="I301" s="97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</x:row>
    <x:row r="302">
      <x:c r="A302" s="2"/>
      <x:c r="B302" s="2"/>
      <x:c r="C302" s="2"/>
      <x:c r="D302" s="2"/>
      <x:c r="E302" s="2"/>
      <x:c r="F302" s="2"/>
      <x:c r="G302" s="2"/>
      <x:c r="H302" s="97"/>
      <x:c r="I302" s="97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</x:row>
    <x:row r="303">
      <x:c r="A303" s="2"/>
      <x:c r="B303" s="2"/>
      <x:c r="C303" s="2"/>
      <x:c r="D303" s="2"/>
      <x:c r="E303" s="2"/>
      <x:c r="F303" s="2"/>
      <x:c r="G303" s="2"/>
      <x:c r="H303" s="97"/>
      <x:c r="I303" s="97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</x:row>
    <x:row r="304">
      <x:c r="A304" s="2"/>
      <x:c r="B304" s="2"/>
      <x:c r="C304" s="2"/>
      <x:c r="D304" s="2"/>
      <x:c r="E304" s="2"/>
      <x:c r="F304" s="2"/>
      <x:c r="G304" s="2"/>
      <x:c r="H304" s="97"/>
      <x:c r="I304" s="97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</x:row>
    <x:row r="305">
      <x:c r="A305" s="2"/>
      <x:c r="B305" s="2"/>
      <x:c r="C305" s="2"/>
      <x:c r="D305" s="2"/>
      <x:c r="E305" s="2"/>
      <x:c r="F305" s="2"/>
      <x:c r="G305" s="2"/>
      <x:c r="H305" s="97"/>
      <x:c r="I305" s="97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</x:row>
    <x:row r="306">
      <x:c r="A306" s="2"/>
      <x:c r="B306" s="2"/>
      <x:c r="C306" s="2"/>
      <x:c r="D306" s="2"/>
      <x:c r="E306" s="2"/>
      <x:c r="F306" s="2"/>
      <x:c r="G306" s="2"/>
      <x:c r="H306" s="97"/>
      <x:c r="I306" s="97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</x:row>
    <x:row r="307">
      <x:c r="A307" s="2"/>
      <x:c r="B307" s="2"/>
      <x:c r="C307" s="2"/>
      <x:c r="D307" s="2"/>
      <x:c r="E307" s="2"/>
      <x:c r="F307" s="2"/>
      <x:c r="G307" s="2"/>
      <x:c r="H307" s="97"/>
      <x:c r="I307" s="97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</x:row>
    <x:row r="308">
      <x:c r="A308" s="2"/>
      <x:c r="B308" s="2"/>
      <x:c r="C308" s="2"/>
      <x:c r="D308" s="2"/>
      <x:c r="E308" s="2"/>
      <x:c r="F308" s="2"/>
      <x:c r="G308" s="2"/>
      <x:c r="H308" s="97"/>
      <x:c r="I308" s="97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</x:row>
    <x:row r="309">
      <x:c r="A309" s="2"/>
      <x:c r="B309" s="2"/>
      <x:c r="C309" s="2"/>
      <x:c r="D309" s="2"/>
      <x:c r="E309" s="2"/>
      <x:c r="F309" s="2"/>
      <x:c r="G309" s="2"/>
      <x:c r="H309" s="97"/>
      <x:c r="I309" s="97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</x:row>
    <x:row r="310">
      <x:c r="A310" s="2"/>
      <x:c r="B310" s="2"/>
      <x:c r="C310" s="2"/>
      <x:c r="D310" s="2"/>
      <x:c r="E310" s="2"/>
      <x:c r="F310" s="2"/>
      <x:c r="G310" s="2"/>
      <x:c r="H310" s="97"/>
      <x:c r="I310" s="97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</x:row>
    <x:row r="311">
      <x:c r="A311" s="2"/>
      <x:c r="B311" s="2"/>
      <x:c r="C311" s="2"/>
      <x:c r="D311" s="2"/>
      <x:c r="E311" s="2"/>
      <x:c r="F311" s="2"/>
      <x:c r="G311" s="2"/>
      <x:c r="H311" s="97"/>
      <x:c r="I311" s="97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</x:row>
    <x:row r="312">
      <x:c r="A312" s="2"/>
      <x:c r="B312" s="2"/>
      <x:c r="C312" s="2"/>
      <x:c r="D312" s="2"/>
      <x:c r="E312" s="2"/>
      <x:c r="F312" s="2"/>
      <x:c r="G312" s="2"/>
      <x:c r="H312" s="97"/>
      <x:c r="I312" s="97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</x:row>
    <x:row r="313">
      <x:c r="A313" s="2"/>
      <x:c r="B313" s="2"/>
      <x:c r="C313" s="2"/>
      <x:c r="D313" s="2"/>
      <x:c r="E313" s="2"/>
      <x:c r="F313" s="2"/>
      <x:c r="G313" s="2"/>
      <x:c r="H313" s="97"/>
      <x:c r="I313" s="97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</x:row>
    <x:row r="314">
      <x:c r="A314" s="2"/>
      <x:c r="B314" s="2"/>
      <x:c r="C314" s="2"/>
      <x:c r="D314" s="2"/>
      <x:c r="E314" s="2"/>
      <x:c r="F314" s="2"/>
      <x:c r="G314" s="2"/>
      <x:c r="H314" s="97"/>
      <x:c r="I314" s="97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</x:row>
    <x:row r="315">
      <x:c r="A315" s="2"/>
      <x:c r="B315" s="2"/>
      <x:c r="C315" s="2"/>
      <x:c r="D315" s="2"/>
      <x:c r="E315" s="2"/>
      <x:c r="F315" s="2"/>
      <x:c r="G315" s="2"/>
      <x:c r="H315" s="97"/>
      <x:c r="I315" s="97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</x:row>
    <x:row r="316">
      <x:c r="A316" s="2"/>
      <x:c r="B316" s="2"/>
      <x:c r="C316" s="2"/>
      <x:c r="D316" s="2"/>
      <x:c r="E316" s="2"/>
      <x:c r="F316" s="2"/>
      <x:c r="G316" s="2"/>
      <x:c r="H316" s="97"/>
      <x:c r="I316" s="97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</x:row>
    <x:row r="317">
      <x:c r="A317" s="2"/>
      <x:c r="B317" s="2"/>
      <x:c r="C317" s="2"/>
      <x:c r="D317" s="2"/>
      <x:c r="E317" s="2"/>
      <x:c r="F317" s="2"/>
      <x:c r="G317" s="2"/>
      <x:c r="H317" s="97"/>
      <x:c r="I317" s="97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</x:row>
    <x:row r="318">
      <x:c r="A318" s="2"/>
      <x:c r="B318" s="2"/>
      <x:c r="C318" s="2"/>
      <x:c r="D318" s="2"/>
      <x:c r="E318" s="2"/>
      <x:c r="F318" s="2"/>
      <x:c r="G318" s="2"/>
      <x:c r="H318" s="97"/>
      <x:c r="I318" s="97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</x:row>
    <x:row r="319">
      <x:c r="A319" s="2"/>
      <x:c r="B319" s="2"/>
      <x:c r="C319" s="2"/>
      <x:c r="D319" s="2"/>
      <x:c r="E319" s="2"/>
      <x:c r="F319" s="2"/>
      <x:c r="G319" s="2"/>
      <x:c r="H319" s="97"/>
      <x:c r="I319" s="97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</x:row>
    <x:row r="320">
      <x:c r="A320" s="2"/>
      <x:c r="B320" s="2"/>
      <x:c r="C320" s="2"/>
      <x:c r="D320" s="2"/>
      <x:c r="E320" s="2"/>
      <x:c r="F320" s="2"/>
      <x:c r="G320" s="2"/>
      <x:c r="H320" s="97"/>
      <x:c r="I320" s="97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</x:row>
    <x:row r="321">
      <x:c r="A321" s="2"/>
      <x:c r="B321" s="2"/>
      <x:c r="C321" s="2"/>
      <x:c r="D321" s="2"/>
      <x:c r="E321" s="2"/>
      <x:c r="F321" s="2"/>
      <x:c r="G321" s="2"/>
      <x:c r="H321" s="97"/>
      <x:c r="I321" s="97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</x:row>
    <x:row r="322">
      <x:c r="A322" s="2"/>
      <x:c r="B322" s="2"/>
      <x:c r="C322" s="2"/>
      <x:c r="D322" s="2"/>
      <x:c r="E322" s="2"/>
      <x:c r="F322" s="2"/>
      <x:c r="G322" s="2"/>
      <x:c r="H322" s="97"/>
      <x:c r="I322" s="97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</x:row>
    <x:row r="323">
      <x:c r="A323" s="2"/>
      <x:c r="B323" s="2"/>
      <x:c r="C323" s="2"/>
      <x:c r="D323" s="2"/>
      <x:c r="E323" s="2"/>
      <x:c r="F323" s="2"/>
      <x:c r="G323" s="2"/>
      <x:c r="H323" s="97"/>
      <x:c r="I323" s="97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</x:row>
    <x:row r="324">
      <x:c r="A324" s="2"/>
      <x:c r="B324" s="2"/>
      <x:c r="C324" s="2"/>
      <x:c r="D324" s="2"/>
      <x:c r="E324" s="2"/>
      <x:c r="F324" s="2"/>
      <x:c r="G324" s="2"/>
      <x:c r="H324" s="97"/>
      <x:c r="I324" s="97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</x:row>
    <x:row r="325">
      <x:c r="A325" s="2"/>
      <x:c r="B325" s="2"/>
      <x:c r="C325" s="2"/>
      <x:c r="D325" s="2"/>
      <x:c r="E325" s="2"/>
      <x:c r="F325" s="2"/>
      <x:c r="G325" s="2"/>
      <x:c r="H325" s="97"/>
      <x:c r="I325" s="97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</x:row>
    <x:row r="326">
      <x:c r="A326" s="2"/>
      <x:c r="B326" s="2"/>
      <x:c r="C326" s="2"/>
      <x:c r="D326" s="2"/>
      <x:c r="E326" s="2"/>
      <x:c r="F326" s="2"/>
      <x:c r="G326" s="2"/>
      <x:c r="H326" s="97"/>
      <x:c r="I326" s="97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</x:row>
    <x:row r="327">
      <x:c r="A327" s="2"/>
      <x:c r="B327" s="2"/>
      <x:c r="C327" s="2"/>
      <x:c r="D327" s="2"/>
      <x:c r="E327" s="2"/>
      <x:c r="F327" s="2"/>
      <x:c r="G327" s="2"/>
      <x:c r="H327" s="97"/>
      <x:c r="I327" s="97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</x:row>
    <x:row r="328">
      <x:c r="A328" s="2"/>
      <x:c r="B328" s="2"/>
      <x:c r="C328" s="2"/>
      <x:c r="D328" s="2"/>
      <x:c r="E328" s="2"/>
      <x:c r="F328" s="2"/>
      <x:c r="G328" s="2"/>
      <x:c r="H328" s="97"/>
      <x:c r="I328" s="97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</x:row>
    <x:row r="329">
      <x:c r="A329" s="2"/>
      <x:c r="B329" s="2"/>
      <x:c r="C329" s="2"/>
      <x:c r="D329" s="2"/>
      <x:c r="E329" s="2"/>
      <x:c r="F329" s="2"/>
      <x:c r="G329" s="2"/>
      <x:c r="H329" s="97"/>
      <x:c r="I329" s="97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</x:row>
    <x:row r="330">
      <x:c r="A330" s="2"/>
      <x:c r="B330" s="2"/>
      <x:c r="C330" s="2"/>
      <x:c r="D330" s="2"/>
      <x:c r="E330" s="2"/>
      <x:c r="F330" s="2"/>
      <x:c r="G330" s="2"/>
      <x:c r="H330" s="97"/>
      <x:c r="I330" s="97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</x:row>
    <x:row r="331">
      <x:c r="A331" s="2"/>
      <x:c r="B331" s="2"/>
      <x:c r="C331" s="2"/>
      <x:c r="D331" s="2"/>
      <x:c r="E331" s="2"/>
      <x:c r="F331" s="2"/>
      <x:c r="G331" s="2"/>
      <x:c r="H331" s="97"/>
      <x:c r="I331" s="97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</x:row>
    <x:row r="332">
      <x:c r="A332" s="2"/>
      <x:c r="B332" s="2"/>
      <x:c r="C332" s="2"/>
      <x:c r="D332" s="2"/>
      <x:c r="E332" s="2"/>
      <x:c r="F332" s="2"/>
      <x:c r="G332" s="2"/>
      <x:c r="H332" s="97"/>
      <x:c r="I332" s="97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</x:row>
    <x:row r="333">
      <x:c r="A333" s="2"/>
      <x:c r="B333" s="2"/>
      <x:c r="C333" s="2"/>
      <x:c r="D333" s="2"/>
      <x:c r="E333" s="2"/>
      <x:c r="F333" s="2"/>
      <x:c r="G333" s="2"/>
      <x:c r="H333" s="97"/>
      <x:c r="I333" s="97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</x:row>
    <x:row r="334">
      <x:c r="A334" s="2"/>
      <x:c r="B334" s="2"/>
      <x:c r="C334" s="2"/>
      <x:c r="D334" s="2"/>
      <x:c r="E334" s="2"/>
      <x:c r="F334" s="2"/>
      <x:c r="G334" s="2"/>
      <x:c r="H334" s="97"/>
      <x:c r="I334" s="97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</x:row>
    <x:row r="335">
      <x:c r="A335" s="2"/>
      <x:c r="B335" s="2"/>
      <x:c r="C335" s="2"/>
      <x:c r="D335" s="2"/>
      <x:c r="E335" s="2"/>
      <x:c r="F335" s="2"/>
      <x:c r="G335" s="2"/>
      <x:c r="H335" s="97"/>
      <x:c r="I335" s="97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</x:row>
    <x:row r="336">
      <x:c r="A336" s="2"/>
      <x:c r="B336" s="2"/>
      <x:c r="C336" s="2"/>
      <x:c r="D336" s="2"/>
      <x:c r="E336" s="2"/>
      <x:c r="F336" s="2"/>
      <x:c r="G336" s="2"/>
      <x:c r="H336" s="97"/>
      <x:c r="I336" s="97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</x:row>
    <x:row r="337">
      <x:c r="A337" s="2"/>
      <x:c r="B337" s="2"/>
      <x:c r="C337" s="2"/>
      <x:c r="D337" s="2"/>
      <x:c r="E337" s="2"/>
      <x:c r="F337" s="2"/>
      <x:c r="G337" s="2"/>
      <x:c r="H337" s="97"/>
      <x:c r="I337" s="97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</x:row>
    <x:row r="338">
      <x:c r="A338" s="2"/>
      <x:c r="B338" s="2"/>
      <x:c r="C338" s="2"/>
      <x:c r="D338" s="2"/>
      <x:c r="E338" s="2"/>
      <x:c r="F338" s="2"/>
      <x:c r="G338" s="2"/>
      <x:c r="H338" s="97"/>
      <x:c r="I338" s="97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</x:row>
    <x:row r="339">
      <x:c r="A339" s="2"/>
      <x:c r="B339" s="2"/>
      <x:c r="C339" s="2"/>
      <x:c r="D339" s="2"/>
      <x:c r="E339" s="2"/>
      <x:c r="F339" s="2"/>
      <x:c r="G339" s="2"/>
      <x:c r="H339" s="97"/>
      <x:c r="I339" s="97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</x:row>
    <x:row r="340">
      <x:c r="A340" s="2"/>
      <x:c r="B340" s="2"/>
      <x:c r="C340" s="2"/>
      <x:c r="D340" s="2"/>
      <x:c r="E340" s="2"/>
      <x:c r="F340" s="2"/>
      <x:c r="G340" s="2"/>
      <x:c r="H340" s="97"/>
      <x:c r="I340" s="97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</x:row>
    <x:row r="341">
      <x:c r="A341" s="2"/>
      <x:c r="B341" s="2"/>
      <x:c r="C341" s="2"/>
      <x:c r="D341" s="2"/>
      <x:c r="E341" s="2"/>
      <x:c r="F341" s="2"/>
      <x:c r="G341" s="2"/>
      <x:c r="H341" s="97"/>
      <x:c r="I341" s="97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</x:row>
    <x:row r="342">
      <x:c r="A342" s="2"/>
      <x:c r="B342" s="2"/>
      <x:c r="C342" s="2"/>
      <x:c r="D342" s="2"/>
      <x:c r="E342" s="2"/>
      <x:c r="F342" s="2"/>
      <x:c r="G342" s="2"/>
      <x:c r="H342" s="97"/>
      <x:c r="I342" s="97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</x:row>
    <x:row r="343">
      <x:c r="A343" s="2"/>
      <x:c r="B343" s="2"/>
      <x:c r="C343" s="2"/>
      <x:c r="D343" s="2"/>
      <x:c r="E343" s="2"/>
      <x:c r="F343" s="2"/>
      <x:c r="G343" s="2"/>
      <x:c r="H343" s="97"/>
      <x:c r="I343" s="97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</x:row>
    <x:row r="344">
      <x:c r="A344" s="2"/>
      <x:c r="B344" s="2"/>
      <x:c r="C344" s="2"/>
      <x:c r="D344" s="2"/>
      <x:c r="E344" s="2"/>
      <x:c r="F344" s="2"/>
      <x:c r="G344" s="2"/>
      <x:c r="H344" s="97"/>
      <x:c r="I344" s="97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</x:row>
    <x:row r="345">
      <x:c r="A345" s="2"/>
      <x:c r="B345" s="2"/>
      <x:c r="C345" s="2"/>
      <x:c r="D345" s="2"/>
      <x:c r="E345" s="2"/>
      <x:c r="F345" s="2"/>
      <x:c r="G345" s="2"/>
      <x:c r="H345" s="97"/>
      <x:c r="I345" s="97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</x:row>
    <x:row r="346">
      <x:c r="A346" s="2"/>
      <x:c r="B346" s="2"/>
      <x:c r="C346" s="2"/>
      <x:c r="D346" s="2"/>
      <x:c r="E346" s="2"/>
      <x:c r="F346" s="2"/>
      <x:c r="G346" s="2"/>
      <x:c r="H346" s="97"/>
      <x:c r="I346" s="97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</x:row>
    <x:row r="347">
      <x:c r="A347" s="2"/>
      <x:c r="B347" s="2"/>
      <x:c r="C347" s="2"/>
      <x:c r="D347" s="2"/>
      <x:c r="E347" s="2"/>
      <x:c r="F347" s="2"/>
      <x:c r="G347" s="2"/>
      <x:c r="H347" s="97"/>
      <x:c r="I347" s="97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</x:row>
    <x:row r="348">
      <x:c r="A348" s="2"/>
      <x:c r="B348" s="2"/>
      <x:c r="C348" s="2"/>
      <x:c r="D348" s="2"/>
      <x:c r="E348" s="2"/>
      <x:c r="F348" s="2"/>
      <x:c r="G348" s="2"/>
      <x:c r="H348" s="97"/>
      <x:c r="I348" s="97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</x:row>
    <x:row r="349">
      <x:c r="A349" s="2"/>
      <x:c r="B349" s="2"/>
      <x:c r="C349" s="2"/>
      <x:c r="D349" s="2"/>
      <x:c r="E349" s="2"/>
      <x:c r="F349" s="2"/>
      <x:c r="G349" s="2"/>
      <x:c r="H349" s="97"/>
      <x:c r="I349" s="97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</x:row>
    <x:row r="350">
      <x:c r="A350" s="2"/>
      <x:c r="B350" s="2"/>
      <x:c r="C350" s="2"/>
      <x:c r="D350" s="2"/>
      <x:c r="E350" s="2"/>
      <x:c r="F350" s="2"/>
      <x:c r="G350" s="2"/>
      <x:c r="H350" s="97"/>
      <x:c r="I350" s="97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</x:row>
    <x:row r="351">
      <x:c r="A351" s="2"/>
      <x:c r="B351" s="2"/>
      <x:c r="C351" s="2"/>
      <x:c r="D351" s="2"/>
      <x:c r="E351" s="2"/>
      <x:c r="F351" s="2"/>
      <x:c r="G351" s="2"/>
      <x:c r="H351" s="97"/>
      <x:c r="I351" s="97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</x:row>
    <x:row r="352">
      <x:c r="A352" s="2"/>
      <x:c r="B352" s="2"/>
      <x:c r="C352" s="2"/>
      <x:c r="D352" s="2"/>
      <x:c r="E352" s="2"/>
      <x:c r="F352" s="2"/>
      <x:c r="G352" s="2"/>
      <x:c r="H352" s="97"/>
      <x:c r="I352" s="97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</x:row>
    <x:row r="353">
      <x:c r="A353" s="2"/>
      <x:c r="B353" s="2"/>
      <x:c r="C353" s="2"/>
      <x:c r="D353" s="2"/>
      <x:c r="E353" s="2"/>
      <x:c r="F353" s="2"/>
      <x:c r="G353" s="2"/>
      <x:c r="H353" s="97"/>
      <x:c r="I353" s="97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</x:row>
    <x:row r="354">
      <x:c r="A354" s="2"/>
      <x:c r="B354" s="2"/>
      <x:c r="C354" s="2"/>
      <x:c r="D354" s="2"/>
      <x:c r="E354" s="2"/>
      <x:c r="F354" s="2"/>
      <x:c r="G354" s="2"/>
      <x:c r="H354" s="97"/>
      <x:c r="I354" s="97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</x:row>
    <x:row r="355">
      <x:c r="A355" s="2"/>
      <x:c r="B355" s="2"/>
      <x:c r="C355" s="2"/>
      <x:c r="D355" s="2"/>
      <x:c r="E355" s="2"/>
      <x:c r="F355" s="2"/>
      <x:c r="G355" s="2"/>
      <x:c r="H355" s="97"/>
      <x:c r="I355" s="97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</x:row>
    <x:row r="356">
      <x:c r="A356" s="2"/>
      <x:c r="B356" s="2"/>
      <x:c r="C356" s="2"/>
      <x:c r="D356" s="2"/>
      <x:c r="E356" s="2"/>
      <x:c r="F356" s="2"/>
      <x:c r="G356" s="2"/>
      <x:c r="H356" s="97"/>
      <x:c r="I356" s="97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</x:row>
    <x:row r="357">
      <x:c r="A357" s="2"/>
      <x:c r="B357" s="2"/>
      <x:c r="C357" s="2"/>
      <x:c r="D357" s="2"/>
      <x:c r="E357" s="2"/>
      <x:c r="F357" s="2"/>
      <x:c r="G357" s="2"/>
      <x:c r="H357" s="97"/>
      <x:c r="I357" s="97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</x:row>
    <x:row r="358">
      <x:c r="A358" s="2"/>
      <x:c r="B358" s="2"/>
      <x:c r="C358" s="2"/>
      <x:c r="D358" s="2"/>
      <x:c r="E358" s="2"/>
      <x:c r="F358" s="2"/>
      <x:c r="G358" s="2"/>
      <x:c r="H358" s="97"/>
      <x:c r="I358" s="97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</x:row>
    <x:row r="359">
      <x:c r="A359" s="2"/>
      <x:c r="B359" s="2"/>
      <x:c r="C359" s="2"/>
      <x:c r="D359" s="2"/>
      <x:c r="E359" s="2"/>
      <x:c r="F359" s="2"/>
      <x:c r="G359" s="2"/>
      <x:c r="H359" s="97"/>
      <x:c r="I359" s="97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</x:row>
    <x:row r="360">
      <x:c r="A360" s="2"/>
      <x:c r="B360" s="2"/>
      <x:c r="C360" s="2"/>
      <x:c r="D360" s="2"/>
      <x:c r="E360" s="2"/>
      <x:c r="F360" s="2"/>
      <x:c r="G360" s="2"/>
      <x:c r="H360" s="97"/>
      <x:c r="I360" s="97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</x:row>
    <x:row r="361">
      <x:c r="A361" s="2"/>
      <x:c r="B361" s="2"/>
      <x:c r="C361" s="2"/>
      <x:c r="D361" s="2"/>
      <x:c r="E361" s="2"/>
      <x:c r="F361" s="2"/>
      <x:c r="G361" s="2"/>
      <x:c r="H361" s="97"/>
      <x:c r="I361" s="97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</x:row>
    <x:row r="362">
      <x:c r="A362" s="2"/>
      <x:c r="B362" s="2"/>
      <x:c r="C362" s="2"/>
      <x:c r="D362" s="2"/>
      <x:c r="E362" s="2"/>
      <x:c r="F362" s="2"/>
      <x:c r="G362" s="2"/>
      <x:c r="H362" s="97"/>
      <x:c r="I362" s="97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</x:row>
    <x:row r="363">
      <x:c r="A363" s="2"/>
      <x:c r="B363" s="2"/>
      <x:c r="C363" s="2"/>
      <x:c r="D363" s="2"/>
      <x:c r="E363" s="2"/>
      <x:c r="F363" s="2"/>
      <x:c r="G363" s="2"/>
      <x:c r="H363" s="97"/>
      <x:c r="I363" s="97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</x:row>
    <x:row r="364">
      <x:c r="A364" s="2"/>
      <x:c r="B364" s="2"/>
      <x:c r="C364" s="2"/>
      <x:c r="D364" s="2"/>
      <x:c r="E364" s="2"/>
      <x:c r="F364" s="2"/>
      <x:c r="G364" s="2"/>
      <x:c r="H364" s="97"/>
      <x:c r="I364" s="97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</x:row>
    <x:row r="365">
      <x:c r="A365" s="2"/>
      <x:c r="B365" s="2"/>
      <x:c r="C365" s="2"/>
      <x:c r="D365" s="2"/>
      <x:c r="E365" s="2"/>
      <x:c r="F365" s="2"/>
      <x:c r="G365" s="2"/>
      <x:c r="H365" s="97"/>
      <x:c r="I365" s="97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</x:row>
    <x:row r="366">
      <x:c r="A366" s="2"/>
      <x:c r="B366" s="2"/>
      <x:c r="C366" s="2"/>
      <x:c r="D366" s="2"/>
      <x:c r="E366" s="2"/>
      <x:c r="F366" s="2"/>
      <x:c r="G366" s="2"/>
      <x:c r="H366" s="97"/>
      <x:c r="I366" s="97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</x:row>
    <x:row r="367">
      <x:c r="A367" s="2"/>
      <x:c r="B367" s="2"/>
      <x:c r="C367" s="2"/>
      <x:c r="D367" s="2"/>
      <x:c r="E367" s="2"/>
      <x:c r="F367" s="2"/>
      <x:c r="G367" s="2"/>
      <x:c r="H367" s="97"/>
      <x:c r="I367" s="97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</x:row>
    <x:row r="368">
      <x:c r="A368" s="2"/>
      <x:c r="B368" s="2"/>
      <x:c r="C368" s="2"/>
      <x:c r="D368" s="2"/>
      <x:c r="E368" s="2"/>
      <x:c r="F368" s="2"/>
      <x:c r="G368" s="2"/>
      <x:c r="H368" s="97"/>
      <x:c r="I368" s="97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</x:row>
    <x:row r="369">
      <x:c r="A369" s="2"/>
      <x:c r="B369" s="2"/>
      <x:c r="C369" s="2"/>
      <x:c r="D369" s="2"/>
      <x:c r="E369" s="2"/>
      <x:c r="F369" s="2"/>
      <x:c r="G369" s="2"/>
      <x:c r="H369" s="97"/>
      <x:c r="I369" s="97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</x:row>
    <x:row r="370">
      <x:c r="A370" s="2"/>
      <x:c r="B370" s="2"/>
      <x:c r="C370" s="2"/>
      <x:c r="D370" s="2"/>
      <x:c r="E370" s="2"/>
      <x:c r="F370" s="2"/>
      <x:c r="G370" s="2"/>
      <x:c r="H370" s="97"/>
      <x:c r="I370" s="97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</x:row>
    <x:row r="371">
      <x:c r="A371" s="2"/>
      <x:c r="B371" s="2"/>
      <x:c r="C371" s="2"/>
      <x:c r="D371" s="2"/>
      <x:c r="E371" s="2"/>
      <x:c r="F371" s="2"/>
      <x:c r="G371" s="2"/>
      <x:c r="H371" s="97"/>
      <x:c r="I371" s="97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</x:row>
    <x:row r="372">
      <x:c r="A372" s="2"/>
      <x:c r="B372" s="2"/>
      <x:c r="C372" s="2"/>
      <x:c r="D372" s="2"/>
      <x:c r="E372" s="2"/>
      <x:c r="F372" s="2"/>
      <x:c r="G372" s="2"/>
      <x:c r="H372" s="97"/>
      <x:c r="I372" s="97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</x:row>
    <x:row r="373">
      <x:c r="A373" s="2"/>
      <x:c r="B373" s="2"/>
      <x:c r="C373" s="2"/>
      <x:c r="D373" s="2"/>
      <x:c r="E373" s="2"/>
      <x:c r="F373" s="2"/>
      <x:c r="G373" s="2"/>
      <x:c r="H373" s="97"/>
      <x:c r="I373" s="97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</x:row>
    <x:row r="374">
      <x:c r="A374" s="2"/>
      <x:c r="B374" s="2"/>
      <x:c r="C374" s="2"/>
      <x:c r="D374" s="2"/>
      <x:c r="E374" s="2"/>
      <x:c r="F374" s="2"/>
      <x:c r="G374" s="2"/>
      <x:c r="H374" s="97"/>
      <x:c r="I374" s="97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</x:row>
    <x:row r="375">
      <x:c r="A375" s="2"/>
      <x:c r="B375" s="2"/>
      <x:c r="C375" s="2"/>
      <x:c r="D375" s="2"/>
      <x:c r="E375" s="2"/>
      <x:c r="F375" s="2"/>
      <x:c r="G375" s="2"/>
      <x:c r="H375" s="97"/>
      <x:c r="I375" s="97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</x:row>
    <x:row r="376">
      <x:c r="A376" s="2"/>
      <x:c r="B376" s="2"/>
      <x:c r="C376" s="2"/>
      <x:c r="D376" s="2"/>
      <x:c r="E376" s="2"/>
      <x:c r="F376" s="2"/>
      <x:c r="G376" s="2"/>
      <x:c r="H376" s="97"/>
      <x:c r="I376" s="97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</x:row>
    <x:row r="377">
      <x:c r="A377" s="2"/>
      <x:c r="B377" s="2"/>
      <x:c r="C377" s="2"/>
      <x:c r="D377" s="2"/>
      <x:c r="E377" s="2"/>
      <x:c r="F377" s="2"/>
      <x:c r="G377" s="2"/>
      <x:c r="H377" s="97"/>
      <x:c r="I377" s="97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</x:row>
    <x:row r="378">
      <x:c r="A378" s="2"/>
      <x:c r="B378" s="2"/>
      <x:c r="C378" s="2"/>
      <x:c r="D378" s="2"/>
      <x:c r="E378" s="2"/>
      <x:c r="F378" s="2"/>
      <x:c r="G378" s="2"/>
      <x:c r="H378" s="97"/>
      <x:c r="I378" s="97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</x:row>
    <x:row r="379">
      <x:c r="A379" s="2"/>
      <x:c r="B379" s="2"/>
      <x:c r="C379" s="2"/>
      <x:c r="D379" s="2"/>
      <x:c r="E379" s="2"/>
      <x:c r="F379" s="2"/>
      <x:c r="G379" s="2"/>
      <x:c r="H379" s="97"/>
      <x:c r="I379" s="97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</x:row>
    <x:row r="380">
      <x:c r="A380" s="2"/>
      <x:c r="B380" s="2"/>
      <x:c r="C380" s="2"/>
      <x:c r="D380" s="2"/>
      <x:c r="E380" s="2"/>
      <x:c r="F380" s="2"/>
      <x:c r="G380" s="2"/>
      <x:c r="H380" s="97"/>
      <x:c r="I380" s="97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</x:row>
    <x:row r="381">
      <x:c r="A381" s="2"/>
      <x:c r="B381" s="2"/>
      <x:c r="C381" s="2"/>
      <x:c r="D381" s="2"/>
      <x:c r="E381" s="2"/>
      <x:c r="F381" s="2"/>
      <x:c r="G381" s="2"/>
      <x:c r="H381" s="97"/>
      <x:c r="I381" s="97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</x:row>
    <x:row r="382">
      <x:c r="A382" s="2"/>
      <x:c r="B382" s="2"/>
      <x:c r="C382" s="2"/>
      <x:c r="D382" s="2"/>
      <x:c r="E382" s="2"/>
      <x:c r="F382" s="2"/>
      <x:c r="G382" s="2"/>
      <x:c r="H382" s="97"/>
      <x:c r="I382" s="97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</x:row>
    <x:row r="383">
      <x:c r="A383" s="2"/>
      <x:c r="B383" s="2"/>
      <x:c r="C383" s="2"/>
      <x:c r="D383" s="2"/>
      <x:c r="E383" s="2"/>
      <x:c r="F383" s="2"/>
      <x:c r="G383" s="2"/>
      <x:c r="H383" s="97"/>
      <x:c r="I383" s="97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</x:row>
    <x:row r="384">
      <x:c r="A384" s="2"/>
      <x:c r="B384" s="2"/>
      <x:c r="C384" s="2"/>
      <x:c r="D384" s="2"/>
      <x:c r="E384" s="2"/>
      <x:c r="F384" s="2"/>
      <x:c r="G384" s="2"/>
      <x:c r="H384" s="97"/>
      <x:c r="I384" s="97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</x:row>
    <x:row r="385">
      <x:c r="A385" s="2"/>
      <x:c r="B385" s="2"/>
      <x:c r="C385" s="2"/>
      <x:c r="D385" s="2"/>
      <x:c r="E385" s="2"/>
      <x:c r="F385" s="2"/>
      <x:c r="G385" s="2"/>
      <x:c r="H385" s="97"/>
      <x:c r="I385" s="97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</x:row>
    <x:row r="386">
      <x:c r="A386" s="2"/>
      <x:c r="B386" s="2"/>
      <x:c r="C386" s="2"/>
      <x:c r="D386" s="2"/>
      <x:c r="E386" s="2"/>
      <x:c r="F386" s="2"/>
      <x:c r="G386" s="2"/>
      <x:c r="H386" s="97"/>
      <x:c r="I386" s="97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</x:row>
    <x:row r="387">
      <x:c r="A387" s="2"/>
      <x:c r="B387" s="2"/>
      <x:c r="C387" s="2"/>
      <x:c r="D387" s="2"/>
      <x:c r="E387" s="2"/>
      <x:c r="F387" s="2"/>
      <x:c r="G387" s="2"/>
      <x:c r="H387" s="97"/>
      <x:c r="I387" s="97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</x:row>
    <x:row r="388">
      <x:c r="A388" s="2"/>
      <x:c r="B388" s="2"/>
      <x:c r="C388" s="2"/>
      <x:c r="D388" s="2"/>
      <x:c r="E388" s="2"/>
      <x:c r="F388" s="2"/>
      <x:c r="G388" s="2"/>
      <x:c r="H388" s="97"/>
      <x:c r="I388" s="97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</x:row>
    <x:row r="389">
      <x:c r="A389" s="2"/>
      <x:c r="B389" s="2"/>
      <x:c r="C389" s="2"/>
      <x:c r="D389" s="2"/>
      <x:c r="E389" s="2"/>
      <x:c r="F389" s="2"/>
      <x:c r="G389" s="2"/>
      <x:c r="H389" s="97"/>
      <x:c r="I389" s="97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</x:row>
    <x:row r="390">
      <x:c r="A390" s="2"/>
      <x:c r="B390" s="2"/>
      <x:c r="C390" s="2"/>
      <x:c r="D390" s="2"/>
      <x:c r="E390" s="2"/>
      <x:c r="F390" s="2"/>
      <x:c r="G390" s="2"/>
      <x:c r="H390" s="97"/>
      <x:c r="I390" s="97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</x:row>
    <x:row r="391">
      <x:c r="A391" s="2"/>
      <x:c r="B391" s="2"/>
      <x:c r="C391" s="2"/>
      <x:c r="D391" s="2"/>
      <x:c r="E391" s="2"/>
      <x:c r="F391" s="2"/>
      <x:c r="G391" s="2"/>
      <x:c r="H391" s="97"/>
      <x:c r="I391" s="97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</x:row>
    <x:row r="392">
      <x:c r="A392" s="2"/>
      <x:c r="B392" s="2"/>
      <x:c r="C392" s="2"/>
      <x:c r="D392" s="2"/>
      <x:c r="E392" s="2"/>
      <x:c r="F392" s="2"/>
      <x:c r="G392" s="2"/>
      <x:c r="H392" s="97"/>
      <x:c r="I392" s="97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</x:row>
    <x:row r="393">
      <x:c r="A393" s="2"/>
      <x:c r="B393" s="2"/>
      <x:c r="C393" s="2"/>
      <x:c r="D393" s="2"/>
      <x:c r="E393" s="2"/>
      <x:c r="F393" s="2"/>
      <x:c r="G393" s="2"/>
      <x:c r="H393" s="97"/>
      <x:c r="I393" s="97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</x:row>
    <x:row r="394">
      <x:c r="A394" s="2"/>
      <x:c r="B394" s="2"/>
      <x:c r="C394" s="2"/>
      <x:c r="D394" s="2"/>
      <x:c r="E394" s="2"/>
      <x:c r="F394" s="2"/>
      <x:c r="G394" s="2"/>
      <x:c r="H394" s="97"/>
      <x:c r="I394" s="97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</x:row>
    <x:row r="395">
      <x:c r="A395" s="2"/>
      <x:c r="B395" s="2"/>
      <x:c r="C395" s="2"/>
      <x:c r="D395" s="2"/>
      <x:c r="E395" s="2"/>
      <x:c r="F395" s="2"/>
      <x:c r="G395" s="2"/>
      <x:c r="H395" s="97"/>
      <x:c r="I395" s="97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</x:row>
    <x:row r="396">
      <x:c r="A396" s="2"/>
      <x:c r="B396" s="2"/>
      <x:c r="C396" s="2"/>
      <x:c r="D396" s="2"/>
      <x:c r="E396" s="2"/>
      <x:c r="F396" s="2"/>
      <x:c r="G396" s="2"/>
      <x:c r="H396" s="97"/>
      <x:c r="I396" s="97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</x:row>
    <x:row r="397">
      <x:c r="A397" s="2"/>
      <x:c r="B397" s="2"/>
      <x:c r="C397" s="2"/>
      <x:c r="D397" s="2"/>
      <x:c r="E397" s="2"/>
      <x:c r="F397" s="2"/>
      <x:c r="G397" s="2"/>
      <x:c r="H397" s="97"/>
      <x:c r="I397" s="97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</x:row>
    <x:row r="398">
      <x:c r="A398" s="2"/>
      <x:c r="B398" s="2"/>
      <x:c r="C398" s="2"/>
      <x:c r="D398" s="2"/>
      <x:c r="E398" s="2"/>
      <x:c r="F398" s="2"/>
      <x:c r="G398" s="2"/>
      <x:c r="H398" s="97"/>
      <x:c r="I398" s="97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</x:row>
    <x:row r="399">
      <x:c r="A399" s="2"/>
      <x:c r="B399" s="2"/>
      <x:c r="C399" s="2"/>
      <x:c r="D399" s="2"/>
      <x:c r="E399" s="2"/>
      <x:c r="F399" s="2"/>
      <x:c r="G399" s="2"/>
      <x:c r="H399" s="97"/>
      <x:c r="I399" s="97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</x:row>
    <x:row r="400">
      <x:c r="A400" s="2"/>
      <x:c r="B400" s="2"/>
      <x:c r="C400" s="2"/>
      <x:c r="D400" s="2"/>
      <x:c r="E400" s="2"/>
      <x:c r="F400" s="2"/>
      <x:c r="G400" s="2"/>
      <x:c r="H400" s="97"/>
      <x:c r="I400" s="97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</x:row>
    <x:row r="401">
      <x:c r="A401" s="2"/>
      <x:c r="B401" s="2"/>
      <x:c r="C401" s="2"/>
      <x:c r="D401" s="2"/>
      <x:c r="E401" s="2"/>
      <x:c r="F401" s="2"/>
      <x:c r="G401" s="2"/>
      <x:c r="H401" s="97"/>
      <x:c r="I401" s="97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</x:row>
    <x:row r="402">
      <x:c r="A402" s="2"/>
      <x:c r="B402" s="2"/>
      <x:c r="C402" s="2"/>
      <x:c r="D402" s="2"/>
      <x:c r="E402" s="2"/>
      <x:c r="F402" s="2"/>
      <x:c r="G402" s="2"/>
      <x:c r="H402" s="97"/>
      <x:c r="I402" s="97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</x:row>
    <x:row r="403">
      <x:c r="A403" s="2"/>
      <x:c r="B403" s="2"/>
      <x:c r="C403" s="2"/>
      <x:c r="D403" s="2"/>
      <x:c r="E403" s="2"/>
      <x:c r="F403" s="2"/>
      <x:c r="G403" s="2"/>
      <x:c r="H403" s="97"/>
      <x:c r="I403" s="97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</x:row>
    <x:row r="404">
      <x:c r="A404" s="2"/>
      <x:c r="B404" s="2"/>
      <x:c r="C404" s="2"/>
      <x:c r="D404" s="2"/>
      <x:c r="E404" s="2"/>
      <x:c r="F404" s="2"/>
      <x:c r="G404" s="2"/>
      <x:c r="H404" s="97"/>
      <x:c r="I404" s="97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</x:row>
    <x:row r="405">
      <x:c r="A405" s="2"/>
      <x:c r="B405" s="2"/>
      <x:c r="C405" s="2"/>
      <x:c r="D405" s="2"/>
      <x:c r="E405" s="2"/>
      <x:c r="F405" s="2"/>
      <x:c r="G405" s="2"/>
      <x:c r="H405" s="97"/>
      <x:c r="I405" s="97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</x:row>
    <x:row r="406">
      <x:c r="A406" s="2"/>
      <x:c r="B406" s="2"/>
      <x:c r="C406" s="2"/>
      <x:c r="D406" s="2"/>
      <x:c r="E406" s="2"/>
      <x:c r="F406" s="2"/>
      <x:c r="G406" s="2"/>
      <x:c r="H406" s="97"/>
      <x:c r="I406" s="97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</x:row>
    <x:row r="407">
      <x:c r="A407" s="2"/>
      <x:c r="B407" s="2"/>
      <x:c r="C407" s="2"/>
      <x:c r="D407" s="2"/>
      <x:c r="E407" s="2"/>
      <x:c r="F407" s="2"/>
      <x:c r="G407" s="2"/>
      <x:c r="H407" s="97"/>
      <x:c r="I407" s="97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</x:row>
    <x:row r="408">
      <x:c r="A408" s="2"/>
      <x:c r="B408" s="2"/>
      <x:c r="C408" s="2"/>
      <x:c r="D408" s="2"/>
      <x:c r="E408" s="2"/>
      <x:c r="F408" s="2"/>
      <x:c r="G408" s="2"/>
      <x:c r="H408" s="97"/>
      <x:c r="I408" s="97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</x:row>
    <x:row r="409">
      <x:c r="A409" s="2"/>
      <x:c r="B409" s="2"/>
      <x:c r="C409" s="2"/>
      <x:c r="D409" s="2"/>
      <x:c r="E409" s="2"/>
      <x:c r="F409" s="2"/>
      <x:c r="G409" s="2"/>
      <x:c r="H409" s="97"/>
      <x:c r="I409" s="97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</x:row>
    <x:row r="410">
      <x:c r="A410" s="2"/>
      <x:c r="B410" s="2"/>
      <x:c r="C410" s="2"/>
      <x:c r="D410" s="2"/>
      <x:c r="E410" s="2"/>
      <x:c r="F410" s="2"/>
      <x:c r="G410" s="2"/>
      <x:c r="H410" s="97"/>
      <x:c r="I410" s="97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</x:row>
    <x:row r="411">
      <x:c r="A411" s="2"/>
      <x:c r="B411" s="2"/>
      <x:c r="C411" s="2"/>
      <x:c r="D411" s="2"/>
      <x:c r="E411" s="2"/>
      <x:c r="F411" s="2"/>
      <x:c r="G411" s="2"/>
      <x:c r="H411" s="97"/>
      <x:c r="I411" s="97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</x:row>
    <x:row r="412">
      <x:c r="A412" s="2"/>
      <x:c r="B412" s="2"/>
      <x:c r="C412" s="2"/>
      <x:c r="D412" s="2"/>
      <x:c r="E412" s="2"/>
      <x:c r="F412" s="2"/>
      <x:c r="G412" s="2"/>
      <x:c r="H412" s="97"/>
      <x:c r="I412" s="97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</x:row>
    <x:row r="413">
      <x:c r="A413" s="2"/>
      <x:c r="B413" s="2"/>
      <x:c r="C413" s="2"/>
      <x:c r="D413" s="2"/>
      <x:c r="E413" s="2"/>
      <x:c r="F413" s="2"/>
      <x:c r="G413" s="2"/>
      <x:c r="H413" s="97"/>
      <x:c r="I413" s="97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</x:row>
    <x:row r="414">
      <x:c r="A414" s="2"/>
      <x:c r="B414" s="2"/>
      <x:c r="C414" s="2"/>
      <x:c r="D414" s="2"/>
      <x:c r="E414" s="2"/>
      <x:c r="F414" s="2"/>
      <x:c r="G414" s="2"/>
      <x:c r="H414" s="97"/>
      <x:c r="I414" s="97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</x:row>
    <x:row r="415">
      <x:c r="A415" s="2"/>
      <x:c r="B415" s="2"/>
      <x:c r="C415" s="2"/>
      <x:c r="D415" s="2"/>
      <x:c r="E415" s="2"/>
      <x:c r="F415" s="2"/>
      <x:c r="G415" s="2"/>
      <x:c r="H415" s="97"/>
      <x:c r="I415" s="97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</x:row>
    <x:row r="416">
      <x:c r="A416" s="2"/>
      <x:c r="B416" s="2"/>
      <x:c r="C416" s="2"/>
      <x:c r="D416" s="2"/>
      <x:c r="E416" s="2"/>
      <x:c r="F416" s="2"/>
      <x:c r="G416" s="2"/>
      <x:c r="H416" s="97"/>
      <x:c r="I416" s="97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</x:row>
    <x:row r="417">
      <x:c r="A417" s="2"/>
      <x:c r="B417" s="2"/>
      <x:c r="C417" s="2"/>
      <x:c r="D417" s="2"/>
      <x:c r="E417" s="2"/>
      <x:c r="F417" s="2"/>
      <x:c r="G417" s="2"/>
      <x:c r="H417" s="97"/>
      <x:c r="I417" s="97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</x:row>
    <x:row r="418">
      <x:c r="A418" s="2"/>
      <x:c r="B418" s="2"/>
      <x:c r="C418" s="2"/>
      <x:c r="D418" s="2"/>
      <x:c r="E418" s="2"/>
      <x:c r="F418" s="2"/>
      <x:c r="G418" s="2"/>
      <x:c r="H418" s="97"/>
      <x:c r="I418" s="97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</x:row>
    <x:row r="419">
      <x:c r="A419" s="2"/>
      <x:c r="B419" s="2"/>
      <x:c r="C419" s="2"/>
      <x:c r="D419" s="2"/>
      <x:c r="E419" s="2"/>
      <x:c r="F419" s="2"/>
      <x:c r="G419" s="2"/>
      <x:c r="H419" s="97"/>
      <x:c r="I419" s="97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</x:row>
    <x:row r="420">
      <x:c r="A420" s="2"/>
      <x:c r="B420" s="2"/>
      <x:c r="C420" s="2"/>
      <x:c r="D420" s="2"/>
      <x:c r="E420" s="2"/>
      <x:c r="F420" s="2"/>
      <x:c r="G420" s="2"/>
      <x:c r="H420" s="97"/>
      <x:c r="I420" s="97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</x:row>
    <x:row r="421">
      <x:c r="A421" s="2"/>
      <x:c r="B421" s="2"/>
      <x:c r="C421" s="2"/>
      <x:c r="D421" s="2"/>
      <x:c r="E421" s="2"/>
      <x:c r="F421" s="2"/>
      <x:c r="G421" s="2"/>
      <x:c r="H421" s="97"/>
      <x:c r="I421" s="97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</x:row>
    <x:row r="422">
      <x:c r="A422" s="2"/>
      <x:c r="B422" s="2"/>
      <x:c r="C422" s="2"/>
      <x:c r="D422" s="2"/>
      <x:c r="E422" s="2"/>
      <x:c r="F422" s="2"/>
      <x:c r="G422" s="2"/>
      <x:c r="H422" s="97"/>
      <x:c r="I422" s="97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</x:row>
    <x:row r="423">
      <x:c r="A423" s="2"/>
      <x:c r="B423" s="2"/>
      <x:c r="C423" s="2"/>
      <x:c r="D423" s="2"/>
      <x:c r="E423" s="2"/>
      <x:c r="F423" s="2"/>
      <x:c r="G423" s="2"/>
      <x:c r="H423" s="97"/>
      <x:c r="I423" s="97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</x:row>
    <x:row r="424">
      <x:c r="A424" s="2"/>
      <x:c r="B424" s="2"/>
      <x:c r="C424" s="2"/>
      <x:c r="D424" s="2"/>
      <x:c r="E424" s="2"/>
      <x:c r="F424" s="2"/>
      <x:c r="G424" s="2"/>
      <x:c r="H424" s="97"/>
      <x:c r="I424" s="97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</x:row>
    <x:row r="425">
      <x:c r="A425" s="2"/>
      <x:c r="B425" s="2"/>
      <x:c r="C425" s="2"/>
      <x:c r="D425" s="2"/>
      <x:c r="E425" s="2"/>
      <x:c r="F425" s="2"/>
      <x:c r="G425" s="2"/>
      <x:c r="H425" s="97"/>
      <x:c r="I425" s="97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</x:row>
    <x:row r="426">
      <x:c r="A426" s="2"/>
      <x:c r="B426" s="2"/>
      <x:c r="C426" s="2"/>
      <x:c r="D426" s="2"/>
      <x:c r="E426" s="2"/>
      <x:c r="F426" s="2"/>
      <x:c r="G426" s="2"/>
      <x:c r="H426" s="97"/>
      <x:c r="I426" s="97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</x:row>
    <x:row r="427">
      <x:c r="A427" s="2"/>
      <x:c r="B427" s="2"/>
      <x:c r="C427" s="2"/>
      <x:c r="D427" s="2"/>
      <x:c r="E427" s="2"/>
      <x:c r="F427" s="2"/>
      <x:c r="G427" s="2"/>
      <x:c r="H427" s="97"/>
      <x:c r="I427" s="97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</x:row>
    <x:row r="428">
      <x:c r="A428" s="2"/>
      <x:c r="B428" s="2"/>
      <x:c r="C428" s="2"/>
      <x:c r="D428" s="2"/>
      <x:c r="E428" s="2"/>
      <x:c r="F428" s="2"/>
      <x:c r="G428" s="2"/>
      <x:c r="H428" s="97"/>
      <x:c r="I428" s="97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</x:row>
    <x:row r="429">
      <x:c r="A429" s="2"/>
      <x:c r="B429" s="2"/>
      <x:c r="C429" s="2"/>
      <x:c r="D429" s="2"/>
      <x:c r="E429" s="2"/>
      <x:c r="F429" s="2"/>
      <x:c r="G429" s="2"/>
      <x:c r="H429" s="97"/>
      <x:c r="I429" s="97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</x:row>
    <x:row r="430">
      <x:c r="A430" s="2"/>
      <x:c r="B430" s="2"/>
      <x:c r="C430" s="2"/>
      <x:c r="D430" s="2"/>
      <x:c r="E430" s="2"/>
      <x:c r="F430" s="2"/>
      <x:c r="G430" s="2"/>
      <x:c r="H430" s="97"/>
      <x:c r="I430" s="97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</x:row>
    <x:row r="431">
      <x:c r="A431" s="2"/>
      <x:c r="B431" s="2"/>
      <x:c r="C431" s="2"/>
      <x:c r="D431" s="2"/>
      <x:c r="E431" s="2"/>
      <x:c r="F431" s="2"/>
      <x:c r="G431" s="2"/>
      <x:c r="H431" s="97"/>
      <x:c r="I431" s="97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</x:row>
    <x:row r="432">
      <x:c r="A432" s="2"/>
      <x:c r="B432" s="2"/>
      <x:c r="C432" s="2"/>
      <x:c r="D432" s="2"/>
      <x:c r="E432" s="2"/>
      <x:c r="F432" s="2"/>
      <x:c r="G432" s="2"/>
      <x:c r="H432" s="97"/>
      <x:c r="I432" s="97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</x:row>
    <x:row r="433">
      <x:c r="A433" s="2"/>
      <x:c r="B433" s="2"/>
      <x:c r="C433" s="2"/>
      <x:c r="D433" s="2"/>
      <x:c r="E433" s="2"/>
      <x:c r="F433" s="2"/>
      <x:c r="G433" s="2"/>
      <x:c r="H433" s="97"/>
      <x:c r="I433" s="97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</x:row>
    <x:row r="434">
      <x:c r="A434" s="2"/>
      <x:c r="B434" s="2"/>
      <x:c r="C434" s="2"/>
      <x:c r="D434" s="2"/>
      <x:c r="E434" s="2"/>
      <x:c r="F434" s="2"/>
      <x:c r="G434" s="2"/>
      <x:c r="H434" s="97"/>
      <x:c r="I434" s="97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</x:row>
    <x:row r="435">
      <x:c r="A435" s="2"/>
      <x:c r="B435" s="2"/>
      <x:c r="C435" s="2"/>
      <x:c r="D435" s="2"/>
      <x:c r="E435" s="2"/>
      <x:c r="F435" s="2"/>
      <x:c r="G435" s="2"/>
      <x:c r="H435" s="97"/>
      <x:c r="I435" s="97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</x:row>
    <x:row r="436">
      <x:c r="A436" s="2"/>
      <x:c r="B436" s="2"/>
      <x:c r="C436" s="2"/>
      <x:c r="D436" s="2"/>
      <x:c r="E436" s="2"/>
      <x:c r="F436" s="2"/>
      <x:c r="G436" s="2"/>
      <x:c r="H436" s="97"/>
      <x:c r="I436" s="97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</x:row>
    <x:row r="437">
      <x:c r="A437" s="2"/>
      <x:c r="B437" s="2"/>
      <x:c r="C437" s="2"/>
      <x:c r="D437" s="2"/>
      <x:c r="E437" s="2"/>
      <x:c r="F437" s="2"/>
      <x:c r="G437" s="2"/>
      <x:c r="H437" s="97"/>
      <x:c r="I437" s="97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</x:row>
    <x:row r="438">
      <x:c r="A438" s="2"/>
      <x:c r="B438" s="2"/>
      <x:c r="C438" s="2"/>
      <x:c r="D438" s="2"/>
      <x:c r="E438" s="2"/>
      <x:c r="F438" s="2"/>
      <x:c r="G438" s="2"/>
      <x:c r="H438" s="97"/>
      <x:c r="I438" s="97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</x:row>
    <x:row r="439">
      <x:c r="A439" s="2"/>
      <x:c r="B439" s="2"/>
      <x:c r="C439" s="2"/>
      <x:c r="D439" s="2"/>
      <x:c r="E439" s="2"/>
      <x:c r="F439" s="2"/>
      <x:c r="G439" s="2"/>
      <x:c r="H439" s="97"/>
      <x:c r="I439" s="97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</x:row>
    <x:row r="440">
      <x:c r="A440" s="2"/>
      <x:c r="B440" s="2"/>
      <x:c r="C440" s="2"/>
      <x:c r="D440" s="2"/>
      <x:c r="E440" s="2"/>
      <x:c r="F440" s="2"/>
      <x:c r="G440" s="2"/>
      <x:c r="H440" s="97"/>
      <x:c r="I440" s="97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</x:row>
    <x:row r="441">
      <x:c r="A441" s="2"/>
      <x:c r="B441" s="2"/>
      <x:c r="C441" s="2"/>
      <x:c r="D441" s="2"/>
      <x:c r="E441" s="2"/>
      <x:c r="F441" s="2"/>
      <x:c r="G441" s="2"/>
      <x:c r="H441" s="97"/>
      <x:c r="I441" s="97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</x:row>
    <x:row r="442">
      <x:c r="A442" s="2"/>
      <x:c r="B442" s="2"/>
      <x:c r="C442" s="2"/>
      <x:c r="D442" s="2"/>
      <x:c r="E442" s="2"/>
      <x:c r="F442" s="2"/>
      <x:c r="G442" s="2"/>
      <x:c r="H442" s="97"/>
      <x:c r="I442" s="97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</x:row>
    <x:row r="443">
      <x:c r="A443" s="2"/>
      <x:c r="B443" s="2"/>
      <x:c r="C443" s="2"/>
      <x:c r="D443" s="2"/>
      <x:c r="E443" s="2"/>
      <x:c r="F443" s="2"/>
      <x:c r="G443" s="2"/>
      <x:c r="H443" s="97"/>
      <x:c r="I443" s="97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</x:row>
    <x:row r="444">
      <x:c r="A444" s="2"/>
      <x:c r="B444" s="2"/>
      <x:c r="C444" s="2"/>
      <x:c r="D444" s="2"/>
      <x:c r="E444" s="2"/>
      <x:c r="F444" s="2"/>
      <x:c r="G444" s="2"/>
      <x:c r="H444" s="97"/>
      <x:c r="I444" s="97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</x:row>
    <x:row r="445">
      <x:c r="A445" s="2"/>
      <x:c r="B445" s="2"/>
      <x:c r="C445" s="2"/>
      <x:c r="D445" s="2"/>
      <x:c r="E445" s="2"/>
      <x:c r="F445" s="2"/>
      <x:c r="G445" s="2"/>
      <x:c r="H445" s="97"/>
      <x:c r="I445" s="97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</x:row>
    <x:row r="446">
      <x:c r="A446" s="2"/>
      <x:c r="B446" s="2"/>
      <x:c r="C446" s="2"/>
      <x:c r="D446" s="2"/>
      <x:c r="E446" s="2"/>
      <x:c r="F446" s="2"/>
      <x:c r="G446" s="2"/>
      <x:c r="H446" s="97"/>
      <x:c r="I446" s="97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</x:row>
    <x:row r="447">
      <x:c r="A447" s="2"/>
      <x:c r="B447" s="2"/>
      <x:c r="C447" s="2"/>
      <x:c r="D447" s="2"/>
      <x:c r="E447" s="2"/>
      <x:c r="F447" s="2"/>
      <x:c r="G447" s="2"/>
      <x:c r="H447" s="97"/>
      <x:c r="I447" s="97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</x:row>
    <x:row r="448">
      <x:c r="A448" s="2"/>
      <x:c r="B448" s="2"/>
      <x:c r="C448" s="2"/>
      <x:c r="D448" s="2"/>
      <x:c r="E448" s="2"/>
      <x:c r="F448" s="2"/>
      <x:c r="G448" s="2"/>
      <x:c r="H448" s="97"/>
      <x:c r="I448" s="97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</x:row>
    <x:row r="449">
      <x:c r="A449" s="2"/>
      <x:c r="B449" s="2"/>
      <x:c r="C449" s="2"/>
      <x:c r="D449" s="2"/>
      <x:c r="E449" s="2"/>
      <x:c r="F449" s="2"/>
      <x:c r="G449" s="2"/>
      <x:c r="H449" s="97"/>
      <x:c r="I449" s="97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</x:row>
    <x:row r="450">
      <x:c r="A450" s="2"/>
      <x:c r="B450" s="2"/>
      <x:c r="C450" s="2"/>
      <x:c r="D450" s="2"/>
      <x:c r="E450" s="2"/>
      <x:c r="F450" s="2"/>
      <x:c r="G450" s="2"/>
      <x:c r="H450" s="97"/>
      <x:c r="I450" s="97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</x:row>
    <x:row r="451">
      <x:c r="A451" s="2"/>
      <x:c r="B451" s="2"/>
      <x:c r="C451" s="2"/>
      <x:c r="D451" s="2"/>
      <x:c r="E451" s="2"/>
      <x:c r="F451" s="2"/>
      <x:c r="G451" s="2"/>
      <x:c r="H451" s="97"/>
      <x:c r="I451" s="97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</x:row>
    <x:row r="452">
      <x:c r="A452" s="2"/>
      <x:c r="B452" s="2"/>
      <x:c r="C452" s="2"/>
      <x:c r="D452" s="2"/>
      <x:c r="E452" s="2"/>
      <x:c r="F452" s="2"/>
      <x:c r="G452" s="2"/>
      <x:c r="H452" s="97"/>
      <x:c r="I452" s="97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</x:row>
    <x:row r="453">
      <x:c r="A453" s="2"/>
      <x:c r="B453" s="2"/>
      <x:c r="C453" s="2"/>
      <x:c r="D453" s="2"/>
      <x:c r="E453" s="2"/>
      <x:c r="F453" s="2"/>
      <x:c r="G453" s="2"/>
      <x:c r="H453" s="97"/>
      <x:c r="I453" s="97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</x:row>
    <x:row r="454">
      <x:c r="A454" s="2"/>
      <x:c r="B454" s="2"/>
      <x:c r="C454" s="2"/>
      <x:c r="D454" s="2"/>
      <x:c r="E454" s="2"/>
      <x:c r="F454" s="2"/>
      <x:c r="G454" s="2"/>
      <x:c r="H454" s="97"/>
      <x:c r="I454" s="97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</x:row>
    <x:row r="455">
      <x:c r="A455" s="2"/>
      <x:c r="B455" s="2"/>
      <x:c r="C455" s="2"/>
      <x:c r="D455" s="2"/>
      <x:c r="E455" s="2"/>
      <x:c r="F455" s="2"/>
      <x:c r="G455" s="2"/>
      <x:c r="H455" s="97"/>
      <x:c r="I455" s="97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</x:row>
    <x:row r="456">
      <x:c r="A456" s="2"/>
      <x:c r="B456" s="2"/>
      <x:c r="C456" s="2"/>
      <x:c r="D456" s="2"/>
      <x:c r="E456" s="2"/>
      <x:c r="F456" s="2"/>
      <x:c r="G456" s="2"/>
      <x:c r="H456" s="97"/>
      <x:c r="I456" s="97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</x:row>
    <x:row r="457">
      <x:c r="A457" s="2"/>
      <x:c r="B457" s="2"/>
      <x:c r="C457" s="2"/>
      <x:c r="D457" s="2"/>
      <x:c r="E457" s="2"/>
      <x:c r="F457" s="2"/>
      <x:c r="G457" s="2"/>
      <x:c r="H457" s="97"/>
      <x:c r="I457" s="97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</x:row>
    <x:row r="458">
      <x:c r="A458" s="2"/>
      <x:c r="B458" s="2"/>
      <x:c r="C458" s="2"/>
      <x:c r="D458" s="2"/>
      <x:c r="E458" s="2"/>
      <x:c r="F458" s="2"/>
      <x:c r="G458" s="2"/>
      <x:c r="H458" s="97"/>
      <x:c r="I458" s="97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</x:row>
    <x:row r="459">
      <x:c r="A459" s="2"/>
      <x:c r="B459" s="2"/>
      <x:c r="C459" s="2"/>
      <x:c r="D459" s="2"/>
      <x:c r="E459" s="2"/>
      <x:c r="F459" s="2"/>
      <x:c r="G459" s="2"/>
      <x:c r="H459" s="97"/>
      <x:c r="I459" s="97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</x:row>
    <x:row r="460">
      <x:c r="A460" s="2"/>
      <x:c r="B460" s="2"/>
      <x:c r="C460" s="2"/>
      <x:c r="D460" s="2"/>
      <x:c r="E460" s="2"/>
      <x:c r="F460" s="2"/>
      <x:c r="G460" s="2"/>
      <x:c r="H460" s="97"/>
      <x:c r="I460" s="97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</x:row>
    <x:row r="461">
      <x:c r="A461" s="2"/>
      <x:c r="B461" s="2"/>
      <x:c r="C461" s="2"/>
      <x:c r="D461" s="2"/>
      <x:c r="E461" s="2"/>
      <x:c r="F461" s="2"/>
      <x:c r="G461" s="2"/>
      <x:c r="H461" s="97"/>
      <x:c r="I461" s="97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</x:row>
    <x:row r="462">
      <x:c r="A462" s="2"/>
      <x:c r="B462" s="2"/>
      <x:c r="C462" s="2"/>
      <x:c r="D462" s="2"/>
      <x:c r="E462" s="2"/>
      <x:c r="F462" s="2"/>
      <x:c r="G462" s="2"/>
      <x:c r="H462" s="97"/>
      <x:c r="I462" s="97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</x:row>
    <x:row r="463">
      <x:c r="A463" s="2"/>
      <x:c r="B463" s="2"/>
      <x:c r="C463" s="2"/>
      <x:c r="D463" s="2"/>
      <x:c r="E463" s="2"/>
      <x:c r="F463" s="2"/>
      <x:c r="G463" s="2"/>
      <x:c r="H463" s="97"/>
      <x:c r="I463" s="97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</x:row>
    <x:row r="464">
      <x:c r="A464" s="2"/>
      <x:c r="B464" s="2"/>
      <x:c r="C464" s="2"/>
      <x:c r="D464" s="2"/>
      <x:c r="E464" s="2"/>
      <x:c r="F464" s="2"/>
      <x:c r="G464" s="2"/>
      <x:c r="H464" s="97"/>
      <x:c r="I464" s="97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</x:row>
    <x:row r="465">
      <x:c r="A465" s="2"/>
      <x:c r="B465" s="2"/>
      <x:c r="C465" s="2"/>
      <x:c r="D465" s="2"/>
      <x:c r="E465" s="2"/>
      <x:c r="F465" s="2"/>
      <x:c r="G465" s="2"/>
      <x:c r="H465" s="97"/>
      <x:c r="I465" s="97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</x:row>
    <x:row r="466">
      <x:c r="A466" s="2"/>
      <x:c r="B466" s="2"/>
      <x:c r="C466" s="2"/>
      <x:c r="D466" s="2"/>
      <x:c r="E466" s="2"/>
      <x:c r="F466" s="2"/>
      <x:c r="G466" s="2"/>
      <x:c r="H466" s="97"/>
      <x:c r="I466" s="97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</x:row>
    <x:row r="467">
      <x:c r="A467" s="2"/>
      <x:c r="B467" s="2"/>
      <x:c r="C467" s="2"/>
      <x:c r="D467" s="2"/>
      <x:c r="E467" s="2"/>
      <x:c r="F467" s="2"/>
      <x:c r="G467" s="2"/>
      <x:c r="H467" s="97"/>
      <x:c r="I467" s="97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</x:row>
    <x:row r="468">
      <x:c r="A468" s="2"/>
      <x:c r="B468" s="2"/>
      <x:c r="C468" s="2"/>
      <x:c r="D468" s="2"/>
      <x:c r="E468" s="2"/>
      <x:c r="F468" s="2"/>
      <x:c r="G468" s="2"/>
      <x:c r="H468" s="97"/>
      <x:c r="I468" s="97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</x:row>
    <x:row r="469">
      <x:c r="A469" s="2"/>
      <x:c r="B469" s="2"/>
      <x:c r="C469" s="2"/>
      <x:c r="D469" s="2"/>
      <x:c r="E469" s="2"/>
      <x:c r="F469" s="2"/>
      <x:c r="G469" s="2"/>
      <x:c r="H469" s="97"/>
      <x:c r="I469" s="97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</x:row>
    <x:row r="470">
      <x:c r="A470" s="2"/>
      <x:c r="B470" s="2"/>
      <x:c r="C470" s="2"/>
      <x:c r="D470" s="2"/>
      <x:c r="E470" s="2"/>
      <x:c r="F470" s="2"/>
      <x:c r="G470" s="2"/>
      <x:c r="H470" s="97"/>
      <x:c r="I470" s="97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</x:row>
    <x:row r="471">
      <x:c r="A471" s="2"/>
      <x:c r="B471" s="2"/>
      <x:c r="C471" s="2"/>
      <x:c r="D471" s="2"/>
      <x:c r="E471" s="2"/>
      <x:c r="F471" s="2"/>
      <x:c r="G471" s="2"/>
      <x:c r="H471" s="97"/>
      <x:c r="I471" s="97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</x:row>
    <x:row r="472">
      <x:c r="A472" s="2"/>
      <x:c r="B472" s="2"/>
      <x:c r="C472" s="2"/>
      <x:c r="D472" s="2"/>
      <x:c r="E472" s="2"/>
      <x:c r="F472" s="2"/>
      <x:c r="G472" s="2"/>
      <x:c r="H472" s="97"/>
      <x:c r="I472" s="97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</x:row>
    <x:row r="473">
      <x:c r="A473" s="2"/>
      <x:c r="B473" s="2"/>
      <x:c r="C473" s="2"/>
      <x:c r="D473" s="2"/>
      <x:c r="E473" s="2"/>
      <x:c r="F473" s="2"/>
      <x:c r="G473" s="2"/>
      <x:c r="H473" s="97"/>
      <x:c r="I473" s="97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</x:row>
    <x:row r="474">
      <x:c r="A474" s="2"/>
      <x:c r="B474" s="2"/>
      <x:c r="C474" s="2"/>
      <x:c r="D474" s="2"/>
      <x:c r="E474" s="2"/>
      <x:c r="F474" s="2"/>
      <x:c r="G474" s="2"/>
      <x:c r="H474" s="97"/>
      <x:c r="I474" s="97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</x:row>
    <x:row r="475">
      <x:c r="A475" s="2"/>
      <x:c r="B475" s="2"/>
      <x:c r="C475" s="2"/>
      <x:c r="D475" s="2"/>
      <x:c r="E475" s="2"/>
      <x:c r="F475" s="2"/>
      <x:c r="G475" s="2"/>
      <x:c r="H475" s="97"/>
      <x:c r="I475" s="97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</x:row>
    <x:row r="476">
      <x:c r="A476" s="2"/>
      <x:c r="B476" s="2"/>
      <x:c r="C476" s="2"/>
      <x:c r="D476" s="2"/>
      <x:c r="E476" s="2"/>
      <x:c r="F476" s="2"/>
      <x:c r="G476" s="2"/>
      <x:c r="H476" s="97"/>
      <x:c r="I476" s="97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</x:row>
    <x:row r="477">
      <x:c r="A477" s="2"/>
      <x:c r="B477" s="2"/>
      <x:c r="C477" s="2"/>
      <x:c r="D477" s="2"/>
      <x:c r="E477" s="2"/>
      <x:c r="F477" s="2"/>
      <x:c r="G477" s="2"/>
      <x:c r="H477" s="97"/>
      <x:c r="I477" s="97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</x:row>
    <x:row r="478">
      <x:c r="A478" s="2"/>
      <x:c r="B478" s="2"/>
      <x:c r="C478" s="2"/>
      <x:c r="D478" s="2"/>
      <x:c r="E478" s="2"/>
      <x:c r="F478" s="2"/>
      <x:c r="G478" s="2"/>
      <x:c r="H478" s="97"/>
      <x:c r="I478" s="97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</x:row>
    <x:row r="479">
      <x:c r="A479" s="2"/>
      <x:c r="B479" s="2"/>
      <x:c r="C479" s="2"/>
      <x:c r="D479" s="2"/>
      <x:c r="E479" s="2"/>
      <x:c r="F479" s="2"/>
      <x:c r="G479" s="2"/>
      <x:c r="H479" s="97"/>
      <x:c r="I479" s="97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</x:row>
    <x:row r="480">
      <x:c r="A480" s="2"/>
      <x:c r="B480" s="2"/>
      <x:c r="C480" s="2"/>
      <x:c r="D480" s="2"/>
      <x:c r="E480" s="2"/>
      <x:c r="F480" s="2"/>
      <x:c r="G480" s="2"/>
      <x:c r="H480" s="97"/>
      <x:c r="I480" s="97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</x:row>
    <x:row r="481">
      <x:c r="A481" s="2"/>
      <x:c r="B481" s="2"/>
      <x:c r="C481" s="2"/>
      <x:c r="D481" s="2"/>
      <x:c r="E481" s="2"/>
      <x:c r="F481" s="2"/>
      <x:c r="G481" s="2"/>
      <x:c r="H481" s="97"/>
      <x:c r="I481" s="97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</x:row>
    <x:row r="482">
      <x:c r="A482" s="2"/>
      <x:c r="B482" s="2"/>
      <x:c r="C482" s="2"/>
      <x:c r="D482" s="2"/>
      <x:c r="E482" s="2"/>
      <x:c r="F482" s="2"/>
      <x:c r="G482" s="2"/>
      <x:c r="H482" s="97"/>
      <x:c r="I482" s="97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</x:row>
    <x:row r="483">
      <x:c r="A483" s="2"/>
      <x:c r="B483" s="2"/>
      <x:c r="C483" s="2"/>
      <x:c r="D483" s="2"/>
      <x:c r="E483" s="2"/>
      <x:c r="F483" s="2"/>
      <x:c r="G483" s="2"/>
      <x:c r="H483" s="97"/>
      <x:c r="I483" s="97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</x:row>
    <x:row r="484">
      <x:c r="A484" s="2"/>
      <x:c r="B484" s="2"/>
      <x:c r="C484" s="2"/>
      <x:c r="D484" s="2"/>
      <x:c r="E484" s="2"/>
      <x:c r="F484" s="2"/>
      <x:c r="G484" s="2"/>
      <x:c r="H484" s="97"/>
      <x:c r="I484" s="97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</x:row>
    <x:row r="485">
      <x:c r="A485" s="2"/>
      <x:c r="B485" s="2"/>
      <x:c r="C485" s="2"/>
      <x:c r="D485" s="2"/>
      <x:c r="E485" s="2"/>
      <x:c r="F485" s="2"/>
      <x:c r="G485" s="2"/>
      <x:c r="H485" s="97"/>
      <x:c r="I485" s="97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</x:row>
    <x:row r="486">
      <x:c r="A486" s="2"/>
      <x:c r="B486" s="2"/>
      <x:c r="C486" s="2"/>
      <x:c r="D486" s="2"/>
      <x:c r="E486" s="2"/>
      <x:c r="F486" s="2"/>
      <x:c r="G486" s="2"/>
      <x:c r="H486" s="97"/>
      <x:c r="I486" s="97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</x:row>
    <x:row r="487">
      <x:c r="A487" s="2"/>
      <x:c r="B487" s="2"/>
      <x:c r="C487" s="2"/>
      <x:c r="D487" s="2"/>
      <x:c r="E487" s="2"/>
      <x:c r="F487" s="2"/>
      <x:c r="G487" s="2"/>
      <x:c r="H487" s="97"/>
      <x:c r="I487" s="97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</x:row>
    <x:row r="488">
      <x:c r="A488" s="2"/>
      <x:c r="B488" s="2"/>
      <x:c r="C488" s="2"/>
      <x:c r="D488" s="2"/>
      <x:c r="E488" s="2"/>
      <x:c r="F488" s="2"/>
      <x:c r="G488" s="2"/>
      <x:c r="H488" s="97"/>
      <x:c r="I488" s="97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</x:row>
    <x:row r="489">
      <x:c r="A489" s="2"/>
      <x:c r="B489" s="2"/>
      <x:c r="C489" s="2"/>
      <x:c r="D489" s="2"/>
      <x:c r="E489" s="2"/>
      <x:c r="F489" s="2"/>
      <x:c r="G489" s="2"/>
      <x:c r="H489" s="97"/>
      <x:c r="I489" s="97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</x:row>
    <x:row r="490">
      <x:c r="A490" s="2"/>
      <x:c r="B490" s="2"/>
      <x:c r="C490" s="2"/>
      <x:c r="D490" s="2"/>
      <x:c r="E490" s="2"/>
      <x:c r="F490" s="2"/>
      <x:c r="G490" s="2"/>
      <x:c r="H490" s="97"/>
      <x:c r="I490" s="97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</x:row>
    <x:row r="491">
      <x:c r="A491" s="2"/>
      <x:c r="B491" s="2"/>
      <x:c r="C491" s="2"/>
      <x:c r="D491" s="2"/>
      <x:c r="E491" s="2"/>
      <x:c r="F491" s="2"/>
      <x:c r="G491" s="2"/>
      <x:c r="H491" s="97"/>
      <x:c r="I491" s="97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</x:row>
    <x:row r="492">
      <x:c r="A492" s="2"/>
      <x:c r="B492" s="2"/>
      <x:c r="C492" s="2"/>
      <x:c r="D492" s="2"/>
      <x:c r="E492" s="2"/>
      <x:c r="F492" s="2"/>
      <x:c r="G492" s="2"/>
      <x:c r="H492" s="97"/>
      <x:c r="I492" s="97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</x:row>
    <x:row r="493">
      <x:c r="A493" s="2"/>
      <x:c r="B493" s="2"/>
      <x:c r="C493" s="2"/>
      <x:c r="D493" s="2"/>
      <x:c r="E493" s="2"/>
      <x:c r="F493" s="2"/>
      <x:c r="G493" s="2"/>
      <x:c r="H493" s="97"/>
      <x:c r="I493" s="97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</x:row>
    <x:row r="494">
      <x:c r="A494" s="2"/>
      <x:c r="B494" s="2"/>
      <x:c r="C494" s="2"/>
      <x:c r="D494" s="2"/>
      <x:c r="E494" s="2"/>
      <x:c r="F494" s="2"/>
      <x:c r="G494" s="2"/>
      <x:c r="H494" s="97"/>
      <x:c r="I494" s="97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</x:row>
    <x:row r="495">
      <x:c r="A495" s="2"/>
      <x:c r="B495" s="2"/>
      <x:c r="C495" s="2"/>
      <x:c r="D495" s="2"/>
      <x:c r="E495" s="2"/>
      <x:c r="F495" s="2"/>
      <x:c r="G495" s="2"/>
      <x:c r="H495" s="97"/>
      <x:c r="I495" s="97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</x:row>
    <x:row r="496">
      <x:c r="A496" s="2"/>
      <x:c r="B496" s="2"/>
      <x:c r="C496" s="2"/>
      <x:c r="D496" s="2"/>
      <x:c r="E496" s="2"/>
      <x:c r="F496" s="2"/>
      <x:c r="G496" s="2"/>
      <x:c r="H496" s="97"/>
      <x:c r="I496" s="97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</x:row>
    <x:row r="497">
      <x:c r="A497" s="2"/>
      <x:c r="B497" s="2"/>
      <x:c r="C497" s="2"/>
      <x:c r="D497" s="2"/>
      <x:c r="E497" s="2"/>
      <x:c r="F497" s="2"/>
      <x:c r="G497" s="2"/>
      <x:c r="H497" s="97"/>
      <x:c r="I497" s="97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</x:row>
    <x:row r="498">
      <x:c r="A498" s="2"/>
      <x:c r="B498" s="2"/>
      <x:c r="C498" s="2"/>
      <x:c r="D498" s="2"/>
      <x:c r="E498" s="2"/>
      <x:c r="F498" s="2"/>
      <x:c r="G498" s="2"/>
      <x:c r="H498" s="97"/>
      <x:c r="I498" s="97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</x:row>
    <x:row r="499">
      <x:c r="A499" s="2"/>
      <x:c r="B499" s="2"/>
      <x:c r="C499" s="2"/>
      <x:c r="D499" s="2"/>
      <x:c r="E499" s="2"/>
      <x:c r="F499" s="2"/>
      <x:c r="G499" s="2"/>
      <x:c r="H499" s="97"/>
      <x:c r="I499" s="97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</x:row>
    <x:row r="500">
      <x:c r="A500" s="2"/>
      <x:c r="B500" s="2"/>
      <x:c r="C500" s="2"/>
      <x:c r="D500" s="2"/>
      <x:c r="E500" s="2"/>
      <x:c r="F500" s="2"/>
      <x:c r="G500" s="2"/>
      <x:c r="H500" s="97"/>
      <x:c r="I500" s="97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</x:row>
  </x:sheetData>
  <x:mergeCells>
    <x:mergeCell ref="A1:V1"/>
  </x:mergeCells>
  <x:dataValidations count="2">
    <x:dataValidation type="list" sqref="K4:K500">
      <x:formula1>"Yes,No,Opportunity Only"</x:formula1>
    </x:dataValidation>
    <x:dataValidation type="list" sqref="U4:U500">
      <x:formula1>"Yes,No,Maybe"</x:formula1>
    </x:dataValidation>
  </x:dataValidation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27" hidden="0" customWidth="1"/>
    <x:col min="6" max="6" width="27" hidden="0" customWidth="1"/>
    <x:col min="7" max="7" width="27" hidden="0" customWidth="1"/>
    <x:col min="8" max="8" width="14" hidden="0" customWidth="1"/>
    <x:col min="9" max="9" width="27" hidden="0" customWidth="1"/>
    <x:col min="10" max="10" width="14" hidden="0" customWidth="1"/>
    <x:col min="11" max="11" width="27" hidden="0" customWidth="1"/>
    <x:col min="12" max="12" width="27" hidden="0" customWidth="1"/>
    <x:col min="13" max="13" width="27" hidden="0" customWidth="1"/>
    <x:col min="14" max="14" width="27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27" hidden="0" customWidth="1"/>
    <x:col min="20" max="20" width="27" hidden="0" customWidth="1"/>
  </x:cols>
  <x:sheetData>
    <x:row r="1" ht="34" customHeight="1">
      <x:c r="A1" s="63" t="str">
        <x:v>CAMP, ACCESS &amp; SCOUTING INTELLIGENCE</x:v>
      </x:c>
    </x:row>
    <x:row r="3">
      <x:c r="A3" s="89" t="str">
        <x:v>State</x:v>
      </x:c>
      <x:c r="B3" s="89" t="str">
        <x:v>Area / Unit</x:v>
      </x:c>
      <x:c r="C3" s="89" t="str">
        <x:v>Hunt / Species</x:v>
      </x:c>
      <x:c r="D3" s="89" t="str">
        <x:v>Access Date</x:v>
      </x:c>
      <x:c r="E3" s="89" t="str">
        <x:v>Parking / Trailhead</x:v>
      </x:c>
      <x:c r="F3" s="89" t="str">
        <x:v>Camp Name / Location</x:v>
      </x:c>
      <x:c r="G3" s="89" t="str">
        <x:v>GPS / Map Link</x:v>
      </x:c>
      <x:c r="H3" s="89" t="str">
        <x:v>Water</x:v>
      </x:c>
      <x:c r="I3" s="89" t="str">
        <x:v>Road / Vehicle Notes</x:v>
      </x:c>
      <x:c r="J3" s="89" t="str">
        <x:v>Cell Service</x:v>
      </x:c>
      <x:c r="K3" s="89" t="str">
        <x:v>Terrain</x:v>
      </x:c>
      <x:c r="L3" s="89" t="str">
        <x:v>Wind / Thermals</x:v>
      </x:c>
      <x:c r="M3" s="89" t="str">
        <x:v>Glassing Points</x:v>
      </x:c>
      <x:c r="N3" s="89" t="str">
        <x:v>Animal Sign / Sightings</x:v>
      </x:c>
      <x:c r="O3" s="89" t="str">
        <x:v>Hunting Pressure</x:v>
      </x:c>
      <x:c r="P3" s="89" t="str">
        <x:v>Pack-in Distance</x:v>
      </x:c>
      <x:c r="Q3" s="89" t="str">
        <x:v>Family Rating</x:v>
      </x:c>
      <x:c r="R3" s="89" t="str">
        <x:v>Would Return?</x:v>
      </x:c>
      <x:c r="S3" s="89" t="str">
        <x:v>Source / Contact</x:v>
      </x:c>
      <x:c r="T3" s="89" t="str">
        <x:v>Field Notes</x:v>
      </x:c>
    </x:row>
    <x:row r="4">
      <x:c r="A4" s="2"/>
      <x:c r="B4" s="2"/>
      <x:c r="C4" s="2"/>
      <x:c r="D4" s="97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>
      <x:c r="A5" s="2"/>
      <x:c r="B5" s="2"/>
      <x:c r="C5" s="2"/>
      <x:c r="D5" s="97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>
      <x:c r="A6" s="2"/>
      <x:c r="B6" s="2"/>
      <x:c r="C6" s="2"/>
      <x:c r="D6" s="97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</x:row>
    <x:row r="7">
      <x:c r="A7" s="2"/>
      <x:c r="B7" s="2"/>
      <x:c r="C7" s="2"/>
      <x:c r="D7" s="97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</x:row>
    <x:row r="8">
      <x:c r="A8" s="2"/>
      <x:c r="B8" s="2"/>
      <x:c r="C8" s="2"/>
      <x:c r="D8" s="97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</x:row>
    <x:row r="9">
      <x:c r="A9" s="2"/>
      <x:c r="B9" s="2"/>
      <x:c r="C9" s="2"/>
      <x:c r="D9" s="97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</x:row>
    <x:row r="10">
      <x:c r="A10" s="2"/>
      <x:c r="B10" s="2"/>
      <x:c r="C10" s="2"/>
      <x:c r="D10" s="97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</x:row>
    <x:row r="11">
      <x:c r="A11" s="2"/>
      <x:c r="B11" s="2"/>
      <x:c r="C11" s="2"/>
      <x:c r="D11" s="97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</x:row>
    <x:row r="12">
      <x:c r="A12" s="2"/>
      <x:c r="B12" s="2"/>
      <x:c r="C12" s="2"/>
      <x:c r="D12" s="97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</x:row>
    <x:row r="13">
      <x:c r="A13" s="2"/>
      <x:c r="B13" s="2"/>
      <x:c r="C13" s="2"/>
      <x:c r="D13" s="97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</x:row>
    <x:row r="14">
      <x:c r="A14" s="2"/>
      <x:c r="B14" s="2"/>
      <x:c r="C14" s="2"/>
      <x:c r="D14" s="97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</x:row>
    <x:row r="15">
      <x:c r="A15" s="2"/>
      <x:c r="B15" s="2"/>
      <x:c r="C15" s="2"/>
      <x:c r="D15" s="97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</x:row>
    <x:row r="16">
      <x:c r="A16" s="2"/>
      <x:c r="B16" s="2"/>
      <x:c r="C16" s="2"/>
      <x:c r="D16" s="97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</x:row>
    <x:row r="17">
      <x:c r="A17" s="2"/>
      <x:c r="B17" s="2"/>
      <x:c r="C17" s="2"/>
      <x:c r="D17" s="97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</x:row>
    <x:row r="18">
      <x:c r="A18" s="2"/>
      <x:c r="B18" s="2"/>
      <x:c r="C18" s="2"/>
      <x:c r="D18" s="97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</x:row>
    <x:row r="19">
      <x:c r="A19" s="2"/>
      <x:c r="B19" s="2"/>
      <x:c r="C19" s="2"/>
      <x:c r="D19" s="97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</x:row>
    <x:row r="20">
      <x:c r="A20" s="2"/>
      <x:c r="B20" s="2"/>
      <x:c r="C20" s="2"/>
      <x:c r="D20" s="97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</x:row>
    <x:row r="21">
      <x:c r="A21" s="2"/>
      <x:c r="B21" s="2"/>
      <x:c r="C21" s="2"/>
      <x:c r="D21" s="97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</x:row>
    <x:row r="22">
      <x:c r="A22" s="2"/>
      <x:c r="B22" s="2"/>
      <x:c r="C22" s="2"/>
      <x:c r="D22" s="97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</x:row>
    <x:row r="23">
      <x:c r="A23" s="2"/>
      <x:c r="B23" s="2"/>
      <x:c r="C23" s="2"/>
      <x:c r="D23" s="97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</x:row>
    <x:row r="24">
      <x:c r="A24" s="2"/>
      <x:c r="B24" s="2"/>
      <x:c r="C24" s="2"/>
      <x:c r="D24" s="97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</x:row>
    <x:row r="25">
      <x:c r="A25" s="2"/>
      <x:c r="B25" s="2"/>
      <x:c r="C25" s="2"/>
      <x:c r="D25" s="97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</x:row>
    <x:row r="26">
      <x:c r="A26" s="2"/>
      <x:c r="B26" s="2"/>
      <x:c r="C26" s="2"/>
      <x:c r="D26" s="97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</x:row>
    <x:row r="27">
      <x:c r="A27" s="2"/>
      <x:c r="B27" s="2"/>
      <x:c r="C27" s="2"/>
      <x:c r="D27" s="97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</x:row>
    <x:row r="28">
      <x:c r="A28" s="2"/>
      <x:c r="B28" s="2"/>
      <x:c r="C28" s="2"/>
      <x:c r="D28" s="97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</x:row>
    <x:row r="29">
      <x:c r="A29" s="2"/>
      <x:c r="B29" s="2"/>
      <x:c r="C29" s="2"/>
      <x:c r="D29" s="97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</x:row>
    <x:row r="30">
      <x:c r="A30" s="2"/>
      <x:c r="B30" s="2"/>
      <x:c r="C30" s="2"/>
      <x:c r="D30" s="97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</x:row>
    <x:row r="31">
      <x:c r="A31" s="2"/>
      <x:c r="B31" s="2"/>
      <x:c r="C31" s="2"/>
      <x:c r="D31" s="97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</x:row>
    <x:row r="32">
      <x:c r="A32" s="2"/>
      <x:c r="B32" s="2"/>
      <x:c r="C32" s="2"/>
      <x:c r="D32" s="97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</x:row>
    <x:row r="33">
      <x:c r="A33" s="2"/>
      <x:c r="B33" s="2"/>
      <x:c r="C33" s="2"/>
      <x:c r="D33" s="97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</x:row>
    <x:row r="34">
      <x:c r="A34" s="2"/>
      <x:c r="B34" s="2"/>
      <x:c r="C34" s="2"/>
      <x:c r="D34" s="97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</x:row>
    <x:row r="35">
      <x:c r="A35" s="2"/>
      <x:c r="B35" s="2"/>
      <x:c r="C35" s="2"/>
      <x:c r="D35" s="97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</x:row>
    <x:row r="36">
      <x:c r="A36" s="2"/>
      <x:c r="B36" s="2"/>
      <x:c r="C36" s="2"/>
      <x:c r="D36" s="97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</x:row>
    <x:row r="37">
      <x:c r="A37" s="2"/>
      <x:c r="B37" s="2"/>
      <x:c r="C37" s="2"/>
      <x:c r="D37" s="97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</x:row>
    <x:row r="38">
      <x:c r="A38" s="2"/>
      <x:c r="B38" s="2"/>
      <x:c r="C38" s="2"/>
      <x:c r="D38" s="97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</x:row>
    <x:row r="39">
      <x:c r="A39" s="2"/>
      <x:c r="B39" s="2"/>
      <x:c r="C39" s="2"/>
      <x:c r="D39" s="97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</x:row>
    <x:row r="40">
      <x:c r="A40" s="2"/>
      <x:c r="B40" s="2"/>
      <x:c r="C40" s="2"/>
      <x:c r="D40" s="97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</x:row>
    <x:row r="41">
      <x:c r="A41" s="2"/>
      <x:c r="B41" s="2"/>
      <x:c r="C41" s="2"/>
      <x:c r="D41" s="97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</x:row>
    <x:row r="42">
      <x:c r="A42" s="2"/>
      <x:c r="B42" s="2"/>
      <x:c r="C42" s="2"/>
      <x:c r="D42" s="97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</x:row>
    <x:row r="43">
      <x:c r="A43" s="2"/>
      <x:c r="B43" s="2"/>
      <x:c r="C43" s="2"/>
      <x:c r="D43" s="97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</x:row>
    <x:row r="44">
      <x:c r="A44" s="2"/>
      <x:c r="B44" s="2"/>
      <x:c r="C44" s="2"/>
      <x:c r="D44" s="97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</x:row>
    <x:row r="45">
      <x:c r="A45" s="2"/>
      <x:c r="B45" s="2"/>
      <x:c r="C45" s="2"/>
      <x:c r="D45" s="97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</x:row>
    <x:row r="46">
      <x:c r="A46" s="2"/>
      <x:c r="B46" s="2"/>
      <x:c r="C46" s="2"/>
      <x:c r="D46" s="97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</x:row>
    <x:row r="47">
      <x:c r="A47" s="2"/>
      <x:c r="B47" s="2"/>
      <x:c r="C47" s="2"/>
      <x:c r="D47" s="97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</x:row>
    <x:row r="48">
      <x:c r="A48" s="2"/>
      <x:c r="B48" s="2"/>
      <x:c r="C48" s="2"/>
      <x:c r="D48" s="97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</x:row>
    <x:row r="49">
      <x:c r="A49" s="2"/>
      <x:c r="B49" s="2"/>
      <x:c r="C49" s="2"/>
      <x:c r="D49" s="97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</x:row>
    <x:row r="50">
      <x:c r="A50" s="2"/>
      <x:c r="B50" s="2"/>
      <x:c r="C50" s="2"/>
      <x:c r="D50" s="97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</x:row>
    <x:row r="51">
      <x:c r="A51" s="2"/>
      <x:c r="B51" s="2"/>
      <x:c r="C51" s="2"/>
      <x:c r="D51" s="97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</x:row>
    <x:row r="52">
      <x:c r="A52" s="2"/>
      <x:c r="B52" s="2"/>
      <x:c r="C52" s="2"/>
      <x:c r="D52" s="97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</x:row>
    <x:row r="53">
      <x:c r="A53" s="2"/>
      <x:c r="B53" s="2"/>
      <x:c r="C53" s="2"/>
      <x:c r="D53" s="97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</x:row>
    <x:row r="54">
      <x:c r="A54" s="2"/>
      <x:c r="B54" s="2"/>
      <x:c r="C54" s="2"/>
      <x:c r="D54" s="97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</x:row>
    <x:row r="55">
      <x:c r="A55" s="2"/>
      <x:c r="B55" s="2"/>
      <x:c r="C55" s="2"/>
      <x:c r="D55" s="97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</x:row>
    <x:row r="56">
      <x:c r="A56" s="2"/>
      <x:c r="B56" s="2"/>
      <x:c r="C56" s="2"/>
      <x:c r="D56" s="97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</x:row>
    <x:row r="57">
      <x:c r="A57" s="2"/>
      <x:c r="B57" s="2"/>
      <x:c r="C57" s="2"/>
      <x:c r="D57" s="97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</x:row>
    <x:row r="58">
      <x:c r="A58" s="2"/>
      <x:c r="B58" s="2"/>
      <x:c r="C58" s="2"/>
      <x:c r="D58" s="97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</x:row>
    <x:row r="59">
      <x:c r="A59" s="2"/>
      <x:c r="B59" s="2"/>
      <x:c r="C59" s="2"/>
      <x:c r="D59" s="97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</x:row>
    <x:row r="60">
      <x:c r="A60" s="2"/>
      <x:c r="B60" s="2"/>
      <x:c r="C60" s="2"/>
      <x:c r="D60" s="97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</x:row>
    <x:row r="61">
      <x:c r="A61" s="2"/>
      <x:c r="B61" s="2"/>
      <x:c r="C61" s="2"/>
      <x:c r="D61" s="97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</x:row>
    <x:row r="62">
      <x:c r="A62" s="2"/>
      <x:c r="B62" s="2"/>
      <x:c r="C62" s="2"/>
      <x:c r="D62" s="97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</x:row>
    <x:row r="63">
      <x:c r="A63" s="2"/>
      <x:c r="B63" s="2"/>
      <x:c r="C63" s="2"/>
      <x:c r="D63" s="97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</x:row>
    <x:row r="64">
      <x:c r="A64" s="2"/>
      <x:c r="B64" s="2"/>
      <x:c r="C64" s="2"/>
      <x:c r="D64" s="97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</x:row>
    <x:row r="65">
      <x:c r="A65" s="2"/>
      <x:c r="B65" s="2"/>
      <x:c r="C65" s="2"/>
      <x:c r="D65" s="97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</x:row>
    <x:row r="66">
      <x:c r="A66" s="2"/>
      <x:c r="B66" s="2"/>
      <x:c r="C66" s="2"/>
      <x:c r="D66" s="97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</x:row>
    <x:row r="67">
      <x:c r="A67" s="2"/>
      <x:c r="B67" s="2"/>
      <x:c r="C67" s="2"/>
      <x:c r="D67" s="97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</x:row>
    <x:row r="68">
      <x:c r="A68" s="2"/>
      <x:c r="B68" s="2"/>
      <x:c r="C68" s="2"/>
      <x:c r="D68" s="97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</x:row>
    <x:row r="69">
      <x:c r="A69" s="2"/>
      <x:c r="B69" s="2"/>
      <x:c r="C69" s="2"/>
      <x:c r="D69" s="97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</x:row>
    <x:row r="70">
      <x:c r="A70" s="2"/>
      <x:c r="B70" s="2"/>
      <x:c r="C70" s="2"/>
      <x:c r="D70" s="97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</x:row>
    <x:row r="71">
      <x:c r="A71" s="2"/>
      <x:c r="B71" s="2"/>
      <x:c r="C71" s="2"/>
      <x:c r="D71" s="97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</x:row>
    <x:row r="72">
      <x:c r="A72" s="2"/>
      <x:c r="B72" s="2"/>
      <x:c r="C72" s="2"/>
      <x:c r="D72" s="97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</x:row>
    <x:row r="73">
      <x:c r="A73" s="2"/>
      <x:c r="B73" s="2"/>
      <x:c r="C73" s="2"/>
      <x:c r="D73" s="97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</x:row>
    <x:row r="74">
      <x:c r="A74" s="2"/>
      <x:c r="B74" s="2"/>
      <x:c r="C74" s="2"/>
      <x:c r="D74" s="97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</x:row>
    <x:row r="75">
      <x:c r="A75" s="2"/>
      <x:c r="B75" s="2"/>
      <x:c r="C75" s="2"/>
      <x:c r="D75" s="97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</x:row>
    <x:row r="76">
      <x:c r="A76" s="2"/>
      <x:c r="B76" s="2"/>
      <x:c r="C76" s="2"/>
      <x:c r="D76" s="97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</x:row>
    <x:row r="77">
      <x:c r="A77" s="2"/>
      <x:c r="B77" s="2"/>
      <x:c r="C77" s="2"/>
      <x:c r="D77" s="97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</x:row>
    <x:row r="78">
      <x:c r="A78" s="2"/>
      <x:c r="B78" s="2"/>
      <x:c r="C78" s="2"/>
      <x:c r="D78" s="97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</x:row>
    <x:row r="79">
      <x:c r="A79" s="2"/>
      <x:c r="B79" s="2"/>
      <x:c r="C79" s="2"/>
      <x:c r="D79" s="97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</x:row>
    <x:row r="80">
      <x:c r="A80" s="2"/>
      <x:c r="B80" s="2"/>
      <x:c r="C80" s="2"/>
      <x:c r="D80" s="97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</x:row>
    <x:row r="81">
      <x:c r="A81" s="2"/>
      <x:c r="B81" s="2"/>
      <x:c r="C81" s="2"/>
      <x:c r="D81" s="97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</x:row>
    <x:row r="82">
      <x:c r="A82" s="2"/>
      <x:c r="B82" s="2"/>
      <x:c r="C82" s="2"/>
      <x:c r="D82" s="97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</x:row>
    <x:row r="83">
      <x:c r="A83" s="2"/>
      <x:c r="B83" s="2"/>
      <x:c r="C83" s="2"/>
      <x:c r="D83" s="97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</x:row>
    <x:row r="84">
      <x:c r="A84" s="2"/>
      <x:c r="B84" s="2"/>
      <x:c r="C84" s="2"/>
      <x:c r="D84" s="97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</x:row>
    <x:row r="85">
      <x:c r="A85" s="2"/>
      <x:c r="B85" s="2"/>
      <x:c r="C85" s="2"/>
      <x:c r="D85" s="97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</x:row>
    <x:row r="86">
      <x:c r="A86" s="2"/>
      <x:c r="B86" s="2"/>
      <x:c r="C86" s="2"/>
      <x:c r="D86" s="97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</x:row>
    <x:row r="87">
      <x:c r="A87" s="2"/>
      <x:c r="B87" s="2"/>
      <x:c r="C87" s="2"/>
      <x:c r="D87" s="97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</x:row>
    <x:row r="88">
      <x:c r="A88" s="2"/>
      <x:c r="B88" s="2"/>
      <x:c r="C88" s="2"/>
      <x:c r="D88" s="97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</x:row>
    <x:row r="89">
      <x:c r="A89" s="2"/>
      <x:c r="B89" s="2"/>
      <x:c r="C89" s="2"/>
      <x:c r="D89" s="97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</x:row>
    <x:row r="90">
      <x:c r="A90" s="2"/>
      <x:c r="B90" s="2"/>
      <x:c r="C90" s="2"/>
      <x:c r="D90" s="97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</x:row>
    <x:row r="91">
      <x:c r="A91" s="2"/>
      <x:c r="B91" s="2"/>
      <x:c r="C91" s="2"/>
      <x:c r="D91" s="97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</x:row>
    <x:row r="92">
      <x:c r="A92" s="2"/>
      <x:c r="B92" s="2"/>
      <x:c r="C92" s="2"/>
      <x:c r="D92" s="97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</x:row>
    <x:row r="93">
      <x:c r="A93" s="2"/>
      <x:c r="B93" s="2"/>
      <x:c r="C93" s="2"/>
      <x:c r="D93" s="97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</x:row>
    <x:row r="94">
      <x:c r="A94" s="2"/>
      <x:c r="B94" s="2"/>
      <x:c r="C94" s="2"/>
      <x:c r="D94" s="97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</x:row>
    <x:row r="95">
      <x:c r="A95" s="2"/>
      <x:c r="B95" s="2"/>
      <x:c r="C95" s="2"/>
      <x:c r="D95" s="97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</x:row>
    <x:row r="96">
      <x:c r="A96" s="2"/>
      <x:c r="B96" s="2"/>
      <x:c r="C96" s="2"/>
      <x:c r="D96" s="97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</x:row>
    <x:row r="97">
      <x:c r="A97" s="2"/>
      <x:c r="B97" s="2"/>
      <x:c r="C97" s="2"/>
      <x:c r="D97" s="97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</x:row>
    <x:row r="98">
      <x:c r="A98" s="2"/>
      <x:c r="B98" s="2"/>
      <x:c r="C98" s="2"/>
      <x:c r="D98" s="97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</x:row>
    <x:row r="99">
      <x:c r="A99" s="2"/>
      <x:c r="B99" s="2"/>
      <x:c r="C99" s="2"/>
      <x:c r="D99" s="97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</x:row>
    <x:row r="100">
      <x:c r="A100" s="2"/>
      <x:c r="B100" s="2"/>
      <x:c r="C100" s="2"/>
      <x:c r="D100" s="97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</x:row>
    <x:row r="101">
      <x:c r="A101" s="2"/>
      <x:c r="B101" s="2"/>
      <x:c r="C101" s="2"/>
      <x:c r="D101" s="97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</x:row>
    <x:row r="102">
      <x:c r="A102" s="2"/>
      <x:c r="B102" s="2"/>
      <x:c r="C102" s="2"/>
      <x:c r="D102" s="97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</x:row>
    <x:row r="103">
      <x:c r="A103" s="2"/>
      <x:c r="B103" s="2"/>
      <x:c r="C103" s="2"/>
      <x:c r="D103" s="97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</x:row>
    <x:row r="104">
      <x:c r="A104" s="2"/>
      <x:c r="B104" s="2"/>
      <x:c r="C104" s="2"/>
      <x:c r="D104" s="97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</x:row>
    <x:row r="105">
      <x:c r="A105" s="2"/>
      <x:c r="B105" s="2"/>
      <x:c r="C105" s="2"/>
      <x:c r="D105" s="97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</x:row>
    <x:row r="106">
      <x:c r="A106" s="2"/>
      <x:c r="B106" s="2"/>
      <x:c r="C106" s="2"/>
      <x:c r="D106" s="97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</x:row>
    <x:row r="107">
      <x:c r="A107" s="2"/>
      <x:c r="B107" s="2"/>
      <x:c r="C107" s="2"/>
      <x:c r="D107" s="97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</x:row>
    <x:row r="108">
      <x:c r="A108" s="2"/>
      <x:c r="B108" s="2"/>
      <x:c r="C108" s="2"/>
      <x:c r="D108" s="97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</x:row>
    <x:row r="109">
      <x:c r="A109" s="2"/>
      <x:c r="B109" s="2"/>
      <x:c r="C109" s="2"/>
      <x:c r="D109" s="97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</x:row>
    <x:row r="110">
      <x:c r="A110" s="2"/>
      <x:c r="B110" s="2"/>
      <x:c r="C110" s="2"/>
      <x:c r="D110" s="97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</x:row>
    <x:row r="111">
      <x:c r="A111" s="2"/>
      <x:c r="B111" s="2"/>
      <x:c r="C111" s="2"/>
      <x:c r="D111" s="97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</x:row>
    <x:row r="112">
      <x:c r="A112" s="2"/>
      <x:c r="B112" s="2"/>
      <x:c r="C112" s="2"/>
      <x:c r="D112" s="97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</x:row>
    <x:row r="113">
      <x:c r="A113" s="2"/>
      <x:c r="B113" s="2"/>
      <x:c r="C113" s="2"/>
      <x:c r="D113" s="97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</x:row>
    <x:row r="114">
      <x:c r="A114" s="2"/>
      <x:c r="B114" s="2"/>
      <x:c r="C114" s="2"/>
      <x:c r="D114" s="97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</x:row>
    <x:row r="115">
      <x:c r="A115" s="2"/>
      <x:c r="B115" s="2"/>
      <x:c r="C115" s="2"/>
      <x:c r="D115" s="97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</x:row>
    <x:row r="116">
      <x:c r="A116" s="2"/>
      <x:c r="B116" s="2"/>
      <x:c r="C116" s="2"/>
      <x:c r="D116" s="97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</x:row>
    <x:row r="117">
      <x:c r="A117" s="2"/>
      <x:c r="B117" s="2"/>
      <x:c r="C117" s="2"/>
      <x:c r="D117" s="97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</x:row>
    <x:row r="118">
      <x:c r="A118" s="2"/>
      <x:c r="B118" s="2"/>
      <x:c r="C118" s="2"/>
      <x:c r="D118" s="97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</x:row>
    <x:row r="119">
      <x:c r="A119" s="2"/>
      <x:c r="B119" s="2"/>
      <x:c r="C119" s="2"/>
      <x:c r="D119" s="97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</x:row>
    <x:row r="120">
      <x:c r="A120" s="2"/>
      <x:c r="B120" s="2"/>
      <x:c r="C120" s="2"/>
      <x:c r="D120" s="97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</x:row>
    <x:row r="121">
      <x:c r="A121" s="2"/>
      <x:c r="B121" s="2"/>
      <x:c r="C121" s="2"/>
      <x:c r="D121" s="97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</x:row>
    <x:row r="122">
      <x:c r="A122" s="2"/>
      <x:c r="B122" s="2"/>
      <x:c r="C122" s="2"/>
      <x:c r="D122" s="97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</x:row>
    <x:row r="123">
      <x:c r="A123" s="2"/>
      <x:c r="B123" s="2"/>
      <x:c r="C123" s="2"/>
      <x:c r="D123" s="97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</x:row>
    <x:row r="124">
      <x:c r="A124" s="2"/>
      <x:c r="B124" s="2"/>
      <x:c r="C124" s="2"/>
      <x:c r="D124" s="97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</x:row>
    <x:row r="125">
      <x:c r="A125" s="2"/>
      <x:c r="B125" s="2"/>
      <x:c r="C125" s="2"/>
      <x:c r="D125" s="97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</x:row>
    <x:row r="126">
      <x:c r="A126" s="2"/>
      <x:c r="B126" s="2"/>
      <x:c r="C126" s="2"/>
      <x:c r="D126" s="97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</x:row>
    <x:row r="127">
      <x:c r="A127" s="2"/>
      <x:c r="B127" s="2"/>
      <x:c r="C127" s="2"/>
      <x:c r="D127" s="97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</x:row>
    <x:row r="128">
      <x:c r="A128" s="2"/>
      <x:c r="B128" s="2"/>
      <x:c r="C128" s="2"/>
      <x:c r="D128" s="97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</x:row>
    <x:row r="129">
      <x:c r="A129" s="2"/>
      <x:c r="B129" s="2"/>
      <x:c r="C129" s="2"/>
      <x:c r="D129" s="97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</x:row>
    <x:row r="130">
      <x:c r="A130" s="2"/>
      <x:c r="B130" s="2"/>
      <x:c r="C130" s="2"/>
      <x:c r="D130" s="97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</x:row>
    <x:row r="131">
      <x:c r="A131" s="2"/>
      <x:c r="B131" s="2"/>
      <x:c r="C131" s="2"/>
      <x:c r="D131" s="97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</x:row>
    <x:row r="132">
      <x:c r="A132" s="2"/>
      <x:c r="B132" s="2"/>
      <x:c r="C132" s="2"/>
      <x:c r="D132" s="97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</x:row>
    <x:row r="133">
      <x:c r="A133" s="2"/>
      <x:c r="B133" s="2"/>
      <x:c r="C133" s="2"/>
      <x:c r="D133" s="97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</x:row>
    <x:row r="134">
      <x:c r="A134" s="2"/>
      <x:c r="B134" s="2"/>
      <x:c r="C134" s="2"/>
      <x:c r="D134" s="97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</x:row>
    <x:row r="135">
      <x:c r="A135" s="2"/>
      <x:c r="B135" s="2"/>
      <x:c r="C135" s="2"/>
      <x:c r="D135" s="97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</x:row>
    <x:row r="136">
      <x:c r="A136" s="2"/>
      <x:c r="B136" s="2"/>
      <x:c r="C136" s="2"/>
      <x:c r="D136" s="97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</x:row>
    <x:row r="137">
      <x:c r="A137" s="2"/>
      <x:c r="B137" s="2"/>
      <x:c r="C137" s="2"/>
      <x:c r="D137" s="97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</x:row>
    <x:row r="138">
      <x:c r="A138" s="2"/>
      <x:c r="B138" s="2"/>
      <x:c r="C138" s="2"/>
      <x:c r="D138" s="97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</x:row>
    <x:row r="139">
      <x:c r="A139" s="2"/>
      <x:c r="B139" s="2"/>
      <x:c r="C139" s="2"/>
      <x:c r="D139" s="97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</x:row>
    <x:row r="140">
      <x:c r="A140" s="2"/>
      <x:c r="B140" s="2"/>
      <x:c r="C140" s="2"/>
      <x:c r="D140" s="97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</x:row>
    <x:row r="141">
      <x:c r="A141" s="2"/>
      <x:c r="B141" s="2"/>
      <x:c r="C141" s="2"/>
      <x:c r="D141" s="97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</x:row>
    <x:row r="142">
      <x:c r="A142" s="2"/>
      <x:c r="B142" s="2"/>
      <x:c r="C142" s="2"/>
      <x:c r="D142" s="97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</x:row>
    <x:row r="143">
      <x:c r="A143" s="2"/>
      <x:c r="B143" s="2"/>
      <x:c r="C143" s="2"/>
      <x:c r="D143" s="97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</x:row>
    <x:row r="144">
      <x:c r="A144" s="2"/>
      <x:c r="B144" s="2"/>
      <x:c r="C144" s="2"/>
      <x:c r="D144" s="97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</x:row>
    <x:row r="145">
      <x:c r="A145" s="2"/>
      <x:c r="B145" s="2"/>
      <x:c r="C145" s="2"/>
      <x:c r="D145" s="97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</x:row>
    <x:row r="146">
      <x:c r="A146" s="2"/>
      <x:c r="B146" s="2"/>
      <x:c r="C146" s="2"/>
      <x:c r="D146" s="97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</x:row>
    <x:row r="147">
      <x:c r="A147" s="2"/>
      <x:c r="B147" s="2"/>
      <x:c r="C147" s="2"/>
      <x:c r="D147" s="97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</x:row>
    <x:row r="148">
      <x:c r="A148" s="2"/>
      <x:c r="B148" s="2"/>
      <x:c r="C148" s="2"/>
      <x:c r="D148" s="97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</x:row>
    <x:row r="149">
      <x:c r="A149" s="2"/>
      <x:c r="B149" s="2"/>
      <x:c r="C149" s="2"/>
      <x:c r="D149" s="97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</x:row>
    <x:row r="150">
      <x:c r="A150" s="2"/>
      <x:c r="B150" s="2"/>
      <x:c r="C150" s="2"/>
      <x:c r="D150" s="97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</x:row>
    <x:row r="151">
      <x:c r="A151" s="2"/>
      <x:c r="B151" s="2"/>
      <x:c r="C151" s="2"/>
      <x:c r="D151" s="97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</x:row>
    <x:row r="152">
      <x:c r="A152" s="2"/>
      <x:c r="B152" s="2"/>
      <x:c r="C152" s="2"/>
      <x:c r="D152" s="97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</x:row>
    <x:row r="153">
      <x:c r="A153" s="2"/>
      <x:c r="B153" s="2"/>
      <x:c r="C153" s="2"/>
      <x:c r="D153" s="97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</x:row>
    <x:row r="154">
      <x:c r="A154" s="2"/>
      <x:c r="B154" s="2"/>
      <x:c r="C154" s="2"/>
      <x:c r="D154" s="97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</x:row>
    <x:row r="155">
      <x:c r="A155" s="2"/>
      <x:c r="B155" s="2"/>
      <x:c r="C155" s="2"/>
      <x:c r="D155" s="97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</x:row>
    <x:row r="156">
      <x:c r="A156" s="2"/>
      <x:c r="B156" s="2"/>
      <x:c r="C156" s="2"/>
      <x:c r="D156" s="97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</x:row>
    <x:row r="157">
      <x:c r="A157" s="2"/>
      <x:c r="B157" s="2"/>
      <x:c r="C157" s="2"/>
      <x:c r="D157" s="97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</x:row>
    <x:row r="158">
      <x:c r="A158" s="2"/>
      <x:c r="B158" s="2"/>
      <x:c r="C158" s="2"/>
      <x:c r="D158" s="97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</x:row>
    <x:row r="159">
      <x:c r="A159" s="2"/>
      <x:c r="B159" s="2"/>
      <x:c r="C159" s="2"/>
      <x:c r="D159" s="97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</x:row>
    <x:row r="160">
      <x:c r="A160" s="2"/>
      <x:c r="B160" s="2"/>
      <x:c r="C160" s="2"/>
      <x:c r="D160" s="97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</x:row>
    <x:row r="161">
      <x:c r="A161" s="2"/>
      <x:c r="B161" s="2"/>
      <x:c r="C161" s="2"/>
      <x:c r="D161" s="97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</x:row>
    <x:row r="162">
      <x:c r="A162" s="2"/>
      <x:c r="B162" s="2"/>
      <x:c r="C162" s="2"/>
      <x:c r="D162" s="97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</x:row>
    <x:row r="163">
      <x:c r="A163" s="2"/>
      <x:c r="B163" s="2"/>
      <x:c r="C163" s="2"/>
      <x:c r="D163" s="97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</x:row>
    <x:row r="164">
      <x:c r="A164" s="2"/>
      <x:c r="B164" s="2"/>
      <x:c r="C164" s="2"/>
      <x:c r="D164" s="97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</x:row>
    <x:row r="165">
      <x:c r="A165" s="2"/>
      <x:c r="B165" s="2"/>
      <x:c r="C165" s="2"/>
      <x:c r="D165" s="97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</x:row>
    <x:row r="166">
      <x:c r="A166" s="2"/>
      <x:c r="B166" s="2"/>
      <x:c r="C166" s="2"/>
      <x:c r="D166" s="97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</x:row>
    <x:row r="167">
      <x:c r="A167" s="2"/>
      <x:c r="B167" s="2"/>
      <x:c r="C167" s="2"/>
      <x:c r="D167" s="97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</x:row>
    <x:row r="168">
      <x:c r="A168" s="2"/>
      <x:c r="B168" s="2"/>
      <x:c r="C168" s="2"/>
      <x:c r="D168" s="97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</x:row>
    <x:row r="169">
      <x:c r="A169" s="2"/>
      <x:c r="B169" s="2"/>
      <x:c r="C169" s="2"/>
      <x:c r="D169" s="97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</x:row>
    <x:row r="170">
      <x:c r="A170" s="2"/>
      <x:c r="B170" s="2"/>
      <x:c r="C170" s="2"/>
      <x:c r="D170" s="97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</x:row>
    <x:row r="171">
      <x:c r="A171" s="2"/>
      <x:c r="B171" s="2"/>
      <x:c r="C171" s="2"/>
      <x:c r="D171" s="97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</x:row>
    <x:row r="172">
      <x:c r="A172" s="2"/>
      <x:c r="B172" s="2"/>
      <x:c r="C172" s="2"/>
      <x:c r="D172" s="97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</x:row>
    <x:row r="173">
      <x:c r="A173" s="2"/>
      <x:c r="B173" s="2"/>
      <x:c r="C173" s="2"/>
      <x:c r="D173" s="97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</x:row>
    <x:row r="174">
      <x:c r="A174" s="2"/>
      <x:c r="B174" s="2"/>
      <x:c r="C174" s="2"/>
      <x:c r="D174" s="97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</x:row>
    <x:row r="175">
      <x:c r="A175" s="2"/>
      <x:c r="B175" s="2"/>
      <x:c r="C175" s="2"/>
      <x:c r="D175" s="97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</x:row>
    <x:row r="176">
      <x:c r="A176" s="2"/>
      <x:c r="B176" s="2"/>
      <x:c r="C176" s="2"/>
      <x:c r="D176" s="97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</x:row>
    <x:row r="177">
      <x:c r="A177" s="2"/>
      <x:c r="B177" s="2"/>
      <x:c r="C177" s="2"/>
      <x:c r="D177" s="97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</x:row>
    <x:row r="178">
      <x:c r="A178" s="2"/>
      <x:c r="B178" s="2"/>
      <x:c r="C178" s="2"/>
      <x:c r="D178" s="97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</x:row>
    <x:row r="179">
      <x:c r="A179" s="2"/>
      <x:c r="B179" s="2"/>
      <x:c r="C179" s="2"/>
      <x:c r="D179" s="97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</x:row>
    <x:row r="180">
      <x:c r="A180" s="2"/>
      <x:c r="B180" s="2"/>
      <x:c r="C180" s="2"/>
      <x:c r="D180" s="97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</x:row>
    <x:row r="181">
      <x:c r="A181" s="2"/>
      <x:c r="B181" s="2"/>
      <x:c r="C181" s="2"/>
      <x:c r="D181" s="97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</x:row>
    <x:row r="182">
      <x:c r="A182" s="2"/>
      <x:c r="B182" s="2"/>
      <x:c r="C182" s="2"/>
      <x:c r="D182" s="97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</x:row>
    <x:row r="183">
      <x:c r="A183" s="2"/>
      <x:c r="B183" s="2"/>
      <x:c r="C183" s="2"/>
      <x:c r="D183" s="97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</x:row>
    <x:row r="184">
      <x:c r="A184" s="2"/>
      <x:c r="B184" s="2"/>
      <x:c r="C184" s="2"/>
      <x:c r="D184" s="97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</x:row>
    <x:row r="185">
      <x:c r="A185" s="2"/>
      <x:c r="B185" s="2"/>
      <x:c r="C185" s="2"/>
      <x:c r="D185" s="97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</x:row>
    <x:row r="186">
      <x:c r="A186" s="2"/>
      <x:c r="B186" s="2"/>
      <x:c r="C186" s="2"/>
      <x:c r="D186" s="97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</x:row>
    <x:row r="187">
      <x:c r="A187" s="2"/>
      <x:c r="B187" s="2"/>
      <x:c r="C187" s="2"/>
      <x:c r="D187" s="97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</x:row>
    <x:row r="188">
      <x:c r="A188" s="2"/>
      <x:c r="B188" s="2"/>
      <x:c r="C188" s="2"/>
      <x:c r="D188" s="97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</x:row>
    <x:row r="189">
      <x:c r="A189" s="2"/>
      <x:c r="B189" s="2"/>
      <x:c r="C189" s="2"/>
      <x:c r="D189" s="97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</x:row>
    <x:row r="190">
      <x:c r="A190" s="2"/>
      <x:c r="B190" s="2"/>
      <x:c r="C190" s="2"/>
      <x:c r="D190" s="97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</x:row>
    <x:row r="191">
      <x:c r="A191" s="2"/>
      <x:c r="B191" s="2"/>
      <x:c r="C191" s="2"/>
      <x:c r="D191" s="97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</x:row>
    <x:row r="192">
      <x:c r="A192" s="2"/>
      <x:c r="B192" s="2"/>
      <x:c r="C192" s="2"/>
      <x:c r="D192" s="97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</x:row>
    <x:row r="193">
      <x:c r="A193" s="2"/>
      <x:c r="B193" s="2"/>
      <x:c r="C193" s="2"/>
      <x:c r="D193" s="97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</x:row>
    <x:row r="194">
      <x:c r="A194" s="2"/>
      <x:c r="B194" s="2"/>
      <x:c r="C194" s="2"/>
      <x:c r="D194" s="97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</x:row>
    <x:row r="195">
      <x:c r="A195" s="2"/>
      <x:c r="B195" s="2"/>
      <x:c r="C195" s="2"/>
      <x:c r="D195" s="97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</x:row>
    <x:row r="196">
      <x:c r="A196" s="2"/>
      <x:c r="B196" s="2"/>
      <x:c r="C196" s="2"/>
      <x:c r="D196" s="97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</x:row>
    <x:row r="197">
      <x:c r="A197" s="2"/>
      <x:c r="B197" s="2"/>
      <x:c r="C197" s="2"/>
      <x:c r="D197" s="97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</x:row>
    <x:row r="198">
      <x:c r="A198" s="2"/>
      <x:c r="B198" s="2"/>
      <x:c r="C198" s="2"/>
      <x:c r="D198" s="97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</x:row>
    <x:row r="199">
      <x:c r="A199" s="2"/>
      <x:c r="B199" s="2"/>
      <x:c r="C199" s="2"/>
      <x:c r="D199" s="97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</x:row>
    <x:row r="200">
      <x:c r="A200" s="2"/>
      <x:c r="B200" s="2"/>
      <x:c r="C200" s="2"/>
      <x:c r="D200" s="97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</x:row>
    <x:row r="201">
      <x:c r="A201" s="2"/>
      <x:c r="B201" s="2"/>
      <x:c r="C201" s="2"/>
      <x:c r="D201" s="97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</x:row>
    <x:row r="202">
      <x:c r="A202" s="2"/>
      <x:c r="B202" s="2"/>
      <x:c r="C202" s="2"/>
      <x:c r="D202" s="97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</x:row>
    <x:row r="203">
      <x:c r="A203" s="2"/>
      <x:c r="B203" s="2"/>
      <x:c r="C203" s="2"/>
      <x:c r="D203" s="97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</x:row>
    <x:row r="204">
      <x:c r="A204" s="2"/>
      <x:c r="B204" s="2"/>
      <x:c r="C204" s="2"/>
      <x:c r="D204" s="97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</x:row>
    <x:row r="205">
      <x:c r="A205" s="2"/>
      <x:c r="B205" s="2"/>
      <x:c r="C205" s="2"/>
      <x:c r="D205" s="97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</x:row>
    <x:row r="206">
      <x:c r="A206" s="2"/>
      <x:c r="B206" s="2"/>
      <x:c r="C206" s="2"/>
      <x:c r="D206" s="97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</x:row>
    <x:row r="207">
      <x:c r="A207" s="2"/>
      <x:c r="B207" s="2"/>
      <x:c r="C207" s="2"/>
      <x:c r="D207" s="97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</x:row>
    <x:row r="208">
      <x:c r="A208" s="2"/>
      <x:c r="B208" s="2"/>
      <x:c r="C208" s="2"/>
      <x:c r="D208" s="97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</x:row>
    <x:row r="209">
      <x:c r="A209" s="2"/>
      <x:c r="B209" s="2"/>
      <x:c r="C209" s="2"/>
      <x:c r="D209" s="97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</x:row>
    <x:row r="210">
      <x:c r="A210" s="2"/>
      <x:c r="B210" s="2"/>
      <x:c r="C210" s="2"/>
      <x:c r="D210" s="97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</x:row>
    <x:row r="211">
      <x:c r="A211" s="2"/>
      <x:c r="B211" s="2"/>
      <x:c r="C211" s="2"/>
      <x:c r="D211" s="97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</x:row>
    <x:row r="212">
      <x:c r="A212" s="2"/>
      <x:c r="B212" s="2"/>
      <x:c r="C212" s="2"/>
      <x:c r="D212" s="97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</x:row>
    <x:row r="213">
      <x:c r="A213" s="2"/>
      <x:c r="B213" s="2"/>
      <x:c r="C213" s="2"/>
      <x:c r="D213" s="97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</x:row>
    <x:row r="214">
      <x:c r="A214" s="2"/>
      <x:c r="B214" s="2"/>
      <x:c r="C214" s="2"/>
      <x:c r="D214" s="97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</x:row>
    <x:row r="215">
      <x:c r="A215" s="2"/>
      <x:c r="B215" s="2"/>
      <x:c r="C215" s="2"/>
      <x:c r="D215" s="97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</x:row>
    <x:row r="216">
      <x:c r="A216" s="2"/>
      <x:c r="B216" s="2"/>
      <x:c r="C216" s="2"/>
      <x:c r="D216" s="97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</x:row>
    <x:row r="217">
      <x:c r="A217" s="2"/>
      <x:c r="B217" s="2"/>
      <x:c r="C217" s="2"/>
      <x:c r="D217" s="97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</x:row>
    <x:row r="218">
      <x:c r="A218" s="2"/>
      <x:c r="B218" s="2"/>
      <x:c r="C218" s="2"/>
      <x:c r="D218" s="97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</x:row>
    <x:row r="219">
      <x:c r="A219" s="2"/>
      <x:c r="B219" s="2"/>
      <x:c r="C219" s="2"/>
      <x:c r="D219" s="97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</x:row>
    <x:row r="220">
      <x:c r="A220" s="2"/>
      <x:c r="B220" s="2"/>
      <x:c r="C220" s="2"/>
      <x:c r="D220" s="97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</x:row>
    <x:row r="221">
      <x:c r="A221" s="2"/>
      <x:c r="B221" s="2"/>
      <x:c r="C221" s="2"/>
      <x:c r="D221" s="97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</x:row>
    <x:row r="222">
      <x:c r="A222" s="2"/>
      <x:c r="B222" s="2"/>
      <x:c r="C222" s="2"/>
      <x:c r="D222" s="97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</x:row>
    <x:row r="223">
      <x:c r="A223" s="2"/>
      <x:c r="B223" s="2"/>
      <x:c r="C223" s="2"/>
      <x:c r="D223" s="97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</x:row>
    <x:row r="224">
      <x:c r="A224" s="2"/>
      <x:c r="B224" s="2"/>
      <x:c r="C224" s="2"/>
      <x:c r="D224" s="97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</x:row>
    <x:row r="225">
      <x:c r="A225" s="2"/>
      <x:c r="B225" s="2"/>
      <x:c r="C225" s="2"/>
      <x:c r="D225" s="97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</x:row>
    <x:row r="226">
      <x:c r="A226" s="2"/>
      <x:c r="B226" s="2"/>
      <x:c r="C226" s="2"/>
      <x:c r="D226" s="97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</x:row>
    <x:row r="227">
      <x:c r="A227" s="2"/>
      <x:c r="B227" s="2"/>
      <x:c r="C227" s="2"/>
      <x:c r="D227" s="97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</x:row>
    <x:row r="228">
      <x:c r="A228" s="2"/>
      <x:c r="B228" s="2"/>
      <x:c r="C228" s="2"/>
      <x:c r="D228" s="97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</x:row>
    <x:row r="229">
      <x:c r="A229" s="2"/>
      <x:c r="B229" s="2"/>
      <x:c r="C229" s="2"/>
      <x:c r="D229" s="97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</x:row>
    <x:row r="230">
      <x:c r="A230" s="2"/>
      <x:c r="B230" s="2"/>
      <x:c r="C230" s="2"/>
      <x:c r="D230" s="97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</x:row>
    <x:row r="231">
      <x:c r="A231" s="2"/>
      <x:c r="B231" s="2"/>
      <x:c r="C231" s="2"/>
      <x:c r="D231" s="97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</x:row>
    <x:row r="232">
      <x:c r="A232" s="2"/>
      <x:c r="B232" s="2"/>
      <x:c r="C232" s="2"/>
      <x:c r="D232" s="97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</x:row>
    <x:row r="233">
      <x:c r="A233" s="2"/>
      <x:c r="B233" s="2"/>
      <x:c r="C233" s="2"/>
      <x:c r="D233" s="97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</x:row>
    <x:row r="234">
      <x:c r="A234" s="2"/>
      <x:c r="B234" s="2"/>
      <x:c r="C234" s="2"/>
      <x:c r="D234" s="97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</x:row>
    <x:row r="235">
      <x:c r="A235" s="2"/>
      <x:c r="B235" s="2"/>
      <x:c r="C235" s="2"/>
      <x:c r="D235" s="97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</x:row>
    <x:row r="236">
      <x:c r="A236" s="2"/>
      <x:c r="B236" s="2"/>
      <x:c r="C236" s="2"/>
      <x:c r="D236" s="97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</x:row>
    <x:row r="237">
      <x:c r="A237" s="2"/>
      <x:c r="B237" s="2"/>
      <x:c r="C237" s="2"/>
      <x:c r="D237" s="97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</x:row>
    <x:row r="238">
      <x:c r="A238" s="2"/>
      <x:c r="B238" s="2"/>
      <x:c r="C238" s="2"/>
      <x:c r="D238" s="97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</x:row>
    <x:row r="239">
      <x:c r="A239" s="2"/>
      <x:c r="B239" s="2"/>
      <x:c r="C239" s="2"/>
      <x:c r="D239" s="97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</x:row>
    <x:row r="240">
      <x:c r="A240" s="2"/>
      <x:c r="B240" s="2"/>
      <x:c r="C240" s="2"/>
      <x:c r="D240" s="97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</x:row>
    <x:row r="241">
      <x:c r="A241" s="2"/>
      <x:c r="B241" s="2"/>
      <x:c r="C241" s="2"/>
      <x:c r="D241" s="97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</x:row>
    <x:row r="242">
      <x:c r="A242" s="2"/>
      <x:c r="B242" s="2"/>
      <x:c r="C242" s="2"/>
      <x:c r="D242" s="97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</x:row>
    <x:row r="243">
      <x:c r="A243" s="2"/>
      <x:c r="B243" s="2"/>
      <x:c r="C243" s="2"/>
      <x:c r="D243" s="97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</x:row>
    <x:row r="244">
      <x:c r="A244" s="2"/>
      <x:c r="B244" s="2"/>
      <x:c r="C244" s="2"/>
      <x:c r="D244" s="97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</x:row>
    <x:row r="245">
      <x:c r="A245" s="2"/>
      <x:c r="B245" s="2"/>
      <x:c r="C245" s="2"/>
      <x:c r="D245" s="97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</x:row>
    <x:row r="246">
      <x:c r="A246" s="2"/>
      <x:c r="B246" s="2"/>
      <x:c r="C246" s="2"/>
      <x:c r="D246" s="97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</x:row>
    <x:row r="247">
      <x:c r="A247" s="2"/>
      <x:c r="B247" s="2"/>
      <x:c r="C247" s="2"/>
      <x:c r="D247" s="97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</x:row>
    <x:row r="248">
      <x:c r="A248" s="2"/>
      <x:c r="B248" s="2"/>
      <x:c r="C248" s="2"/>
      <x:c r="D248" s="97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</x:row>
    <x:row r="249">
      <x:c r="A249" s="2"/>
      <x:c r="B249" s="2"/>
      <x:c r="C249" s="2"/>
      <x:c r="D249" s="97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</x:row>
    <x:row r="250">
      <x:c r="A250" s="2"/>
      <x:c r="B250" s="2"/>
      <x:c r="C250" s="2"/>
      <x:c r="D250" s="97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</x:row>
    <x:row r="251">
      <x:c r="A251" s="2"/>
      <x:c r="B251" s="2"/>
      <x:c r="C251" s="2"/>
      <x:c r="D251" s="97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</x:row>
    <x:row r="252">
      <x:c r="A252" s="2"/>
      <x:c r="B252" s="2"/>
      <x:c r="C252" s="2"/>
      <x:c r="D252" s="97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</x:row>
    <x:row r="253">
      <x:c r="A253" s="2"/>
      <x:c r="B253" s="2"/>
      <x:c r="C253" s="2"/>
      <x:c r="D253" s="97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</x:row>
    <x:row r="254">
      <x:c r="A254" s="2"/>
      <x:c r="B254" s="2"/>
      <x:c r="C254" s="2"/>
      <x:c r="D254" s="97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</x:row>
    <x:row r="255">
      <x:c r="A255" s="2"/>
      <x:c r="B255" s="2"/>
      <x:c r="C255" s="2"/>
      <x:c r="D255" s="97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</x:row>
    <x:row r="256">
      <x:c r="A256" s="2"/>
      <x:c r="B256" s="2"/>
      <x:c r="C256" s="2"/>
      <x:c r="D256" s="97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</x:row>
    <x:row r="257">
      <x:c r="A257" s="2"/>
      <x:c r="B257" s="2"/>
      <x:c r="C257" s="2"/>
      <x:c r="D257" s="97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</x:row>
    <x:row r="258">
      <x:c r="A258" s="2"/>
      <x:c r="B258" s="2"/>
      <x:c r="C258" s="2"/>
      <x:c r="D258" s="97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</x:row>
    <x:row r="259">
      <x:c r="A259" s="2"/>
      <x:c r="B259" s="2"/>
      <x:c r="C259" s="2"/>
      <x:c r="D259" s="97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</x:row>
    <x:row r="260">
      <x:c r="A260" s="2"/>
      <x:c r="B260" s="2"/>
      <x:c r="C260" s="2"/>
      <x:c r="D260" s="97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</x:row>
    <x:row r="261">
      <x:c r="A261" s="2"/>
      <x:c r="B261" s="2"/>
      <x:c r="C261" s="2"/>
      <x:c r="D261" s="97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</x:row>
    <x:row r="262">
      <x:c r="A262" s="2"/>
      <x:c r="B262" s="2"/>
      <x:c r="C262" s="2"/>
      <x:c r="D262" s="97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</x:row>
    <x:row r="263">
      <x:c r="A263" s="2"/>
      <x:c r="B263" s="2"/>
      <x:c r="C263" s="2"/>
      <x:c r="D263" s="97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</x:row>
    <x:row r="264">
      <x:c r="A264" s="2"/>
      <x:c r="B264" s="2"/>
      <x:c r="C264" s="2"/>
      <x:c r="D264" s="97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</x:row>
    <x:row r="265">
      <x:c r="A265" s="2"/>
      <x:c r="B265" s="2"/>
      <x:c r="C265" s="2"/>
      <x:c r="D265" s="97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</x:row>
    <x:row r="266">
      <x:c r="A266" s="2"/>
      <x:c r="B266" s="2"/>
      <x:c r="C266" s="2"/>
      <x:c r="D266" s="97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</x:row>
    <x:row r="267">
      <x:c r="A267" s="2"/>
      <x:c r="B267" s="2"/>
      <x:c r="C267" s="2"/>
      <x:c r="D267" s="97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</x:row>
    <x:row r="268">
      <x:c r="A268" s="2"/>
      <x:c r="B268" s="2"/>
      <x:c r="C268" s="2"/>
      <x:c r="D268" s="97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</x:row>
    <x:row r="269">
      <x:c r="A269" s="2"/>
      <x:c r="B269" s="2"/>
      <x:c r="C269" s="2"/>
      <x:c r="D269" s="97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</x:row>
    <x:row r="270">
      <x:c r="A270" s="2"/>
      <x:c r="B270" s="2"/>
      <x:c r="C270" s="2"/>
      <x:c r="D270" s="97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</x:row>
    <x:row r="271">
      <x:c r="A271" s="2"/>
      <x:c r="B271" s="2"/>
      <x:c r="C271" s="2"/>
      <x:c r="D271" s="97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</x:row>
    <x:row r="272">
      <x:c r="A272" s="2"/>
      <x:c r="B272" s="2"/>
      <x:c r="C272" s="2"/>
      <x:c r="D272" s="97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</x:row>
    <x:row r="273">
      <x:c r="A273" s="2"/>
      <x:c r="B273" s="2"/>
      <x:c r="C273" s="2"/>
      <x:c r="D273" s="97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</x:row>
    <x:row r="274">
      <x:c r="A274" s="2"/>
      <x:c r="B274" s="2"/>
      <x:c r="C274" s="2"/>
      <x:c r="D274" s="97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</x:row>
    <x:row r="275">
      <x:c r="A275" s="2"/>
      <x:c r="B275" s="2"/>
      <x:c r="C275" s="2"/>
      <x:c r="D275" s="97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</x:row>
    <x:row r="276">
      <x:c r="A276" s="2"/>
      <x:c r="B276" s="2"/>
      <x:c r="C276" s="2"/>
      <x:c r="D276" s="97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</x:row>
    <x:row r="277">
      <x:c r="A277" s="2"/>
      <x:c r="B277" s="2"/>
      <x:c r="C277" s="2"/>
      <x:c r="D277" s="97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</x:row>
    <x:row r="278">
      <x:c r="A278" s="2"/>
      <x:c r="B278" s="2"/>
      <x:c r="C278" s="2"/>
      <x:c r="D278" s="97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</x:row>
    <x:row r="279">
      <x:c r="A279" s="2"/>
      <x:c r="B279" s="2"/>
      <x:c r="C279" s="2"/>
      <x:c r="D279" s="97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</x:row>
    <x:row r="280">
      <x:c r="A280" s="2"/>
      <x:c r="B280" s="2"/>
      <x:c r="C280" s="2"/>
      <x:c r="D280" s="97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</x:row>
    <x:row r="281">
      <x:c r="A281" s="2"/>
      <x:c r="B281" s="2"/>
      <x:c r="C281" s="2"/>
      <x:c r="D281" s="97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</x:row>
    <x:row r="282">
      <x:c r="A282" s="2"/>
      <x:c r="B282" s="2"/>
      <x:c r="C282" s="2"/>
      <x:c r="D282" s="97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</x:row>
    <x:row r="283">
      <x:c r="A283" s="2"/>
      <x:c r="B283" s="2"/>
      <x:c r="C283" s="2"/>
      <x:c r="D283" s="97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</x:row>
    <x:row r="284">
      <x:c r="A284" s="2"/>
      <x:c r="B284" s="2"/>
      <x:c r="C284" s="2"/>
      <x:c r="D284" s="97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</x:row>
    <x:row r="285">
      <x:c r="A285" s="2"/>
      <x:c r="B285" s="2"/>
      <x:c r="C285" s="2"/>
      <x:c r="D285" s="97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</x:row>
    <x:row r="286">
      <x:c r="A286" s="2"/>
      <x:c r="B286" s="2"/>
      <x:c r="C286" s="2"/>
      <x:c r="D286" s="97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</x:row>
    <x:row r="287">
      <x:c r="A287" s="2"/>
      <x:c r="B287" s="2"/>
      <x:c r="C287" s="2"/>
      <x:c r="D287" s="97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</x:row>
    <x:row r="288">
      <x:c r="A288" s="2"/>
      <x:c r="B288" s="2"/>
      <x:c r="C288" s="2"/>
      <x:c r="D288" s="97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</x:row>
    <x:row r="289">
      <x:c r="A289" s="2"/>
      <x:c r="B289" s="2"/>
      <x:c r="C289" s="2"/>
      <x:c r="D289" s="97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</x:row>
    <x:row r="290">
      <x:c r="A290" s="2"/>
      <x:c r="B290" s="2"/>
      <x:c r="C290" s="2"/>
      <x:c r="D290" s="97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</x:row>
    <x:row r="291">
      <x:c r="A291" s="2"/>
      <x:c r="B291" s="2"/>
      <x:c r="C291" s="2"/>
      <x:c r="D291" s="97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</x:row>
    <x:row r="292">
      <x:c r="A292" s="2"/>
      <x:c r="B292" s="2"/>
      <x:c r="C292" s="2"/>
      <x:c r="D292" s="97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</x:row>
    <x:row r="293">
      <x:c r="A293" s="2"/>
      <x:c r="B293" s="2"/>
      <x:c r="C293" s="2"/>
      <x:c r="D293" s="97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</x:row>
    <x:row r="294">
      <x:c r="A294" s="2"/>
      <x:c r="B294" s="2"/>
      <x:c r="C294" s="2"/>
      <x:c r="D294" s="97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</x:row>
    <x:row r="295">
      <x:c r="A295" s="2"/>
      <x:c r="B295" s="2"/>
      <x:c r="C295" s="2"/>
      <x:c r="D295" s="97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</x:row>
    <x:row r="296">
      <x:c r="A296" s="2"/>
      <x:c r="B296" s="2"/>
      <x:c r="C296" s="2"/>
      <x:c r="D296" s="97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</x:row>
    <x:row r="297">
      <x:c r="A297" s="2"/>
      <x:c r="B297" s="2"/>
      <x:c r="C297" s="2"/>
      <x:c r="D297" s="97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</x:row>
    <x:row r="298">
      <x:c r="A298" s="2"/>
      <x:c r="B298" s="2"/>
      <x:c r="C298" s="2"/>
      <x:c r="D298" s="97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</x:row>
    <x:row r="299">
      <x:c r="A299" s="2"/>
      <x:c r="B299" s="2"/>
      <x:c r="C299" s="2"/>
      <x:c r="D299" s="97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</x:row>
    <x:row r="300">
      <x:c r="A300" s="2"/>
      <x:c r="B300" s="2"/>
      <x:c r="C300" s="2"/>
      <x:c r="D300" s="97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</x:row>
    <x:row r="301">
      <x:c r="A301" s="2"/>
      <x:c r="B301" s="2"/>
      <x:c r="C301" s="2"/>
      <x:c r="D301" s="97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</x:row>
    <x:row r="302">
      <x:c r="A302" s="2"/>
      <x:c r="B302" s="2"/>
      <x:c r="C302" s="2"/>
      <x:c r="D302" s="97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</x:row>
    <x:row r="303">
      <x:c r="A303" s="2"/>
      <x:c r="B303" s="2"/>
      <x:c r="C303" s="2"/>
      <x:c r="D303" s="97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</x:row>
    <x:row r="304">
      <x:c r="A304" s="2"/>
      <x:c r="B304" s="2"/>
      <x:c r="C304" s="2"/>
      <x:c r="D304" s="97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</x:row>
    <x:row r="305">
      <x:c r="A305" s="2"/>
      <x:c r="B305" s="2"/>
      <x:c r="C305" s="2"/>
      <x:c r="D305" s="97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</x:row>
    <x:row r="306">
      <x:c r="A306" s="2"/>
      <x:c r="B306" s="2"/>
      <x:c r="C306" s="2"/>
      <x:c r="D306" s="97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</x:row>
    <x:row r="307">
      <x:c r="A307" s="2"/>
      <x:c r="B307" s="2"/>
      <x:c r="C307" s="2"/>
      <x:c r="D307" s="97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</x:row>
    <x:row r="308">
      <x:c r="A308" s="2"/>
      <x:c r="B308" s="2"/>
      <x:c r="C308" s="2"/>
      <x:c r="D308" s="97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</x:row>
    <x:row r="309">
      <x:c r="A309" s="2"/>
      <x:c r="B309" s="2"/>
      <x:c r="C309" s="2"/>
      <x:c r="D309" s="97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</x:row>
    <x:row r="310">
      <x:c r="A310" s="2"/>
      <x:c r="B310" s="2"/>
      <x:c r="C310" s="2"/>
      <x:c r="D310" s="97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</x:row>
    <x:row r="311">
      <x:c r="A311" s="2"/>
      <x:c r="B311" s="2"/>
      <x:c r="C311" s="2"/>
      <x:c r="D311" s="97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</x:row>
    <x:row r="312">
      <x:c r="A312" s="2"/>
      <x:c r="B312" s="2"/>
      <x:c r="C312" s="2"/>
      <x:c r="D312" s="97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</x:row>
    <x:row r="313">
      <x:c r="A313" s="2"/>
      <x:c r="B313" s="2"/>
      <x:c r="C313" s="2"/>
      <x:c r="D313" s="97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</x:row>
    <x:row r="314">
      <x:c r="A314" s="2"/>
      <x:c r="B314" s="2"/>
      <x:c r="C314" s="2"/>
      <x:c r="D314" s="97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</x:row>
    <x:row r="315">
      <x:c r="A315" s="2"/>
      <x:c r="B315" s="2"/>
      <x:c r="C315" s="2"/>
      <x:c r="D315" s="97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</x:row>
    <x:row r="316">
      <x:c r="A316" s="2"/>
      <x:c r="B316" s="2"/>
      <x:c r="C316" s="2"/>
      <x:c r="D316" s="97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</x:row>
    <x:row r="317">
      <x:c r="A317" s="2"/>
      <x:c r="B317" s="2"/>
      <x:c r="C317" s="2"/>
      <x:c r="D317" s="97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</x:row>
    <x:row r="318">
      <x:c r="A318" s="2"/>
      <x:c r="B318" s="2"/>
      <x:c r="C318" s="2"/>
      <x:c r="D318" s="97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</x:row>
    <x:row r="319">
      <x:c r="A319" s="2"/>
      <x:c r="B319" s="2"/>
      <x:c r="C319" s="2"/>
      <x:c r="D319" s="97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</x:row>
    <x:row r="320">
      <x:c r="A320" s="2"/>
      <x:c r="B320" s="2"/>
      <x:c r="C320" s="2"/>
      <x:c r="D320" s="97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</x:row>
    <x:row r="321">
      <x:c r="A321" s="2"/>
      <x:c r="B321" s="2"/>
      <x:c r="C321" s="2"/>
      <x:c r="D321" s="97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</x:row>
    <x:row r="322">
      <x:c r="A322" s="2"/>
      <x:c r="B322" s="2"/>
      <x:c r="C322" s="2"/>
      <x:c r="D322" s="97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</x:row>
    <x:row r="323">
      <x:c r="A323" s="2"/>
      <x:c r="B323" s="2"/>
      <x:c r="C323" s="2"/>
      <x:c r="D323" s="97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</x:row>
    <x:row r="324">
      <x:c r="A324" s="2"/>
      <x:c r="B324" s="2"/>
      <x:c r="C324" s="2"/>
      <x:c r="D324" s="97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</x:row>
    <x:row r="325">
      <x:c r="A325" s="2"/>
      <x:c r="B325" s="2"/>
      <x:c r="C325" s="2"/>
      <x:c r="D325" s="97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</x:row>
    <x:row r="326">
      <x:c r="A326" s="2"/>
      <x:c r="B326" s="2"/>
      <x:c r="C326" s="2"/>
      <x:c r="D326" s="97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</x:row>
    <x:row r="327">
      <x:c r="A327" s="2"/>
      <x:c r="B327" s="2"/>
      <x:c r="C327" s="2"/>
      <x:c r="D327" s="97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</x:row>
    <x:row r="328">
      <x:c r="A328" s="2"/>
      <x:c r="B328" s="2"/>
      <x:c r="C328" s="2"/>
      <x:c r="D328" s="97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</x:row>
    <x:row r="329">
      <x:c r="A329" s="2"/>
      <x:c r="B329" s="2"/>
      <x:c r="C329" s="2"/>
      <x:c r="D329" s="97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</x:row>
    <x:row r="330">
      <x:c r="A330" s="2"/>
      <x:c r="B330" s="2"/>
      <x:c r="C330" s="2"/>
      <x:c r="D330" s="97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</x:row>
    <x:row r="331">
      <x:c r="A331" s="2"/>
      <x:c r="B331" s="2"/>
      <x:c r="C331" s="2"/>
      <x:c r="D331" s="97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</x:row>
    <x:row r="332">
      <x:c r="A332" s="2"/>
      <x:c r="B332" s="2"/>
      <x:c r="C332" s="2"/>
      <x:c r="D332" s="97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</x:row>
    <x:row r="333">
      <x:c r="A333" s="2"/>
      <x:c r="B333" s="2"/>
      <x:c r="C333" s="2"/>
      <x:c r="D333" s="97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</x:row>
    <x:row r="334">
      <x:c r="A334" s="2"/>
      <x:c r="B334" s="2"/>
      <x:c r="C334" s="2"/>
      <x:c r="D334" s="97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</x:row>
    <x:row r="335">
      <x:c r="A335" s="2"/>
      <x:c r="B335" s="2"/>
      <x:c r="C335" s="2"/>
      <x:c r="D335" s="97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</x:row>
    <x:row r="336">
      <x:c r="A336" s="2"/>
      <x:c r="B336" s="2"/>
      <x:c r="C336" s="2"/>
      <x:c r="D336" s="97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</x:row>
    <x:row r="337">
      <x:c r="A337" s="2"/>
      <x:c r="B337" s="2"/>
      <x:c r="C337" s="2"/>
      <x:c r="D337" s="97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</x:row>
    <x:row r="338">
      <x:c r="A338" s="2"/>
      <x:c r="B338" s="2"/>
      <x:c r="C338" s="2"/>
      <x:c r="D338" s="97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</x:row>
    <x:row r="339">
      <x:c r="A339" s="2"/>
      <x:c r="B339" s="2"/>
      <x:c r="C339" s="2"/>
      <x:c r="D339" s="97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</x:row>
    <x:row r="340">
      <x:c r="A340" s="2"/>
      <x:c r="B340" s="2"/>
      <x:c r="C340" s="2"/>
      <x:c r="D340" s="97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</x:row>
    <x:row r="341">
      <x:c r="A341" s="2"/>
      <x:c r="B341" s="2"/>
      <x:c r="C341" s="2"/>
      <x:c r="D341" s="97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</x:row>
    <x:row r="342">
      <x:c r="A342" s="2"/>
      <x:c r="B342" s="2"/>
      <x:c r="C342" s="2"/>
      <x:c r="D342" s="97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</x:row>
    <x:row r="343">
      <x:c r="A343" s="2"/>
      <x:c r="B343" s="2"/>
      <x:c r="C343" s="2"/>
      <x:c r="D343" s="97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</x:row>
    <x:row r="344">
      <x:c r="A344" s="2"/>
      <x:c r="B344" s="2"/>
      <x:c r="C344" s="2"/>
      <x:c r="D344" s="97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</x:row>
    <x:row r="345">
      <x:c r="A345" s="2"/>
      <x:c r="B345" s="2"/>
      <x:c r="C345" s="2"/>
      <x:c r="D345" s="97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</x:row>
    <x:row r="346">
      <x:c r="A346" s="2"/>
      <x:c r="B346" s="2"/>
      <x:c r="C346" s="2"/>
      <x:c r="D346" s="97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</x:row>
    <x:row r="347">
      <x:c r="A347" s="2"/>
      <x:c r="B347" s="2"/>
      <x:c r="C347" s="2"/>
      <x:c r="D347" s="97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</x:row>
    <x:row r="348">
      <x:c r="A348" s="2"/>
      <x:c r="B348" s="2"/>
      <x:c r="C348" s="2"/>
      <x:c r="D348" s="97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</x:row>
    <x:row r="349">
      <x:c r="A349" s="2"/>
      <x:c r="B349" s="2"/>
      <x:c r="C349" s="2"/>
      <x:c r="D349" s="97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</x:row>
    <x:row r="350">
      <x:c r="A350" s="2"/>
      <x:c r="B350" s="2"/>
      <x:c r="C350" s="2"/>
      <x:c r="D350" s="97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</x:row>
    <x:row r="351">
      <x:c r="A351" s="2"/>
      <x:c r="B351" s="2"/>
      <x:c r="C351" s="2"/>
      <x:c r="D351" s="97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</x:row>
    <x:row r="352">
      <x:c r="A352" s="2"/>
      <x:c r="B352" s="2"/>
      <x:c r="C352" s="2"/>
      <x:c r="D352" s="97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</x:row>
    <x:row r="353">
      <x:c r="A353" s="2"/>
      <x:c r="B353" s="2"/>
      <x:c r="C353" s="2"/>
      <x:c r="D353" s="97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</x:row>
    <x:row r="354">
      <x:c r="A354" s="2"/>
      <x:c r="B354" s="2"/>
      <x:c r="C354" s="2"/>
      <x:c r="D354" s="97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</x:row>
    <x:row r="355">
      <x:c r="A355" s="2"/>
      <x:c r="B355" s="2"/>
      <x:c r="C355" s="2"/>
      <x:c r="D355" s="97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</x:row>
    <x:row r="356">
      <x:c r="A356" s="2"/>
      <x:c r="B356" s="2"/>
      <x:c r="C356" s="2"/>
      <x:c r="D356" s="97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</x:row>
    <x:row r="357">
      <x:c r="A357" s="2"/>
      <x:c r="B357" s="2"/>
      <x:c r="C357" s="2"/>
      <x:c r="D357" s="97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</x:row>
    <x:row r="358">
      <x:c r="A358" s="2"/>
      <x:c r="B358" s="2"/>
      <x:c r="C358" s="2"/>
      <x:c r="D358" s="97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</x:row>
    <x:row r="359">
      <x:c r="A359" s="2"/>
      <x:c r="B359" s="2"/>
      <x:c r="C359" s="2"/>
      <x:c r="D359" s="97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</x:row>
    <x:row r="360">
      <x:c r="A360" s="2"/>
      <x:c r="B360" s="2"/>
      <x:c r="C360" s="2"/>
      <x:c r="D360" s="97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</x:row>
    <x:row r="361">
      <x:c r="A361" s="2"/>
      <x:c r="B361" s="2"/>
      <x:c r="C361" s="2"/>
      <x:c r="D361" s="97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</x:row>
    <x:row r="362">
      <x:c r="A362" s="2"/>
      <x:c r="B362" s="2"/>
      <x:c r="C362" s="2"/>
      <x:c r="D362" s="97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</x:row>
    <x:row r="363">
      <x:c r="A363" s="2"/>
      <x:c r="B363" s="2"/>
      <x:c r="C363" s="2"/>
      <x:c r="D363" s="97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</x:row>
    <x:row r="364">
      <x:c r="A364" s="2"/>
      <x:c r="B364" s="2"/>
      <x:c r="C364" s="2"/>
      <x:c r="D364" s="97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</x:row>
    <x:row r="365">
      <x:c r="A365" s="2"/>
      <x:c r="B365" s="2"/>
      <x:c r="C365" s="2"/>
      <x:c r="D365" s="97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</x:row>
    <x:row r="366">
      <x:c r="A366" s="2"/>
      <x:c r="B366" s="2"/>
      <x:c r="C366" s="2"/>
      <x:c r="D366" s="97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</x:row>
    <x:row r="367">
      <x:c r="A367" s="2"/>
      <x:c r="B367" s="2"/>
      <x:c r="C367" s="2"/>
      <x:c r="D367" s="97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</x:row>
    <x:row r="368">
      <x:c r="A368" s="2"/>
      <x:c r="B368" s="2"/>
      <x:c r="C368" s="2"/>
      <x:c r="D368" s="97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</x:row>
    <x:row r="369">
      <x:c r="A369" s="2"/>
      <x:c r="B369" s="2"/>
      <x:c r="C369" s="2"/>
      <x:c r="D369" s="97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</x:row>
    <x:row r="370">
      <x:c r="A370" s="2"/>
      <x:c r="B370" s="2"/>
      <x:c r="C370" s="2"/>
      <x:c r="D370" s="97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</x:row>
    <x:row r="371">
      <x:c r="A371" s="2"/>
      <x:c r="B371" s="2"/>
      <x:c r="C371" s="2"/>
      <x:c r="D371" s="97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</x:row>
    <x:row r="372">
      <x:c r="A372" s="2"/>
      <x:c r="B372" s="2"/>
      <x:c r="C372" s="2"/>
      <x:c r="D372" s="97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</x:row>
    <x:row r="373">
      <x:c r="A373" s="2"/>
      <x:c r="B373" s="2"/>
      <x:c r="C373" s="2"/>
      <x:c r="D373" s="97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</x:row>
    <x:row r="374">
      <x:c r="A374" s="2"/>
      <x:c r="B374" s="2"/>
      <x:c r="C374" s="2"/>
      <x:c r="D374" s="97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</x:row>
    <x:row r="375">
      <x:c r="A375" s="2"/>
      <x:c r="B375" s="2"/>
      <x:c r="C375" s="2"/>
      <x:c r="D375" s="97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</x:row>
    <x:row r="376">
      <x:c r="A376" s="2"/>
      <x:c r="B376" s="2"/>
      <x:c r="C376" s="2"/>
      <x:c r="D376" s="97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</x:row>
    <x:row r="377">
      <x:c r="A377" s="2"/>
      <x:c r="B377" s="2"/>
      <x:c r="C377" s="2"/>
      <x:c r="D377" s="97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</x:row>
    <x:row r="378">
      <x:c r="A378" s="2"/>
      <x:c r="B378" s="2"/>
      <x:c r="C378" s="2"/>
      <x:c r="D378" s="97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</x:row>
    <x:row r="379">
      <x:c r="A379" s="2"/>
      <x:c r="B379" s="2"/>
      <x:c r="C379" s="2"/>
      <x:c r="D379" s="97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</x:row>
    <x:row r="380">
      <x:c r="A380" s="2"/>
      <x:c r="B380" s="2"/>
      <x:c r="C380" s="2"/>
      <x:c r="D380" s="97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</x:row>
    <x:row r="381">
      <x:c r="A381" s="2"/>
      <x:c r="B381" s="2"/>
      <x:c r="C381" s="2"/>
      <x:c r="D381" s="97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</x:row>
    <x:row r="382">
      <x:c r="A382" s="2"/>
      <x:c r="B382" s="2"/>
      <x:c r="C382" s="2"/>
      <x:c r="D382" s="97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</x:row>
    <x:row r="383">
      <x:c r="A383" s="2"/>
      <x:c r="B383" s="2"/>
      <x:c r="C383" s="2"/>
      <x:c r="D383" s="97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</x:row>
    <x:row r="384">
      <x:c r="A384" s="2"/>
      <x:c r="B384" s="2"/>
      <x:c r="C384" s="2"/>
      <x:c r="D384" s="97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</x:row>
    <x:row r="385">
      <x:c r="A385" s="2"/>
      <x:c r="B385" s="2"/>
      <x:c r="C385" s="2"/>
      <x:c r="D385" s="97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</x:row>
    <x:row r="386">
      <x:c r="A386" s="2"/>
      <x:c r="B386" s="2"/>
      <x:c r="C386" s="2"/>
      <x:c r="D386" s="97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</x:row>
    <x:row r="387">
      <x:c r="A387" s="2"/>
      <x:c r="B387" s="2"/>
      <x:c r="C387" s="2"/>
      <x:c r="D387" s="97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</x:row>
    <x:row r="388">
      <x:c r="A388" s="2"/>
      <x:c r="B388" s="2"/>
      <x:c r="C388" s="2"/>
      <x:c r="D388" s="97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</x:row>
    <x:row r="389">
      <x:c r="A389" s="2"/>
      <x:c r="B389" s="2"/>
      <x:c r="C389" s="2"/>
      <x:c r="D389" s="97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</x:row>
    <x:row r="390">
      <x:c r="A390" s="2"/>
      <x:c r="B390" s="2"/>
      <x:c r="C390" s="2"/>
      <x:c r="D390" s="97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</x:row>
    <x:row r="391">
      <x:c r="A391" s="2"/>
      <x:c r="B391" s="2"/>
      <x:c r="C391" s="2"/>
      <x:c r="D391" s="97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</x:row>
    <x:row r="392">
      <x:c r="A392" s="2"/>
      <x:c r="B392" s="2"/>
      <x:c r="C392" s="2"/>
      <x:c r="D392" s="97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</x:row>
    <x:row r="393">
      <x:c r="A393" s="2"/>
      <x:c r="B393" s="2"/>
      <x:c r="C393" s="2"/>
      <x:c r="D393" s="97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</x:row>
    <x:row r="394">
      <x:c r="A394" s="2"/>
      <x:c r="B394" s="2"/>
      <x:c r="C394" s="2"/>
      <x:c r="D394" s="97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</x:row>
    <x:row r="395">
      <x:c r="A395" s="2"/>
      <x:c r="B395" s="2"/>
      <x:c r="C395" s="2"/>
      <x:c r="D395" s="97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</x:row>
    <x:row r="396">
      <x:c r="A396" s="2"/>
      <x:c r="B396" s="2"/>
      <x:c r="C396" s="2"/>
      <x:c r="D396" s="97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</x:row>
    <x:row r="397">
      <x:c r="A397" s="2"/>
      <x:c r="B397" s="2"/>
      <x:c r="C397" s="2"/>
      <x:c r="D397" s="97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</x:row>
    <x:row r="398">
      <x:c r="A398" s="2"/>
      <x:c r="B398" s="2"/>
      <x:c r="C398" s="2"/>
      <x:c r="D398" s="97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</x:row>
    <x:row r="399">
      <x:c r="A399" s="2"/>
      <x:c r="B399" s="2"/>
      <x:c r="C399" s="2"/>
      <x:c r="D399" s="97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</x:row>
    <x:row r="400">
      <x:c r="A400" s="2"/>
      <x:c r="B400" s="2"/>
      <x:c r="C400" s="2"/>
      <x:c r="D400" s="97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</x:row>
    <x:row r="401">
      <x:c r="A401" s="2"/>
      <x:c r="B401" s="2"/>
      <x:c r="C401" s="2"/>
      <x:c r="D401" s="97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</x:row>
    <x:row r="402">
      <x:c r="A402" s="2"/>
      <x:c r="B402" s="2"/>
      <x:c r="C402" s="2"/>
      <x:c r="D402" s="97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</x:row>
    <x:row r="403">
      <x:c r="A403" s="2"/>
      <x:c r="B403" s="2"/>
      <x:c r="C403" s="2"/>
      <x:c r="D403" s="97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</x:row>
    <x:row r="404">
      <x:c r="A404" s="2"/>
      <x:c r="B404" s="2"/>
      <x:c r="C404" s="2"/>
      <x:c r="D404" s="97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</x:row>
    <x:row r="405">
      <x:c r="A405" s="2"/>
      <x:c r="B405" s="2"/>
      <x:c r="C405" s="2"/>
      <x:c r="D405" s="97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</x:row>
    <x:row r="406">
      <x:c r="A406" s="2"/>
      <x:c r="B406" s="2"/>
      <x:c r="C406" s="2"/>
      <x:c r="D406" s="97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</x:row>
    <x:row r="407">
      <x:c r="A407" s="2"/>
      <x:c r="B407" s="2"/>
      <x:c r="C407" s="2"/>
      <x:c r="D407" s="97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</x:row>
    <x:row r="408">
      <x:c r="A408" s="2"/>
      <x:c r="B408" s="2"/>
      <x:c r="C408" s="2"/>
      <x:c r="D408" s="97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</x:row>
    <x:row r="409">
      <x:c r="A409" s="2"/>
      <x:c r="B409" s="2"/>
      <x:c r="C409" s="2"/>
      <x:c r="D409" s="97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</x:row>
    <x:row r="410">
      <x:c r="A410" s="2"/>
      <x:c r="B410" s="2"/>
      <x:c r="C410" s="2"/>
      <x:c r="D410" s="97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</x:row>
    <x:row r="411">
      <x:c r="A411" s="2"/>
      <x:c r="B411" s="2"/>
      <x:c r="C411" s="2"/>
      <x:c r="D411" s="97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</x:row>
    <x:row r="412">
      <x:c r="A412" s="2"/>
      <x:c r="B412" s="2"/>
      <x:c r="C412" s="2"/>
      <x:c r="D412" s="97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</x:row>
    <x:row r="413">
      <x:c r="A413" s="2"/>
      <x:c r="B413" s="2"/>
      <x:c r="C413" s="2"/>
      <x:c r="D413" s="97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</x:row>
    <x:row r="414">
      <x:c r="A414" s="2"/>
      <x:c r="B414" s="2"/>
      <x:c r="C414" s="2"/>
      <x:c r="D414" s="97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</x:row>
    <x:row r="415">
      <x:c r="A415" s="2"/>
      <x:c r="B415" s="2"/>
      <x:c r="C415" s="2"/>
      <x:c r="D415" s="97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</x:row>
    <x:row r="416">
      <x:c r="A416" s="2"/>
      <x:c r="B416" s="2"/>
      <x:c r="C416" s="2"/>
      <x:c r="D416" s="97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</x:row>
    <x:row r="417">
      <x:c r="A417" s="2"/>
      <x:c r="B417" s="2"/>
      <x:c r="C417" s="2"/>
      <x:c r="D417" s="97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</x:row>
    <x:row r="418">
      <x:c r="A418" s="2"/>
      <x:c r="B418" s="2"/>
      <x:c r="C418" s="2"/>
      <x:c r="D418" s="97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</x:row>
    <x:row r="419">
      <x:c r="A419" s="2"/>
      <x:c r="B419" s="2"/>
      <x:c r="C419" s="2"/>
      <x:c r="D419" s="97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</x:row>
    <x:row r="420">
      <x:c r="A420" s="2"/>
      <x:c r="B420" s="2"/>
      <x:c r="C420" s="2"/>
      <x:c r="D420" s="97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</x:row>
    <x:row r="421">
      <x:c r="A421" s="2"/>
      <x:c r="B421" s="2"/>
      <x:c r="C421" s="2"/>
      <x:c r="D421" s="97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</x:row>
    <x:row r="422">
      <x:c r="A422" s="2"/>
      <x:c r="B422" s="2"/>
      <x:c r="C422" s="2"/>
      <x:c r="D422" s="97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</x:row>
    <x:row r="423">
      <x:c r="A423" s="2"/>
      <x:c r="B423" s="2"/>
      <x:c r="C423" s="2"/>
      <x:c r="D423" s="97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</x:row>
    <x:row r="424">
      <x:c r="A424" s="2"/>
      <x:c r="B424" s="2"/>
      <x:c r="C424" s="2"/>
      <x:c r="D424" s="97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</x:row>
    <x:row r="425">
      <x:c r="A425" s="2"/>
      <x:c r="B425" s="2"/>
      <x:c r="C425" s="2"/>
      <x:c r="D425" s="97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</x:row>
    <x:row r="426">
      <x:c r="A426" s="2"/>
      <x:c r="B426" s="2"/>
      <x:c r="C426" s="2"/>
      <x:c r="D426" s="97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</x:row>
    <x:row r="427">
      <x:c r="A427" s="2"/>
      <x:c r="B427" s="2"/>
      <x:c r="C427" s="2"/>
      <x:c r="D427" s="97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</x:row>
    <x:row r="428">
      <x:c r="A428" s="2"/>
      <x:c r="B428" s="2"/>
      <x:c r="C428" s="2"/>
      <x:c r="D428" s="97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</x:row>
    <x:row r="429">
      <x:c r="A429" s="2"/>
      <x:c r="B429" s="2"/>
      <x:c r="C429" s="2"/>
      <x:c r="D429" s="97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</x:row>
    <x:row r="430">
      <x:c r="A430" s="2"/>
      <x:c r="B430" s="2"/>
      <x:c r="C430" s="2"/>
      <x:c r="D430" s="97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</x:row>
    <x:row r="431">
      <x:c r="A431" s="2"/>
      <x:c r="B431" s="2"/>
      <x:c r="C431" s="2"/>
      <x:c r="D431" s="97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</x:row>
    <x:row r="432">
      <x:c r="A432" s="2"/>
      <x:c r="B432" s="2"/>
      <x:c r="C432" s="2"/>
      <x:c r="D432" s="97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</x:row>
    <x:row r="433">
      <x:c r="A433" s="2"/>
      <x:c r="B433" s="2"/>
      <x:c r="C433" s="2"/>
      <x:c r="D433" s="97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</x:row>
    <x:row r="434">
      <x:c r="A434" s="2"/>
      <x:c r="B434" s="2"/>
      <x:c r="C434" s="2"/>
      <x:c r="D434" s="97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</x:row>
    <x:row r="435">
      <x:c r="A435" s="2"/>
      <x:c r="B435" s="2"/>
      <x:c r="C435" s="2"/>
      <x:c r="D435" s="97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</x:row>
    <x:row r="436">
      <x:c r="A436" s="2"/>
      <x:c r="B436" s="2"/>
      <x:c r="C436" s="2"/>
      <x:c r="D436" s="97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</x:row>
    <x:row r="437">
      <x:c r="A437" s="2"/>
      <x:c r="B437" s="2"/>
      <x:c r="C437" s="2"/>
      <x:c r="D437" s="97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</x:row>
    <x:row r="438">
      <x:c r="A438" s="2"/>
      <x:c r="B438" s="2"/>
      <x:c r="C438" s="2"/>
      <x:c r="D438" s="97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</x:row>
    <x:row r="439">
      <x:c r="A439" s="2"/>
      <x:c r="B439" s="2"/>
      <x:c r="C439" s="2"/>
      <x:c r="D439" s="97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</x:row>
    <x:row r="440">
      <x:c r="A440" s="2"/>
      <x:c r="B440" s="2"/>
      <x:c r="C440" s="2"/>
      <x:c r="D440" s="97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</x:row>
    <x:row r="441">
      <x:c r="A441" s="2"/>
      <x:c r="B441" s="2"/>
      <x:c r="C441" s="2"/>
      <x:c r="D441" s="97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</x:row>
    <x:row r="442">
      <x:c r="A442" s="2"/>
      <x:c r="B442" s="2"/>
      <x:c r="C442" s="2"/>
      <x:c r="D442" s="97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</x:row>
    <x:row r="443">
      <x:c r="A443" s="2"/>
      <x:c r="B443" s="2"/>
      <x:c r="C443" s="2"/>
      <x:c r="D443" s="97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</x:row>
    <x:row r="444">
      <x:c r="A444" s="2"/>
      <x:c r="B444" s="2"/>
      <x:c r="C444" s="2"/>
      <x:c r="D444" s="97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</x:row>
    <x:row r="445">
      <x:c r="A445" s="2"/>
      <x:c r="B445" s="2"/>
      <x:c r="C445" s="2"/>
      <x:c r="D445" s="97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</x:row>
    <x:row r="446">
      <x:c r="A446" s="2"/>
      <x:c r="B446" s="2"/>
      <x:c r="C446" s="2"/>
      <x:c r="D446" s="97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</x:row>
    <x:row r="447">
      <x:c r="A447" s="2"/>
      <x:c r="B447" s="2"/>
      <x:c r="C447" s="2"/>
      <x:c r="D447" s="97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</x:row>
    <x:row r="448">
      <x:c r="A448" s="2"/>
      <x:c r="B448" s="2"/>
      <x:c r="C448" s="2"/>
      <x:c r="D448" s="97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</x:row>
    <x:row r="449">
      <x:c r="A449" s="2"/>
      <x:c r="B449" s="2"/>
      <x:c r="C449" s="2"/>
      <x:c r="D449" s="97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</x:row>
    <x:row r="450">
      <x:c r="A450" s="2"/>
      <x:c r="B450" s="2"/>
      <x:c r="C450" s="2"/>
      <x:c r="D450" s="97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</x:row>
    <x:row r="451">
      <x:c r="A451" s="2"/>
      <x:c r="B451" s="2"/>
      <x:c r="C451" s="2"/>
      <x:c r="D451" s="97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</x:row>
    <x:row r="452">
      <x:c r="A452" s="2"/>
      <x:c r="B452" s="2"/>
      <x:c r="C452" s="2"/>
      <x:c r="D452" s="97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</x:row>
    <x:row r="453">
      <x:c r="A453" s="2"/>
      <x:c r="B453" s="2"/>
      <x:c r="C453" s="2"/>
      <x:c r="D453" s="97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</x:row>
    <x:row r="454">
      <x:c r="A454" s="2"/>
      <x:c r="B454" s="2"/>
      <x:c r="C454" s="2"/>
      <x:c r="D454" s="97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</x:row>
    <x:row r="455">
      <x:c r="A455" s="2"/>
      <x:c r="B455" s="2"/>
      <x:c r="C455" s="2"/>
      <x:c r="D455" s="97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</x:row>
    <x:row r="456">
      <x:c r="A456" s="2"/>
      <x:c r="B456" s="2"/>
      <x:c r="C456" s="2"/>
      <x:c r="D456" s="97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</x:row>
    <x:row r="457">
      <x:c r="A457" s="2"/>
      <x:c r="B457" s="2"/>
      <x:c r="C457" s="2"/>
      <x:c r="D457" s="97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</x:row>
    <x:row r="458">
      <x:c r="A458" s="2"/>
      <x:c r="B458" s="2"/>
      <x:c r="C458" s="2"/>
      <x:c r="D458" s="97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</x:row>
    <x:row r="459">
      <x:c r="A459" s="2"/>
      <x:c r="B459" s="2"/>
      <x:c r="C459" s="2"/>
      <x:c r="D459" s="97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</x:row>
    <x:row r="460">
      <x:c r="A460" s="2"/>
      <x:c r="B460" s="2"/>
      <x:c r="C460" s="2"/>
      <x:c r="D460" s="97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</x:row>
    <x:row r="461">
      <x:c r="A461" s="2"/>
      <x:c r="B461" s="2"/>
      <x:c r="C461" s="2"/>
      <x:c r="D461" s="97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</x:row>
    <x:row r="462">
      <x:c r="A462" s="2"/>
      <x:c r="B462" s="2"/>
      <x:c r="C462" s="2"/>
      <x:c r="D462" s="97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</x:row>
    <x:row r="463">
      <x:c r="A463" s="2"/>
      <x:c r="B463" s="2"/>
      <x:c r="C463" s="2"/>
      <x:c r="D463" s="97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</x:row>
    <x:row r="464">
      <x:c r="A464" s="2"/>
      <x:c r="B464" s="2"/>
      <x:c r="C464" s="2"/>
      <x:c r="D464" s="97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</x:row>
    <x:row r="465">
      <x:c r="A465" s="2"/>
      <x:c r="B465" s="2"/>
      <x:c r="C465" s="2"/>
      <x:c r="D465" s="97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</x:row>
    <x:row r="466">
      <x:c r="A466" s="2"/>
      <x:c r="B466" s="2"/>
      <x:c r="C466" s="2"/>
      <x:c r="D466" s="97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</x:row>
    <x:row r="467">
      <x:c r="A467" s="2"/>
      <x:c r="B467" s="2"/>
      <x:c r="C467" s="2"/>
      <x:c r="D467" s="97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</x:row>
    <x:row r="468">
      <x:c r="A468" s="2"/>
      <x:c r="B468" s="2"/>
      <x:c r="C468" s="2"/>
      <x:c r="D468" s="97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</x:row>
    <x:row r="469">
      <x:c r="A469" s="2"/>
      <x:c r="B469" s="2"/>
      <x:c r="C469" s="2"/>
      <x:c r="D469" s="97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</x:row>
    <x:row r="470">
      <x:c r="A470" s="2"/>
      <x:c r="B470" s="2"/>
      <x:c r="C470" s="2"/>
      <x:c r="D470" s="97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</x:row>
    <x:row r="471">
      <x:c r="A471" s="2"/>
      <x:c r="B471" s="2"/>
      <x:c r="C471" s="2"/>
      <x:c r="D471" s="97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</x:row>
    <x:row r="472">
      <x:c r="A472" s="2"/>
      <x:c r="B472" s="2"/>
      <x:c r="C472" s="2"/>
      <x:c r="D472" s="97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</x:row>
    <x:row r="473">
      <x:c r="A473" s="2"/>
      <x:c r="B473" s="2"/>
      <x:c r="C473" s="2"/>
      <x:c r="D473" s="97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</x:row>
    <x:row r="474">
      <x:c r="A474" s="2"/>
      <x:c r="B474" s="2"/>
      <x:c r="C474" s="2"/>
      <x:c r="D474" s="97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</x:row>
    <x:row r="475">
      <x:c r="A475" s="2"/>
      <x:c r="B475" s="2"/>
      <x:c r="C475" s="2"/>
      <x:c r="D475" s="97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</x:row>
    <x:row r="476">
      <x:c r="A476" s="2"/>
      <x:c r="B476" s="2"/>
      <x:c r="C476" s="2"/>
      <x:c r="D476" s="97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</x:row>
    <x:row r="477">
      <x:c r="A477" s="2"/>
      <x:c r="B477" s="2"/>
      <x:c r="C477" s="2"/>
      <x:c r="D477" s="97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</x:row>
    <x:row r="478">
      <x:c r="A478" s="2"/>
      <x:c r="B478" s="2"/>
      <x:c r="C478" s="2"/>
      <x:c r="D478" s="97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</x:row>
    <x:row r="479">
      <x:c r="A479" s="2"/>
      <x:c r="B479" s="2"/>
      <x:c r="C479" s="2"/>
      <x:c r="D479" s="97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</x:row>
    <x:row r="480">
      <x:c r="A480" s="2"/>
      <x:c r="B480" s="2"/>
      <x:c r="C480" s="2"/>
      <x:c r="D480" s="97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</x:row>
    <x:row r="481">
      <x:c r="A481" s="2"/>
      <x:c r="B481" s="2"/>
      <x:c r="C481" s="2"/>
      <x:c r="D481" s="97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</x:row>
    <x:row r="482">
      <x:c r="A482" s="2"/>
      <x:c r="B482" s="2"/>
      <x:c r="C482" s="2"/>
      <x:c r="D482" s="97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</x:row>
    <x:row r="483">
      <x:c r="A483" s="2"/>
      <x:c r="B483" s="2"/>
      <x:c r="C483" s="2"/>
      <x:c r="D483" s="97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</x:row>
    <x:row r="484">
      <x:c r="A484" s="2"/>
      <x:c r="B484" s="2"/>
      <x:c r="C484" s="2"/>
      <x:c r="D484" s="97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</x:row>
    <x:row r="485">
      <x:c r="A485" s="2"/>
      <x:c r="B485" s="2"/>
      <x:c r="C485" s="2"/>
      <x:c r="D485" s="97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</x:row>
    <x:row r="486">
      <x:c r="A486" s="2"/>
      <x:c r="B486" s="2"/>
      <x:c r="C486" s="2"/>
      <x:c r="D486" s="97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</x:row>
    <x:row r="487">
      <x:c r="A487" s="2"/>
      <x:c r="B487" s="2"/>
      <x:c r="C487" s="2"/>
      <x:c r="D487" s="97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</x:row>
    <x:row r="488">
      <x:c r="A488" s="2"/>
      <x:c r="B488" s="2"/>
      <x:c r="C488" s="2"/>
      <x:c r="D488" s="97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</x:row>
    <x:row r="489">
      <x:c r="A489" s="2"/>
      <x:c r="B489" s="2"/>
      <x:c r="C489" s="2"/>
      <x:c r="D489" s="97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</x:row>
    <x:row r="490">
      <x:c r="A490" s="2"/>
      <x:c r="B490" s="2"/>
      <x:c r="C490" s="2"/>
      <x:c r="D490" s="97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</x:row>
    <x:row r="491">
      <x:c r="A491" s="2"/>
      <x:c r="B491" s="2"/>
      <x:c r="C491" s="2"/>
      <x:c r="D491" s="97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</x:row>
    <x:row r="492">
      <x:c r="A492" s="2"/>
      <x:c r="B492" s="2"/>
      <x:c r="C492" s="2"/>
      <x:c r="D492" s="97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</x:row>
    <x:row r="493">
      <x:c r="A493" s="2"/>
      <x:c r="B493" s="2"/>
      <x:c r="C493" s="2"/>
      <x:c r="D493" s="97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</x:row>
    <x:row r="494">
      <x:c r="A494" s="2"/>
      <x:c r="B494" s="2"/>
      <x:c r="C494" s="2"/>
      <x:c r="D494" s="97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</x:row>
    <x:row r="495">
      <x:c r="A495" s="2"/>
      <x:c r="B495" s="2"/>
      <x:c r="C495" s="2"/>
      <x:c r="D495" s="97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</x:row>
    <x:row r="496">
      <x:c r="A496" s="2"/>
      <x:c r="B496" s="2"/>
      <x:c r="C496" s="2"/>
      <x:c r="D496" s="97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</x:row>
    <x:row r="497">
      <x:c r="A497" s="2"/>
      <x:c r="B497" s="2"/>
      <x:c r="C497" s="2"/>
      <x:c r="D497" s="97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</x:row>
    <x:row r="498">
      <x:c r="A498" s="2"/>
      <x:c r="B498" s="2"/>
      <x:c r="C498" s="2"/>
      <x:c r="D498" s="97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</x:row>
    <x:row r="499">
      <x:c r="A499" s="2"/>
      <x:c r="B499" s="2"/>
      <x:c r="C499" s="2"/>
      <x:c r="D499" s="97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</x:row>
    <x:row r="500">
      <x:c r="A500" s="2"/>
      <x:c r="B500" s="2"/>
      <x:c r="C500" s="2"/>
      <x:c r="D500" s="97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</x:row>
  </x:sheetData>
  <x:mergeCells>
    <x:mergeCell ref="A1:T1"/>
  </x:mergeCells>
  <x:dataValidations count="2">
    <x:dataValidation type="list" sqref="Q4:Q500">
      <x:formula1>"1,2,3,4,5"</x:formula1>
    </x:dataValidation>
    <x:dataValidation type="list" sqref="R4:R500">
      <x:formula1>"Yes,No,Maybe"</x:formula1>
    </x:dataValidation>
  </x:dataValidation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2" hidden="0" customWidth="1"/>
    <x:col min="4" max="4" width="2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</x:cols>
  <x:sheetData>
    <x:row r="1" ht="34" customHeight="1">
      <x:c r="A1" s="63" t="str">
        <x:v>FAMILY GEAR INVENTORY &amp; EXPEDITION READINESS</x:v>
      </x:c>
    </x:row>
    <x:row r="3">
      <x:c r="A3" s="89" t="str">
        <x:v>Category</x:v>
      </x:c>
      <x:c r="B3" s="89" t="str">
        <x:v>Item</x:v>
      </x:c>
      <x:c r="C3" s="89" t="str">
        <x:v>Owner</x:v>
      </x:c>
      <x:c r="D3" s="89" t="str">
        <x:v>Make / Model</x:v>
      </x:c>
      <x:c r="E3" s="89" t="str">
        <x:v>Serial #</x:v>
      </x:c>
      <x:c r="F3" s="89" t="str">
        <x:v>Purchase Date</x:v>
      </x:c>
      <x:c r="G3" s="89" t="str">
        <x:v>Purchase Cost</x:v>
      </x:c>
      <x:c r="H3" s="89" t="str">
        <x:v>Condition</x:v>
      </x:c>
      <x:c r="I3" s="89" t="str">
        <x:v>Last Service</x:v>
      </x:c>
      <x:c r="J3" s="89" t="str">
        <x:v>Next Service / Replace</x:v>
      </x:c>
      <x:c r="K3" s="89" t="str">
        <x:v>Weight</x:v>
      </x:c>
      <x:c r="L3" s="89" t="str">
        <x:v>Used For</x:v>
      </x:c>
      <x:c r="M3" s="89" t="str">
        <x:v>Storage Location</x:v>
      </x:c>
      <x:c r="N3" s="89" t="str">
        <x:v>Loaned To</x:v>
      </x:c>
      <x:c r="O3" s="89" t="str">
        <x:v>Critical for Dream Hunt?</x:v>
      </x:c>
      <x:c r="P3" s="89" t="str">
        <x:v>Notes</x:v>
      </x:c>
    </x:row>
    <x:row r="4">
      <x:c r="A4" s="2"/>
      <x:c r="B4" s="2"/>
      <x:c r="C4" s="2"/>
      <x:c r="D4" s="2"/>
      <x:c r="E4" s="2"/>
      <x:c r="F4" s="97"/>
      <x:c r="G4" s="98"/>
      <x:c r="H4" s="2"/>
      <x:c r="I4" s="97"/>
      <x:c r="J4" s="97"/>
      <x:c r="K4" s="2"/>
      <x:c r="L4" s="2"/>
      <x:c r="M4" s="2"/>
      <x:c r="N4" s="2"/>
      <x:c r="O4" s="2"/>
      <x:c r="P4" s="2"/>
    </x:row>
    <x:row r="5">
      <x:c r="A5" s="2"/>
      <x:c r="B5" s="2"/>
      <x:c r="C5" s="2"/>
      <x:c r="D5" s="2"/>
      <x:c r="E5" s="2"/>
      <x:c r="F5" s="97"/>
      <x:c r="G5" s="98"/>
      <x:c r="H5" s="2"/>
      <x:c r="I5" s="97"/>
      <x:c r="J5" s="97"/>
      <x:c r="K5" s="2"/>
      <x:c r="L5" s="2"/>
      <x:c r="M5" s="2"/>
      <x:c r="N5" s="2"/>
      <x:c r="O5" s="2"/>
      <x:c r="P5" s="2"/>
    </x:row>
    <x:row r="6">
      <x:c r="A6" s="2"/>
      <x:c r="B6" s="2"/>
      <x:c r="C6" s="2"/>
      <x:c r="D6" s="2"/>
      <x:c r="E6" s="2"/>
      <x:c r="F6" s="97"/>
      <x:c r="G6" s="98"/>
      <x:c r="H6" s="2"/>
      <x:c r="I6" s="97"/>
      <x:c r="J6" s="97"/>
      <x:c r="K6" s="2"/>
      <x:c r="L6" s="2"/>
      <x:c r="M6" s="2"/>
      <x:c r="N6" s="2"/>
      <x:c r="O6" s="2"/>
      <x:c r="P6" s="2"/>
    </x:row>
    <x:row r="7">
      <x:c r="A7" s="2"/>
      <x:c r="B7" s="2"/>
      <x:c r="C7" s="2"/>
      <x:c r="D7" s="2"/>
      <x:c r="E7" s="2"/>
      <x:c r="F7" s="97"/>
      <x:c r="G7" s="98"/>
      <x:c r="H7" s="2"/>
      <x:c r="I7" s="97"/>
      <x:c r="J7" s="97"/>
      <x:c r="K7" s="2"/>
      <x:c r="L7" s="2"/>
      <x:c r="M7" s="2"/>
      <x:c r="N7" s="2"/>
      <x:c r="O7" s="2"/>
      <x:c r="P7" s="2"/>
    </x:row>
    <x:row r="8">
      <x:c r="A8" s="2"/>
      <x:c r="B8" s="2"/>
      <x:c r="C8" s="2"/>
      <x:c r="D8" s="2"/>
      <x:c r="E8" s="2"/>
      <x:c r="F8" s="97"/>
      <x:c r="G8" s="98"/>
      <x:c r="H8" s="2"/>
      <x:c r="I8" s="97"/>
      <x:c r="J8" s="97"/>
      <x:c r="K8" s="2"/>
      <x:c r="L8" s="2"/>
      <x:c r="M8" s="2"/>
      <x:c r="N8" s="2"/>
      <x:c r="O8" s="2"/>
      <x:c r="P8" s="2"/>
    </x:row>
    <x:row r="9">
      <x:c r="A9" s="2"/>
      <x:c r="B9" s="2"/>
      <x:c r="C9" s="2"/>
      <x:c r="D9" s="2"/>
      <x:c r="E9" s="2"/>
      <x:c r="F9" s="97"/>
      <x:c r="G9" s="98"/>
      <x:c r="H9" s="2"/>
      <x:c r="I9" s="97"/>
      <x:c r="J9" s="97"/>
      <x:c r="K9" s="2"/>
      <x:c r="L9" s="2"/>
      <x:c r="M9" s="2"/>
      <x:c r="N9" s="2"/>
      <x:c r="O9" s="2"/>
      <x:c r="P9" s="2"/>
    </x:row>
    <x:row r="10">
      <x:c r="A10" s="2"/>
      <x:c r="B10" s="2"/>
      <x:c r="C10" s="2"/>
      <x:c r="D10" s="2"/>
      <x:c r="E10" s="2"/>
      <x:c r="F10" s="97"/>
      <x:c r="G10" s="98"/>
      <x:c r="H10" s="2"/>
      <x:c r="I10" s="97"/>
      <x:c r="J10" s="97"/>
      <x:c r="K10" s="2"/>
      <x:c r="L10" s="2"/>
      <x:c r="M10" s="2"/>
      <x:c r="N10" s="2"/>
      <x:c r="O10" s="2"/>
      <x:c r="P10" s="2"/>
    </x:row>
    <x:row r="11">
      <x:c r="A11" s="2"/>
      <x:c r="B11" s="2"/>
      <x:c r="C11" s="2"/>
      <x:c r="D11" s="2"/>
      <x:c r="E11" s="2"/>
      <x:c r="F11" s="97"/>
      <x:c r="G11" s="98"/>
      <x:c r="H11" s="2"/>
      <x:c r="I11" s="97"/>
      <x:c r="J11" s="97"/>
      <x:c r="K11" s="2"/>
      <x:c r="L11" s="2"/>
      <x:c r="M11" s="2"/>
      <x:c r="N11" s="2"/>
      <x:c r="O11" s="2"/>
      <x:c r="P11" s="2"/>
    </x:row>
    <x:row r="12">
      <x:c r="A12" s="2"/>
      <x:c r="B12" s="2"/>
      <x:c r="C12" s="2"/>
      <x:c r="D12" s="2"/>
      <x:c r="E12" s="2"/>
      <x:c r="F12" s="97"/>
      <x:c r="G12" s="98"/>
      <x:c r="H12" s="2"/>
      <x:c r="I12" s="97"/>
      <x:c r="J12" s="97"/>
      <x:c r="K12" s="2"/>
      <x:c r="L12" s="2"/>
      <x:c r="M12" s="2"/>
      <x:c r="N12" s="2"/>
      <x:c r="O12" s="2"/>
      <x:c r="P12" s="2"/>
    </x:row>
    <x:row r="13">
      <x:c r="A13" s="2"/>
      <x:c r="B13" s="2"/>
      <x:c r="C13" s="2"/>
      <x:c r="D13" s="2"/>
      <x:c r="E13" s="2"/>
      <x:c r="F13" s="97"/>
      <x:c r="G13" s="98"/>
      <x:c r="H13" s="2"/>
      <x:c r="I13" s="97"/>
      <x:c r="J13" s="97"/>
      <x:c r="K13" s="2"/>
      <x:c r="L13" s="2"/>
      <x:c r="M13" s="2"/>
      <x:c r="N13" s="2"/>
      <x:c r="O13" s="2"/>
      <x:c r="P13" s="2"/>
    </x:row>
    <x:row r="14">
      <x:c r="A14" s="2"/>
      <x:c r="B14" s="2"/>
      <x:c r="C14" s="2"/>
      <x:c r="D14" s="2"/>
      <x:c r="E14" s="2"/>
      <x:c r="F14" s="97"/>
      <x:c r="G14" s="98"/>
      <x:c r="H14" s="2"/>
      <x:c r="I14" s="97"/>
      <x:c r="J14" s="97"/>
      <x:c r="K14" s="2"/>
      <x:c r="L14" s="2"/>
      <x:c r="M14" s="2"/>
      <x:c r="N14" s="2"/>
      <x:c r="O14" s="2"/>
      <x:c r="P14" s="2"/>
    </x:row>
    <x:row r="15">
      <x:c r="A15" s="2"/>
      <x:c r="B15" s="2"/>
      <x:c r="C15" s="2"/>
      <x:c r="D15" s="2"/>
      <x:c r="E15" s="2"/>
      <x:c r="F15" s="97"/>
      <x:c r="G15" s="98"/>
      <x:c r="H15" s="2"/>
      <x:c r="I15" s="97"/>
      <x:c r="J15" s="97"/>
      <x:c r="K15" s="2"/>
      <x:c r="L15" s="2"/>
      <x:c r="M15" s="2"/>
      <x:c r="N15" s="2"/>
      <x:c r="O15" s="2"/>
      <x:c r="P15" s="2"/>
    </x:row>
    <x:row r="16">
      <x:c r="A16" s="2"/>
      <x:c r="B16" s="2"/>
      <x:c r="C16" s="2"/>
      <x:c r="D16" s="2"/>
      <x:c r="E16" s="2"/>
      <x:c r="F16" s="97"/>
      <x:c r="G16" s="98"/>
      <x:c r="H16" s="2"/>
      <x:c r="I16" s="97"/>
      <x:c r="J16" s="97"/>
      <x:c r="K16" s="2"/>
      <x:c r="L16" s="2"/>
      <x:c r="M16" s="2"/>
      <x:c r="N16" s="2"/>
      <x:c r="O16" s="2"/>
      <x:c r="P16" s="2"/>
    </x:row>
    <x:row r="17">
      <x:c r="A17" s="2"/>
      <x:c r="B17" s="2"/>
      <x:c r="C17" s="2"/>
      <x:c r="D17" s="2"/>
      <x:c r="E17" s="2"/>
      <x:c r="F17" s="97"/>
      <x:c r="G17" s="98"/>
      <x:c r="H17" s="2"/>
      <x:c r="I17" s="97"/>
      <x:c r="J17" s="97"/>
      <x:c r="K17" s="2"/>
      <x:c r="L17" s="2"/>
      <x:c r="M17" s="2"/>
      <x:c r="N17" s="2"/>
      <x:c r="O17" s="2"/>
      <x:c r="P17" s="2"/>
    </x:row>
    <x:row r="18">
      <x:c r="A18" s="2"/>
      <x:c r="B18" s="2"/>
      <x:c r="C18" s="2"/>
      <x:c r="D18" s="2"/>
      <x:c r="E18" s="2"/>
      <x:c r="F18" s="97"/>
      <x:c r="G18" s="98"/>
      <x:c r="H18" s="2"/>
      <x:c r="I18" s="97"/>
      <x:c r="J18" s="97"/>
      <x:c r="K18" s="2"/>
      <x:c r="L18" s="2"/>
      <x:c r="M18" s="2"/>
      <x:c r="N18" s="2"/>
      <x:c r="O18" s="2"/>
      <x:c r="P18" s="2"/>
    </x:row>
    <x:row r="19">
      <x:c r="A19" s="2"/>
      <x:c r="B19" s="2"/>
      <x:c r="C19" s="2"/>
      <x:c r="D19" s="2"/>
      <x:c r="E19" s="2"/>
      <x:c r="F19" s="97"/>
      <x:c r="G19" s="98"/>
      <x:c r="H19" s="2"/>
      <x:c r="I19" s="97"/>
      <x:c r="J19" s="97"/>
      <x:c r="K19" s="2"/>
      <x:c r="L19" s="2"/>
      <x:c r="M19" s="2"/>
      <x:c r="N19" s="2"/>
      <x:c r="O19" s="2"/>
      <x:c r="P19" s="2"/>
    </x:row>
    <x:row r="20">
      <x:c r="A20" s="2"/>
      <x:c r="B20" s="2"/>
      <x:c r="C20" s="2"/>
      <x:c r="D20" s="2"/>
      <x:c r="E20" s="2"/>
      <x:c r="F20" s="97"/>
      <x:c r="G20" s="98"/>
      <x:c r="H20" s="2"/>
      <x:c r="I20" s="97"/>
      <x:c r="J20" s="97"/>
      <x:c r="K20" s="2"/>
      <x:c r="L20" s="2"/>
      <x:c r="M20" s="2"/>
      <x:c r="N20" s="2"/>
      <x:c r="O20" s="2"/>
      <x:c r="P20" s="2"/>
    </x:row>
    <x:row r="21">
      <x:c r="A21" s="2"/>
      <x:c r="B21" s="2"/>
      <x:c r="C21" s="2"/>
      <x:c r="D21" s="2"/>
      <x:c r="E21" s="2"/>
      <x:c r="F21" s="97"/>
      <x:c r="G21" s="98"/>
      <x:c r="H21" s="2"/>
      <x:c r="I21" s="97"/>
      <x:c r="J21" s="97"/>
      <x:c r="K21" s="2"/>
      <x:c r="L21" s="2"/>
      <x:c r="M21" s="2"/>
      <x:c r="N21" s="2"/>
      <x:c r="O21" s="2"/>
      <x:c r="P21" s="2"/>
    </x:row>
    <x:row r="22">
      <x:c r="A22" s="2"/>
      <x:c r="B22" s="2"/>
      <x:c r="C22" s="2"/>
      <x:c r="D22" s="2"/>
      <x:c r="E22" s="2"/>
      <x:c r="F22" s="97"/>
      <x:c r="G22" s="98"/>
      <x:c r="H22" s="2"/>
      <x:c r="I22" s="97"/>
      <x:c r="J22" s="97"/>
      <x:c r="K22" s="2"/>
      <x:c r="L22" s="2"/>
      <x:c r="M22" s="2"/>
      <x:c r="N22" s="2"/>
      <x:c r="O22" s="2"/>
      <x:c r="P22" s="2"/>
    </x:row>
    <x:row r="23">
      <x:c r="A23" s="2"/>
      <x:c r="B23" s="2"/>
      <x:c r="C23" s="2"/>
      <x:c r="D23" s="2"/>
      <x:c r="E23" s="2"/>
      <x:c r="F23" s="97"/>
      <x:c r="G23" s="98"/>
      <x:c r="H23" s="2"/>
      <x:c r="I23" s="97"/>
      <x:c r="J23" s="97"/>
      <x:c r="K23" s="2"/>
      <x:c r="L23" s="2"/>
      <x:c r="M23" s="2"/>
      <x:c r="N23" s="2"/>
      <x:c r="O23" s="2"/>
      <x:c r="P23" s="2"/>
    </x:row>
    <x:row r="24">
      <x:c r="A24" s="2"/>
      <x:c r="B24" s="2"/>
      <x:c r="C24" s="2"/>
      <x:c r="D24" s="2"/>
      <x:c r="E24" s="2"/>
      <x:c r="F24" s="97"/>
      <x:c r="G24" s="98"/>
      <x:c r="H24" s="2"/>
      <x:c r="I24" s="97"/>
      <x:c r="J24" s="97"/>
      <x:c r="K24" s="2"/>
      <x:c r="L24" s="2"/>
      <x:c r="M24" s="2"/>
      <x:c r="N24" s="2"/>
      <x:c r="O24" s="2"/>
      <x:c r="P24" s="2"/>
    </x:row>
    <x:row r="25">
      <x:c r="A25" s="2"/>
      <x:c r="B25" s="2"/>
      <x:c r="C25" s="2"/>
      <x:c r="D25" s="2"/>
      <x:c r="E25" s="2"/>
      <x:c r="F25" s="97"/>
      <x:c r="G25" s="98"/>
      <x:c r="H25" s="2"/>
      <x:c r="I25" s="97"/>
      <x:c r="J25" s="97"/>
      <x:c r="K25" s="2"/>
      <x:c r="L25" s="2"/>
      <x:c r="M25" s="2"/>
      <x:c r="N25" s="2"/>
      <x:c r="O25" s="2"/>
      <x:c r="P25" s="2"/>
    </x:row>
    <x:row r="26">
      <x:c r="A26" s="2"/>
      <x:c r="B26" s="2"/>
      <x:c r="C26" s="2"/>
      <x:c r="D26" s="2"/>
      <x:c r="E26" s="2"/>
      <x:c r="F26" s="97"/>
      <x:c r="G26" s="98"/>
      <x:c r="H26" s="2"/>
      <x:c r="I26" s="97"/>
      <x:c r="J26" s="97"/>
      <x:c r="K26" s="2"/>
      <x:c r="L26" s="2"/>
      <x:c r="M26" s="2"/>
      <x:c r="N26" s="2"/>
      <x:c r="O26" s="2"/>
      <x:c r="P26" s="2"/>
    </x:row>
    <x:row r="27">
      <x:c r="A27" s="2"/>
      <x:c r="B27" s="2"/>
      <x:c r="C27" s="2"/>
      <x:c r="D27" s="2"/>
      <x:c r="E27" s="2"/>
      <x:c r="F27" s="97"/>
      <x:c r="G27" s="98"/>
      <x:c r="H27" s="2"/>
      <x:c r="I27" s="97"/>
      <x:c r="J27" s="97"/>
      <x:c r="K27" s="2"/>
      <x:c r="L27" s="2"/>
      <x:c r="M27" s="2"/>
      <x:c r="N27" s="2"/>
      <x:c r="O27" s="2"/>
      <x:c r="P27" s="2"/>
    </x:row>
    <x:row r="28">
      <x:c r="A28" s="2"/>
      <x:c r="B28" s="2"/>
      <x:c r="C28" s="2"/>
      <x:c r="D28" s="2"/>
      <x:c r="E28" s="2"/>
      <x:c r="F28" s="97"/>
      <x:c r="G28" s="98"/>
      <x:c r="H28" s="2"/>
      <x:c r="I28" s="97"/>
      <x:c r="J28" s="97"/>
      <x:c r="K28" s="2"/>
      <x:c r="L28" s="2"/>
      <x:c r="M28" s="2"/>
      <x:c r="N28" s="2"/>
      <x:c r="O28" s="2"/>
      <x:c r="P28" s="2"/>
    </x:row>
    <x:row r="29">
      <x:c r="A29" s="2"/>
      <x:c r="B29" s="2"/>
      <x:c r="C29" s="2"/>
      <x:c r="D29" s="2"/>
      <x:c r="E29" s="2"/>
      <x:c r="F29" s="97"/>
      <x:c r="G29" s="98"/>
      <x:c r="H29" s="2"/>
      <x:c r="I29" s="97"/>
      <x:c r="J29" s="97"/>
      <x:c r="K29" s="2"/>
      <x:c r="L29" s="2"/>
      <x:c r="M29" s="2"/>
      <x:c r="N29" s="2"/>
      <x:c r="O29" s="2"/>
      <x:c r="P29" s="2"/>
    </x:row>
    <x:row r="30">
      <x:c r="A30" s="2"/>
      <x:c r="B30" s="2"/>
      <x:c r="C30" s="2"/>
      <x:c r="D30" s="2"/>
      <x:c r="E30" s="2"/>
      <x:c r="F30" s="97"/>
      <x:c r="G30" s="98"/>
      <x:c r="H30" s="2"/>
      <x:c r="I30" s="97"/>
      <x:c r="J30" s="97"/>
      <x:c r="K30" s="2"/>
      <x:c r="L30" s="2"/>
      <x:c r="M30" s="2"/>
      <x:c r="N30" s="2"/>
      <x:c r="O30" s="2"/>
      <x:c r="P30" s="2"/>
    </x:row>
    <x:row r="31">
      <x:c r="A31" s="2"/>
      <x:c r="B31" s="2"/>
      <x:c r="C31" s="2"/>
      <x:c r="D31" s="2"/>
      <x:c r="E31" s="2"/>
      <x:c r="F31" s="97"/>
      <x:c r="G31" s="98"/>
      <x:c r="H31" s="2"/>
      <x:c r="I31" s="97"/>
      <x:c r="J31" s="97"/>
      <x:c r="K31" s="2"/>
      <x:c r="L31" s="2"/>
      <x:c r="M31" s="2"/>
      <x:c r="N31" s="2"/>
      <x:c r="O31" s="2"/>
      <x:c r="P31" s="2"/>
    </x:row>
    <x:row r="32">
      <x:c r="A32" s="2"/>
      <x:c r="B32" s="2"/>
      <x:c r="C32" s="2"/>
      <x:c r="D32" s="2"/>
      <x:c r="E32" s="2"/>
      <x:c r="F32" s="97"/>
      <x:c r="G32" s="98"/>
      <x:c r="H32" s="2"/>
      <x:c r="I32" s="97"/>
      <x:c r="J32" s="97"/>
      <x:c r="K32" s="2"/>
      <x:c r="L32" s="2"/>
      <x:c r="M32" s="2"/>
      <x:c r="N32" s="2"/>
      <x:c r="O32" s="2"/>
      <x:c r="P32" s="2"/>
    </x:row>
    <x:row r="33">
      <x:c r="A33" s="2"/>
      <x:c r="B33" s="2"/>
      <x:c r="C33" s="2"/>
      <x:c r="D33" s="2"/>
      <x:c r="E33" s="2"/>
      <x:c r="F33" s="97"/>
      <x:c r="G33" s="98"/>
      <x:c r="H33" s="2"/>
      <x:c r="I33" s="97"/>
      <x:c r="J33" s="97"/>
      <x:c r="K33" s="2"/>
      <x:c r="L33" s="2"/>
      <x:c r="M33" s="2"/>
      <x:c r="N33" s="2"/>
      <x:c r="O33" s="2"/>
      <x:c r="P33" s="2"/>
    </x:row>
    <x:row r="34">
      <x:c r="A34" s="2"/>
      <x:c r="B34" s="2"/>
      <x:c r="C34" s="2"/>
      <x:c r="D34" s="2"/>
      <x:c r="E34" s="2"/>
      <x:c r="F34" s="97"/>
      <x:c r="G34" s="98"/>
      <x:c r="H34" s="2"/>
      <x:c r="I34" s="97"/>
      <x:c r="J34" s="97"/>
      <x:c r="K34" s="2"/>
      <x:c r="L34" s="2"/>
      <x:c r="M34" s="2"/>
      <x:c r="N34" s="2"/>
      <x:c r="O34" s="2"/>
      <x:c r="P34" s="2"/>
    </x:row>
    <x:row r="35">
      <x:c r="A35" s="2"/>
      <x:c r="B35" s="2"/>
      <x:c r="C35" s="2"/>
      <x:c r="D35" s="2"/>
      <x:c r="E35" s="2"/>
      <x:c r="F35" s="97"/>
      <x:c r="G35" s="98"/>
      <x:c r="H35" s="2"/>
      <x:c r="I35" s="97"/>
      <x:c r="J35" s="97"/>
      <x:c r="K35" s="2"/>
      <x:c r="L35" s="2"/>
      <x:c r="M35" s="2"/>
      <x:c r="N35" s="2"/>
      <x:c r="O35" s="2"/>
      <x:c r="P35" s="2"/>
    </x:row>
    <x:row r="36">
      <x:c r="A36" s="2"/>
      <x:c r="B36" s="2"/>
      <x:c r="C36" s="2"/>
      <x:c r="D36" s="2"/>
      <x:c r="E36" s="2"/>
      <x:c r="F36" s="97"/>
      <x:c r="G36" s="98"/>
      <x:c r="H36" s="2"/>
      <x:c r="I36" s="97"/>
      <x:c r="J36" s="97"/>
      <x:c r="K36" s="2"/>
      <x:c r="L36" s="2"/>
      <x:c r="M36" s="2"/>
      <x:c r="N36" s="2"/>
      <x:c r="O36" s="2"/>
      <x:c r="P36" s="2"/>
    </x:row>
    <x:row r="37">
      <x:c r="A37" s="2"/>
      <x:c r="B37" s="2"/>
      <x:c r="C37" s="2"/>
      <x:c r="D37" s="2"/>
      <x:c r="E37" s="2"/>
      <x:c r="F37" s="97"/>
      <x:c r="G37" s="98"/>
      <x:c r="H37" s="2"/>
      <x:c r="I37" s="97"/>
      <x:c r="J37" s="97"/>
      <x:c r="K37" s="2"/>
      <x:c r="L37" s="2"/>
      <x:c r="M37" s="2"/>
      <x:c r="N37" s="2"/>
      <x:c r="O37" s="2"/>
      <x:c r="P37" s="2"/>
    </x:row>
    <x:row r="38">
      <x:c r="A38" s="2"/>
      <x:c r="B38" s="2"/>
      <x:c r="C38" s="2"/>
      <x:c r="D38" s="2"/>
      <x:c r="E38" s="2"/>
      <x:c r="F38" s="97"/>
      <x:c r="G38" s="98"/>
      <x:c r="H38" s="2"/>
      <x:c r="I38" s="97"/>
      <x:c r="J38" s="97"/>
      <x:c r="K38" s="2"/>
      <x:c r="L38" s="2"/>
      <x:c r="M38" s="2"/>
      <x:c r="N38" s="2"/>
      <x:c r="O38" s="2"/>
      <x:c r="P38" s="2"/>
    </x:row>
    <x:row r="39">
      <x:c r="A39" s="2"/>
      <x:c r="B39" s="2"/>
      <x:c r="C39" s="2"/>
      <x:c r="D39" s="2"/>
      <x:c r="E39" s="2"/>
      <x:c r="F39" s="97"/>
      <x:c r="G39" s="98"/>
      <x:c r="H39" s="2"/>
      <x:c r="I39" s="97"/>
      <x:c r="J39" s="97"/>
      <x:c r="K39" s="2"/>
      <x:c r="L39" s="2"/>
      <x:c r="M39" s="2"/>
      <x:c r="N39" s="2"/>
      <x:c r="O39" s="2"/>
      <x:c r="P39" s="2"/>
    </x:row>
    <x:row r="40">
      <x:c r="A40" s="2"/>
      <x:c r="B40" s="2"/>
      <x:c r="C40" s="2"/>
      <x:c r="D40" s="2"/>
      <x:c r="E40" s="2"/>
      <x:c r="F40" s="97"/>
      <x:c r="G40" s="98"/>
      <x:c r="H40" s="2"/>
      <x:c r="I40" s="97"/>
      <x:c r="J40" s="97"/>
      <x:c r="K40" s="2"/>
      <x:c r="L40" s="2"/>
      <x:c r="M40" s="2"/>
      <x:c r="N40" s="2"/>
      <x:c r="O40" s="2"/>
      <x:c r="P40" s="2"/>
    </x:row>
    <x:row r="41">
      <x:c r="A41" s="2"/>
      <x:c r="B41" s="2"/>
      <x:c r="C41" s="2"/>
      <x:c r="D41" s="2"/>
      <x:c r="E41" s="2"/>
      <x:c r="F41" s="97"/>
      <x:c r="G41" s="98"/>
      <x:c r="H41" s="2"/>
      <x:c r="I41" s="97"/>
      <x:c r="J41" s="97"/>
      <x:c r="K41" s="2"/>
      <x:c r="L41" s="2"/>
      <x:c r="M41" s="2"/>
      <x:c r="N41" s="2"/>
      <x:c r="O41" s="2"/>
      <x:c r="P41" s="2"/>
    </x:row>
    <x:row r="42">
      <x:c r="A42" s="2"/>
      <x:c r="B42" s="2"/>
      <x:c r="C42" s="2"/>
      <x:c r="D42" s="2"/>
      <x:c r="E42" s="2"/>
      <x:c r="F42" s="97"/>
      <x:c r="G42" s="98"/>
      <x:c r="H42" s="2"/>
      <x:c r="I42" s="97"/>
      <x:c r="J42" s="97"/>
      <x:c r="K42" s="2"/>
      <x:c r="L42" s="2"/>
      <x:c r="M42" s="2"/>
      <x:c r="N42" s="2"/>
      <x:c r="O42" s="2"/>
      <x:c r="P42" s="2"/>
    </x:row>
    <x:row r="43">
      <x:c r="A43" s="2"/>
      <x:c r="B43" s="2"/>
      <x:c r="C43" s="2"/>
      <x:c r="D43" s="2"/>
      <x:c r="E43" s="2"/>
      <x:c r="F43" s="97"/>
      <x:c r="G43" s="98"/>
      <x:c r="H43" s="2"/>
      <x:c r="I43" s="97"/>
      <x:c r="J43" s="97"/>
      <x:c r="K43" s="2"/>
      <x:c r="L43" s="2"/>
      <x:c r="M43" s="2"/>
      <x:c r="N43" s="2"/>
      <x:c r="O43" s="2"/>
      <x:c r="P43" s="2"/>
    </x:row>
    <x:row r="44">
      <x:c r="A44" s="2"/>
      <x:c r="B44" s="2"/>
      <x:c r="C44" s="2"/>
      <x:c r="D44" s="2"/>
      <x:c r="E44" s="2"/>
      <x:c r="F44" s="97"/>
      <x:c r="G44" s="98"/>
      <x:c r="H44" s="2"/>
      <x:c r="I44" s="97"/>
      <x:c r="J44" s="97"/>
      <x:c r="K44" s="2"/>
      <x:c r="L44" s="2"/>
      <x:c r="M44" s="2"/>
      <x:c r="N44" s="2"/>
      <x:c r="O44" s="2"/>
      <x:c r="P44" s="2"/>
    </x:row>
    <x:row r="45">
      <x:c r="A45" s="2"/>
      <x:c r="B45" s="2"/>
      <x:c r="C45" s="2"/>
      <x:c r="D45" s="2"/>
      <x:c r="E45" s="2"/>
      <x:c r="F45" s="97"/>
      <x:c r="G45" s="98"/>
      <x:c r="H45" s="2"/>
      <x:c r="I45" s="97"/>
      <x:c r="J45" s="97"/>
      <x:c r="K45" s="2"/>
      <x:c r="L45" s="2"/>
      <x:c r="M45" s="2"/>
      <x:c r="N45" s="2"/>
      <x:c r="O45" s="2"/>
      <x:c r="P45" s="2"/>
    </x:row>
    <x:row r="46">
      <x:c r="A46" s="2"/>
      <x:c r="B46" s="2"/>
      <x:c r="C46" s="2"/>
      <x:c r="D46" s="2"/>
      <x:c r="E46" s="2"/>
      <x:c r="F46" s="97"/>
      <x:c r="G46" s="98"/>
      <x:c r="H46" s="2"/>
      <x:c r="I46" s="97"/>
      <x:c r="J46" s="97"/>
      <x:c r="K46" s="2"/>
      <x:c r="L46" s="2"/>
      <x:c r="M46" s="2"/>
      <x:c r="N46" s="2"/>
      <x:c r="O46" s="2"/>
      <x:c r="P46" s="2"/>
    </x:row>
    <x:row r="47">
      <x:c r="A47" s="2"/>
      <x:c r="B47" s="2"/>
      <x:c r="C47" s="2"/>
      <x:c r="D47" s="2"/>
      <x:c r="E47" s="2"/>
      <x:c r="F47" s="97"/>
      <x:c r="G47" s="98"/>
      <x:c r="H47" s="2"/>
      <x:c r="I47" s="97"/>
      <x:c r="J47" s="97"/>
      <x:c r="K47" s="2"/>
      <x:c r="L47" s="2"/>
      <x:c r="M47" s="2"/>
      <x:c r="N47" s="2"/>
      <x:c r="O47" s="2"/>
      <x:c r="P47" s="2"/>
    </x:row>
    <x:row r="48">
      <x:c r="A48" s="2"/>
      <x:c r="B48" s="2"/>
      <x:c r="C48" s="2"/>
      <x:c r="D48" s="2"/>
      <x:c r="E48" s="2"/>
      <x:c r="F48" s="97"/>
      <x:c r="G48" s="98"/>
      <x:c r="H48" s="2"/>
      <x:c r="I48" s="97"/>
      <x:c r="J48" s="97"/>
      <x:c r="K48" s="2"/>
      <x:c r="L48" s="2"/>
      <x:c r="M48" s="2"/>
      <x:c r="N48" s="2"/>
      <x:c r="O48" s="2"/>
      <x:c r="P48" s="2"/>
    </x:row>
    <x:row r="49">
      <x:c r="A49" s="2"/>
      <x:c r="B49" s="2"/>
      <x:c r="C49" s="2"/>
      <x:c r="D49" s="2"/>
      <x:c r="E49" s="2"/>
      <x:c r="F49" s="97"/>
      <x:c r="G49" s="98"/>
      <x:c r="H49" s="2"/>
      <x:c r="I49" s="97"/>
      <x:c r="J49" s="97"/>
      <x:c r="K49" s="2"/>
      <x:c r="L49" s="2"/>
      <x:c r="M49" s="2"/>
      <x:c r="N49" s="2"/>
      <x:c r="O49" s="2"/>
      <x:c r="P49" s="2"/>
    </x:row>
    <x:row r="50">
      <x:c r="A50" s="2"/>
      <x:c r="B50" s="2"/>
      <x:c r="C50" s="2"/>
      <x:c r="D50" s="2"/>
      <x:c r="E50" s="2"/>
      <x:c r="F50" s="97"/>
      <x:c r="G50" s="98"/>
      <x:c r="H50" s="2"/>
      <x:c r="I50" s="97"/>
      <x:c r="J50" s="97"/>
      <x:c r="K50" s="2"/>
      <x:c r="L50" s="2"/>
      <x:c r="M50" s="2"/>
      <x:c r="N50" s="2"/>
      <x:c r="O50" s="2"/>
      <x:c r="P50" s="2"/>
    </x:row>
    <x:row r="51">
      <x:c r="A51" s="2"/>
      <x:c r="B51" s="2"/>
      <x:c r="C51" s="2"/>
      <x:c r="D51" s="2"/>
      <x:c r="E51" s="2"/>
      <x:c r="F51" s="97"/>
      <x:c r="G51" s="98"/>
      <x:c r="H51" s="2"/>
      <x:c r="I51" s="97"/>
      <x:c r="J51" s="97"/>
      <x:c r="K51" s="2"/>
      <x:c r="L51" s="2"/>
      <x:c r="M51" s="2"/>
      <x:c r="N51" s="2"/>
      <x:c r="O51" s="2"/>
      <x:c r="P51" s="2"/>
    </x:row>
    <x:row r="52">
      <x:c r="A52" s="2"/>
      <x:c r="B52" s="2"/>
      <x:c r="C52" s="2"/>
      <x:c r="D52" s="2"/>
      <x:c r="E52" s="2"/>
      <x:c r="F52" s="97"/>
      <x:c r="G52" s="98"/>
      <x:c r="H52" s="2"/>
      <x:c r="I52" s="97"/>
      <x:c r="J52" s="97"/>
      <x:c r="K52" s="2"/>
      <x:c r="L52" s="2"/>
      <x:c r="M52" s="2"/>
      <x:c r="N52" s="2"/>
      <x:c r="O52" s="2"/>
      <x:c r="P52" s="2"/>
    </x:row>
    <x:row r="53">
      <x:c r="A53" s="2"/>
      <x:c r="B53" s="2"/>
      <x:c r="C53" s="2"/>
      <x:c r="D53" s="2"/>
      <x:c r="E53" s="2"/>
      <x:c r="F53" s="97"/>
      <x:c r="G53" s="98"/>
      <x:c r="H53" s="2"/>
      <x:c r="I53" s="97"/>
      <x:c r="J53" s="97"/>
      <x:c r="K53" s="2"/>
      <x:c r="L53" s="2"/>
      <x:c r="M53" s="2"/>
      <x:c r="N53" s="2"/>
      <x:c r="O53" s="2"/>
      <x:c r="P53" s="2"/>
    </x:row>
    <x:row r="54">
      <x:c r="A54" s="2"/>
      <x:c r="B54" s="2"/>
      <x:c r="C54" s="2"/>
      <x:c r="D54" s="2"/>
      <x:c r="E54" s="2"/>
      <x:c r="F54" s="97"/>
      <x:c r="G54" s="98"/>
      <x:c r="H54" s="2"/>
      <x:c r="I54" s="97"/>
      <x:c r="J54" s="97"/>
      <x:c r="K54" s="2"/>
      <x:c r="L54" s="2"/>
      <x:c r="M54" s="2"/>
      <x:c r="N54" s="2"/>
      <x:c r="O54" s="2"/>
      <x:c r="P54" s="2"/>
    </x:row>
    <x:row r="55">
      <x:c r="A55" s="2"/>
      <x:c r="B55" s="2"/>
      <x:c r="C55" s="2"/>
      <x:c r="D55" s="2"/>
      <x:c r="E55" s="2"/>
      <x:c r="F55" s="97"/>
      <x:c r="G55" s="98"/>
      <x:c r="H55" s="2"/>
      <x:c r="I55" s="97"/>
      <x:c r="J55" s="97"/>
      <x:c r="K55" s="2"/>
      <x:c r="L55" s="2"/>
      <x:c r="M55" s="2"/>
      <x:c r="N55" s="2"/>
      <x:c r="O55" s="2"/>
      <x:c r="P55" s="2"/>
    </x:row>
    <x:row r="56">
      <x:c r="A56" s="2"/>
      <x:c r="B56" s="2"/>
      <x:c r="C56" s="2"/>
      <x:c r="D56" s="2"/>
      <x:c r="E56" s="2"/>
      <x:c r="F56" s="97"/>
      <x:c r="G56" s="98"/>
      <x:c r="H56" s="2"/>
      <x:c r="I56" s="97"/>
      <x:c r="J56" s="97"/>
      <x:c r="K56" s="2"/>
      <x:c r="L56" s="2"/>
      <x:c r="M56" s="2"/>
      <x:c r="N56" s="2"/>
      <x:c r="O56" s="2"/>
      <x:c r="P56" s="2"/>
    </x:row>
    <x:row r="57">
      <x:c r="A57" s="2"/>
      <x:c r="B57" s="2"/>
      <x:c r="C57" s="2"/>
      <x:c r="D57" s="2"/>
      <x:c r="E57" s="2"/>
      <x:c r="F57" s="97"/>
      <x:c r="G57" s="98"/>
      <x:c r="H57" s="2"/>
      <x:c r="I57" s="97"/>
      <x:c r="J57" s="97"/>
      <x:c r="K57" s="2"/>
      <x:c r="L57" s="2"/>
      <x:c r="M57" s="2"/>
      <x:c r="N57" s="2"/>
      <x:c r="O57" s="2"/>
      <x:c r="P57" s="2"/>
    </x:row>
    <x:row r="58">
      <x:c r="A58" s="2"/>
      <x:c r="B58" s="2"/>
      <x:c r="C58" s="2"/>
      <x:c r="D58" s="2"/>
      <x:c r="E58" s="2"/>
      <x:c r="F58" s="97"/>
      <x:c r="G58" s="98"/>
      <x:c r="H58" s="2"/>
      <x:c r="I58" s="97"/>
      <x:c r="J58" s="97"/>
      <x:c r="K58" s="2"/>
      <x:c r="L58" s="2"/>
      <x:c r="M58" s="2"/>
      <x:c r="N58" s="2"/>
      <x:c r="O58" s="2"/>
      <x:c r="P58" s="2"/>
    </x:row>
    <x:row r="59">
      <x:c r="A59" s="2"/>
      <x:c r="B59" s="2"/>
      <x:c r="C59" s="2"/>
      <x:c r="D59" s="2"/>
      <x:c r="E59" s="2"/>
      <x:c r="F59" s="97"/>
      <x:c r="G59" s="98"/>
      <x:c r="H59" s="2"/>
      <x:c r="I59" s="97"/>
      <x:c r="J59" s="97"/>
      <x:c r="K59" s="2"/>
      <x:c r="L59" s="2"/>
      <x:c r="M59" s="2"/>
      <x:c r="N59" s="2"/>
      <x:c r="O59" s="2"/>
      <x:c r="P59" s="2"/>
    </x:row>
    <x:row r="60">
      <x:c r="A60" s="2"/>
      <x:c r="B60" s="2"/>
      <x:c r="C60" s="2"/>
      <x:c r="D60" s="2"/>
      <x:c r="E60" s="2"/>
      <x:c r="F60" s="97"/>
      <x:c r="G60" s="98"/>
      <x:c r="H60" s="2"/>
      <x:c r="I60" s="97"/>
      <x:c r="J60" s="97"/>
      <x:c r="K60" s="2"/>
      <x:c r="L60" s="2"/>
      <x:c r="M60" s="2"/>
      <x:c r="N60" s="2"/>
      <x:c r="O60" s="2"/>
      <x:c r="P60" s="2"/>
    </x:row>
    <x:row r="61">
      <x:c r="A61" s="2"/>
      <x:c r="B61" s="2"/>
      <x:c r="C61" s="2"/>
      <x:c r="D61" s="2"/>
      <x:c r="E61" s="2"/>
      <x:c r="F61" s="97"/>
      <x:c r="G61" s="98"/>
      <x:c r="H61" s="2"/>
      <x:c r="I61" s="97"/>
      <x:c r="J61" s="97"/>
      <x:c r="K61" s="2"/>
      <x:c r="L61" s="2"/>
      <x:c r="M61" s="2"/>
      <x:c r="N61" s="2"/>
      <x:c r="O61" s="2"/>
      <x:c r="P61" s="2"/>
    </x:row>
    <x:row r="62">
      <x:c r="A62" s="2"/>
      <x:c r="B62" s="2"/>
      <x:c r="C62" s="2"/>
      <x:c r="D62" s="2"/>
      <x:c r="E62" s="2"/>
      <x:c r="F62" s="97"/>
      <x:c r="G62" s="98"/>
      <x:c r="H62" s="2"/>
      <x:c r="I62" s="97"/>
      <x:c r="J62" s="97"/>
      <x:c r="K62" s="2"/>
      <x:c r="L62" s="2"/>
      <x:c r="M62" s="2"/>
      <x:c r="N62" s="2"/>
      <x:c r="O62" s="2"/>
      <x:c r="P62" s="2"/>
    </x:row>
    <x:row r="63">
      <x:c r="A63" s="2"/>
      <x:c r="B63" s="2"/>
      <x:c r="C63" s="2"/>
      <x:c r="D63" s="2"/>
      <x:c r="E63" s="2"/>
      <x:c r="F63" s="97"/>
      <x:c r="G63" s="98"/>
      <x:c r="H63" s="2"/>
      <x:c r="I63" s="97"/>
      <x:c r="J63" s="97"/>
      <x:c r="K63" s="2"/>
      <x:c r="L63" s="2"/>
      <x:c r="M63" s="2"/>
      <x:c r="N63" s="2"/>
      <x:c r="O63" s="2"/>
      <x:c r="P63" s="2"/>
    </x:row>
    <x:row r="64">
      <x:c r="A64" s="2"/>
      <x:c r="B64" s="2"/>
      <x:c r="C64" s="2"/>
      <x:c r="D64" s="2"/>
      <x:c r="E64" s="2"/>
      <x:c r="F64" s="97"/>
      <x:c r="G64" s="98"/>
      <x:c r="H64" s="2"/>
      <x:c r="I64" s="97"/>
      <x:c r="J64" s="97"/>
      <x:c r="K64" s="2"/>
      <x:c r="L64" s="2"/>
      <x:c r="M64" s="2"/>
      <x:c r="N64" s="2"/>
      <x:c r="O64" s="2"/>
      <x:c r="P64" s="2"/>
    </x:row>
    <x:row r="65">
      <x:c r="A65" s="2"/>
      <x:c r="B65" s="2"/>
      <x:c r="C65" s="2"/>
      <x:c r="D65" s="2"/>
      <x:c r="E65" s="2"/>
      <x:c r="F65" s="97"/>
      <x:c r="G65" s="98"/>
      <x:c r="H65" s="2"/>
      <x:c r="I65" s="97"/>
      <x:c r="J65" s="97"/>
      <x:c r="K65" s="2"/>
      <x:c r="L65" s="2"/>
      <x:c r="M65" s="2"/>
      <x:c r="N65" s="2"/>
      <x:c r="O65" s="2"/>
      <x:c r="P65" s="2"/>
    </x:row>
    <x:row r="66">
      <x:c r="A66" s="2"/>
      <x:c r="B66" s="2"/>
      <x:c r="C66" s="2"/>
      <x:c r="D66" s="2"/>
      <x:c r="E66" s="2"/>
      <x:c r="F66" s="97"/>
      <x:c r="G66" s="98"/>
      <x:c r="H66" s="2"/>
      <x:c r="I66" s="97"/>
      <x:c r="J66" s="97"/>
      <x:c r="K66" s="2"/>
      <x:c r="L66" s="2"/>
      <x:c r="M66" s="2"/>
      <x:c r="N66" s="2"/>
      <x:c r="O66" s="2"/>
      <x:c r="P66" s="2"/>
    </x:row>
    <x:row r="67">
      <x:c r="A67" s="2"/>
      <x:c r="B67" s="2"/>
      <x:c r="C67" s="2"/>
      <x:c r="D67" s="2"/>
      <x:c r="E67" s="2"/>
      <x:c r="F67" s="97"/>
      <x:c r="G67" s="98"/>
      <x:c r="H67" s="2"/>
      <x:c r="I67" s="97"/>
      <x:c r="J67" s="97"/>
      <x:c r="K67" s="2"/>
      <x:c r="L67" s="2"/>
      <x:c r="M67" s="2"/>
      <x:c r="N67" s="2"/>
      <x:c r="O67" s="2"/>
      <x:c r="P67" s="2"/>
    </x:row>
    <x:row r="68">
      <x:c r="A68" s="2"/>
      <x:c r="B68" s="2"/>
      <x:c r="C68" s="2"/>
      <x:c r="D68" s="2"/>
      <x:c r="E68" s="2"/>
      <x:c r="F68" s="97"/>
      <x:c r="G68" s="98"/>
      <x:c r="H68" s="2"/>
      <x:c r="I68" s="97"/>
      <x:c r="J68" s="97"/>
      <x:c r="K68" s="2"/>
      <x:c r="L68" s="2"/>
      <x:c r="M68" s="2"/>
      <x:c r="N68" s="2"/>
      <x:c r="O68" s="2"/>
      <x:c r="P68" s="2"/>
    </x:row>
    <x:row r="69">
      <x:c r="A69" s="2"/>
      <x:c r="B69" s="2"/>
      <x:c r="C69" s="2"/>
      <x:c r="D69" s="2"/>
      <x:c r="E69" s="2"/>
      <x:c r="F69" s="97"/>
      <x:c r="G69" s="98"/>
      <x:c r="H69" s="2"/>
      <x:c r="I69" s="97"/>
      <x:c r="J69" s="97"/>
      <x:c r="K69" s="2"/>
      <x:c r="L69" s="2"/>
      <x:c r="M69" s="2"/>
      <x:c r="N69" s="2"/>
      <x:c r="O69" s="2"/>
      <x:c r="P69" s="2"/>
    </x:row>
    <x:row r="70">
      <x:c r="A70" s="2"/>
      <x:c r="B70" s="2"/>
      <x:c r="C70" s="2"/>
      <x:c r="D70" s="2"/>
      <x:c r="E70" s="2"/>
      <x:c r="F70" s="97"/>
      <x:c r="G70" s="98"/>
      <x:c r="H70" s="2"/>
      <x:c r="I70" s="97"/>
      <x:c r="J70" s="97"/>
      <x:c r="K70" s="2"/>
      <x:c r="L70" s="2"/>
      <x:c r="M70" s="2"/>
      <x:c r="N70" s="2"/>
      <x:c r="O70" s="2"/>
      <x:c r="P70" s="2"/>
    </x:row>
    <x:row r="71">
      <x:c r="A71" s="2"/>
      <x:c r="B71" s="2"/>
      <x:c r="C71" s="2"/>
      <x:c r="D71" s="2"/>
      <x:c r="E71" s="2"/>
      <x:c r="F71" s="97"/>
      <x:c r="G71" s="98"/>
      <x:c r="H71" s="2"/>
      <x:c r="I71" s="97"/>
      <x:c r="J71" s="97"/>
      <x:c r="K71" s="2"/>
      <x:c r="L71" s="2"/>
      <x:c r="M71" s="2"/>
      <x:c r="N71" s="2"/>
      <x:c r="O71" s="2"/>
      <x:c r="P71" s="2"/>
    </x:row>
    <x:row r="72">
      <x:c r="A72" s="2"/>
      <x:c r="B72" s="2"/>
      <x:c r="C72" s="2"/>
      <x:c r="D72" s="2"/>
      <x:c r="E72" s="2"/>
      <x:c r="F72" s="97"/>
      <x:c r="G72" s="98"/>
      <x:c r="H72" s="2"/>
      <x:c r="I72" s="97"/>
      <x:c r="J72" s="97"/>
      <x:c r="K72" s="2"/>
      <x:c r="L72" s="2"/>
      <x:c r="M72" s="2"/>
      <x:c r="N72" s="2"/>
      <x:c r="O72" s="2"/>
      <x:c r="P72" s="2"/>
    </x:row>
    <x:row r="73">
      <x:c r="A73" s="2"/>
      <x:c r="B73" s="2"/>
      <x:c r="C73" s="2"/>
      <x:c r="D73" s="2"/>
      <x:c r="E73" s="2"/>
      <x:c r="F73" s="97"/>
      <x:c r="G73" s="98"/>
      <x:c r="H73" s="2"/>
      <x:c r="I73" s="97"/>
      <x:c r="J73" s="97"/>
      <x:c r="K73" s="2"/>
      <x:c r="L73" s="2"/>
      <x:c r="M73" s="2"/>
      <x:c r="N73" s="2"/>
      <x:c r="O73" s="2"/>
      <x:c r="P73" s="2"/>
    </x:row>
    <x:row r="74">
      <x:c r="A74" s="2"/>
      <x:c r="B74" s="2"/>
      <x:c r="C74" s="2"/>
      <x:c r="D74" s="2"/>
      <x:c r="E74" s="2"/>
      <x:c r="F74" s="97"/>
      <x:c r="G74" s="98"/>
      <x:c r="H74" s="2"/>
      <x:c r="I74" s="97"/>
      <x:c r="J74" s="97"/>
      <x:c r="K74" s="2"/>
      <x:c r="L74" s="2"/>
      <x:c r="M74" s="2"/>
      <x:c r="N74" s="2"/>
      <x:c r="O74" s="2"/>
      <x:c r="P74" s="2"/>
    </x:row>
    <x:row r="75">
      <x:c r="A75" s="2"/>
      <x:c r="B75" s="2"/>
      <x:c r="C75" s="2"/>
      <x:c r="D75" s="2"/>
      <x:c r="E75" s="2"/>
      <x:c r="F75" s="97"/>
      <x:c r="G75" s="98"/>
      <x:c r="H75" s="2"/>
      <x:c r="I75" s="97"/>
      <x:c r="J75" s="97"/>
      <x:c r="K75" s="2"/>
      <x:c r="L75" s="2"/>
      <x:c r="M75" s="2"/>
      <x:c r="N75" s="2"/>
      <x:c r="O75" s="2"/>
      <x:c r="P75" s="2"/>
    </x:row>
    <x:row r="76">
      <x:c r="A76" s="2"/>
      <x:c r="B76" s="2"/>
      <x:c r="C76" s="2"/>
      <x:c r="D76" s="2"/>
      <x:c r="E76" s="2"/>
      <x:c r="F76" s="97"/>
      <x:c r="G76" s="98"/>
      <x:c r="H76" s="2"/>
      <x:c r="I76" s="97"/>
      <x:c r="J76" s="97"/>
      <x:c r="K76" s="2"/>
      <x:c r="L76" s="2"/>
      <x:c r="M76" s="2"/>
      <x:c r="N76" s="2"/>
      <x:c r="O76" s="2"/>
      <x:c r="P76" s="2"/>
    </x:row>
    <x:row r="77">
      <x:c r="A77" s="2"/>
      <x:c r="B77" s="2"/>
      <x:c r="C77" s="2"/>
      <x:c r="D77" s="2"/>
      <x:c r="E77" s="2"/>
      <x:c r="F77" s="97"/>
      <x:c r="G77" s="98"/>
      <x:c r="H77" s="2"/>
      <x:c r="I77" s="97"/>
      <x:c r="J77" s="97"/>
      <x:c r="K77" s="2"/>
      <x:c r="L77" s="2"/>
      <x:c r="M77" s="2"/>
      <x:c r="N77" s="2"/>
      <x:c r="O77" s="2"/>
      <x:c r="P77" s="2"/>
    </x:row>
    <x:row r="78">
      <x:c r="A78" s="2"/>
      <x:c r="B78" s="2"/>
      <x:c r="C78" s="2"/>
      <x:c r="D78" s="2"/>
      <x:c r="E78" s="2"/>
      <x:c r="F78" s="97"/>
      <x:c r="G78" s="98"/>
      <x:c r="H78" s="2"/>
      <x:c r="I78" s="97"/>
      <x:c r="J78" s="97"/>
      <x:c r="K78" s="2"/>
      <x:c r="L78" s="2"/>
      <x:c r="M78" s="2"/>
      <x:c r="N78" s="2"/>
      <x:c r="O78" s="2"/>
      <x:c r="P78" s="2"/>
    </x:row>
    <x:row r="79">
      <x:c r="A79" s="2"/>
      <x:c r="B79" s="2"/>
      <x:c r="C79" s="2"/>
      <x:c r="D79" s="2"/>
      <x:c r="E79" s="2"/>
      <x:c r="F79" s="97"/>
      <x:c r="G79" s="98"/>
      <x:c r="H79" s="2"/>
      <x:c r="I79" s="97"/>
      <x:c r="J79" s="97"/>
      <x:c r="K79" s="2"/>
      <x:c r="L79" s="2"/>
      <x:c r="M79" s="2"/>
      <x:c r="N79" s="2"/>
      <x:c r="O79" s="2"/>
      <x:c r="P79" s="2"/>
    </x:row>
    <x:row r="80">
      <x:c r="A80" s="2"/>
      <x:c r="B80" s="2"/>
      <x:c r="C80" s="2"/>
      <x:c r="D80" s="2"/>
      <x:c r="E80" s="2"/>
      <x:c r="F80" s="97"/>
      <x:c r="G80" s="98"/>
      <x:c r="H80" s="2"/>
      <x:c r="I80" s="97"/>
      <x:c r="J80" s="97"/>
      <x:c r="K80" s="2"/>
      <x:c r="L80" s="2"/>
      <x:c r="M80" s="2"/>
      <x:c r="N80" s="2"/>
      <x:c r="O80" s="2"/>
      <x:c r="P80" s="2"/>
    </x:row>
    <x:row r="81">
      <x:c r="A81" s="2"/>
      <x:c r="B81" s="2"/>
      <x:c r="C81" s="2"/>
      <x:c r="D81" s="2"/>
      <x:c r="E81" s="2"/>
      <x:c r="F81" s="97"/>
      <x:c r="G81" s="98"/>
      <x:c r="H81" s="2"/>
      <x:c r="I81" s="97"/>
      <x:c r="J81" s="97"/>
      <x:c r="K81" s="2"/>
      <x:c r="L81" s="2"/>
      <x:c r="M81" s="2"/>
      <x:c r="N81" s="2"/>
      <x:c r="O81" s="2"/>
      <x:c r="P81" s="2"/>
    </x:row>
    <x:row r="82">
      <x:c r="A82" s="2"/>
      <x:c r="B82" s="2"/>
      <x:c r="C82" s="2"/>
      <x:c r="D82" s="2"/>
      <x:c r="E82" s="2"/>
      <x:c r="F82" s="97"/>
      <x:c r="G82" s="98"/>
      <x:c r="H82" s="2"/>
      <x:c r="I82" s="97"/>
      <x:c r="J82" s="97"/>
      <x:c r="K82" s="2"/>
      <x:c r="L82" s="2"/>
      <x:c r="M82" s="2"/>
      <x:c r="N82" s="2"/>
      <x:c r="O82" s="2"/>
      <x:c r="P82" s="2"/>
    </x:row>
    <x:row r="83">
      <x:c r="A83" s="2"/>
      <x:c r="B83" s="2"/>
      <x:c r="C83" s="2"/>
      <x:c r="D83" s="2"/>
      <x:c r="E83" s="2"/>
      <x:c r="F83" s="97"/>
      <x:c r="G83" s="98"/>
      <x:c r="H83" s="2"/>
      <x:c r="I83" s="97"/>
      <x:c r="J83" s="97"/>
      <x:c r="K83" s="2"/>
      <x:c r="L83" s="2"/>
      <x:c r="M83" s="2"/>
      <x:c r="N83" s="2"/>
      <x:c r="O83" s="2"/>
      <x:c r="P83" s="2"/>
    </x:row>
    <x:row r="84">
      <x:c r="A84" s="2"/>
      <x:c r="B84" s="2"/>
      <x:c r="C84" s="2"/>
      <x:c r="D84" s="2"/>
      <x:c r="E84" s="2"/>
      <x:c r="F84" s="97"/>
      <x:c r="G84" s="98"/>
      <x:c r="H84" s="2"/>
      <x:c r="I84" s="97"/>
      <x:c r="J84" s="97"/>
      <x:c r="K84" s="2"/>
      <x:c r="L84" s="2"/>
      <x:c r="M84" s="2"/>
      <x:c r="N84" s="2"/>
      <x:c r="O84" s="2"/>
      <x:c r="P84" s="2"/>
    </x:row>
    <x:row r="85">
      <x:c r="A85" s="2"/>
      <x:c r="B85" s="2"/>
      <x:c r="C85" s="2"/>
      <x:c r="D85" s="2"/>
      <x:c r="E85" s="2"/>
      <x:c r="F85" s="97"/>
      <x:c r="G85" s="98"/>
      <x:c r="H85" s="2"/>
      <x:c r="I85" s="97"/>
      <x:c r="J85" s="97"/>
      <x:c r="K85" s="2"/>
      <x:c r="L85" s="2"/>
      <x:c r="M85" s="2"/>
      <x:c r="N85" s="2"/>
      <x:c r="O85" s="2"/>
      <x:c r="P85" s="2"/>
    </x:row>
    <x:row r="86">
      <x:c r="A86" s="2"/>
      <x:c r="B86" s="2"/>
      <x:c r="C86" s="2"/>
      <x:c r="D86" s="2"/>
      <x:c r="E86" s="2"/>
      <x:c r="F86" s="97"/>
      <x:c r="G86" s="98"/>
      <x:c r="H86" s="2"/>
      <x:c r="I86" s="97"/>
      <x:c r="J86" s="97"/>
      <x:c r="K86" s="2"/>
      <x:c r="L86" s="2"/>
      <x:c r="M86" s="2"/>
      <x:c r="N86" s="2"/>
      <x:c r="O86" s="2"/>
      <x:c r="P86" s="2"/>
    </x:row>
    <x:row r="87">
      <x:c r="A87" s="2"/>
      <x:c r="B87" s="2"/>
      <x:c r="C87" s="2"/>
      <x:c r="D87" s="2"/>
      <x:c r="E87" s="2"/>
      <x:c r="F87" s="97"/>
      <x:c r="G87" s="98"/>
      <x:c r="H87" s="2"/>
      <x:c r="I87" s="97"/>
      <x:c r="J87" s="97"/>
      <x:c r="K87" s="2"/>
      <x:c r="L87" s="2"/>
      <x:c r="M87" s="2"/>
      <x:c r="N87" s="2"/>
      <x:c r="O87" s="2"/>
      <x:c r="P87" s="2"/>
    </x:row>
    <x:row r="88">
      <x:c r="A88" s="2"/>
      <x:c r="B88" s="2"/>
      <x:c r="C88" s="2"/>
      <x:c r="D88" s="2"/>
      <x:c r="E88" s="2"/>
      <x:c r="F88" s="97"/>
      <x:c r="G88" s="98"/>
      <x:c r="H88" s="2"/>
      <x:c r="I88" s="97"/>
      <x:c r="J88" s="97"/>
      <x:c r="K88" s="2"/>
      <x:c r="L88" s="2"/>
      <x:c r="M88" s="2"/>
      <x:c r="N88" s="2"/>
      <x:c r="O88" s="2"/>
      <x:c r="P88" s="2"/>
    </x:row>
    <x:row r="89">
      <x:c r="A89" s="2"/>
      <x:c r="B89" s="2"/>
      <x:c r="C89" s="2"/>
      <x:c r="D89" s="2"/>
      <x:c r="E89" s="2"/>
      <x:c r="F89" s="97"/>
      <x:c r="G89" s="98"/>
      <x:c r="H89" s="2"/>
      <x:c r="I89" s="97"/>
      <x:c r="J89" s="97"/>
      <x:c r="K89" s="2"/>
      <x:c r="L89" s="2"/>
      <x:c r="M89" s="2"/>
      <x:c r="N89" s="2"/>
      <x:c r="O89" s="2"/>
      <x:c r="P89" s="2"/>
    </x:row>
    <x:row r="90">
      <x:c r="A90" s="2"/>
      <x:c r="B90" s="2"/>
      <x:c r="C90" s="2"/>
      <x:c r="D90" s="2"/>
      <x:c r="E90" s="2"/>
      <x:c r="F90" s="97"/>
      <x:c r="G90" s="98"/>
      <x:c r="H90" s="2"/>
      <x:c r="I90" s="97"/>
      <x:c r="J90" s="97"/>
      <x:c r="K90" s="2"/>
      <x:c r="L90" s="2"/>
      <x:c r="M90" s="2"/>
      <x:c r="N90" s="2"/>
      <x:c r="O90" s="2"/>
      <x:c r="P90" s="2"/>
    </x:row>
    <x:row r="91">
      <x:c r="A91" s="2"/>
      <x:c r="B91" s="2"/>
      <x:c r="C91" s="2"/>
      <x:c r="D91" s="2"/>
      <x:c r="E91" s="2"/>
      <x:c r="F91" s="97"/>
      <x:c r="G91" s="98"/>
      <x:c r="H91" s="2"/>
      <x:c r="I91" s="97"/>
      <x:c r="J91" s="97"/>
      <x:c r="K91" s="2"/>
      <x:c r="L91" s="2"/>
      <x:c r="M91" s="2"/>
      <x:c r="N91" s="2"/>
      <x:c r="O91" s="2"/>
      <x:c r="P91" s="2"/>
    </x:row>
    <x:row r="92">
      <x:c r="A92" s="2"/>
      <x:c r="B92" s="2"/>
      <x:c r="C92" s="2"/>
      <x:c r="D92" s="2"/>
      <x:c r="E92" s="2"/>
      <x:c r="F92" s="97"/>
      <x:c r="G92" s="98"/>
      <x:c r="H92" s="2"/>
      <x:c r="I92" s="97"/>
      <x:c r="J92" s="97"/>
      <x:c r="K92" s="2"/>
      <x:c r="L92" s="2"/>
      <x:c r="M92" s="2"/>
      <x:c r="N92" s="2"/>
      <x:c r="O92" s="2"/>
      <x:c r="P92" s="2"/>
    </x:row>
    <x:row r="93">
      <x:c r="A93" s="2"/>
      <x:c r="B93" s="2"/>
      <x:c r="C93" s="2"/>
      <x:c r="D93" s="2"/>
      <x:c r="E93" s="2"/>
      <x:c r="F93" s="97"/>
      <x:c r="G93" s="98"/>
      <x:c r="H93" s="2"/>
      <x:c r="I93" s="97"/>
      <x:c r="J93" s="97"/>
      <x:c r="K93" s="2"/>
      <x:c r="L93" s="2"/>
      <x:c r="M93" s="2"/>
      <x:c r="N93" s="2"/>
      <x:c r="O93" s="2"/>
      <x:c r="P93" s="2"/>
    </x:row>
    <x:row r="94">
      <x:c r="A94" s="2"/>
      <x:c r="B94" s="2"/>
      <x:c r="C94" s="2"/>
      <x:c r="D94" s="2"/>
      <x:c r="E94" s="2"/>
      <x:c r="F94" s="97"/>
      <x:c r="G94" s="98"/>
      <x:c r="H94" s="2"/>
      <x:c r="I94" s="97"/>
      <x:c r="J94" s="97"/>
      <x:c r="K94" s="2"/>
      <x:c r="L94" s="2"/>
      <x:c r="M94" s="2"/>
      <x:c r="N94" s="2"/>
      <x:c r="O94" s="2"/>
      <x:c r="P94" s="2"/>
    </x:row>
    <x:row r="95">
      <x:c r="A95" s="2"/>
      <x:c r="B95" s="2"/>
      <x:c r="C95" s="2"/>
      <x:c r="D95" s="2"/>
      <x:c r="E95" s="2"/>
      <x:c r="F95" s="97"/>
      <x:c r="G95" s="98"/>
      <x:c r="H95" s="2"/>
      <x:c r="I95" s="97"/>
      <x:c r="J95" s="97"/>
      <x:c r="K95" s="2"/>
      <x:c r="L95" s="2"/>
      <x:c r="M95" s="2"/>
      <x:c r="N95" s="2"/>
      <x:c r="O95" s="2"/>
      <x:c r="P95" s="2"/>
    </x:row>
    <x:row r="96">
      <x:c r="A96" s="2"/>
      <x:c r="B96" s="2"/>
      <x:c r="C96" s="2"/>
      <x:c r="D96" s="2"/>
      <x:c r="E96" s="2"/>
      <x:c r="F96" s="97"/>
      <x:c r="G96" s="98"/>
      <x:c r="H96" s="2"/>
      <x:c r="I96" s="97"/>
      <x:c r="J96" s="97"/>
      <x:c r="K96" s="2"/>
      <x:c r="L96" s="2"/>
      <x:c r="M96" s="2"/>
      <x:c r="N96" s="2"/>
      <x:c r="O96" s="2"/>
      <x:c r="P96" s="2"/>
    </x:row>
    <x:row r="97">
      <x:c r="A97" s="2"/>
      <x:c r="B97" s="2"/>
      <x:c r="C97" s="2"/>
      <x:c r="D97" s="2"/>
      <x:c r="E97" s="2"/>
      <x:c r="F97" s="97"/>
      <x:c r="G97" s="98"/>
      <x:c r="H97" s="2"/>
      <x:c r="I97" s="97"/>
      <x:c r="J97" s="97"/>
      <x:c r="K97" s="2"/>
      <x:c r="L97" s="2"/>
      <x:c r="M97" s="2"/>
      <x:c r="N97" s="2"/>
      <x:c r="O97" s="2"/>
      <x:c r="P97" s="2"/>
    </x:row>
    <x:row r="98">
      <x:c r="A98" s="2"/>
      <x:c r="B98" s="2"/>
      <x:c r="C98" s="2"/>
      <x:c r="D98" s="2"/>
      <x:c r="E98" s="2"/>
      <x:c r="F98" s="97"/>
      <x:c r="G98" s="98"/>
      <x:c r="H98" s="2"/>
      <x:c r="I98" s="97"/>
      <x:c r="J98" s="97"/>
      <x:c r="K98" s="2"/>
      <x:c r="L98" s="2"/>
      <x:c r="M98" s="2"/>
      <x:c r="N98" s="2"/>
      <x:c r="O98" s="2"/>
      <x:c r="P98" s="2"/>
    </x:row>
    <x:row r="99">
      <x:c r="A99" s="2"/>
      <x:c r="B99" s="2"/>
      <x:c r="C99" s="2"/>
      <x:c r="D99" s="2"/>
      <x:c r="E99" s="2"/>
      <x:c r="F99" s="97"/>
      <x:c r="G99" s="98"/>
      <x:c r="H99" s="2"/>
      <x:c r="I99" s="97"/>
      <x:c r="J99" s="97"/>
      <x:c r="K99" s="2"/>
      <x:c r="L99" s="2"/>
      <x:c r="M99" s="2"/>
      <x:c r="N99" s="2"/>
      <x:c r="O99" s="2"/>
      <x:c r="P99" s="2"/>
    </x:row>
    <x:row r="100">
      <x:c r="A100" s="2"/>
      <x:c r="B100" s="2"/>
      <x:c r="C100" s="2"/>
      <x:c r="D100" s="2"/>
      <x:c r="E100" s="2"/>
      <x:c r="F100" s="97"/>
      <x:c r="G100" s="98"/>
      <x:c r="H100" s="2"/>
      <x:c r="I100" s="97"/>
      <x:c r="J100" s="97"/>
      <x:c r="K100" s="2"/>
      <x:c r="L100" s="2"/>
      <x:c r="M100" s="2"/>
      <x:c r="N100" s="2"/>
      <x:c r="O100" s="2"/>
      <x:c r="P100" s="2"/>
    </x:row>
    <x:row r="101">
      <x:c r="A101" s="2"/>
      <x:c r="B101" s="2"/>
      <x:c r="C101" s="2"/>
      <x:c r="D101" s="2"/>
      <x:c r="E101" s="2"/>
      <x:c r="F101" s="97"/>
      <x:c r="G101" s="98"/>
      <x:c r="H101" s="2"/>
      <x:c r="I101" s="97"/>
      <x:c r="J101" s="97"/>
      <x:c r="K101" s="2"/>
      <x:c r="L101" s="2"/>
      <x:c r="M101" s="2"/>
      <x:c r="N101" s="2"/>
      <x:c r="O101" s="2"/>
      <x:c r="P101" s="2"/>
    </x:row>
    <x:row r="102">
      <x:c r="A102" s="2"/>
      <x:c r="B102" s="2"/>
      <x:c r="C102" s="2"/>
      <x:c r="D102" s="2"/>
      <x:c r="E102" s="2"/>
      <x:c r="F102" s="97"/>
      <x:c r="G102" s="98"/>
      <x:c r="H102" s="2"/>
      <x:c r="I102" s="97"/>
      <x:c r="J102" s="97"/>
      <x:c r="K102" s="2"/>
      <x:c r="L102" s="2"/>
      <x:c r="M102" s="2"/>
      <x:c r="N102" s="2"/>
      <x:c r="O102" s="2"/>
      <x:c r="P102" s="2"/>
    </x:row>
    <x:row r="103">
      <x:c r="A103" s="2"/>
      <x:c r="B103" s="2"/>
      <x:c r="C103" s="2"/>
      <x:c r="D103" s="2"/>
      <x:c r="E103" s="2"/>
      <x:c r="F103" s="97"/>
      <x:c r="G103" s="98"/>
      <x:c r="H103" s="2"/>
      <x:c r="I103" s="97"/>
      <x:c r="J103" s="97"/>
      <x:c r="K103" s="2"/>
      <x:c r="L103" s="2"/>
      <x:c r="M103" s="2"/>
      <x:c r="N103" s="2"/>
      <x:c r="O103" s="2"/>
      <x:c r="P103" s="2"/>
    </x:row>
    <x:row r="104">
      <x:c r="A104" s="2"/>
      <x:c r="B104" s="2"/>
      <x:c r="C104" s="2"/>
      <x:c r="D104" s="2"/>
      <x:c r="E104" s="2"/>
      <x:c r="F104" s="97"/>
      <x:c r="G104" s="98"/>
      <x:c r="H104" s="2"/>
      <x:c r="I104" s="97"/>
      <x:c r="J104" s="97"/>
      <x:c r="K104" s="2"/>
      <x:c r="L104" s="2"/>
      <x:c r="M104" s="2"/>
      <x:c r="N104" s="2"/>
      <x:c r="O104" s="2"/>
      <x:c r="P104" s="2"/>
    </x:row>
    <x:row r="105">
      <x:c r="A105" s="2"/>
      <x:c r="B105" s="2"/>
      <x:c r="C105" s="2"/>
      <x:c r="D105" s="2"/>
      <x:c r="E105" s="2"/>
      <x:c r="F105" s="97"/>
      <x:c r="G105" s="98"/>
      <x:c r="H105" s="2"/>
      <x:c r="I105" s="97"/>
      <x:c r="J105" s="97"/>
      <x:c r="K105" s="2"/>
      <x:c r="L105" s="2"/>
      <x:c r="M105" s="2"/>
      <x:c r="N105" s="2"/>
      <x:c r="O105" s="2"/>
      <x:c r="P105" s="2"/>
    </x:row>
    <x:row r="106">
      <x:c r="A106" s="2"/>
      <x:c r="B106" s="2"/>
      <x:c r="C106" s="2"/>
      <x:c r="D106" s="2"/>
      <x:c r="E106" s="2"/>
      <x:c r="F106" s="97"/>
      <x:c r="G106" s="98"/>
      <x:c r="H106" s="2"/>
      <x:c r="I106" s="97"/>
      <x:c r="J106" s="97"/>
      <x:c r="K106" s="2"/>
      <x:c r="L106" s="2"/>
      <x:c r="M106" s="2"/>
      <x:c r="N106" s="2"/>
      <x:c r="O106" s="2"/>
      <x:c r="P106" s="2"/>
    </x:row>
    <x:row r="107">
      <x:c r="A107" s="2"/>
      <x:c r="B107" s="2"/>
      <x:c r="C107" s="2"/>
      <x:c r="D107" s="2"/>
      <x:c r="E107" s="2"/>
      <x:c r="F107" s="97"/>
      <x:c r="G107" s="98"/>
      <x:c r="H107" s="2"/>
      <x:c r="I107" s="97"/>
      <x:c r="J107" s="97"/>
      <x:c r="K107" s="2"/>
      <x:c r="L107" s="2"/>
      <x:c r="M107" s="2"/>
      <x:c r="N107" s="2"/>
      <x:c r="O107" s="2"/>
      <x:c r="P107" s="2"/>
    </x:row>
    <x:row r="108">
      <x:c r="A108" s="2"/>
      <x:c r="B108" s="2"/>
      <x:c r="C108" s="2"/>
      <x:c r="D108" s="2"/>
      <x:c r="E108" s="2"/>
      <x:c r="F108" s="97"/>
      <x:c r="G108" s="98"/>
      <x:c r="H108" s="2"/>
      <x:c r="I108" s="97"/>
      <x:c r="J108" s="97"/>
      <x:c r="K108" s="2"/>
      <x:c r="L108" s="2"/>
      <x:c r="M108" s="2"/>
      <x:c r="N108" s="2"/>
      <x:c r="O108" s="2"/>
      <x:c r="P108" s="2"/>
    </x:row>
    <x:row r="109">
      <x:c r="A109" s="2"/>
      <x:c r="B109" s="2"/>
      <x:c r="C109" s="2"/>
      <x:c r="D109" s="2"/>
      <x:c r="E109" s="2"/>
      <x:c r="F109" s="97"/>
      <x:c r="G109" s="98"/>
      <x:c r="H109" s="2"/>
      <x:c r="I109" s="97"/>
      <x:c r="J109" s="97"/>
      <x:c r="K109" s="2"/>
      <x:c r="L109" s="2"/>
      <x:c r="M109" s="2"/>
      <x:c r="N109" s="2"/>
      <x:c r="O109" s="2"/>
      <x:c r="P109" s="2"/>
    </x:row>
    <x:row r="110">
      <x:c r="A110" s="2"/>
      <x:c r="B110" s="2"/>
      <x:c r="C110" s="2"/>
      <x:c r="D110" s="2"/>
      <x:c r="E110" s="2"/>
      <x:c r="F110" s="97"/>
      <x:c r="G110" s="98"/>
      <x:c r="H110" s="2"/>
      <x:c r="I110" s="97"/>
      <x:c r="J110" s="97"/>
      <x:c r="K110" s="2"/>
      <x:c r="L110" s="2"/>
      <x:c r="M110" s="2"/>
      <x:c r="N110" s="2"/>
      <x:c r="O110" s="2"/>
      <x:c r="P110" s="2"/>
    </x:row>
    <x:row r="111">
      <x:c r="A111" s="2"/>
      <x:c r="B111" s="2"/>
      <x:c r="C111" s="2"/>
      <x:c r="D111" s="2"/>
      <x:c r="E111" s="2"/>
      <x:c r="F111" s="97"/>
      <x:c r="G111" s="98"/>
      <x:c r="H111" s="2"/>
      <x:c r="I111" s="97"/>
      <x:c r="J111" s="97"/>
      <x:c r="K111" s="2"/>
      <x:c r="L111" s="2"/>
      <x:c r="M111" s="2"/>
      <x:c r="N111" s="2"/>
      <x:c r="O111" s="2"/>
      <x:c r="P111" s="2"/>
    </x:row>
    <x:row r="112">
      <x:c r="A112" s="2"/>
      <x:c r="B112" s="2"/>
      <x:c r="C112" s="2"/>
      <x:c r="D112" s="2"/>
      <x:c r="E112" s="2"/>
      <x:c r="F112" s="97"/>
      <x:c r="G112" s="98"/>
      <x:c r="H112" s="2"/>
      <x:c r="I112" s="97"/>
      <x:c r="J112" s="97"/>
      <x:c r="K112" s="2"/>
      <x:c r="L112" s="2"/>
      <x:c r="M112" s="2"/>
      <x:c r="N112" s="2"/>
      <x:c r="O112" s="2"/>
      <x:c r="P112" s="2"/>
    </x:row>
    <x:row r="113">
      <x:c r="A113" s="2"/>
      <x:c r="B113" s="2"/>
      <x:c r="C113" s="2"/>
      <x:c r="D113" s="2"/>
      <x:c r="E113" s="2"/>
      <x:c r="F113" s="97"/>
      <x:c r="G113" s="98"/>
      <x:c r="H113" s="2"/>
      <x:c r="I113" s="97"/>
      <x:c r="J113" s="97"/>
      <x:c r="K113" s="2"/>
      <x:c r="L113" s="2"/>
      <x:c r="M113" s="2"/>
      <x:c r="N113" s="2"/>
      <x:c r="O113" s="2"/>
      <x:c r="P113" s="2"/>
    </x:row>
    <x:row r="114">
      <x:c r="A114" s="2"/>
      <x:c r="B114" s="2"/>
      <x:c r="C114" s="2"/>
      <x:c r="D114" s="2"/>
      <x:c r="E114" s="2"/>
      <x:c r="F114" s="97"/>
      <x:c r="G114" s="98"/>
      <x:c r="H114" s="2"/>
      <x:c r="I114" s="97"/>
      <x:c r="J114" s="97"/>
      <x:c r="K114" s="2"/>
      <x:c r="L114" s="2"/>
      <x:c r="M114" s="2"/>
      <x:c r="N114" s="2"/>
      <x:c r="O114" s="2"/>
      <x:c r="P114" s="2"/>
    </x:row>
    <x:row r="115">
      <x:c r="A115" s="2"/>
      <x:c r="B115" s="2"/>
      <x:c r="C115" s="2"/>
      <x:c r="D115" s="2"/>
      <x:c r="E115" s="2"/>
      <x:c r="F115" s="97"/>
      <x:c r="G115" s="98"/>
      <x:c r="H115" s="2"/>
      <x:c r="I115" s="97"/>
      <x:c r="J115" s="97"/>
      <x:c r="K115" s="2"/>
      <x:c r="L115" s="2"/>
      <x:c r="M115" s="2"/>
      <x:c r="N115" s="2"/>
      <x:c r="O115" s="2"/>
      <x:c r="P115" s="2"/>
    </x:row>
    <x:row r="116">
      <x:c r="A116" s="2"/>
      <x:c r="B116" s="2"/>
      <x:c r="C116" s="2"/>
      <x:c r="D116" s="2"/>
      <x:c r="E116" s="2"/>
      <x:c r="F116" s="97"/>
      <x:c r="G116" s="98"/>
      <x:c r="H116" s="2"/>
      <x:c r="I116" s="97"/>
      <x:c r="J116" s="97"/>
      <x:c r="K116" s="2"/>
      <x:c r="L116" s="2"/>
      <x:c r="M116" s="2"/>
      <x:c r="N116" s="2"/>
      <x:c r="O116" s="2"/>
      <x:c r="P116" s="2"/>
    </x:row>
    <x:row r="117">
      <x:c r="A117" s="2"/>
      <x:c r="B117" s="2"/>
      <x:c r="C117" s="2"/>
      <x:c r="D117" s="2"/>
      <x:c r="E117" s="2"/>
      <x:c r="F117" s="97"/>
      <x:c r="G117" s="98"/>
      <x:c r="H117" s="2"/>
      <x:c r="I117" s="97"/>
      <x:c r="J117" s="97"/>
      <x:c r="K117" s="2"/>
      <x:c r="L117" s="2"/>
      <x:c r="M117" s="2"/>
      <x:c r="N117" s="2"/>
      <x:c r="O117" s="2"/>
      <x:c r="P117" s="2"/>
    </x:row>
    <x:row r="118">
      <x:c r="A118" s="2"/>
      <x:c r="B118" s="2"/>
      <x:c r="C118" s="2"/>
      <x:c r="D118" s="2"/>
      <x:c r="E118" s="2"/>
      <x:c r="F118" s="97"/>
      <x:c r="G118" s="98"/>
      <x:c r="H118" s="2"/>
      <x:c r="I118" s="97"/>
      <x:c r="J118" s="97"/>
      <x:c r="K118" s="2"/>
      <x:c r="L118" s="2"/>
      <x:c r="M118" s="2"/>
      <x:c r="N118" s="2"/>
      <x:c r="O118" s="2"/>
      <x:c r="P118" s="2"/>
    </x:row>
    <x:row r="119">
      <x:c r="A119" s="2"/>
      <x:c r="B119" s="2"/>
      <x:c r="C119" s="2"/>
      <x:c r="D119" s="2"/>
      <x:c r="E119" s="2"/>
      <x:c r="F119" s="97"/>
      <x:c r="G119" s="98"/>
      <x:c r="H119" s="2"/>
      <x:c r="I119" s="97"/>
      <x:c r="J119" s="97"/>
      <x:c r="K119" s="2"/>
      <x:c r="L119" s="2"/>
      <x:c r="M119" s="2"/>
      <x:c r="N119" s="2"/>
      <x:c r="O119" s="2"/>
      <x:c r="P119" s="2"/>
    </x:row>
    <x:row r="120">
      <x:c r="A120" s="2"/>
      <x:c r="B120" s="2"/>
      <x:c r="C120" s="2"/>
      <x:c r="D120" s="2"/>
      <x:c r="E120" s="2"/>
      <x:c r="F120" s="97"/>
      <x:c r="G120" s="98"/>
      <x:c r="H120" s="2"/>
      <x:c r="I120" s="97"/>
      <x:c r="J120" s="97"/>
      <x:c r="K120" s="2"/>
      <x:c r="L120" s="2"/>
      <x:c r="M120" s="2"/>
      <x:c r="N120" s="2"/>
      <x:c r="O120" s="2"/>
      <x:c r="P120" s="2"/>
    </x:row>
    <x:row r="121">
      <x:c r="A121" s="2"/>
      <x:c r="B121" s="2"/>
      <x:c r="C121" s="2"/>
      <x:c r="D121" s="2"/>
      <x:c r="E121" s="2"/>
      <x:c r="F121" s="97"/>
      <x:c r="G121" s="98"/>
      <x:c r="H121" s="2"/>
      <x:c r="I121" s="97"/>
      <x:c r="J121" s="97"/>
      <x:c r="K121" s="2"/>
      <x:c r="L121" s="2"/>
      <x:c r="M121" s="2"/>
      <x:c r="N121" s="2"/>
      <x:c r="O121" s="2"/>
      <x:c r="P121" s="2"/>
    </x:row>
    <x:row r="122">
      <x:c r="A122" s="2"/>
      <x:c r="B122" s="2"/>
      <x:c r="C122" s="2"/>
      <x:c r="D122" s="2"/>
      <x:c r="E122" s="2"/>
      <x:c r="F122" s="97"/>
      <x:c r="G122" s="98"/>
      <x:c r="H122" s="2"/>
      <x:c r="I122" s="97"/>
      <x:c r="J122" s="97"/>
      <x:c r="K122" s="2"/>
      <x:c r="L122" s="2"/>
      <x:c r="M122" s="2"/>
      <x:c r="N122" s="2"/>
      <x:c r="O122" s="2"/>
      <x:c r="P122" s="2"/>
    </x:row>
    <x:row r="123">
      <x:c r="A123" s="2"/>
      <x:c r="B123" s="2"/>
      <x:c r="C123" s="2"/>
      <x:c r="D123" s="2"/>
      <x:c r="E123" s="2"/>
      <x:c r="F123" s="97"/>
      <x:c r="G123" s="98"/>
      <x:c r="H123" s="2"/>
      <x:c r="I123" s="97"/>
      <x:c r="J123" s="97"/>
      <x:c r="K123" s="2"/>
      <x:c r="L123" s="2"/>
      <x:c r="M123" s="2"/>
      <x:c r="N123" s="2"/>
      <x:c r="O123" s="2"/>
      <x:c r="P123" s="2"/>
    </x:row>
    <x:row r="124">
      <x:c r="A124" s="2"/>
      <x:c r="B124" s="2"/>
      <x:c r="C124" s="2"/>
      <x:c r="D124" s="2"/>
      <x:c r="E124" s="2"/>
      <x:c r="F124" s="97"/>
      <x:c r="G124" s="98"/>
      <x:c r="H124" s="2"/>
      <x:c r="I124" s="97"/>
      <x:c r="J124" s="97"/>
      <x:c r="K124" s="2"/>
      <x:c r="L124" s="2"/>
      <x:c r="M124" s="2"/>
      <x:c r="N124" s="2"/>
      <x:c r="O124" s="2"/>
      <x:c r="P124" s="2"/>
    </x:row>
    <x:row r="125">
      <x:c r="A125" s="2"/>
      <x:c r="B125" s="2"/>
      <x:c r="C125" s="2"/>
      <x:c r="D125" s="2"/>
      <x:c r="E125" s="2"/>
      <x:c r="F125" s="97"/>
      <x:c r="G125" s="98"/>
      <x:c r="H125" s="2"/>
      <x:c r="I125" s="97"/>
      <x:c r="J125" s="97"/>
      <x:c r="K125" s="2"/>
      <x:c r="L125" s="2"/>
      <x:c r="M125" s="2"/>
      <x:c r="N125" s="2"/>
      <x:c r="O125" s="2"/>
      <x:c r="P125" s="2"/>
    </x:row>
    <x:row r="126">
      <x:c r="A126" s="2"/>
      <x:c r="B126" s="2"/>
      <x:c r="C126" s="2"/>
      <x:c r="D126" s="2"/>
      <x:c r="E126" s="2"/>
      <x:c r="F126" s="97"/>
      <x:c r="G126" s="98"/>
      <x:c r="H126" s="2"/>
      <x:c r="I126" s="97"/>
      <x:c r="J126" s="97"/>
      <x:c r="K126" s="2"/>
      <x:c r="L126" s="2"/>
      <x:c r="M126" s="2"/>
      <x:c r="N126" s="2"/>
      <x:c r="O126" s="2"/>
      <x:c r="P126" s="2"/>
    </x:row>
    <x:row r="127">
      <x:c r="A127" s="2"/>
      <x:c r="B127" s="2"/>
      <x:c r="C127" s="2"/>
      <x:c r="D127" s="2"/>
      <x:c r="E127" s="2"/>
      <x:c r="F127" s="97"/>
      <x:c r="G127" s="98"/>
      <x:c r="H127" s="2"/>
      <x:c r="I127" s="97"/>
      <x:c r="J127" s="97"/>
      <x:c r="K127" s="2"/>
      <x:c r="L127" s="2"/>
      <x:c r="M127" s="2"/>
      <x:c r="N127" s="2"/>
      <x:c r="O127" s="2"/>
      <x:c r="P127" s="2"/>
    </x:row>
    <x:row r="128">
      <x:c r="A128" s="2"/>
      <x:c r="B128" s="2"/>
      <x:c r="C128" s="2"/>
      <x:c r="D128" s="2"/>
      <x:c r="E128" s="2"/>
      <x:c r="F128" s="97"/>
      <x:c r="G128" s="98"/>
      <x:c r="H128" s="2"/>
      <x:c r="I128" s="97"/>
      <x:c r="J128" s="97"/>
      <x:c r="K128" s="2"/>
      <x:c r="L128" s="2"/>
      <x:c r="M128" s="2"/>
      <x:c r="N128" s="2"/>
      <x:c r="O128" s="2"/>
      <x:c r="P128" s="2"/>
    </x:row>
    <x:row r="129">
      <x:c r="A129" s="2"/>
      <x:c r="B129" s="2"/>
      <x:c r="C129" s="2"/>
      <x:c r="D129" s="2"/>
      <x:c r="E129" s="2"/>
      <x:c r="F129" s="97"/>
      <x:c r="G129" s="98"/>
      <x:c r="H129" s="2"/>
      <x:c r="I129" s="97"/>
      <x:c r="J129" s="97"/>
      <x:c r="K129" s="2"/>
      <x:c r="L129" s="2"/>
      <x:c r="M129" s="2"/>
      <x:c r="N129" s="2"/>
      <x:c r="O129" s="2"/>
      <x:c r="P129" s="2"/>
    </x:row>
    <x:row r="130">
      <x:c r="A130" s="2"/>
      <x:c r="B130" s="2"/>
      <x:c r="C130" s="2"/>
      <x:c r="D130" s="2"/>
      <x:c r="E130" s="2"/>
      <x:c r="F130" s="97"/>
      <x:c r="G130" s="98"/>
      <x:c r="H130" s="2"/>
      <x:c r="I130" s="97"/>
      <x:c r="J130" s="97"/>
      <x:c r="K130" s="2"/>
      <x:c r="L130" s="2"/>
      <x:c r="M130" s="2"/>
      <x:c r="N130" s="2"/>
      <x:c r="O130" s="2"/>
      <x:c r="P130" s="2"/>
    </x:row>
    <x:row r="131">
      <x:c r="A131" s="2"/>
      <x:c r="B131" s="2"/>
      <x:c r="C131" s="2"/>
      <x:c r="D131" s="2"/>
      <x:c r="E131" s="2"/>
      <x:c r="F131" s="97"/>
      <x:c r="G131" s="98"/>
      <x:c r="H131" s="2"/>
      <x:c r="I131" s="97"/>
      <x:c r="J131" s="97"/>
      <x:c r="K131" s="2"/>
      <x:c r="L131" s="2"/>
      <x:c r="M131" s="2"/>
      <x:c r="N131" s="2"/>
      <x:c r="O131" s="2"/>
      <x:c r="P131" s="2"/>
    </x:row>
    <x:row r="132">
      <x:c r="A132" s="2"/>
      <x:c r="B132" s="2"/>
      <x:c r="C132" s="2"/>
      <x:c r="D132" s="2"/>
      <x:c r="E132" s="2"/>
      <x:c r="F132" s="97"/>
      <x:c r="G132" s="98"/>
      <x:c r="H132" s="2"/>
      <x:c r="I132" s="97"/>
      <x:c r="J132" s="97"/>
      <x:c r="K132" s="2"/>
      <x:c r="L132" s="2"/>
      <x:c r="M132" s="2"/>
      <x:c r="N132" s="2"/>
      <x:c r="O132" s="2"/>
      <x:c r="P132" s="2"/>
    </x:row>
    <x:row r="133">
      <x:c r="A133" s="2"/>
      <x:c r="B133" s="2"/>
      <x:c r="C133" s="2"/>
      <x:c r="D133" s="2"/>
      <x:c r="E133" s="2"/>
      <x:c r="F133" s="97"/>
      <x:c r="G133" s="98"/>
      <x:c r="H133" s="2"/>
      <x:c r="I133" s="97"/>
      <x:c r="J133" s="97"/>
      <x:c r="K133" s="2"/>
      <x:c r="L133" s="2"/>
      <x:c r="M133" s="2"/>
      <x:c r="N133" s="2"/>
      <x:c r="O133" s="2"/>
      <x:c r="P133" s="2"/>
    </x:row>
    <x:row r="134">
      <x:c r="A134" s="2"/>
      <x:c r="B134" s="2"/>
      <x:c r="C134" s="2"/>
      <x:c r="D134" s="2"/>
      <x:c r="E134" s="2"/>
      <x:c r="F134" s="97"/>
      <x:c r="G134" s="98"/>
      <x:c r="H134" s="2"/>
      <x:c r="I134" s="97"/>
      <x:c r="J134" s="97"/>
      <x:c r="K134" s="2"/>
      <x:c r="L134" s="2"/>
      <x:c r="M134" s="2"/>
      <x:c r="N134" s="2"/>
      <x:c r="O134" s="2"/>
      <x:c r="P134" s="2"/>
    </x:row>
    <x:row r="135">
      <x:c r="A135" s="2"/>
      <x:c r="B135" s="2"/>
      <x:c r="C135" s="2"/>
      <x:c r="D135" s="2"/>
      <x:c r="E135" s="2"/>
      <x:c r="F135" s="97"/>
      <x:c r="G135" s="98"/>
      <x:c r="H135" s="2"/>
      <x:c r="I135" s="97"/>
      <x:c r="J135" s="97"/>
      <x:c r="K135" s="2"/>
      <x:c r="L135" s="2"/>
      <x:c r="M135" s="2"/>
      <x:c r="N135" s="2"/>
      <x:c r="O135" s="2"/>
      <x:c r="P135" s="2"/>
    </x:row>
    <x:row r="136">
      <x:c r="A136" s="2"/>
      <x:c r="B136" s="2"/>
      <x:c r="C136" s="2"/>
      <x:c r="D136" s="2"/>
      <x:c r="E136" s="2"/>
      <x:c r="F136" s="97"/>
      <x:c r="G136" s="98"/>
      <x:c r="H136" s="2"/>
      <x:c r="I136" s="97"/>
      <x:c r="J136" s="97"/>
      <x:c r="K136" s="2"/>
      <x:c r="L136" s="2"/>
      <x:c r="M136" s="2"/>
      <x:c r="N136" s="2"/>
      <x:c r="O136" s="2"/>
      <x:c r="P136" s="2"/>
    </x:row>
    <x:row r="137">
      <x:c r="A137" s="2"/>
      <x:c r="B137" s="2"/>
      <x:c r="C137" s="2"/>
      <x:c r="D137" s="2"/>
      <x:c r="E137" s="2"/>
      <x:c r="F137" s="97"/>
      <x:c r="G137" s="98"/>
      <x:c r="H137" s="2"/>
      <x:c r="I137" s="97"/>
      <x:c r="J137" s="97"/>
      <x:c r="K137" s="2"/>
      <x:c r="L137" s="2"/>
      <x:c r="M137" s="2"/>
      <x:c r="N137" s="2"/>
      <x:c r="O137" s="2"/>
      <x:c r="P137" s="2"/>
    </x:row>
    <x:row r="138">
      <x:c r="A138" s="2"/>
      <x:c r="B138" s="2"/>
      <x:c r="C138" s="2"/>
      <x:c r="D138" s="2"/>
      <x:c r="E138" s="2"/>
      <x:c r="F138" s="97"/>
      <x:c r="G138" s="98"/>
      <x:c r="H138" s="2"/>
      <x:c r="I138" s="97"/>
      <x:c r="J138" s="97"/>
      <x:c r="K138" s="2"/>
      <x:c r="L138" s="2"/>
      <x:c r="M138" s="2"/>
      <x:c r="N138" s="2"/>
      <x:c r="O138" s="2"/>
      <x:c r="P138" s="2"/>
    </x:row>
    <x:row r="139">
      <x:c r="A139" s="2"/>
      <x:c r="B139" s="2"/>
      <x:c r="C139" s="2"/>
      <x:c r="D139" s="2"/>
      <x:c r="E139" s="2"/>
      <x:c r="F139" s="97"/>
      <x:c r="G139" s="98"/>
      <x:c r="H139" s="2"/>
      <x:c r="I139" s="97"/>
      <x:c r="J139" s="97"/>
      <x:c r="K139" s="2"/>
      <x:c r="L139" s="2"/>
      <x:c r="M139" s="2"/>
      <x:c r="N139" s="2"/>
      <x:c r="O139" s="2"/>
      <x:c r="P139" s="2"/>
    </x:row>
    <x:row r="140">
      <x:c r="A140" s="2"/>
      <x:c r="B140" s="2"/>
      <x:c r="C140" s="2"/>
      <x:c r="D140" s="2"/>
      <x:c r="E140" s="2"/>
      <x:c r="F140" s="97"/>
      <x:c r="G140" s="98"/>
      <x:c r="H140" s="2"/>
      <x:c r="I140" s="97"/>
      <x:c r="J140" s="97"/>
      <x:c r="K140" s="2"/>
      <x:c r="L140" s="2"/>
      <x:c r="M140" s="2"/>
      <x:c r="N140" s="2"/>
      <x:c r="O140" s="2"/>
      <x:c r="P140" s="2"/>
    </x:row>
    <x:row r="141">
      <x:c r="A141" s="2"/>
      <x:c r="B141" s="2"/>
      <x:c r="C141" s="2"/>
      <x:c r="D141" s="2"/>
      <x:c r="E141" s="2"/>
      <x:c r="F141" s="97"/>
      <x:c r="G141" s="98"/>
      <x:c r="H141" s="2"/>
      <x:c r="I141" s="97"/>
      <x:c r="J141" s="97"/>
      <x:c r="K141" s="2"/>
      <x:c r="L141" s="2"/>
      <x:c r="M141" s="2"/>
      <x:c r="N141" s="2"/>
      <x:c r="O141" s="2"/>
      <x:c r="P141" s="2"/>
    </x:row>
    <x:row r="142">
      <x:c r="A142" s="2"/>
      <x:c r="B142" s="2"/>
      <x:c r="C142" s="2"/>
      <x:c r="D142" s="2"/>
      <x:c r="E142" s="2"/>
      <x:c r="F142" s="97"/>
      <x:c r="G142" s="98"/>
      <x:c r="H142" s="2"/>
      <x:c r="I142" s="97"/>
      <x:c r="J142" s="97"/>
      <x:c r="K142" s="2"/>
      <x:c r="L142" s="2"/>
      <x:c r="M142" s="2"/>
      <x:c r="N142" s="2"/>
      <x:c r="O142" s="2"/>
      <x:c r="P142" s="2"/>
    </x:row>
    <x:row r="143">
      <x:c r="A143" s="2"/>
      <x:c r="B143" s="2"/>
      <x:c r="C143" s="2"/>
      <x:c r="D143" s="2"/>
      <x:c r="E143" s="2"/>
      <x:c r="F143" s="97"/>
      <x:c r="G143" s="98"/>
      <x:c r="H143" s="2"/>
      <x:c r="I143" s="97"/>
      <x:c r="J143" s="97"/>
      <x:c r="K143" s="2"/>
      <x:c r="L143" s="2"/>
      <x:c r="M143" s="2"/>
      <x:c r="N143" s="2"/>
      <x:c r="O143" s="2"/>
      <x:c r="P143" s="2"/>
    </x:row>
    <x:row r="144">
      <x:c r="A144" s="2"/>
      <x:c r="B144" s="2"/>
      <x:c r="C144" s="2"/>
      <x:c r="D144" s="2"/>
      <x:c r="E144" s="2"/>
      <x:c r="F144" s="97"/>
      <x:c r="G144" s="98"/>
      <x:c r="H144" s="2"/>
      <x:c r="I144" s="97"/>
      <x:c r="J144" s="97"/>
      <x:c r="K144" s="2"/>
      <x:c r="L144" s="2"/>
      <x:c r="M144" s="2"/>
      <x:c r="N144" s="2"/>
      <x:c r="O144" s="2"/>
      <x:c r="P144" s="2"/>
    </x:row>
    <x:row r="145">
      <x:c r="A145" s="2"/>
      <x:c r="B145" s="2"/>
      <x:c r="C145" s="2"/>
      <x:c r="D145" s="2"/>
      <x:c r="E145" s="2"/>
      <x:c r="F145" s="97"/>
      <x:c r="G145" s="98"/>
      <x:c r="H145" s="2"/>
      <x:c r="I145" s="97"/>
      <x:c r="J145" s="97"/>
      <x:c r="K145" s="2"/>
      <x:c r="L145" s="2"/>
      <x:c r="M145" s="2"/>
      <x:c r="N145" s="2"/>
      <x:c r="O145" s="2"/>
      <x:c r="P145" s="2"/>
    </x:row>
    <x:row r="146">
      <x:c r="A146" s="2"/>
      <x:c r="B146" s="2"/>
      <x:c r="C146" s="2"/>
      <x:c r="D146" s="2"/>
      <x:c r="E146" s="2"/>
      <x:c r="F146" s="97"/>
      <x:c r="G146" s="98"/>
      <x:c r="H146" s="2"/>
      <x:c r="I146" s="97"/>
      <x:c r="J146" s="97"/>
      <x:c r="K146" s="2"/>
      <x:c r="L146" s="2"/>
      <x:c r="M146" s="2"/>
      <x:c r="N146" s="2"/>
      <x:c r="O146" s="2"/>
      <x:c r="P146" s="2"/>
    </x:row>
    <x:row r="147">
      <x:c r="A147" s="2"/>
      <x:c r="B147" s="2"/>
      <x:c r="C147" s="2"/>
      <x:c r="D147" s="2"/>
      <x:c r="E147" s="2"/>
      <x:c r="F147" s="97"/>
      <x:c r="G147" s="98"/>
      <x:c r="H147" s="2"/>
      <x:c r="I147" s="97"/>
      <x:c r="J147" s="97"/>
      <x:c r="K147" s="2"/>
      <x:c r="L147" s="2"/>
      <x:c r="M147" s="2"/>
      <x:c r="N147" s="2"/>
      <x:c r="O147" s="2"/>
      <x:c r="P147" s="2"/>
    </x:row>
    <x:row r="148">
      <x:c r="A148" s="2"/>
      <x:c r="B148" s="2"/>
      <x:c r="C148" s="2"/>
      <x:c r="D148" s="2"/>
      <x:c r="E148" s="2"/>
      <x:c r="F148" s="97"/>
      <x:c r="G148" s="98"/>
      <x:c r="H148" s="2"/>
      <x:c r="I148" s="97"/>
      <x:c r="J148" s="97"/>
      <x:c r="K148" s="2"/>
      <x:c r="L148" s="2"/>
      <x:c r="M148" s="2"/>
      <x:c r="N148" s="2"/>
      <x:c r="O148" s="2"/>
      <x:c r="P148" s="2"/>
    </x:row>
    <x:row r="149">
      <x:c r="A149" s="2"/>
      <x:c r="B149" s="2"/>
      <x:c r="C149" s="2"/>
      <x:c r="D149" s="2"/>
      <x:c r="E149" s="2"/>
      <x:c r="F149" s="97"/>
      <x:c r="G149" s="98"/>
      <x:c r="H149" s="2"/>
      <x:c r="I149" s="97"/>
      <x:c r="J149" s="97"/>
      <x:c r="K149" s="2"/>
      <x:c r="L149" s="2"/>
      <x:c r="M149" s="2"/>
      <x:c r="N149" s="2"/>
      <x:c r="O149" s="2"/>
      <x:c r="P149" s="2"/>
    </x:row>
    <x:row r="150">
      <x:c r="A150" s="2"/>
      <x:c r="B150" s="2"/>
      <x:c r="C150" s="2"/>
      <x:c r="D150" s="2"/>
      <x:c r="E150" s="2"/>
      <x:c r="F150" s="97"/>
      <x:c r="G150" s="98"/>
      <x:c r="H150" s="2"/>
      <x:c r="I150" s="97"/>
      <x:c r="J150" s="97"/>
      <x:c r="K150" s="2"/>
      <x:c r="L150" s="2"/>
      <x:c r="M150" s="2"/>
      <x:c r="N150" s="2"/>
      <x:c r="O150" s="2"/>
      <x:c r="P150" s="2"/>
    </x:row>
    <x:row r="151">
      <x:c r="A151" s="2"/>
      <x:c r="B151" s="2"/>
      <x:c r="C151" s="2"/>
      <x:c r="D151" s="2"/>
      <x:c r="E151" s="2"/>
      <x:c r="F151" s="97"/>
      <x:c r="G151" s="98"/>
      <x:c r="H151" s="2"/>
      <x:c r="I151" s="97"/>
      <x:c r="J151" s="97"/>
      <x:c r="K151" s="2"/>
      <x:c r="L151" s="2"/>
      <x:c r="M151" s="2"/>
      <x:c r="N151" s="2"/>
      <x:c r="O151" s="2"/>
      <x:c r="P151" s="2"/>
    </x:row>
    <x:row r="152">
      <x:c r="A152" s="2"/>
      <x:c r="B152" s="2"/>
      <x:c r="C152" s="2"/>
      <x:c r="D152" s="2"/>
      <x:c r="E152" s="2"/>
      <x:c r="F152" s="97"/>
      <x:c r="G152" s="98"/>
      <x:c r="H152" s="2"/>
      <x:c r="I152" s="97"/>
      <x:c r="J152" s="97"/>
      <x:c r="K152" s="2"/>
      <x:c r="L152" s="2"/>
      <x:c r="M152" s="2"/>
      <x:c r="N152" s="2"/>
      <x:c r="O152" s="2"/>
      <x:c r="P152" s="2"/>
    </x:row>
    <x:row r="153">
      <x:c r="A153" s="2"/>
      <x:c r="B153" s="2"/>
      <x:c r="C153" s="2"/>
      <x:c r="D153" s="2"/>
      <x:c r="E153" s="2"/>
      <x:c r="F153" s="97"/>
      <x:c r="G153" s="98"/>
      <x:c r="H153" s="2"/>
      <x:c r="I153" s="97"/>
      <x:c r="J153" s="97"/>
      <x:c r="K153" s="2"/>
      <x:c r="L153" s="2"/>
      <x:c r="M153" s="2"/>
      <x:c r="N153" s="2"/>
      <x:c r="O153" s="2"/>
      <x:c r="P153" s="2"/>
    </x:row>
    <x:row r="154">
      <x:c r="A154" s="2"/>
      <x:c r="B154" s="2"/>
      <x:c r="C154" s="2"/>
      <x:c r="D154" s="2"/>
      <x:c r="E154" s="2"/>
      <x:c r="F154" s="97"/>
      <x:c r="G154" s="98"/>
      <x:c r="H154" s="2"/>
      <x:c r="I154" s="97"/>
      <x:c r="J154" s="97"/>
      <x:c r="K154" s="2"/>
      <x:c r="L154" s="2"/>
      <x:c r="M154" s="2"/>
      <x:c r="N154" s="2"/>
      <x:c r="O154" s="2"/>
      <x:c r="P154" s="2"/>
    </x:row>
    <x:row r="155">
      <x:c r="A155" s="2"/>
      <x:c r="B155" s="2"/>
      <x:c r="C155" s="2"/>
      <x:c r="D155" s="2"/>
      <x:c r="E155" s="2"/>
      <x:c r="F155" s="97"/>
      <x:c r="G155" s="98"/>
      <x:c r="H155" s="2"/>
      <x:c r="I155" s="97"/>
      <x:c r="J155" s="97"/>
      <x:c r="K155" s="2"/>
      <x:c r="L155" s="2"/>
      <x:c r="M155" s="2"/>
      <x:c r="N155" s="2"/>
      <x:c r="O155" s="2"/>
      <x:c r="P155" s="2"/>
    </x:row>
    <x:row r="156">
      <x:c r="A156" s="2"/>
      <x:c r="B156" s="2"/>
      <x:c r="C156" s="2"/>
      <x:c r="D156" s="2"/>
      <x:c r="E156" s="2"/>
      <x:c r="F156" s="97"/>
      <x:c r="G156" s="98"/>
      <x:c r="H156" s="2"/>
      <x:c r="I156" s="97"/>
      <x:c r="J156" s="97"/>
      <x:c r="K156" s="2"/>
      <x:c r="L156" s="2"/>
      <x:c r="M156" s="2"/>
      <x:c r="N156" s="2"/>
      <x:c r="O156" s="2"/>
      <x:c r="P156" s="2"/>
    </x:row>
    <x:row r="157">
      <x:c r="A157" s="2"/>
      <x:c r="B157" s="2"/>
      <x:c r="C157" s="2"/>
      <x:c r="D157" s="2"/>
      <x:c r="E157" s="2"/>
      <x:c r="F157" s="97"/>
      <x:c r="G157" s="98"/>
      <x:c r="H157" s="2"/>
      <x:c r="I157" s="97"/>
      <x:c r="J157" s="97"/>
      <x:c r="K157" s="2"/>
      <x:c r="L157" s="2"/>
      <x:c r="M157" s="2"/>
      <x:c r="N157" s="2"/>
      <x:c r="O157" s="2"/>
      <x:c r="P157" s="2"/>
    </x:row>
    <x:row r="158">
      <x:c r="A158" s="2"/>
      <x:c r="B158" s="2"/>
      <x:c r="C158" s="2"/>
      <x:c r="D158" s="2"/>
      <x:c r="E158" s="2"/>
      <x:c r="F158" s="97"/>
      <x:c r="G158" s="98"/>
      <x:c r="H158" s="2"/>
      <x:c r="I158" s="97"/>
      <x:c r="J158" s="97"/>
      <x:c r="K158" s="2"/>
      <x:c r="L158" s="2"/>
      <x:c r="M158" s="2"/>
      <x:c r="N158" s="2"/>
      <x:c r="O158" s="2"/>
      <x:c r="P158" s="2"/>
    </x:row>
    <x:row r="159">
      <x:c r="A159" s="2"/>
      <x:c r="B159" s="2"/>
      <x:c r="C159" s="2"/>
      <x:c r="D159" s="2"/>
      <x:c r="E159" s="2"/>
      <x:c r="F159" s="97"/>
      <x:c r="G159" s="98"/>
      <x:c r="H159" s="2"/>
      <x:c r="I159" s="97"/>
      <x:c r="J159" s="97"/>
      <x:c r="K159" s="2"/>
      <x:c r="L159" s="2"/>
      <x:c r="M159" s="2"/>
      <x:c r="N159" s="2"/>
      <x:c r="O159" s="2"/>
      <x:c r="P159" s="2"/>
    </x:row>
    <x:row r="160">
      <x:c r="A160" s="2"/>
      <x:c r="B160" s="2"/>
      <x:c r="C160" s="2"/>
      <x:c r="D160" s="2"/>
      <x:c r="E160" s="2"/>
      <x:c r="F160" s="97"/>
      <x:c r="G160" s="98"/>
      <x:c r="H160" s="2"/>
      <x:c r="I160" s="97"/>
      <x:c r="J160" s="97"/>
      <x:c r="K160" s="2"/>
      <x:c r="L160" s="2"/>
      <x:c r="M160" s="2"/>
      <x:c r="N160" s="2"/>
      <x:c r="O160" s="2"/>
      <x:c r="P160" s="2"/>
    </x:row>
    <x:row r="161">
      <x:c r="A161" s="2"/>
      <x:c r="B161" s="2"/>
      <x:c r="C161" s="2"/>
      <x:c r="D161" s="2"/>
      <x:c r="E161" s="2"/>
      <x:c r="F161" s="97"/>
      <x:c r="G161" s="98"/>
      <x:c r="H161" s="2"/>
      <x:c r="I161" s="97"/>
      <x:c r="J161" s="97"/>
      <x:c r="K161" s="2"/>
      <x:c r="L161" s="2"/>
      <x:c r="M161" s="2"/>
      <x:c r="N161" s="2"/>
      <x:c r="O161" s="2"/>
      <x:c r="P161" s="2"/>
    </x:row>
    <x:row r="162">
      <x:c r="A162" s="2"/>
      <x:c r="B162" s="2"/>
      <x:c r="C162" s="2"/>
      <x:c r="D162" s="2"/>
      <x:c r="E162" s="2"/>
      <x:c r="F162" s="97"/>
      <x:c r="G162" s="98"/>
      <x:c r="H162" s="2"/>
      <x:c r="I162" s="97"/>
      <x:c r="J162" s="97"/>
      <x:c r="K162" s="2"/>
      <x:c r="L162" s="2"/>
      <x:c r="M162" s="2"/>
      <x:c r="N162" s="2"/>
      <x:c r="O162" s="2"/>
      <x:c r="P162" s="2"/>
    </x:row>
    <x:row r="163">
      <x:c r="A163" s="2"/>
      <x:c r="B163" s="2"/>
      <x:c r="C163" s="2"/>
      <x:c r="D163" s="2"/>
      <x:c r="E163" s="2"/>
      <x:c r="F163" s="97"/>
      <x:c r="G163" s="98"/>
      <x:c r="H163" s="2"/>
      <x:c r="I163" s="97"/>
      <x:c r="J163" s="97"/>
      <x:c r="K163" s="2"/>
      <x:c r="L163" s="2"/>
      <x:c r="M163" s="2"/>
      <x:c r="N163" s="2"/>
      <x:c r="O163" s="2"/>
      <x:c r="P163" s="2"/>
    </x:row>
    <x:row r="164">
      <x:c r="A164" s="2"/>
      <x:c r="B164" s="2"/>
      <x:c r="C164" s="2"/>
      <x:c r="D164" s="2"/>
      <x:c r="E164" s="2"/>
      <x:c r="F164" s="97"/>
      <x:c r="G164" s="98"/>
      <x:c r="H164" s="2"/>
      <x:c r="I164" s="97"/>
      <x:c r="J164" s="97"/>
      <x:c r="K164" s="2"/>
      <x:c r="L164" s="2"/>
      <x:c r="M164" s="2"/>
      <x:c r="N164" s="2"/>
      <x:c r="O164" s="2"/>
      <x:c r="P164" s="2"/>
    </x:row>
    <x:row r="165">
      <x:c r="A165" s="2"/>
      <x:c r="B165" s="2"/>
      <x:c r="C165" s="2"/>
      <x:c r="D165" s="2"/>
      <x:c r="E165" s="2"/>
      <x:c r="F165" s="97"/>
      <x:c r="G165" s="98"/>
      <x:c r="H165" s="2"/>
      <x:c r="I165" s="97"/>
      <x:c r="J165" s="97"/>
      <x:c r="K165" s="2"/>
      <x:c r="L165" s="2"/>
      <x:c r="M165" s="2"/>
      <x:c r="N165" s="2"/>
      <x:c r="O165" s="2"/>
      <x:c r="P165" s="2"/>
    </x:row>
    <x:row r="166">
      <x:c r="A166" s="2"/>
      <x:c r="B166" s="2"/>
      <x:c r="C166" s="2"/>
      <x:c r="D166" s="2"/>
      <x:c r="E166" s="2"/>
      <x:c r="F166" s="97"/>
      <x:c r="G166" s="98"/>
      <x:c r="H166" s="2"/>
      <x:c r="I166" s="97"/>
      <x:c r="J166" s="97"/>
      <x:c r="K166" s="2"/>
      <x:c r="L166" s="2"/>
      <x:c r="M166" s="2"/>
      <x:c r="N166" s="2"/>
      <x:c r="O166" s="2"/>
      <x:c r="P166" s="2"/>
    </x:row>
    <x:row r="167">
      <x:c r="A167" s="2"/>
      <x:c r="B167" s="2"/>
      <x:c r="C167" s="2"/>
      <x:c r="D167" s="2"/>
      <x:c r="E167" s="2"/>
      <x:c r="F167" s="97"/>
      <x:c r="G167" s="98"/>
      <x:c r="H167" s="2"/>
      <x:c r="I167" s="97"/>
      <x:c r="J167" s="97"/>
      <x:c r="K167" s="2"/>
      <x:c r="L167" s="2"/>
      <x:c r="M167" s="2"/>
      <x:c r="N167" s="2"/>
      <x:c r="O167" s="2"/>
      <x:c r="P167" s="2"/>
    </x:row>
    <x:row r="168">
      <x:c r="A168" s="2"/>
      <x:c r="B168" s="2"/>
      <x:c r="C168" s="2"/>
      <x:c r="D168" s="2"/>
      <x:c r="E168" s="2"/>
      <x:c r="F168" s="97"/>
      <x:c r="G168" s="98"/>
      <x:c r="H168" s="2"/>
      <x:c r="I168" s="97"/>
      <x:c r="J168" s="97"/>
      <x:c r="K168" s="2"/>
      <x:c r="L168" s="2"/>
      <x:c r="M168" s="2"/>
      <x:c r="N168" s="2"/>
      <x:c r="O168" s="2"/>
      <x:c r="P168" s="2"/>
    </x:row>
    <x:row r="169">
      <x:c r="A169" s="2"/>
      <x:c r="B169" s="2"/>
      <x:c r="C169" s="2"/>
      <x:c r="D169" s="2"/>
      <x:c r="E169" s="2"/>
      <x:c r="F169" s="97"/>
      <x:c r="G169" s="98"/>
      <x:c r="H169" s="2"/>
      <x:c r="I169" s="97"/>
      <x:c r="J169" s="97"/>
      <x:c r="K169" s="2"/>
      <x:c r="L169" s="2"/>
      <x:c r="M169" s="2"/>
      <x:c r="N169" s="2"/>
      <x:c r="O169" s="2"/>
      <x:c r="P169" s="2"/>
    </x:row>
    <x:row r="170">
      <x:c r="A170" s="2"/>
      <x:c r="B170" s="2"/>
      <x:c r="C170" s="2"/>
      <x:c r="D170" s="2"/>
      <x:c r="E170" s="2"/>
      <x:c r="F170" s="97"/>
      <x:c r="G170" s="98"/>
      <x:c r="H170" s="2"/>
      <x:c r="I170" s="97"/>
      <x:c r="J170" s="97"/>
      <x:c r="K170" s="2"/>
      <x:c r="L170" s="2"/>
      <x:c r="M170" s="2"/>
      <x:c r="N170" s="2"/>
      <x:c r="O170" s="2"/>
      <x:c r="P170" s="2"/>
    </x:row>
    <x:row r="171">
      <x:c r="A171" s="2"/>
      <x:c r="B171" s="2"/>
      <x:c r="C171" s="2"/>
      <x:c r="D171" s="2"/>
      <x:c r="E171" s="2"/>
      <x:c r="F171" s="97"/>
      <x:c r="G171" s="98"/>
      <x:c r="H171" s="2"/>
      <x:c r="I171" s="97"/>
      <x:c r="J171" s="97"/>
      <x:c r="K171" s="2"/>
      <x:c r="L171" s="2"/>
      <x:c r="M171" s="2"/>
      <x:c r="N171" s="2"/>
      <x:c r="O171" s="2"/>
      <x:c r="P171" s="2"/>
    </x:row>
    <x:row r="172">
      <x:c r="A172" s="2"/>
      <x:c r="B172" s="2"/>
      <x:c r="C172" s="2"/>
      <x:c r="D172" s="2"/>
      <x:c r="E172" s="2"/>
      <x:c r="F172" s="97"/>
      <x:c r="G172" s="98"/>
      <x:c r="H172" s="2"/>
      <x:c r="I172" s="97"/>
      <x:c r="J172" s="97"/>
      <x:c r="K172" s="2"/>
      <x:c r="L172" s="2"/>
      <x:c r="M172" s="2"/>
      <x:c r="N172" s="2"/>
      <x:c r="O172" s="2"/>
      <x:c r="P172" s="2"/>
    </x:row>
    <x:row r="173">
      <x:c r="A173" s="2"/>
      <x:c r="B173" s="2"/>
      <x:c r="C173" s="2"/>
      <x:c r="D173" s="2"/>
      <x:c r="E173" s="2"/>
      <x:c r="F173" s="97"/>
      <x:c r="G173" s="98"/>
      <x:c r="H173" s="2"/>
      <x:c r="I173" s="97"/>
      <x:c r="J173" s="97"/>
      <x:c r="K173" s="2"/>
      <x:c r="L173" s="2"/>
      <x:c r="M173" s="2"/>
      <x:c r="N173" s="2"/>
      <x:c r="O173" s="2"/>
      <x:c r="P173" s="2"/>
    </x:row>
    <x:row r="174">
      <x:c r="A174" s="2"/>
      <x:c r="B174" s="2"/>
      <x:c r="C174" s="2"/>
      <x:c r="D174" s="2"/>
      <x:c r="E174" s="2"/>
      <x:c r="F174" s="97"/>
      <x:c r="G174" s="98"/>
      <x:c r="H174" s="2"/>
      <x:c r="I174" s="97"/>
      <x:c r="J174" s="97"/>
      <x:c r="K174" s="2"/>
      <x:c r="L174" s="2"/>
      <x:c r="M174" s="2"/>
      <x:c r="N174" s="2"/>
      <x:c r="O174" s="2"/>
      <x:c r="P174" s="2"/>
    </x:row>
    <x:row r="175">
      <x:c r="A175" s="2"/>
      <x:c r="B175" s="2"/>
      <x:c r="C175" s="2"/>
      <x:c r="D175" s="2"/>
      <x:c r="E175" s="2"/>
      <x:c r="F175" s="97"/>
      <x:c r="G175" s="98"/>
      <x:c r="H175" s="2"/>
      <x:c r="I175" s="97"/>
      <x:c r="J175" s="97"/>
      <x:c r="K175" s="2"/>
      <x:c r="L175" s="2"/>
      <x:c r="M175" s="2"/>
      <x:c r="N175" s="2"/>
      <x:c r="O175" s="2"/>
      <x:c r="P175" s="2"/>
    </x:row>
    <x:row r="176">
      <x:c r="A176" s="2"/>
      <x:c r="B176" s="2"/>
      <x:c r="C176" s="2"/>
      <x:c r="D176" s="2"/>
      <x:c r="E176" s="2"/>
      <x:c r="F176" s="97"/>
      <x:c r="G176" s="98"/>
      <x:c r="H176" s="2"/>
      <x:c r="I176" s="97"/>
      <x:c r="J176" s="97"/>
      <x:c r="K176" s="2"/>
      <x:c r="L176" s="2"/>
      <x:c r="M176" s="2"/>
      <x:c r="N176" s="2"/>
      <x:c r="O176" s="2"/>
      <x:c r="P176" s="2"/>
    </x:row>
    <x:row r="177">
      <x:c r="A177" s="2"/>
      <x:c r="B177" s="2"/>
      <x:c r="C177" s="2"/>
      <x:c r="D177" s="2"/>
      <x:c r="E177" s="2"/>
      <x:c r="F177" s="97"/>
      <x:c r="G177" s="98"/>
      <x:c r="H177" s="2"/>
      <x:c r="I177" s="97"/>
      <x:c r="J177" s="97"/>
      <x:c r="K177" s="2"/>
      <x:c r="L177" s="2"/>
      <x:c r="M177" s="2"/>
      <x:c r="N177" s="2"/>
      <x:c r="O177" s="2"/>
      <x:c r="P177" s="2"/>
    </x:row>
    <x:row r="178">
      <x:c r="A178" s="2"/>
      <x:c r="B178" s="2"/>
      <x:c r="C178" s="2"/>
      <x:c r="D178" s="2"/>
      <x:c r="E178" s="2"/>
      <x:c r="F178" s="97"/>
      <x:c r="G178" s="98"/>
      <x:c r="H178" s="2"/>
      <x:c r="I178" s="97"/>
      <x:c r="J178" s="97"/>
      <x:c r="K178" s="2"/>
      <x:c r="L178" s="2"/>
      <x:c r="M178" s="2"/>
      <x:c r="N178" s="2"/>
      <x:c r="O178" s="2"/>
      <x:c r="P178" s="2"/>
    </x:row>
    <x:row r="179">
      <x:c r="A179" s="2"/>
      <x:c r="B179" s="2"/>
      <x:c r="C179" s="2"/>
      <x:c r="D179" s="2"/>
      <x:c r="E179" s="2"/>
      <x:c r="F179" s="97"/>
      <x:c r="G179" s="98"/>
      <x:c r="H179" s="2"/>
      <x:c r="I179" s="97"/>
      <x:c r="J179" s="97"/>
      <x:c r="K179" s="2"/>
      <x:c r="L179" s="2"/>
      <x:c r="M179" s="2"/>
      <x:c r="N179" s="2"/>
      <x:c r="O179" s="2"/>
      <x:c r="P179" s="2"/>
    </x:row>
    <x:row r="180">
      <x:c r="A180" s="2"/>
      <x:c r="B180" s="2"/>
      <x:c r="C180" s="2"/>
      <x:c r="D180" s="2"/>
      <x:c r="E180" s="2"/>
      <x:c r="F180" s="97"/>
      <x:c r="G180" s="98"/>
      <x:c r="H180" s="2"/>
      <x:c r="I180" s="97"/>
      <x:c r="J180" s="97"/>
      <x:c r="K180" s="2"/>
      <x:c r="L180" s="2"/>
      <x:c r="M180" s="2"/>
      <x:c r="N180" s="2"/>
      <x:c r="O180" s="2"/>
      <x:c r="P180" s="2"/>
    </x:row>
    <x:row r="181">
      <x:c r="A181" s="2"/>
      <x:c r="B181" s="2"/>
      <x:c r="C181" s="2"/>
      <x:c r="D181" s="2"/>
      <x:c r="E181" s="2"/>
      <x:c r="F181" s="97"/>
      <x:c r="G181" s="98"/>
      <x:c r="H181" s="2"/>
      <x:c r="I181" s="97"/>
      <x:c r="J181" s="97"/>
      <x:c r="K181" s="2"/>
      <x:c r="L181" s="2"/>
      <x:c r="M181" s="2"/>
      <x:c r="N181" s="2"/>
      <x:c r="O181" s="2"/>
      <x:c r="P181" s="2"/>
    </x:row>
    <x:row r="182">
      <x:c r="A182" s="2"/>
      <x:c r="B182" s="2"/>
      <x:c r="C182" s="2"/>
      <x:c r="D182" s="2"/>
      <x:c r="E182" s="2"/>
      <x:c r="F182" s="97"/>
      <x:c r="G182" s="98"/>
      <x:c r="H182" s="2"/>
      <x:c r="I182" s="97"/>
      <x:c r="J182" s="97"/>
      <x:c r="K182" s="2"/>
      <x:c r="L182" s="2"/>
      <x:c r="M182" s="2"/>
      <x:c r="N182" s="2"/>
      <x:c r="O182" s="2"/>
      <x:c r="P182" s="2"/>
    </x:row>
    <x:row r="183">
      <x:c r="A183" s="2"/>
      <x:c r="B183" s="2"/>
      <x:c r="C183" s="2"/>
      <x:c r="D183" s="2"/>
      <x:c r="E183" s="2"/>
      <x:c r="F183" s="97"/>
      <x:c r="G183" s="98"/>
      <x:c r="H183" s="2"/>
      <x:c r="I183" s="97"/>
      <x:c r="J183" s="97"/>
      <x:c r="K183" s="2"/>
      <x:c r="L183" s="2"/>
      <x:c r="M183" s="2"/>
      <x:c r="N183" s="2"/>
      <x:c r="O183" s="2"/>
      <x:c r="P183" s="2"/>
    </x:row>
    <x:row r="184">
      <x:c r="A184" s="2"/>
      <x:c r="B184" s="2"/>
      <x:c r="C184" s="2"/>
      <x:c r="D184" s="2"/>
      <x:c r="E184" s="2"/>
      <x:c r="F184" s="97"/>
      <x:c r="G184" s="98"/>
      <x:c r="H184" s="2"/>
      <x:c r="I184" s="97"/>
      <x:c r="J184" s="97"/>
      <x:c r="K184" s="2"/>
      <x:c r="L184" s="2"/>
      <x:c r="M184" s="2"/>
      <x:c r="N184" s="2"/>
      <x:c r="O184" s="2"/>
      <x:c r="P184" s="2"/>
    </x:row>
    <x:row r="185">
      <x:c r="A185" s="2"/>
      <x:c r="B185" s="2"/>
      <x:c r="C185" s="2"/>
      <x:c r="D185" s="2"/>
      <x:c r="E185" s="2"/>
      <x:c r="F185" s="97"/>
      <x:c r="G185" s="98"/>
      <x:c r="H185" s="2"/>
      <x:c r="I185" s="97"/>
      <x:c r="J185" s="97"/>
      <x:c r="K185" s="2"/>
      <x:c r="L185" s="2"/>
      <x:c r="M185" s="2"/>
      <x:c r="N185" s="2"/>
      <x:c r="O185" s="2"/>
      <x:c r="P185" s="2"/>
    </x:row>
    <x:row r="186">
      <x:c r="A186" s="2"/>
      <x:c r="B186" s="2"/>
      <x:c r="C186" s="2"/>
      <x:c r="D186" s="2"/>
      <x:c r="E186" s="2"/>
      <x:c r="F186" s="97"/>
      <x:c r="G186" s="98"/>
      <x:c r="H186" s="2"/>
      <x:c r="I186" s="97"/>
      <x:c r="J186" s="97"/>
      <x:c r="K186" s="2"/>
      <x:c r="L186" s="2"/>
      <x:c r="M186" s="2"/>
      <x:c r="N186" s="2"/>
      <x:c r="O186" s="2"/>
      <x:c r="P186" s="2"/>
    </x:row>
    <x:row r="187">
      <x:c r="A187" s="2"/>
      <x:c r="B187" s="2"/>
      <x:c r="C187" s="2"/>
      <x:c r="D187" s="2"/>
      <x:c r="E187" s="2"/>
      <x:c r="F187" s="97"/>
      <x:c r="G187" s="98"/>
      <x:c r="H187" s="2"/>
      <x:c r="I187" s="97"/>
      <x:c r="J187" s="97"/>
      <x:c r="K187" s="2"/>
      <x:c r="L187" s="2"/>
      <x:c r="M187" s="2"/>
      <x:c r="N187" s="2"/>
      <x:c r="O187" s="2"/>
      <x:c r="P187" s="2"/>
    </x:row>
    <x:row r="188">
      <x:c r="A188" s="2"/>
      <x:c r="B188" s="2"/>
      <x:c r="C188" s="2"/>
      <x:c r="D188" s="2"/>
      <x:c r="E188" s="2"/>
      <x:c r="F188" s="97"/>
      <x:c r="G188" s="98"/>
      <x:c r="H188" s="2"/>
      <x:c r="I188" s="97"/>
      <x:c r="J188" s="97"/>
      <x:c r="K188" s="2"/>
      <x:c r="L188" s="2"/>
      <x:c r="M188" s="2"/>
      <x:c r="N188" s="2"/>
      <x:c r="O188" s="2"/>
      <x:c r="P188" s="2"/>
    </x:row>
    <x:row r="189">
      <x:c r="A189" s="2"/>
      <x:c r="B189" s="2"/>
      <x:c r="C189" s="2"/>
      <x:c r="D189" s="2"/>
      <x:c r="E189" s="2"/>
      <x:c r="F189" s="97"/>
      <x:c r="G189" s="98"/>
      <x:c r="H189" s="2"/>
      <x:c r="I189" s="97"/>
      <x:c r="J189" s="97"/>
      <x:c r="K189" s="2"/>
      <x:c r="L189" s="2"/>
      <x:c r="M189" s="2"/>
      <x:c r="N189" s="2"/>
      <x:c r="O189" s="2"/>
      <x:c r="P189" s="2"/>
    </x:row>
    <x:row r="190">
      <x:c r="A190" s="2"/>
      <x:c r="B190" s="2"/>
      <x:c r="C190" s="2"/>
      <x:c r="D190" s="2"/>
      <x:c r="E190" s="2"/>
      <x:c r="F190" s="97"/>
      <x:c r="G190" s="98"/>
      <x:c r="H190" s="2"/>
      <x:c r="I190" s="97"/>
      <x:c r="J190" s="97"/>
      <x:c r="K190" s="2"/>
      <x:c r="L190" s="2"/>
      <x:c r="M190" s="2"/>
      <x:c r="N190" s="2"/>
      <x:c r="O190" s="2"/>
      <x:c r="P190" s="2"/>
    </x:row>
    <x:row r="191">
      <x:c r="A191" s="2"/>
      <x:c r="B191" s="2"/>
      <x:c r="C191" s="2"/>
      <x:c r="D191" s="2"/>
      <x:c r="E191" s="2"/>
      <x:c r="F191" s="97"/>
      <x:c r="G191" s="98"/>
      <x:c r="H191" s="2"/>
      <x:c r="I191" s="97"/>
      <x:c r="J191" s="97"/>
      <x:c r="K191" s="2"/>
      <x:c r="L191" s="2"/>
      <x:c r="M191" s="2"/>
      <x:c r="N191" s="2"/>
      <x:c r="O191" s="2"/>
      <x:c r="P191" s="2"/>
    </x:row>
    <x:row r="192">
      <x:c r="A192" s="2"/>
      <x:c r="B192" s="2"/>
      <x:c r="C192" s="2"/>
      <x:c r="D192" s="2"/>
      <x:c r="E192" s="2"/>
      <x:c r="F192" s="97"/>
      <x:c r="G192" s="98"/>
      <x:c r="H192" s="2"/>
      <x:c r="I192" s="97"/>
      <x:c r="J192" s="97"/>
      <x:c r="K192" s="2"/>
      <x:c r="L192" s="2"/>
      <x:c r="M192" s="2"/>
      <x:c r="N192" s="2"/>
      <x:c r="O192" s="2"/>
      <x:c r="P192" s="2"/>
    </x:row>
    <x:row r="193">
      <x:c r="A193" s="2"/>
      <x:c r="B193" s="2"/>
      <x:c r="C193" s="2"/>
      <x:c r="D193" s="2"/>
      <x:c r="E193" s="2"/>
      <x:c r="F193" s="97"/>
      <x:c r="G193" s="98"/>
      <x:c r="H193" s="2"/>
      <x:c r="I193" s="97"/>
      <x:c r="J193" s="97"/>
      <x:c r="K193" s="2"/>
      <x:c r="L193" s="2"/>
      <x:c r="M193" s="2"/>
      <x:c r="N193" s="2"/>
      <x:c r="O193" s="2"/>
      <x:c r="P193" s="2"/>
    </x:row>
    <x:row r="194">
      <x:c r="A194" s="2"/>
      <x:c r="B194" s="2"/>
      <x:c r="C194" s="2"/>
      <x:c r="D194" s="2"/>
      <x:c r="E194" s="2"/>
      <x:c r="F194" s="97"/>
      <x:c r="G194" s="98"/>
      <x:c r="H194" s="2"/>
      <x:c r="I194" s="97"/>
      <x:c r="J194" s="97"/>
      <x:c r="K194" s="2"/>
      <x:c r="L194" s="2"/>
      <x:c r="M194" s="2"/>
      <x:c r="N194" s="2"/>
      <x:c r="O194" s="2"/>
      <x:c r="P194" s="2"/>
    </x:row>
    <x:row r="195">
      <x:c r="A195" s="2"/>
      <x:c r="B195" s="2"/>
      <x:c r="C195" s="2"/>
      <x:c r="D195" s="2"/>
      <x:c r="E195" s="2"/>
      <x:c r="F195" s="97"/>
      <x:c r="G195" s="98"/>
      <x:c r="H195" s="2"/>
      <x:c r="I195" s="97"/>
      <x:c r="J195" s="97"/>
      <x:c r="K195" s="2"/>
      <x:c r="L195" s="2"/>
      <x:c r="M195" s="2"/>
      <x:c r="N195" s="2"/>
      <x:c r="O195" s="2"/>
      <x:c r="P195" s="2"/>
    </x:row>
    <x:row r="196">
      <x:c r="A196" s="2"/>
      <x:c r="B196" s="2"/>
      <x:c r="C196" s="2"/>
      <x:c r="D196" s="2"/>
      <x:c r="E196" s="2"/>
      <x:c r="F196" s="97"/>
      <x:c r="G196" s="98"/>
      <x:c r="H196" s="2"/>
      <x:c r="I196" s="97"/>
      <x:c r="J196" s="97"/>
      <x:c r="K196" s="2"/>
      <x:c r="L196" s="2"/>
      <x:c r="M196" s="2"/>
      <x:c r="N196" s="2"/>
      <x:c r="O196" s="2"/>
      <x:c r="P196" s="2"/>
    </x:row>
    <x:row r="197">
      <x:c r="A197" s="2"/>
      <x:c r="B197" s="2"/>
      <x:c r="C197" s="2"/>
      <x:c r="D197" s="2"/>
      <x:c r="E197" s="2"/>
      <x:c r="F197" s="97"/>
      <x:c r="G197" s="98"/>
      <x:c r="H197" s="2"/>
      <x:c r="I197" s="97"/>
      <x:c r="J197" s="97"/>
      <x:c r="K197" s="2"/>
      <x:c r="L197" s="2"/>
      <x:c r="M197" s="2"/>
      <x:c r="N197" s="2"/>
      <x:c r="O197" s="2"/>
      <x:c r="P197" s="2"/>
    </x:row>
    <x:row r="198">
      <x:c r="A198" s="2"/>
      <x:c r="B198" s="2"/>
      <x:c r="C198" s="2"/>
      <x:c r="D198" s="2"/>
      <x:c r="E198" s="2"/>
      <x:c r="F198" s="97"/>
      <x:c r="G198" s="98"/>
      <x:c r="H198" s="2"/>
      <x:c r="I198" s="97"/>
      <x:c r="J198" s="97"/>
      <x:c r="K198" s="2"/>
      <x:c r="L198" s="2"/>
      <x:c r="M198" s="2"/>
      <x:c r="N198" s="2"/>
      <x:c r="O198" s="2"/>
      <x:c r="P198" s="2"/>
    </x:row>
    <x:row r="199">
      <x:c r="A199" s="2"/>
      <x:c r="B199" s="2"/>
      <x:c r="C199" s="2"/>
      <x:c r="D199" s="2"/>
      <x:c r="E199" s="2"/>
      <x:c r="F199" s="97"/>
      <x:c r="G199" s="98"/>
      <x:c r="H199" s="2"/>
      <x:c r="I199" s="97"/>
      <x:c r="J199" s="97"/>
      <x:c r="K199" s="2"/>
      <x:c r="L199" s="2"/>
      <x:c r="M199" s="2"/>
      <x:c r="N199" s="2"/>
      <x:c r="O199" s="2"/>
      <x:c r="P199" s="2"/>
    </x:row>
    <x:row r="200">
      <x:c r="A200" s="2"/>
      <x:c r="B200" s="2"/>
      <x:c r="C200" s="2"/>
      <x:c r="D200" s="2"/>
      <x:c r="E200" s="2"/>
      <x:c r="F200" s="97"/>
      <x:c r="G200" s="98"/>
      <x:c r="H200" s="2"/>
      <x:c r="I200" s="97"/>
      <x:c r="J200" s="97"/>
      <x:c r="K200" s="2"/>
      <x:c r="L200" s="2"/>
      <x:c r="M200" s="2"/>
      <x:c r="N200" s="2"/>
      <x:c r="O200" s="2"/>
      <x:c r="P200" s="2"/>
    </x:row>
    <x:row r="201">
      <x:c r="A201" s="2"/>
      <x:c r="B201" s="2"/>
      <x:c r="C201" s="2"/>
      <x:c r="D201" s="2"/>
      <x:c r="E201" s="2"/>
      <x:c r="F201" s="97"/>
      <x:c r="G201" s="98"/>
      <x:c r="H201" s="2"/>
      <x:c r="I201" s="97"/>
      <x:c r="J201" s="97"/>
      <x:c r="K201" s="2"/>
      <x:c r="L201" s="2"/>
      <x:c r="M201" s="2"/>
      <x:c r="N201" s="2"/>
      <x:c r="O201" s="2"/>
      <x:c r="P201" s="2"/>
    </x:row>
    <x:row r="202">
      <x:c r="A202" s="2"/>
      <x:c r="B202" s="2"/>
      <x:c r="C202" s="2"/>
      <x:c r="D202" s="2"/>
      <x:c r="E202" s="2"/>
      <x:c r="F202" s="97"/>
      <x:c r="G202" s="98"/>
      <x:c r="H202" s="2"/>
      <x:c r="I202" s="97"/>
      <x:c r="J202" s="97"/>
      <x:c r="K202" s="2"/>
      <x:c r="L202" s="2"/>
      <x:c r="M202" s="2"/>
      <x:c r="N202" s="2"/>
      <x:c r="O202" s="2"/>
      <x:c r="P202" s="2"/>
    </x:row>
    <x:row r="203">
      <x:c r="A203" s="2"/>
      <x:c r="B203" s="2"/>
      <x:c r="C203" s="2"/>
      <x:c r="D203" s="2"/>
      <x:c r="E203" s="2"/>
      <x:c r="F203" s="97"/>
      <x:c r="G203" s="98"/>
      <x:c r="H203" s="2"/>
      <x:c r="I203" s="97"/>
      <x:c r="J203" s="97"/>
      <x:c r="K203" s="2"/>
      <x:c r="L203" s="2"/>
      <x:c r="M203" s="2"/>
      <x:c r="N203" s="2"/>
      <x:c r="O203" s="2"/>
      <x:c r="P203" s="2"/>
    </x:row>
    <x:row r="204">
      <x:c r="A204" s="2"/>
      <x:c r="B204" s="2"/>
      <x:c r="C204" s="2"/>
      <x:c r="D204" s="2"/>
      <x:c r="E204" s="2"/>
      <x:c r="F204" s="97"/>
      <x:c r="G204" s="98"/>
      <x:c r="H204" s="2"/>
      <x:c r="I204" s="97"/>
      <x:c r="J204" s="97"/>
      <x:c r="K204" s="2"/>
      <x:c r="L204" s="2"/>
      <x:c r="M204" s="2"/>
      <x:c r="N204" s="2"/>
      <x:c r="O204" s="2"/>
      <x:c r="P204" s="2"/>
    </x:row>
    <x:row r="205">
      <x:c r="A205" s="2"/>
      <x:c r="B205" s="2"/>
      <x:c r="C205" s="2"/>
      <x:c r="D205" s="2"/>
      <x:c r="E205" s="2"/>
      <x:c r="F205" s="97"/>
      <x:c r="G205" s="98"/>
      <x:c r="H205" s="2"/>
      <x:c r="I205" s="97"/>
      <x:c r="J205" s="97"/>
      <x:c r="K205" s="2"/>
      <x:c r="L205" s="2"/>
      <x:c r="M205" s="2"/>
      <x:c r="N205" s="2"/>
      <x:c r="O205" s="2"/>
      <x:c r="P205" s="2"/>
    </x:row>
    <x:row r="206">
      <x:c r="A206" s="2"/>
      <x:c r="B206" s="2"/>
      <x:c r="C206" s="2"/>
      <x:c r="D206" s="2"/>
      <x:c r="E206" s="2"/>
      <x:c r="F206" s="97"/>
      <x:c r="G206" s="98"/>
      <x:c r="H206" s="2"/>
      <x:c r="I206" s="97"/>
      <x:c r="J206" s="97"/>
      <x:c r="K206" s="2"/>
      <x:c r="L206" s="2"/>
      <x:c r="M206" s="2"/>
      <x:c r="N206" s="2"/>
      <x:c r="O206" s="2"/>
      <x:c r="P206" s="2"/>
    </x:row>
    <x:row r="207">
      <x:c r="A207" s="2"/>
      <x:c r="B207" s="2"/>
      <x:c r="C207" s="2"/>
      <x:c r="D207" s="2"/>
      <x:c r="E207" s="2"/>
      <x:c r="F207" s="97"/>
      <x:c r="G207" s="98"/>
      <x:c r="H207" s="2"/>
      <x:c r="I207" s="97"/>
      <x:c r="J207" s="97"/>
      <x:c r="K207" s="2"/>
      <x:c r="L207" s="2"/>
      <x:c r="M207" s="2"/>
      <x:c r="N207" s="2"/>
      <x:c r="O207" s="2"/>
      <x:c r="P207" s="2"/>
    </x:row>
    <x:row r="208">
      <x:c r="A208" s="2"/>
      <x:c r="B208" s="2"/>
      <x:c r="C208" s="2"/>
      <x:c r="D208" s="2"/>
      <x:c r="E208" s="2"/>
      <x:c r="F208" s="97"/>
      <x:c r="G208" s="98"/>
      <x:c r="H208" s="2"/>
      <x:c r="I208" s="97"/>
      <x:c r="J208" s="97"/>
      <x:c r="K208" s="2"/>
      <x:c r="L208" s="2"/>
      <x:c r="M208" s="2"/>
      <x:c r="N208" s="2"/>
      <x:c r="O208" s="2"/>
      <x:c r="P208" s="2"/>
    </x:row>
    <x:row r="209">
      <x:c r="A209" s="2"/>
      <x:c r="B209" s="2"/>
      <x:c r="C209" s="2"/>
      <x:c r="D209" s="2"/>
      <x:c r="E209" s="2"/>
      <x:c r="F209" s="97"/>
      <x:c r="G209" s="98"/>
      <x:c r="H209" s="2"/>
      <x:c r="I209" s="97"/>
      <x:c r="J209" s="97"/>
      <x:c r="K209" s="2"/>
      <x:c r="L209" s="2"/>
      <x:c r="M209" s="2"/>
      <x:c r="N209" s="2"/>
      <x:c r="O209" s="2"/>
      <x:c r="P209" s="2"/>
    </x:row>
    <x:row r="210">
      <x:c r="A210" s="2"/>
      <x:c r="B210" s="2"/>
      <x:c r="C210" s="2"/>
      <x:c r="D210" s="2"/>
      <x:c r="E210" s="2"/>
      <x:c r="F210" s="97"/>
      <x:c r="G210" s="98"/>
      <x:c r="H210" s="2"/>
      <x:c r="I210" s="97"/>
      <x:c r="J210" s="97"/>
      <x:c r="K210" s="2"/>
      <x:c r="L210" s="2"/>
      <x:c r="M210" s="2"/>
      <x:c r="N210" s="2"/>
      <x:c r="O210" s="2"/>
      <x:c r="P210" s="2"/>
    </x:row>
    <x:row r="211">
      <x:c r="A211" s="2"/>
      <x:c r="B211" s="2"/>
      <x:c r="C211" s="2"/>
      <x:c r="D211" s="2"/>
      <x:c r="E211" s="2"/>
      <x:c r="F211" s="97"/>
      <x:c r="G211" s="98"/>
      <x:c r="H211" s="2"/>
      <x:c r="I211" s="97"/>
      <x:c r="J211" s="97"/>
      <x:c r="K211" s="2"/>
      <x:c r="L211" s="2"/>
      <x:c r="M211" s="2"/>
      <x:c r="N211" s="2"/>
      <x:c r="O211" s="2"/>
      <x:c r="P211" s="2"/>
    </x:row>
    <x:row r="212">
      <x:c r="A212" s="2"/>
      <x:c r="B212" s="2"/>
      <x:c r="C212" s="2"/>
      <x:c r="D212" s="2"/>
      <x:c r="E212" s="2"/>
      <x:c r="F212" s="97"/>
      <x:c r="G212" s="98"/>
      <x:c r="H212" s="2"/>
      <x:c r="I212" s="97"/>
      <x:c r="J212" s="97"/>
      <x:c r="K212" s="2"/>
      <x:c r="L212" s="2"/>
      <x:c r="M212" s="2"/>
      <x:c r="N212" s="2"/>
      <x:c r="O212" s="2"/>
      <x:c r="P212" s="2"/>
    </x:row>
    <x:row r="213">
      <x:c r="A213" s="2"/>
      <x:c r="B213" s="2"/>
      <x:c r="C213" s="2"/>
      <x:c r="D213" s="2"/>
      <x:c r="E213" s="2"/>
      <x:c r="F213" s="97"/>
      <x:c r="G213" s="98"/>
      <x:c r="H213" s="2"/>
      <x:c r="I213" s="97"/>
      <x:c r="J213" s="97"/>
      <x:c r="K213" s="2"/>
      <x:c r="L213" s="2"/>
      <x:c r="M213" s="2"/>
      <x:c r="N213" s="2"/>
      <x:c r="O213" s="2"/>
      <x:c r="P213" s="2"/>
    </x:row>
    <x:row r="214">
      <x:c r="A214" s="2"/>
      <x:c r="B214" s="2"/>
      <x:c r="C214" s="2"/>
      <x:c r="D214" s="2"/>
      <x:c r="E214" s="2"/>
      <x:c r="F214" s="97"/>
      <x:c r="G214" s="98"/>
      <x:c r="H214" s="2"/>
      <x:c r="I214" s="97"/>
      <x:c r="J214" s="97"/>
      <x:c r="K214" s="2"/>
      <x:c r="L214" s="2"/>
      <x:c r="M214" s="2"/>
      <x:c r="N214" s="2"/>
      <x:c r="O214" s="2"/>
      <x:c r="P214" s="2"/>
    </x:row>
    <x:row r="215">
      <x:c r="A215" s="2"/>
      <x:c r="B215" s="2"/>
      <x:c r="C215" s="2"/>
      <x:c r="D215" s="2"/>
      <x:c r="E215" s="2"/>
      <x:c r="F215" s="97"/>
      <x:c r="G215" s="98"/>
      <x:c r="H215" s="2"/>
      <x:c r="I215" s="97"/>
      <x:c r="J215" s="97"/>
      <x:c r="K215" s="2"/>
      <x:c r="L215" s="2"/>
      <x:c r="M215" s="2"/>
      <x:c r="N215" s="2"/>
      <x:c r="O215" s="2"/>
      <x:c r="P215" s="2"/>
    </x:row>
    <x:row r="216">
      <x:c r="A216" s="2"/>
      <x:c r="B216" s="2"/>
      <x:c r="C216" s="2"/>
      <x:c r="D216" s="2"/>
      <x:c r="E216" s="2"/>
      <x:c r="F216" s="97"/>
      <x:c r="G216" s="98"/>
      <x:c r="H216" s="2"/>
      <x:c r="I216" s="97"/>
      <x:c r="J216" s="97"/>
      <x:c r="K216" s="2"/>
      <x:c r="L216" s="2"/>
      <x:c r="M216" s="2"/>
      <x:c r="N216" s="2"/>
      <x:c r="O216" s="2"/>
      <x:c r="P216" s="2"/>
    </x:row>
    <x:row r="217">
      <x:c r="A217" s="2"/>
      <x:c r="B217" s="2"/>
      <x:c r="C217" s="2"/>
      <x:c r="D217" s="2"/>
      <x:c r="E217" s="2"/>
      <x:c r="F217" s="97"/>
      <x:c r="G217" s="98"/>
      <x:c r="H217" s="2"/>
      <x:c r="I217" s="97"/>
      <x:c r="J217" s="97"/>
      <x:c r="K217" s="2"/>
      <x:c r="L217" s="2"/>
      <x:c r="M217" s="2"/>
      <x:c r="N217" s="2"/>
      <x:c r="O217" s="2"/>
      <x:c r="P217" s="2"/>
    </x:row>
    <x:row r="218">
      <x:c r="A218" s="2"/>
      <x:c r="B218" s="2"/>
      <x:c r="C218" s="2"/>
      <x:c r="D218" s="2"/>
      <x:c r="E218" s="2"/>
      <x:c r="F218" s="97"/>
      <x:c r="G218" s="98"/>
      <x:c r="H218" s="2"/>
      <x:c r="I218" s="97"/>
      <x:c r="J218" s="97"/>
      <x:c r="K218" s="2"/>
      <x:c r="L218" s="2"/>
      <x:c r="M218" s="2"/>
      <x:c r="N218" s="2"/>
      <x:c r="O218" s="2"/>
      <x:c r="P218" s="2"/>
    </x:row>
    <x:row r="219">
      <x:c r="A219" s="2"/>
      <x:c r="B219" s="2"/>
      <x:c r="C219" s="2"/>
      <x:c r="D219" s="2"/>
      <x:c r="E219" s="2"/>
      <x:c r="F219" s="97"/>
      <x:c r="G219" s="98"/>
      <x:c r="H219" s="2"/>
      <x:c r="I219" s="97"/>
      <x:c r="J219" s="97"/>
      <x:c r="K219" s="2"/>
      <x:c r="L219" s="2"/>
      <x:c r="M219" s="2"/>
      <x:c r="N219" s="2"/>
      <x:c r="O219" s="2"/>
      <x:c r="P219" s="2"/>
    </x:row>
    <x:row r="220">
      <x:c r="A220" s="2"/>
      <x:c r="B220" s="2"/>
      <x:c r="C220" s="2"/>
      <x:c r="D220" s="2"/>
      <x:c r="E220" s="2"/>
      <x:c r="F220" s="97"/>
      <x:c r="G220" s="98"/>
      <x:c r="H220" s="2"/>
      <x:c r="I220" s="97"/>
      <x:c r="J220" s="97"/>
      <x:c r="K220" s="2"/>
      <x:c r="L220" s="2"/>
      <x:c r="M220" s="2"/>
      <x:c r="N220" s="2"/>
      <x:c r="O220" s="2"/>
      <x:c r="P220" s="2"/>
    </x:row>
    <x:row r="221">
      <x:c r="A221" s="2"/>
      <x:c r="B221" s="2"/>
      <x:c r="C221" s="2"/>
      <x:c r="D221" s="2"/>
      <x:c r="E221" s="2"/>
      <x:c r="F221" s="97"/>
      <x:c r="G221" s="98"/>
      <x:c r="H221" s="2"/>
      <x:c r="I221" s="97"/>
      <x:c r="J221" s="97"/>
      <x:c r="K221" s="2"/>
      <x:c r="L221" s="2"/>
      <x:c r="M221" s="2"/>
      <x:c r="N221" s="2"/>
      <x:c r="O221" s="2"/>
      <x:c r="P221" s="2"/>
    </x:row>
    <x:row r="222">
      <x:c r="A222" s="2"/>
      <x:c r="B222" s="2"/>
      <x:c r="C222" s="2"/>
      <x:c r="D222" s="2"/>
      <x:c r="E222" s="2"/>
      <x:c r="F222" s="97"/>
      <x:c r="G222" s="98"/>
      <x:c r="H222" s="2"/>
      <x:c r="I222" s="97"/>
      <x:c r="J222" s="97"/>
      <x:c r="K222" s="2"/>
      <x:c r="L222" s="2"/>
      <x:c r="M222" s="2"/>
      <x:c r="N222" s="2"/>
      <x:c r="O222" s="2"/>
      <x:c r="P222" s="2"/>
    </x:row>
    <x:row r="223">
      <x:c r="A223" s="2"/>
      <x:c r="B223" s="2"/>
      <x:c r="C223" s="2"/>
      <x:c r="D223" s="2"/>
      <x:c r="E223" s="2"/>
      <x:c r="F223" s="97"/>
      <x:c r="G223" s="98"/>
      <x:c r="H223" s="2"/>
      <x:c r="I223" s="97"/>
      <x:c r="J223" s="97"/>
      <x:c r="K223" s="2"/>
      <x:c r="L223" s="2"/>
      <x:c r="M223" s="2"/>
      <x:c r="N223" s="2"/>
      <x:c r="O223" s="2"/>
      <x:c r="P223" s="2"/>
    </x:row>
    <x:row r="224">
      <x:c r="A224" s="2"/>
      <x:c r="B224" s="2"/>
      <x:c r="C224" s="2"/>
      <x:c r="D224" s="2"/>
      <x:c r="E224" s="2"/>
      <x:c r="F224" s="97"/>
      <x:c r="G224" s="98"/>
      <x:c r="H224" s="2"/>
      <x:c r="I224" s="97"/>
      <x:c r="J224" s="97"/>
      <x:c r="K224" s="2"/>
      <x:c r="L224" s="2"/>
      <x:c r="M224" s="2"/>
      <x:c r="N224" s="2"/>
      <x:c r="O224" s="2"/>
      <x:c r="P224" s="2"/>
    </x:row>
    <x:row r="225">
      <x:c r="A225" s="2"/>
      <x:c r="B225" s="2"/>
      <x:c r="C225" s="2"/>
      <x:c r="D225" s="2"/>
      <x:c r="E225" s="2"/>
      <x:c r="F225" s="97"/>
      <x:c r="G225" s="98"/>
      <x:c r="H225" s="2"/>
      <x:c r="I225" s="97"/>
      <x:c r="J225" s="97"/>
      <x:c r="K225" s="2"/>
      <x:c r="L225" s="2"/>
      <x:c r="M225" s="2"/>
      <x:c r="N225" s="2"/>
      <x:c r="O225" s="2"/>
      <x:c r="P225" s="2"/>
    </x:row>
    <x:row r="226">
      <x:c r="A226" s="2"/>
      <x:c r="B226" s="2"/>
      <x:c r="C226" s="2"/>
      <x:c r="D226" s="2"/>
      <x:c r="E226" s="2"/>
      <x:c r="F226" s="97"/>
      <x:c r="G226" s="98"/>
      <x:c r="H226" s="2"/>
      <x:c r="I226" s="97"/>
      <x:c r="J226" s="97"/>
      <x:c r="K226" s="2"/>
      <x:c r="L226" s="2"/>
      <x:c r="M226" s="2"/>
      <x:c r="N226" s="2"/>
      <x:c r="O226" s="2"/>
      <x:c r="P226" s="2"/>
    </x:row>
    <x:row r="227">
      <x:c r="A227" s="2"/>
      <x:c r="B227" s="2"/>
      <x:c r="C227" s="2"/>
      <x:c r="D227" s="2"/>
      <x:c r="E227" s="2"/>
      <x:c r="F227" s="97"/>
      <x:c r="G227" s="98"/>
      <x:c r="H227" s="2"/>
      <x:c r="I227" s="97"/>
      <x:c r="J227" s="97"/>
      <x:c r="K227" s="2"/>
      <x:c r="L227" s="2"/>
      <x:c r="M227" s="2"/>
      <x:c r="N227" s="2"/>
      <x:c r="O227" s="2"/>
      <x:c r="P227" s="2"/>
    </x:row>
    <x:row r="228">
      <x:c r="A228" s="2"/>
      <x:c r="B228" s="2"/>
      <x:c r="C228" s="2"/>
      <x:c r="D228" s="2"/>
      <x:c r="E228" s="2"/>
      <x:c r="F228" s="97"/>
      <x:c r="G228" s="98"/>
      <x:c r="H228" s="2"/>
      <x:c r="I228" s="97"/>
      <x:c r="J228" s="97"/>
      <x:c r="K228" s="2"/>
      <x:c r="L228" s="2"/>
      <x:c r="M228" s="2"/>
      <x:c r="N228" s="2"/>
      <x:c r="O228" s="2"/>
      <x:c r="P228" s="2"/>
    </x:row>
    <x:row r="229">
      <x:c r="A229" s="2"/>
      <x:c r="B229" s="2"/>
      <x:c r="C229" s="2"/>
      <x:c r="D229" s="2"/>
      <x:c r="E229" s="2"/>
      <x:c r="F229" s="97"/>
      <x:c r="G229" s="98"/>
      <x:c r="H229" s="2"/>
      <x:c r="I229" s="97"/>
      <x:c r="J229" s="97"/>
      <x:c r="K229" s="2"/>
      <x:c r="L229" s="2"/>
      <x:c r="M229" s="2"/>
      <x:c r="N229" s="2"/>
      <x:c r="O229" s="2"/>
      <x:c r="P229" s="2"/>
    </x:row>
    <x:row r="230">
      <x:c r="A230" s="2"/>
      <x:c r="B230" s="2"/>
      <x:c r="C230" s="2"/>
      <x:c r="D230" s="2"/>
      <x:c r="E230" s="2"/>
      <x:c r="F230" s="97"/>
      <x:c r="G230" s="98"/>
      <x:c r="H230" s="2"/>
      <x:c r="I230" s="97"/>
      <x:c r="J230" s="97"/>
      <x:c r="K230" s="2"/>
      <x:c r="L230" s="2"/>
      <x:c r="M230" s="2"/>
      <x:c r="N230" s="2"/>
      <x:c r="O230" s="2"/>
      <x:c r="P230" s="2"/>
    </x:row>
    <x:row r="231">
      <x:c r="A231" s="2"/>
      <x:c r="B231" s="2"/>
      <x:c r="C231" s="2"/>
      <x:c r="D231" s="2"/>
      <x:c r="E231" s="2"/>
      <x:c r="F231" s="97"/>
      <x:c r="G231" s="98"/>
      <x:c r="H231" s="2"/>
      <x:c r="I231" s="97"/>
      <x:c r="J231" s="97"/>
      <x:c r="K231" s="2"/>
      <x:c r="L231" s="2"/>
      <x:c r="M231" s="2"/>
      <x:c r="N231" s="2"/>
      <x:c r="O231" s="2"/>
      <x:c r="P231" s="2"/>
    </x:row>
    <x:row r="232">
      <x:c r="A232" s="2"/>
      <x:c r="B232" s="2"/>
      <x:c r="C232" s="2"/>
      <x:c r="D232" s="2"/>
      <x:c r="E232" s="2"/>
      <x:c r="F232" s="97"/>
      <x:c r="G232" s="98"/>
      <x:c r="H232" s="2"/>
      <x:c r="I232" s="97"/>
      <x:c r="J232" s="97"/>
      <x:c r="K232" s="2"/>
      <x:c r="L232" s="2"/>
      <x:c r="M232" s="2"/>
      <x:c r="N232" s="2"/>
      <x:c r="O232" s="2"/>
      <x:c r="P232" s="2"/>
    </x:row>
    <x:row r="233">
      <x:c r="A233" s="2"/>
      <x:c r="B233" s="2"/>
      <x:c r="C233" s="2"/>
      <x:c r="D233" s="2"/>
      <x:c r="E233" s="2"/>
      <x:c r="F233" s="97"/>
      <x:c r="G233" s="98"/>
      <x:c r="H233" s="2"/>
      <x:c r="I233" s="97"/>
      <x:c r="J233" s="97"/>
      <x:c r="K233" s="2"/>
      <x:c r="L233" s="2"/>
      <x:c r="M233" s="2"/>
      <x:c r="N233" s="2"/>
      <x:c r="O233" s="2"/>
      <x:c r="P233" s="2"/>
    </x:row>
    <x:row r="234">
      <x:c r="A234" s="2"/>
      <x:c r="B234" s="2"/>
      <x:c r="C234" s="2"/>
      <x:c r="D234" s="2"/>
      <x:c r="E234" s="2"/>
      <x:c r="F234" s="97"/>
      <x:c r="G234" s="98"/>
      <x:c r="H234" s="2"/>
      <x:c r="I234" s="97"/>
      <x:c r="J234" s="97"/>
      <x:c r="K234" s="2"/>
      <x:c r="L234" s="2"/>
      <x:c r="M234" s="2"/>
      <x:c r="N234" s="2"/>
      <x:c r="O234" s="2"/>
      <x:c r="P234" s="2"/>
    </x:row>
    <x:row r="235">
      <x:c r="A235" s="2"/>
      <x:c r="B235" s="2"/>
      <x:c r="C235" s="2"/>
      <x:c r="D235" s="2"/>
      <x:c r="E235" s="2"/>
      <x:c r="F235" s="97"/>
      <x:c r="G235" s="98"/>
      <x:c r="H235" s="2"/>
      <x:c r="I235" s="97"/>
      <x:c r="J235" s="97"/>
      <x:c r="K235" s="2"/>
      <x:c r="L235" s="2"/>
      <x:c r="M235" s="2"/>
      <x:c r="N235" s="2"/>
      <x:c r="O235" s="2"/>
      <x:c r="P235" s="2"/>
    </x:row>
    <x:row r="236">
      <x:c r="A236" s="2"/>
      <x:c r="B236" s="2"/>
      <x:c r="C236" s="2"/>
      <x:c r="D236" s="2"/>
      <x:c r="E236" s="2"/>
      <x:c r="F236" s="97"/>
      <x:c r="G236" s="98"/>
      <x:c r="H236" s="2"/>
      <x:c r="I236" s="97"/>
      <x:c r="J236" s="97"/>
      <x:c r="K236" s="2"/>
      <x:c r="L236" s="2"/>
      <x:c r="M236" s="2"/>
      <x:c r="N236" s="2"/>
      <x:c r="O236" s="2"/>
      <x:c r="P236" s="2"/>
    </x:row>
    <x:row r="237">
      <x:c r="A237" s="2"/>
      <x:c r="B237" s="2"/>
      <x:c r="C237" s="2"/>
      <x:c r="D237" s="2"/>
      <x:c r="E237" s="2"/>
      <x:c r="F237" s="97"/>
      <x:c r="G237" s="98"/>
      <x:c r="H237" s="2"/>
      <x:c r="I237" s="97"/>
      <x:c r="J237" s="97"/>
      <x:c r="K237" s="2"/>
      <x:c r="L237" s="2"/>
      <x:c r="M237" s="2"/>
      <x:c r="N237" s="2"/>
      <x:c r="O237" s="2"/>
      <x:c r="P237" s="2"/>
    </x:row>
    <x:row r="238">
      <x:c r="A238" s="2"/>
      <x:c r="B238" s="2"/>
      <x:c r="C238" s="2"/>
      <x:c r="D238" s="2"/>
      <x:c r="E238" s="2"/>
      <x:c r="F238" s="97"/>
      <x:c r="G238" s="98"/>
      <x:c r="H238" s="2"/>
      <x:c r="I238" s="97"/>
      <x:c r="J238" s="97"/>
      <x:c r="K238" s="2"/>
      <x:c r="L238" s="2"/>
      <x:c r="M238" s="2"/>
      <x:c r="N238" s="2"/>
      <x:c r="O238" s="2"/>
      <x:c r="P238" s="2"/>
    </x:row>
    <x:row r="239">
      <x:c r="A239" s="2"/>
      <x:c r="B239" s="2"/>
      <x:c r="C239" s="2"/>
      <x:c r="D239" s="2"/>
      <x:c r="E239" s="2"/>
      <x:c r="F239" s="97"/>
      <x:c r="G239" s="98"/>
      <x:c r="H239" s="2"/>
      <x:c r="I239" s="97"/>
      <x:c r="J239" s="97"/>
      <x:c r="K239" s="2"/>
      <x:c r="L239" s="2"/>
      <x:c r="M239" s="2"/>
      <x:c r="N239" s="2"/>
      <x:c r="O239" s="2"/>
      <x:c r="P239" s="2"/>
    </x:row>
    <x:row r="240">
      <x:c r="A240" s="2"/>
      <x:c r="B240" s="2"/>
      <x:c r="C240" s="2"/>
      <x:c r="D240" s="2"/>
      <x:c r="E240" s="2"/>
      <x:c r="F240" s="97"/>
      <x:c r="G240" s="98"/>
      <x:c r="H240" s="2"/>
      <x:c r="I240" s="97"/>
      <x:c r="J240" s="97"/>
      <x:c r="K240" s="2"/>
      <x:c r="L240" s="2"/>
      <x:c r="M240" s="2"/>
      <x:c r="N240" s="2"/>
      <x:c r="O240" s="2"/>
      <x:c r="P240" s="2"/>
    </x:row>
    <x:row r="241">
      <x:c r="A241" s="2"/>
      <x:c r="B241" s="2"/>
      <x:c r="C241" s="2"/>
      <x:c r="D241" s="2"/>
      <x:c r="E241" s="2"/>
      <x:c r="F241" s="97"/>
      <x:c r="G241" s="98"/>
      <x:c r="H241" s="2"/>
      <x:c r="I241" s="97"/>
      <x:c r="J241" s="97"/>
      <x:c r="K241" s="2"/>
      <x:c r="L241" s="2"/>
      <x:c r="M241" s="2"/>
      <x:c r="N241" s="2"/>
      <x:c r="O241" s="2"/>
      <x:c r="P241" s="2"/>
    </x:row>
    <x:row r="242">
      <x:c r="A242" s="2"/>
      <x:c r="B242" s="2"/>
      <x:c r="C242" s="2"/>
      <x:c r="D242" s="2"/>
      <x:c r="E242" s="2"/>
      <x:c r="F242" s="97"/>
      <x:c r="G242" s="98"/>
      <x:c r="H242" s="2"/>
      <x:c r="I242" s="97"/>
      <x:c r="J242" s="97"/>
      <x:c r="K242" s="2"/>
      <x:c r="L242" s="2"/>
      <x:c r="M242" s="2"/>
      <x:c r="N242" s="2"/>
      <x:c r="O242" s="2"/>
      <x:c r="P242" s="2"/>
    </x:row>
    <x:row r="243">
      <x:c r="A243" s="2"/>
      <x:c r="B243" s="2"/>
      <x:c r="C243" s="2"/>
      <x:c r="D243" s="2"/>
      <x:c r="E243" s="2"/>
      <x:c r="F243" s="97"/>
      <x:c r="G243" s="98"/>
      <x:c r="H243" s="2"/>
      <x:c r="I243" s="97"/>
      <x:c r="J243" s="97"/>
      <x:c r="K243" s="2"/>
      <x:c r="L243" s="2"/>
      <x:c r="M243" s="2"/>
      <x:c r="N243" s="2"/>
      <x:c r="O243" s="2"/>
      <x:c r="P243" s="2"/>
    </x:row>
    <x:row r="244">
      <x:c r="A244" s="2"/>
      <x:c r="B244" s="2"/>
      <x:c r="C244" s="2"/>
      <x:c r="D244" s="2"/>
      <x:c r="E244" s="2"/>
      <x:c r="F244" s="97"/>
      <x:c r="G244" s="98"/>
      <x:c r="H244" s="2"/>
      <x:c r="I244" s="97"/>
      <x:c r="J244" s="97"/>
      <x:c r="K244" s="2"/>
      <x:c r="L244" s="2"/>
      <x:c r="M244" s="2"/>
      <x:c r="N244" s="2"/>
      <x:c r="O244" s="2"/>
      <x:c r="P244" s="2"/>
    </x:row>
    <x:row r="245">
      <x:c r="A245" s="2"/>
      <x:c r="B245" s="2"/>
      <x:c r="C245" s="2"/>
      <x:c r="D245" s="2"/>
      <x:c r="E245" s="2"/>
      <x:c r="F245" s="97"/>
      <x:c r="G245" s="98"/>
      <x:c r="H245" s="2"/>
      <x:c r="I245" s="97"/>
      <x:c r="J245" s="97"/>
      <x:c r="K245" s="2"/>
      <x:c r="L245" s="2"/>
      <x:c r="M245" s="2"/>
      <x:c r="N245" s="2"/>
      <x:c r="O245" s="2"/>
      <x:c r="P245" s="2"/>
    </x:row>
    <x:row r="246">
      <x:c r="A246" s="2"/>
      <x:c r="B246" s="2"/>
      <x:c r="C246" s="2"/>
      <x:c r="D246" s="2"/>
      <x:c r="E246" s="2"/>
      <x:c r="F246" s="97"/>
      <x:c r="G246" s="98"/>
      <x:c r="H246" s="2"/>
      <x:c r="I246" s="97"/>
      <x:c r="J246" s="97"/>
      <x:c r="K246" s="2"/>
      <x:c r="L246" s="2"/>
      <x:c r="M246" s="2"/>
      <x:c r="N246" s="2"/>
      <x:c r="O246" s="2"/>
      <x:c r="P246" s="2"/>
    </x:row>
    <x:row r="247">
      <x:c r="A247" s="2"/>
      <x:c r="B247" s="2"/>
      <x:c r="C247" s="2"/>
      <x:c r="D247" s="2"/>
      <x:c r="E247" s="2"/>
      <x:c r="F247" s="97"/>
      <x:c r="G247" s="98"/>
      <x:c r="H247" s="2"/>
      <x:c r="I247" s="97"/>
      <x:c r="J247" s="97"/>
      <x:c r="K247" s="2"/>
      <x:c r="L247" s="2"/>
      <x:c r="M247" s="2"/>
      <x:c r="N247" s="2"/>
      <x:c r="O247" s="2"/>
      <x:c r="P247" s="2"/>
    </x:row>
    <x:row r="248">
      <x:c r="A248" s="2"/>
      <x:c r="B248" s="2"/>
      <x:c r="C248" s="2"/>
      <x:c r="D248" s="2"/>
      <x:c r="E248" s="2"/>
      <x:c r="F248" s="97"/>
      <x:c r="G248" s="98"/>
      <x:c r="H248" s="2"/>
      <x:c r="I248" s="97"/>
      <x:c r="J248" s="97"/>
      <x:c r="K248" s="2"/>
      <x:c r="L248" s="2"/>
      <x:c r="M248" s="2"/>
      <x:c r="N248" s="2"/>
      <x:c r="O248" s="2"/>
      <x:c r="P248" s="2"/>
    </x:row>
    <x:row r="249">
      <x:c r="A249" s="2"/>
      <x:c r="B249" s="2"/>
      <x:c r="C249" s="2"/>
      <x:c r="D249" s="2"/>
      <x:c r="E249" s="2"/>
      <x:c r="F249" s="97"/>
      <x:c r="G249" s="98"/>
      <x:c r="H249" s="2"/>
      <x:c r="I249" s="97"/>
      <x:c r="J249" s="97"/>
      <x:c r="K249" s="2"/>
      <x:c r="L249" s="2"/>
      <x:c r="M249" s="2"/>
      <x:c r="N249" s="2"/>
      <x:c r="O249" s="2"/>
      <x:c r="P249" s="2"/>
    </x:row>
    <x:row r="250">
      <x:c r="A250" s="2"/>
      <x:c r="B250" s="2"/>
      <x:c r="C250" s="2"/>
      <x:c r="D250" s="2"/>
      <x:c r="E250" s="2"/>
      <x:c r="F250" s="97"/>
      <x:c r="G250" s="98"/>
      <x:c r="H250" s="2"/>
      <x:c r="I250" s="97"/>
      <x:c r="J250" s="97"/>
      <x:c r="K250" s="2"/>
      <x:c r="L250" s="2"/>
      <x:c r="M250" s="2"/>
      <x:c r="N250" s="2"/>
      <x:c r="O250" s="2"/>
      <x:c r="P250" s="2"/>
    </x:row>
    <x:row r="251">
      <x:c r="A251" s="2"/>
      <x:c r="B251" s="2"/>
      <x:c r="C251" s="2"/>
      <x:c r="D251" s="2"/>
      <x:c r="E251" s="2"/>
      <x:c r="F251" s="97"/>
      <x:c r="G251" s="98"/>
      <x:c r="H251" s="2"/>
      <x:c r="I251" s="97"/>
      <x:c r="J251" s="97"/>
      <x:c r="K251" s="2"/>
      <x:c r="L251" s="2"/>
      <x:c r="M251" s="2"/>
      <x:c r="N251" s="2"/>
      <x:c r="O251" s="2"/>
      <x:c r="P251" s="2"/>
    </x:row>
    <x:row r="252">
      <x:c r="A252" s="2"/>
      <x:c r="B252" s="2"/>
      <x:c r="C252" s="2"/>
      <x:c r="D252" s="2"/>
      <x:c r="E252" s="2"/>
      <x:c r="F252" s="97"/>
      <x:c r="G252" s="98"/>
      <x:c r="H252" s="2"/>
      <x:c r="I252" s="97"/>
      <x:c r="J252" s="97"/>
      <x:c r="K252" s="2"/>
      <x:c r="L252" s="2"/>
      <x:c r="M252" s="2"/>
      <x:c r="N252" s="2"/>
      <x:c r="O252" s="2"/>
      <x:c r="P252" s="2"/>
    </x:row>
    <x:row r="253">
      <x:c r="A253" s="2"/>
      <x:c r="B253" s="2"/>
      <x:c r="C253" s="2"/>
      <x:c r="D253" s="2"/>
      <x:c r="E253" s="2"/>
      <x:c r="F253" s="97"/>
      <x:c r="G253" s="98"/>
      <x:c r="H253" s="2"/>
      <x:c r="I253" s="97"/>
      <x:c r="J253" s="97"/>
      <x:c r="K253" s="2"/>
      <x:c r="L253" s="2"/>
      <x:c r="M253" s="2"/>
      <x:c r="N253" s="2"/>
      <x:c r="O253" s="2"/>
      <x:c r="P253" s="2"/>
    </x:row>
    <x:row r="254">
      <x:c r="A254" s="2"/>
      <x:c r="B254" s="2"/>
      <x:c r="C254" s="2"/>
      <x:c r="D254" s="2"/>
      <x:c r="E254" s="2"/>
      <x:c r="F254" s="97"/>
      <x:c r="G254" s="98"/>
      <x:c r="H254" s="2"/>
      <x:c r="I254" s="97"/>
      <x:c r="J254" s="97"/>
      <x:c r="K254" s="2"/>
      <x:c r="L254" s="2"/>
      <x:c r="M254" s="2"/>
      <x:c r="N254" s="2"/>
      <x:c r="O254" s="2"/>
      <x:c r="P254" s="2"/>
    </x:row>
    <x:row r="255">
      <x:c r="A255" s="2"/>
      <x:c r="B255" s="2"/>
      <x:c r="C255" s="2"/>
      <x:c r="D255" s="2"/>
      <x:c r="E255" s="2"/>
      <x:c r="F255" s="97"/>
      <x:c r="G255" s="98"/>
      <x:c r="H255" s="2"/>
      <x:c r="I255" s="97"/>
      <x:c r="J255" s="97"/>
      <x:c r="K255" s="2"/>
      <x:c r="L255" s="2"/>
      <x:c r="M255" s="2"/>
      <x:c r="N255" s="2"/>
      <x:c r="O255" s="2"/>
      <x:c r="P255" s="2"/>
    </x:row>
    <x:row r="256">
      <x:c r="A256" s="2"/>
      <x:c r="B256" s="2"/>
      <x:c r="C256" s="2"/>
      <x:c r="D256" s="2"/>
      <x:c r="E256" s="2"/>
      <x:c r="F256" s="97"/>
      <x:c r="G256" s="98"/>
      <x:c r="H256" s="2"/>
      <x:c r="I256" s="97"/>
      <x:c r="J256" s="97"/>
      <x:c r="K256" s="2"/>
      <x:c r="L256" s="2"/>
      <x:c r="M256" s="2"/>
      <x:c r="N256" s="2"/>
      <x:c r="O256" s="2"/>
      <x:c r="P256" s="2"/>
    </x:row>
    <x:row r="257">
      <x:c r="A257" s="2"/>
      <x:c r="B257" s="2"/>
      <x:c r="C257" s="2"/>
      <x:c r="D257" s="2"/>
      <x:c r="E257" s="2"/>
      <x:c r="F257" s="97"/>
      <x:c r="G257" s="98"/>
      <x:c r="H257" s="2"/>
      <x:c r="I257" s="97"/>
      <x:c r="J257" s="97"/>
      <x:c r="K257" s="2"/>
      <x:c r="L257" s="2"/>
      <x:c r="M257" s="2"/>
      <x:c r="N257" s="2"/>
      <x:c r="O257" s="2"/>
      <x:c r="P257" s="2"/>
    </x:row>
    <x:row r="258">
      <x:c r="A258" s="2"/>
      <x:c r="B258" s="2"/>
      <x:c r="C258" s="2"/>
      <x:c r="D258" s="2"/>
      <x:c r="E258" s="2"/>
      <x:c r="F258" s="97"/>
      <x:c r="G258" s="98"/>
      <x:c r="H258" s="2"/>
      <x:c r="I258" s="97"/>
      <x:c r="J258" s="97"/>
      <x:c r="K258" s="2"/>
      <x:c r="L258" s="2"/>
      <x:c r="M258" s="2"/>
      <x:c r="N258" s="2"/>
      <x:c r="O258" s="2"/>
      <x:c r="P258" s="2"/>
    </x:row>
    <x:row r="259">
      <x:c r="A259" s="2"/>
      <x:c r="B259" s="2"/>
      <x:c r="C259" s="2"/>
      <x:c r="D259" s="2"/>
      <x:c r="E259" s="2"/>
      <x:c r="F259" s="97"/>
      <x:c r="G259" s="98"/>
      <x:c r="H259" s="2"/>
      <x:c r="I259" s="97"/>
      <x:c r="J259" s="97"/>
      <x:c r="K259" s="2"/>
      <x:c r="L259" s="2"/>
      <x:c r="M259" s="2"/>
      <x:c r="N259" s="2"/>
      <x:c r="O259" s="2"/>
      <x:c r="P259" s="2"/>
    </x:row>
    <x:row r="260">
      <x:c r="A260" s="2"/>
      <x:c r="B260" s="2"/>
      <x:c r="C260" s="2"/>
      <x:c r="D260" s="2"/>
      <x:c r="E260" s="2"/>
      <x:c r="F260" s="97"/>
      <x:c r="G260" s="98"/>
      <x:c r="H260" s="2"/>
      <x:c r="I260" s="97"/>
      <x:c r="J260" s="97"/>
      <x:c r="K260" s="2"/>
      <x:c r="L260" s="2"/>
      <x:c r="M260" s="2"/>
      <x:c r="N260" s="2"/>
      <x:c r="O260" s="2"/>
      <x:c r="P260" s="2"/>
    </x:row>
    <x:row r="261">
      <x:c r="A261" s="2"/>
      <x:c r="B261" s="2"/>
      <x:c r="C261" s="2"/>
      <x:c r="D261" s="2"/>
      <x:c r="E261" s="2"/>
      <x:c r="F261" s="97"/>
      <x:c r="G261" s="98"/>
      <x:c r="H261" s="2"/>
      <x:c r="I261" s="97"/>
      <x:c r="J261" s="97"/>
      <x:c r="K261" s="2"/>
      <x:c r="L261" s="2"/>
      <x:c r="M261" s="2"/>
      <x:c r="N261" s="2"/>
      <x:c r="O261" s="2"/>
      <x:c r="P261" s="2"/>
    </x:row>
    <x:row r="262">
      <x:c r="A262" s="2"/>
      <x:c r="B262" s="2"/>
      <x:c r="C262" s="2"/>
      <x:c r="D262" s="2"/>
      <x:c r="E262" s="2"/>
      <x:c r="F262" s="97"/>
      <x:c r="G262" s="98"/>
      <x:c r="H262" s="2"/>
      <x:c r="I262" s="97"/>
      <x:c r="J262" s="97"/>
      <x:c r="K262" s="2"/>
      <x:c r="L262" s="2"/>
      <x:c r="M262" s="2"/>
      <x:c r="N262" s="2"/>
      <x:c r="O262" s="2"/>
      <x:c r="P262" s="2"/>
    </x:row>
    <x:row r="263">
      <x:c r="A263" s="2"/>
      <x:c r="B263" s="2"/>
      <x:c r="C263" s="2"/>
      <x:c r="D263" s="2"/>
      <x:c r="E263" s="2"/>
      <x:c r="F263" s="97"/>
      <x:c r="G263" s="98"/>
      <x:c r="H263" s="2"/>
      <x:c r="I263" s="97"/>
      <x:c r="J263" s="97"/>
      <x:c r="K263" s="2"/>
      <x:c r="L263" s="2"/>
      <x:c r="M263" s="2"/>
      <x:c r="N263" s="2"/>
      <x:c r="O263" s="2"/>
      <x:c r="P263" s="2"/>
    </x:row>
    <x:row r="264">
      <x:c r="A264" s="2"/>
      <x:c r="B264" s="2"/>
      <x:c r="C264" s="2"/>
      <x:c r="D264" s="2"/>
      <x:c r="E264" s="2"/>
      <x:c r="F264" s="97"/>
      <x:c r="G264" s="98"/>
      <x:c r="H264" s="2"/>
      <x:c r="I264" s="97"/>
      <x:c r="J264" s="97"/>
      <x:c r="K264" s="2"/>
      <x:c r="L264" s="2"/>
      <x:c r="M264" s="2"/>
      <x:c r="N264" s="2"/>
      <x:c r="O264" s="2"/>
      <x:c r="P264" s="2"/>
    </x:row>
    <x:row r="265">
      <x:c r="A265" s="2"/>
      <x:c r="B265" s="2"/>
      <x:c r="C265" s="2"/>
      <x:c r="D265" s="2"/>
      <x:c r="E265" s="2"/>
      <x:c r="F265" s="97"/>
      <x:c r="G265" s="98"/>
      <x:c r="H265" s="2"/>
      <x:c r="I265" s="97"/>
      <x:c r="J265" s="97"/>
      <x:c r="K265" s="2"/>
      <x:c r="L265" s="2"/>
      <x:c r="M265" s="2"/>
      <x:c r="N265" s="2"/>
      <x:c r="O265" s="2"/>
      <x:c r="P265" s="2"/>
    </x:row>
    <x:row r="266">
      <x:c r="A266" s="2"/>
      <x:c r="B266" s="2"/>
      <x:c r="C266" s="2"/>
      <x:c r="D266" s="2"/>
      <x:c r="E266" s="2"/>
      <x:c r="F266" s="97"/>
      <x:c r="G266" s="98"/>
      <x:c r="H266" s="2"/>
      <x:c r="I266" s="97"/>
      <x:c r="J266" s="97"/>
      <x:c r="K266" s="2"/>
      <x:c r="L266" s="2"/>
      <x:c r="M266" s="2"/>
      <x:c r="N266" s="2"/>
      <x:c r="O266" s="2"/>
      <x:c r="P266" s="2"/>
    </x:row>
    <x:row r="267">
      <x:c r="A267" s="2"/>
      <x:c r="B267" s="2"/>
      <x:c r="C267" s="2"/>
      <x:c r="D267" s="2"/>
      <x:c r="E267" s="2"/>
      <x:c r="F267" s="97"/>
      <x:c r="G267" s="98"/>
      <x:c r="H267" s="2"/>
      <x:c r="I267" s="97"/>
      <x:c r="J267" s="97"/>
      <x:c r="K267" s="2"/>
      <x:c r="L267" s="2"/>
      <x:c r="M267" s="2"/>
      <x:c r="N267" s="2"/>
      <x:c r="O267" s="2"/>
      <x:c r="P267" s="2"/>
    </x:row>
    <x:row r="268">
      <x:c r="A268" s="2"/>
      <x:c r="B268" s="2"/>
      <x:c r="C268" s="2"/>
      <x:c r="D268" s="2"/>
      <x:c r="E268" s="2"/>
      <x:c r="F268" s="97"/>
      <x:c r="G268" s="98"/>
      <x:c r="H268" s="2"/>
      <x:c r="I268" s="97"/>
      <x:c r="J268" s="97"/>
      <x:c r="K268" s="2"/>
      <x:c r="L268" s="2"/>
      <x:c r="M268" s="2"/>
      <x:c r="N268" s="2"/>
      <x:c r="O268" s="2"/>
      <x:c r="P268" s="2"/>
    </x:row>
    <x:row r="269">
      <x:c r="A269" s="2"/>
      <x:c r="B269" s="2"/>
      <x:c r="C269" s="2"/>
      <x:c r="D269" s="2"/>
      <x:c r="E269" s="2"/>
      <x:c r="F269" s="97"/>
      <x:c r="G269" s="98"/>
      <x:c r="H269" s="2"/>
      <x:c r="I269" s="97"/>
      <x:c r="J269" s="97"/>
      <x:c r="K269" s="2"/>
      <x:c r="L269" s="2"/>
      <x:c r="M269" s="2"/>
      <x:c r="N269" s="2"/>
      <x:c r="O269" s="2"/>
      <x:c r="P269" s="2"/>
    </x:row>
    <x:row r="270">
      <x:c r="A270" s="2"/>
      <x:c r="B270" s="2"/>
      <x:c r="C270" s="2"/>
      <x:c r="D270" s="2"/>
      <x:c r="E270" s="2"/>
      <x:c r="F270" s="97"/>
      <x:c r="G270" s="98"/>
      <x:c r="H270" s="2"/>
      <x:c r="I270" s="97"/>
      <x:c r="J270" s="97"/>
      <x:c r="K270" s="2"/>
      <x:c r="L270" s="2"/>
      <x:c r="M270" s="2"/>
      <x:c r="N270" s="2"/>
      <x:c r="O270" s="2"/>
      <x:c r="P270" s="2"/>
    </x:row>
    <x:row r="271">
      <x:c r="A271" s="2"/>
      <x:c r="B271" s="2"/>
      <x:c r="C271" s="2"/>
      <x:c r="D271" s="2"/>
      <x:c r="E271" s="2"/>
      <x:c r="F271" s="97"/>
      <x:c r="G271" s="98"/>
      <x:c r="H271" s="2"/>
      <x:c r="I271" s="97"/>
      <x:c r="J271" s="97"/>
      <x:c r="K271" s="2"/>
      <x:c r="L271" s="2"/>
      <x:c r="M271" s="2"/>
      <x:c r="N271" s="2"/>
      <x:c r="O271" s="2"/>
      <x:c r="P271" s="2"/>
    </x:row>
    <x:row r="272">
      <x:c r="A272" s="2"/>
      <x:c r="B272" s="2"/>
      <x:c r="C272" s="2"/>
      <x:c r="D272" s="2"/>
      <x:c r="E272" s="2"/>
      <x:c r="F272" s="97"/>
      <x:c r="G272" s="98"/>
      <x:c r="H272" s="2"/>
      <x:c r="I272" s="97"/>
      <x:c r="J272" s="97"/>
      <x:c r="K272" s="2"/>
      <x:c r="L272" s="2"/>
      <x:c r="M272" s="2"/>
      <x:c r="N272" s="2"/>
      <x:c r="O272" s="2"/>
      <x:c r="P272" s="2"/>
    </x:row>
    <x:row r="273">
      <x:c r="A273" s="2"/>
      <x:c r="B273" s="2"/>
      <x:c r="C273" s="2"/>
      <x:c r="D273" s="2"/>
      <x:c r="E273" s="2"/>
      <x:c r="F273" s="97"/>
      <x:c r="G273" s="98"/>
      <x:c r="H273" s="2"/>
      <x:c r="I273" s="97"/>
      <x:c r="J273" s="97"/>
      <x:c r="K273" s="2"/>
      <x:c r="L273" s="2"/>
      <x:c r="M273" s="2"/>
      <x:c r="N273" s="2"/>
      <x:c r="O273" s="2"/>
      <x:c r="P273" s="2"/>
    </x:row>
    <x:row r="274">
      <x:c r="A274" s="2"/>
      <x:c r="B274" s="2"/>
      <x:c r="C274" s="2"/>
      <x:c r="D274" s="2"/>
      <x:c r="E274" s="2"/>
      <x:c r="F274" s="97"/>
      <x:c r="G274" s="98"/>
      <x:c r="H274" s="2"/>
      <x:c r="I274" s="97"/>
      <x:c r="J274" s="97"/>
      <x:c r="K274" s="2"/>
      <x:c r="L274" s="2"/>
      <x:c r="M274" s="2"/>
      <x:c r="N274" s="2"/>
      <x:c r="O274" s="2"/>
      <x:c r="P274" s="2"/>
    </x:row>
    <x:row r="275">
      <x:c r="A275" s="2"/>
      <x:c r="B275" s="2"/>
      <x:c r="C275" s="2"/>
      <x:c r="D275" s="2"/>
      <x:c r="E275" s="2"/>
      <x:c r="F275" s="97"/>
      <x:c r="G275" s="98"/>
      <x:c r="H275" s="2"/>
      <x:c r="I275" s="97"/>
      <x:c r="J275" s="97"/>
      <x:c r="K275" s="2"/>
      <x:c r="L275" s="2"/>
      <x:c r="M275" s="2"/>
      <x:c r="N275" s="2"/>
      <x:c r="O275" s="2"/>
      <x:c r="P275" s="2"/>
    </x:row>
    <x:row r="276">
      <x:c r="A276" s="2"/>
      <x:c r="B276" s="2"/>
      <x:c r="C276" s="2"/>
      <x:c r="D276" s="2"/>
      <x:c r="E276" s="2"/>
      <x:c r="F276" s="97"/>
      <x:c r="G276" s="98"/>
      <x:c r="H276" s="2"/>
      <x:c r="I276" s="97"/>
      <x:c r="J276" s="97"/>
      <x:c r="K276" s="2"/>
      <x:c r="L276" s="2"/>
      <x:c r="M276" s="2"/>
      <x:c r="N276" s="2"/>
      <x:c r="O276" s="2"/>
      <x:c r="P276" s="2"/>
    </x:row>
    <x:row r="277">
      <x:c r="A277" s="2"/>
      <x:c r="B277" s="2"/>
      <x:c r="C277" s="2"/>
      <x:c r="D277" s="2"/>
      <x:c r="E277" s="2"/>
      <x:c r="F277" s="97"/>
      <x:c r="G277" s="98"/>
      <x:c r="H277" s="2"/>
      <x:c r="I277" s="97"/>
      <x:c r="J277" s="97"/>
      <x:c r="K277" s="2"/>
      <x:c r="L277" s="2"/>
      <x:c r="M277" s="2"/>
      <x:c r="N277" s="2"/>
      <x:c r="O277" s="2"/>
      <x:c r="P277" s="2"/>
    </x:row>
    <x:row r="278">
      <x:c r="A278" s="2"/>
      <x:c r="B278" s="2"/>
      <x:c r="C278" s="2"/>
      <x:c r="D278" s="2"/>
      <x:c r="E278" s="2"/>
      <x:c r="F278" s="97"/>
      <x:c r="G278" s="98"/>
      <x:c r="H278" s="2"/>
      <x:c r="I278" s="97"/>
      <x:c r="J278" s="97"/>
      <x:c r="K278" s="2"/>
      <x:c r="L278" s="2"/>
      <x:c r="M278" s="2"/>
      <x:c r="N278" s="2"/>
      <x:c r="O278" s="2"/>
      <x:c r="P278" s="2"/>
    </x:row>
    <x:row r="279">
      <x:c r="A279" s="2"/>
      <x:c r="B279" s="2"/>
      <x:c r="C279" s="2"/>
      <x:c r="D279" s="2"/>
      <x:c r="E279" s="2"/>
      <x:c r="F279" s="97"/>
      <x:c r="G279" s="98"/>
      <x:c r="H279" s="2"/>
      <x:c r="I279" s="97"/>
      <x:c r="J279" s="97"/>
      <x:c r="K279" s="2"/>
      <x:c r="L279" s="2"/>
      <x:c r="M279" s="2"/>
      <x:c r="N279" s="2"/>
      <x:c r="O279" s="2"/>
      <x:c r="P279" s="2"/>
    </x:row>
    <x:row r="280">
      <x:c r="A280" s="2"/>
      <x:c r="B280" s="2"/>
      <x:c r="C280" s="2"/>
      <x:c r="D280" s="2"/>
      <x:c r="E280" s="2"/>
      <x:c r="F280" s="97"/>
      <x:c r="G280" s="98"/>
      <x:c r="H280" s="2"/>
      <x:c r="I280" s="97"/>
      <x:c r="J280" s="97"/>
      <x:c r="K280" s="2"/>
      <x:c r="L280" s="2"/>
      <x:c r="M280" s="2"/>
      <x:c r="N280" s="2"/>
      <x:c r="O280" s="2"/>
      <x:c r="P280" s="2"/>
    </x:row>
    <x:row r="281">
      <x:c r="A281" s="2"/>
      <x:c r="B281" s="2"/>
      <x:c r="C281" s="2"/>
      <x:c r="D281" s="2"/>
      <x:c r="E281" s="2"/>
      <x:c r="F281" s="97"/>
      <x:c r="G281" s="98"/>
      <x:c r="H281" s="2"/>
      <x:c r="I281" s="97"/>
      <x:c r="J281" s="97"/>
      <x:c r="K281" s="2"/>
      <x:c r="L281" s="2"/>
      <x:c r="M281" s="2"/>
      <x:c r="N281" s="2"/>
      <x:c r="O281" s="2"/>
      <x:c r="P281" s="2"/>
    </x:row>
    <x:row r="282">
      <x:c r="A282" s="2"/>
      <x:c r="B282" s="2"/>
      <x:c r="C282" s="2"/>
      <x:c r="D282" s="2"/>
      <x:c r="E282" s="2"/>
      <x:c r="F282" s="97"/>
      <x:c r="G282" s="98"/>
      <x:c r="H282" s="2"/>
      <x:c r="I282" s="97"/>
      <x:c r="J282" s="97"/>
      <x:c r="K282" s="2"/>
      <x:c r="L282" s="2"/>
      <x:c r="M282" s="2"/>
      <x:c r="N282" s="2"/>
      <x:c r="O282" s="2"/>
      <x:c r="P282" s="2"/>
    </x:row>
    <x:row r="283">
      <x:c r="A283" s="2"/>
      <x:c r="B283" s="2"/>
      <x:c r="C283" s="2"/>
      <x:c r="D283" s="2"/>
      <x:c r="E283" s="2"/>
      <x:c r="F283" s="97"/>
      <x:c r="G283" s="98"/>
      <x:c r="H283" s="2"/>
      <x:c r="I283" s="97"/>
      <x:c r="J283" s="97"/>
      <x:c r="K283" s="2"/>
      <x:c r="L283" s="2"/>
      <x:c r="M283" s="2"/>
      <x:c r="N283" s="2"/>
      <x:c r="O283" s="2"/>
      <x:c r="P283" s="2"/>
    </x:row>
    <x:row r="284">
      <x:c r="A284" s="2"/>
      <x:c r="B284" s="2"/>
      <x:c r="C284" s="2"/>
      <x:c r="D284" s="2"/>
      <x:c r="E284" s="2"/>
      <x:c r="F284" s="97"/>
      <x:c r="G284" s="98"/>
      <x:c r="H284" s="2"/>
      <x:c r="I284" s="97"/>
      <x:c r="J284" s="97"/>
      <x:c r="K284" s="2"/>
      <x:c r="L284" s="2"/>
      <x:c r="M284" s="2"/>
      <x:c r="N284" s="2"/>
      <x:c r="O284" s="2"/>
      <x:c r="P284" s="2"/>
    </x:row>
    <x:row r="285">
      <x:c r="A285" s="2"/>
      <x:c r="B285" s="2"/>
      <x:c r="C285" s="2"/>
      <x:c r="D285" s="2"/>
      <x:c r="E285" s="2"/>
      <x:c r="F285" s="97"/>
      <x:c r="G285" s="98"/>
      <x:c r="H285" s="2"/>
      <x:c r="I285" s="97"/>
      <x:c r="J285" s="97"/>
      <x:c r="K285" s="2"/>
      <x:c r="L285" s="2"/>
      <x:c r="M285" s="2"/>
      <x:c r="N285" s="2"/>
      <x:c r="O285" s="2"/>
      <x:c r="P285" s="2"/>
    </x:row>
    <x:row r="286">
      <x:c r="A286" s="2"/>
      <x:c r="B286" s="2"/>
      <x:c r="C286" s="2"/>
      <x:c r="D286" s="2"/>
      <x:c r="E286" s="2"/>
      <x:c r="F286" s="97"/>
      <x:c r="G286" s="98"/>
      <x:c r="H286" s="2"/>
      <x:c r="I286" s="97"/>
      <x:c r="J286" s="97"/>
      <x:c r="K286" s="2"/>
      <x:c r="L286" s="2"/>
      <x:c r="M286" s="2"/>
      <x:c r="N286" s="2"/>
      <x:c r="O286" s="2"/>
      <x:c r="P286" s="2"/>
    </x:row>
    <x:row r="287">
      <x:c r="A287" s="2"/>
      <x:c r="B287" s="2"/>
      <x:c r="C287" s="2"/>
      <x:c r="D287" s="2"/>
      <x:c r="E287" s="2"/>
      <x:c r="F287" s="97"/>
      <x:c r="G287" s="98"/>
      <x:c r="H287" s="2"/>
      <x:c r="I287" s="97"/>
      <x:c r="J287" s="97"/>
      <x:c r="K287" s="2"/>
      <x:c r="L287" s="2"/>
      <x:c r="M287" s="2"/>
      <x:c r="N287" s="2"/>
      <x:c r="O287" s="2"/>
      <x:c r="P287" s="2"/>
    </x:row>
    <x:row r="288">
      <x:c r="A288" s="2"/>
      <x:c r="B288" s="2"/>
      <x:c r="C288" s="2"/>
      <x:c r="D288" s="2"/>
      <x:c r="E288" s="2"/>
      <x:c r="F288" s="97"/>
      <x:c r="G288" s="98"/>
      <x:c r="H288" s="2"/>
      <x:c r="I288" s="97"/>
      <x:c r="J288" s="97"/>
      <x:c r="K288" s="2"/>
      <x:c r="L288" s="2"/>
      <x:c r="M288" s="2"/>
      <x:c r="N288" s="2"/>
      <x:c r="O288" s="2"/>
      <x:c r="P288" s="2"/>
    </x:row>
    <x:row r="289">
      <x:c r="A289" s="2"/>
      <x:c r="B289" s="2"/>
      <x:c r="C289" s="2"/>
      <x:c r="D289" s="2"/>
      <x:c r="E289" s="2"/>
      <x:c r="F289" s="97"/>
      <x:c r="G289" s="98"/>
      <x:c r="H289" s="2"/>
      <x:c r="I289" s="97"/>
      <x:c r="J289" s="97"/>
      <x:c r="K289" s="2"/>
      <x:c r="L289" s="2"/>
      <x:c r="M289" s="2"/>
      <x:c r="N289" s="2"/>
      <x:c r="O289" s="2"/>
      <x:c r="P289" s="2"/>
    </x:row>
    <x:row r="290">
      <x:c r="A290" s="2"/>
      <x:c r="B290" s="2"/>
      <x:c r="C290" s="2"/>
      <x:c r="D290" s="2"/>
      <x:c r="E290" s="2"/>
      <x:c r="F290" s="97"/>
      <x:c r="G290" s="98"/>
      <x:c r="H290" s="2"/>
      <x:c r="I290" s="97"/>
      <x:c r="J290" s="97"/>
      <x:c r="K290" s="2"/>
      <x:c r="L290" s="2"/>
      <x:c r="M290" s="2"/>
      <x:c r="N290" s="2"/>
      <x:c r="O290" s="2"/>
      <x:c r="P290" s="2"/>
    </x:row>
    <x:row r="291">
      <x:c r="A291" s="2"/>
      <x:c r="B291" s="2"/>
      <x:c r="C291" s="2"/>
      <x:c r="D291" s="2"/>
      <x:c r="E291" s="2"/>
      <x:c r="F291" s="97"/>
      <x:c r="G291" s="98"/>
      <x:c r="H291" s="2"/>
      <x:c r="I291" s="97"/>
      <x:c r="J291" s="97"/>
      <x:c r="K291" s="2"/>
      <x:c r="L291" s="2"/>
      <x:c r="M291" s="2"/>
      <x:c r="N291" s="2"/>
      <x:c r="O291" s="2"/>
      <x:c r="P291" s="2"/>
    </x:row>
    <x:row r="292">
      <x:c r="A292" s="2"/>
      <x:c r="B292" s="2"/>
      <x:c r="C292" s="2"/>
      <x:c r="D292" s="2"/>
      <x:c r="E292" s="2"/>
      <x:c r="F292" s="97"/>
      <x:c r="G292" s="98"/>
      <x:c r="H292" s="2"/>
      <x:c r="I292" s="97"/>
      <x:c r="J292" s="97"/>
      <x:c r="K292" s="2"/>
      <x:c r="L292" s="2"/>
      <x:c r="M292" s="2"/>
      <x:c r="N292" s="2"/>
      <x:c r="O292" s="2"/>
      <x:c r="P292" s="2"/>
    </x:row>
    <x:row r="293">
      <x:c r="A293" s="2"/>
      <x:c r="B293" s="2"/>
      <x:c r="C293" s="2"/>
      <x:c r="D293" s="2"/>
      <x:c r="E293" s="2"/>
      <x:c r="F293" s="97"/>
      <x:c r="G293" s="98"/>
      <x:c r="H293" s="2"/>
      <x:c r="I293" s="97"/>
      <x:c r="J293" s="97"/>
      <x:c r="K293" s="2"/>
      <x:c r="L293" s="2"/>
      <x:c r="M293" s="2"/>
      <x:c r="N293" s="2"/>
      <x:c r="O293" s="2"/>
      <x:c r="P293" s="2"/>
    </x:row>
    <x:row r="294">
      <x:c r="A294" s="2"/>
      <x:c r="B294" s="2"/>
      <x:c r="C294" s="2"/>
      <x:c r="D294" s="2"/>
      <x:c r="E294" s="2"/>
      <x:c r="F294" s="97"/>
      <x:c r="G294" s="98"/>
      <x:c r="H294" s="2"/>
      <x:c r="I294" s="97"/>
      <x:c r="J294" s="97"/>
      <x:c r="K294" s="2"/>
      <x:c r="L294" s="2"/>
      <x:c r="M294" s="2"/>
      <x:c r="N294" s="2"/>
      <x:c r="O294" s="2"/>
      <x:c r="P294" s="2"/>
    </x:row>
    <x:row r="295">
      <x:c r="A295" s="2"/>
      <x:c r="B295" s="2"/>
      <x:c r="C295" s="2"/>
      <x:c r="D295" s="2"/>
      <x:c r="E295" s="2"/>
      <x:c r="F295" s="97"/>
      <x:c r="G295" s="98"/>
      <x:c r="H295" s="2"/>
      <x:c r="I295" s="97"/>
      <x:c r="J295" s="97"/>
      <x:c r="K295" s="2"/>
      <x:c r="L295" s="2"/>
      <x:c r="M295" s="2"/>
      <x:c r="N295" s="2"/>
      <x:c r="O295" s="2"/>
      <x:c r="P295" s="2"/>
    </x:row>
    <x:row r="296">
      <x:c r="A296" s="2"/>
      <x:c r="B296" s="2"/>
      <x:c r="C296" s="2"/>
      <x:c r="D296" s="2"/>
      <x:c r="E296" s="2"/>
      <x:c r="F296" s="97"/>
      <x:c r="G296" s="98"/>
      <x:c r="H296" s="2"/>
      <x:c r="I296" s="97"/>
      <x:c r="J296" s="97"/>
      <x:c r="K296" s="2"/>
      <x:c r="L296" s="2"/>
      <x:c r="M296" s="2"/>
      <x:c r="N296" s="2"/>
      <x:c r="O296" s="2"/>
      <x:c r="P296" s="2"/>
    </x:row>
    <x:row r="297">
      <x:c r="A297" s="2"/>
      <x:c r="B297" s="2"/>
      <x:c r="C297" s="2"/>
      <x:c r="D297" s="2"/>
      <x:c r="E297" s="2"/>
      <x:c r="F297" s="97"/>
      <x:c r="G297" s="98"/>
      <x:c r="H297" s="2"/>
      <x:c r="I297" s="97"/>
      <x:c r="J297" s="97"/>
      <x:c r="K297" s="2"/>
      <x:c r="L297" s="2"/>
      <x:c r="M297" s="2"/>
      <x:c r="N297" s="2"/>
      <x:c r="O297" s="2"/>
      <x:c r="P297" s="2"/>
    </x:row>
    <x:row r="298">
      <x:c r="A298" s="2"/>
      <x:c r="B298" s="2"/>
      <x:c r="C298" s="2"/>
      <x:c r="D298" s="2"/>
      <x:c r="E298" s="2"/>
      <x:c r="F298" s="97"/>
      <x:c r="G298" s="98"/>
      <x:c r="H298" s="2"/>
      <x:c r="I298" s="97"/>
      <x:c r="J298" s="97"/>
      <x:c r="K298" s="2"/>
      <x:c r="L298" s="2"/>
      <x:c r="M298" s="2"/>
      <x:c r="N298" s="2"/>
      <x:c r="O298" s="2"/>
      <x:c r="P298" s="2"/>
    </x:row>
    <x:row r="299">
      <x:c r="A299" s="2"/>
      <x:c r="B299" s="2"/>
      <x:c r="C299" s="2"/>
      <x:c r="D299" s="2"/>
      <x:c r="E299" s="2"/>
      <x:c r="F299" s="97"/>
      <x:c r="G299" s="98"/>
      <x:c r="H299" s="2"/>
      <x:c r="I299" s="97"/>
      <x:c r="J299" s="97"/>
      <x:c r="K299" s="2"/>
      <x:c r="L299" s="2"/>
      <x:c r="M299" s="2"/>
      <x:c r="N299" s="2"/>
      <x:c r="O299" s="2"/>
      <x:c r="P299" s="2"/>
    </x:row>
    <x:row r="300">
      <x:c r="A300" s="2"/>
      <x:c r="B300" s="2"/>
      <x:c r="C300" s="2"/>
      <x:c r="D300" s="2"/>
      <x:c r="E300" s="2"/>
      <x:c r="F300" s="97"/>
      <x:c r="G300" s="98"/>
      <x:c r="H300" s="2"/>
      <x:c r="I300" s="97"/>
      <x:c r="J300" s="97"/>
      <x:c r="K300" s="2"/>
      <x:c r="L300" s="2"/>
      <x:c r="M300" s="2"/>
      <x:c r="N300" s="2"/>
      <x:c r="O300" s="2"/>
      <x:c r="P300" s="2"/>
    </x:row>
    <x:row r="301">
      <x:c r="A301" s="2"/>
      <x:c r="B301" s="2"/>
      <x:c r="C301" s="2"/>
      <x:c r="D301" s="2"/>
      <x:c r="E301" s="2"/>
      <x:c r="F301" s="97"/>
      <x:c r="G301" s="98"/>
      <x:c r="H301" s="2"/>
      <x:c r="I301" s="97"/>
      <x:c r="J301" s="97"/>
      <x:c r="K301" s="2"/>
      <x:c r="L301" s="2"/>
      <x:c r="M301" s="2"/>
      <x:c r="N301" s="2"/>
      <x:c r="O301" s="2"/>
      <x:c r="P301" s="2"/>
    </x:row>
    <x:row r="302">
      <x:c r="A302" s="2"/>
      <x:c r="B302" s="2"/>
      <x:c r="C302" s="2"/>
      <x:c r="D302" s="2"/>
      <x:c r="E302" s="2"/>
      <x:c r="F302" s="97"/>
      <x:c r="G302" s="98"/>
      <x:c r="H302" s="2"/>
      <x:c r="I302" s="97"/>
      <x:c r="J302" s="97"/>
      <x:c r="K302" s="2"/>
      <x:c r="L302" s="2"/>
      <x:c r="M302" s="2"/>
      <x:c r="N302" s="2"/>
      <x:c r="O302" s="2"/>
      <x:c r="P302" s="2"/>
    </x:row>
    <x:row r="303">
      <x:c r="A303" s="2"/>
      <x:c r="B303" s="2"/>
      <x:c r="C303" s="2"/>
      <x:c r="D303" s="2"/>
      <x:c r="E303" s="2"/>
      <x:c r="F303" s="97"/>
      <x:c r="G303" s="98"/>
      <x:c r="H303" s="2"/>
      <x:c r="I303" s="97"/>
      <x:c r="J303" s="97"/>
      <x:c r="K303" s="2"/>
      <x:c r="L303" s="2"/>
      <x:c r="M303" s="2"/>
      <x:c r="N303" s="2"/>
      <x:c r="O303" s="2"/>
      <x:c r="P303" s="2"/>
    </x:row>
    <x:row r="304">
      <x:c r="A304" s="2"/>
      <x:c r="B304" s="2"/>
      <x:c r="C304" s="2"/>
      <x:c r="D304" s="2"/>
      <x:c r="E304" s="2"/>
      <x:c r="F304" s="97"/>
      <x:c r="G304" s="98"/>
      <x:c r="H304" s="2"/>
      <x:c r="I304" s="97"/>
      <x:c r="J304" s="97"/>
      <x:c r="K304" s="2"/>
      <x:c r="L304" s="2"/>
      <x:c r="M304" s="2"/>
      <x:c r="N304" s="2"/>
      <x:c r="O304" s="2"/>
      <x:c r="P304" s="2"/>
    </x:row>
    <x:row r="305">
      <x:c r="A305" s="2"/>
      <x:c r="B305" s="2"/>
      <x:c r="C305" s="2"/>
      <x:c r="D305" s="2"/>
      <x:c r="E305" s="2"/>
      <x:c r="F305" s="97"/>
      <x:c r="G305" s="98"/>
      <x:c r="H305" s="2"/>
      <x:c r="I305" s="97"/>
      <x:c r="J305" s="97"/>
      <x:c r="K305" s="2"/>
      <x:c r="L305" s="2"/>
      <x:c r="M305" s="2"/>
      <x:c r="N305" s="2"/>
      <x:c r="O305" s="2"/>
      <x:c r="P305" s="2"/>
    </x:row>
    <x:row r="306">
      <x:c r="A306" s="2"/>
      <x:c r="B306" s="2"/>
      <x:c r="C306" s="2"/>
      <x:c r="D306" s="2"/>
      <x:c r="E306" s="2"/>
      <x:c r="F306" s="97"/>
      <x:c r="G306" s="98"/>
      <x:c r="H306" s="2"/>
      <x:c r="I306" s="97"/>
      <x:c r="J306" s="97"/>
      <x:c r="K306" s="2"/>
      <x:c r="L306" s="2"/>
      <x:c r="M306" s="2"/>
      <x:c r="N306" s="2"/>
      <x:c r="O306" s="2"/>
      <x:c r="P306" s="2"/>
    </x:row>
    <x:row r="307">
      <x:c r="A307" s="2"/>
      <x:c r="B307" s="2"/>
      <x:c r="C307" s="2"/>
      <x:c r="D307" s="2"/>
      <x:c r="E307" s="2"/>
      <x:c r="F307" s="97"/>
      <x:c r="G307" s="98"/>
      <x:c r="H307" s="2"/>
      <x:c r="I307" s="97"/>
      <x:c r="J307" s="97"/>
      <x:c r="K307" s="2"/>
      <x:c r="L307" s="2"/>
      <x:c r="M307" s="2"/>
      <x:c r="N307" s="2"/>
      <x:c r="O307" s="2"/>
      <x:c r="P307" s="2"/>
    </x:row>
    <x:row r="308">
      <x:c r="A308" s="2"/>
      <x:c r="B308" s="2"/>
      <x:c r="C308" s="2"/>
      <x:c r="D308" s="2"/>
      <x:c r="E308" s="2"/>
      <x:c r="F308" s="97"/>
      <x:c r="G308" s="98"/>
      <x:c r="H308" s="2"/>
      <x:c r="I308" s="97"/>
      <x:c r="J308" s="97"/>
      <x:c r="K308" s="2"/>
      <x:c r="L308" s="2"/>
      <x:c r="M308" s="2"/>
      <x:c r="N308" s="2"/>
      <x:c r="O308" s="2"/>
      <x:c r="P308" s="2"/>
    </x:row>
    <x:row r="309">
      <x:c r="A309" s="2"/>
      <x:c r="B309" s="2"/>
      <x:c r="C309" s="2"/>
      <x:c r="D309" s="2"/>
      <x:c r="E309" s="2"/>
      <x:c r="F309" s="97"/>
      <x:c r="G309" s="98"/>
      <x:c r="H309" s="2"/>
      <x:c r="I309" s="97"/>
      <x:c r="J309" s="97"/>
      <x:c r="K309" s="2"/>
      <x:c r="L309" s="2"/>
      <x:c r="M309" s="2"/>
      <x:c r="N309" s="2"/>
      <x:c r="O309" s="2"/>
      <x:c r="P309" s="2"/>
    </x:row>
    <x:row r="310">
      <x:c r="A310" s="2"/>
      <x:c r="B310" s="2"/>
      <x:c r="C310" s="2"/>
      <x:c r="D310" s="2"/>
      <x:c r="E310" s="2"/>
      <x:c r="F310" s="97"/>
      <x:c r="G310" s="98"/>
      <x:c r="H310" s="2"/>
      <x:c r="I310" s="97"/>
      <x:c r="J310" s="97"/>
      <x:c r="K310" s="2"/>
      <x:c r="L310" s="2"/>
      <x:c r="M310" s="2"/>
      <x:c r="N310" s="2"/>
      <x:c r="O310" s="2"/>
      <x:c r="P310" s="2"/>
    </x:row>
    <x:row r="311">
      <x:c r="A311" s="2"/>
      <x:c r="B311" s="2"/>
      <x:c r="C311" s="2"/>
      <x:c r="D311" s="2"/>
      <x:c r="E311" s="2"/>
      <x:c r="F311" s="97"/>
      <x:c r="G311" s="98"/>
      <x:c r="H311" s="2"/>
      <x:c r="I311" s="97"/>
      <x:c r="J311" s="97"/>
      <x:c r="K311" s="2"/>
      <x:c r="L311" s="2"/>
      <x:c r="M311" s="2"/>
      <x:c r="N311" s="2"/>
      <x:c r="O311" s="2"/>
      <x:c r="P311" s="2"/>
    </x:row>
    <x:row r="312">
      <x:c r="A312" s="2"/>
      <x:c r="B312" s="2"/>
      <x:c r="C312" s="2"/>
      <x:c r="D312" s="2"/>
      <x:c r="E312" s="2"/>
      <x:c r="F312" s="97"/>
      <x:c r="G312" s="98"/>
      <x:c r="H312" s="2"/>
      <x:c r="I312" s="97"/>
      <x:c r="J312" s="97"/>
      <x:c r="K312" s="2"/>
      <x:c r="L312" s="2"/>
      <x:c r="M312" s="2"/>
      <x:c r="N312" s="2"/>
      <x:c r="O312" s="2"/>
      <x:c r="P312" s="2"/>
    </x:row>
    <x:row r="313">
      <x:c r="A313" s="2"/>
      <x:c r="B313" s="2"/>
      <x:c r="C313" s="2"/>
      <x:c r="D313" s="2"/>
      <x:c r="E313" s="2"/>
      <x:c r="F313" s="97"/>
      <x:c r="G313" s="98"/>
      <x:c r="H313" s="2"/>
      <x:c r="I313" s="97"/>
      <x:c r="J313" s="97"/>
      <x:c r="K313" s="2"/>
      <x:c r="L313" s="2"/>
      <x:c r="M313" s="2"/>
      <x:c r="N313" s="2"/>
      <x:c r="O313" s="2"/>
      <x:c r="P313" s="2"/>
    </x:row>
    <x:row r="314">
      <x:c r="A314" s="2"/>
      <x:c r="B314" s="2"/>
      <x:c r="C314" s="2"/>
      <x:c r="D314" s="2"/>
      <x:c r="E314" s="2"/>
      <x:c r="F314" s="97"/>
      <x:c r="G314" s="98"/>
      <x:c r="H314" s="2"/>
      <x:c r="I314" s="97"/>
      <x:c r="J314" s="97"/>
      <x:c r="K314" s="2"/>
      <x:c r="L314" s="2"/>
      <x:c r="M314" s="2"/>
      <x:c r="N314" s="2"/>
      <x:c r="O314" s="2"/>
      <x:c r="P314" s="2"/>
    </x:row>
    <x:row r="315">
      <x:c r="A315" s="2"/>
      <x:c r="B315" s="2"/>
      <x:c r="C315" s="2"/>
      <x:c r="D315" s="2"/>
      <x:c r="E315" s="2"/>
      <x:c r="F315" s="97"/>
      <x:c r="G315" s="98"/>
      <x:c r="H315" s="2"/>
      <x:c r="I315" s="97"/>
      <x:c r="J315" s="97"/>
      <x:c r="K315" s="2"/>
      <x:c r="L315" s="2"/>
      <x:c r="M315" s="2"/>
      <x:c r="N315" s="2"/>
      <x:c r="O315" s="2"/>
      <x:c r="P315" s="2"/>
    </x:row>
    <x:row r="316">
      <x:c r="A316" s="2"/>
      <x:c r="B316" s="2"/>
      <x:c r="C316" s="2"/>
      <x:c r="D316" s="2"/>
      <x:c r="E316" s="2"/>
      <x:c r="F316" s="97"/>
      <x:c r="G316" s="98"/>
      <x:c r="H316" s="2"/>
      <x:c r="I316" s="97"/>
      <x:c r="J316" s="97"/>
      <x:c r="K316" s="2"/>
      <x:c r="L316" s="2"/>
      <x:c r="M316" s="2"/>
      <x:c r="N316" s="2"/>
      <x:c r="O316" s="2"/>
      <x:c r="P316" s="2"/>
    </x:row>
    <x:row r="317">
      <x:c r="A317" s="2"/>
      <x:c r="B317" s="2"/>
      <x:c r="C317" s="2"/>
      <x:c r="D317" s="2"/>
      <x:c r="E317" s="2"/>
      <x:c r="F317" s="97"/>
      <x:c r="G317" s="98"/>
      <x:c r="H317" s="2"/>
      <x:c r="I317" s="97"/>
      <x:c r="J317" s="97"/>
      <x:c r="K317" s="2"/>
      <x:c r="L317" s="2"/>
      <x:c r="M317" s="2"/>
      <x:c r="N317" s="2"/>
      <x:c r="O317" s="2"/>
      <x:c r="P317" s="2"/>
    </x:row>
    <x:row r="318">
      <x:c r="A318" s="2"/>
      <x:c r="B318" s="2"/>
      <x:c r="C318" s="2"/>
      <x:c r="D318" s="2"/>
      <x:c r="E318" s="2"/>
      <x:c r="F318" s="97"/>
      <x:c r="G318" s="98"/>
      <x:c r="H318" s="2"/>
      <x:c r="I318" s="97"/>
      <x:c r="J318" s="97"/>
      <x:c r="K318" s="2"/>
      <x:c r="L318" s="2"/>
      <x:c r="M318" s="2"/>
      <x:c r="N318" s="2"/>
      <x:c r="O318" s="2"/>
      <x:c r="P318" s="2"/>
    </x:row>
    <x:row r="319">
      <x:c r="A319" s="2"/>
      <x:c r="B319" s="2"/>
      <x:c r="C319" s="2"/>
      <x:c r="D319" s="2"/>
      <x:c r="E319" s="2"/>
      <x:c r="F319" s="97"/>
      <x:c r="G319" s="98"/>
      <x:c r="H319" s="2"/>
      <x:c r="I319" s="97"/>
      <x:c r="J319" s="97"/>
      <x:c r="K319" s="2"/>
      <x:c r="L319" s="2"/>
      <x:c r="M319" s="2"/>
      <x:c r="N319" s="2"/>
      <x:c r="O319" s="2"/>
      <x:c r="P319" s="2"/>
    </x:row>
    <x:row r="320">
      <x:c r="A320" s="2"/>
      <x:c r="B320" s="2"/>
      <x:c r="C320" s="2"/>
      <x:c r="D320" s="2"/>
      <x:c r="E320" s="2"/>
      <x:c r="F320" s="97"/>
      <x:c r="G320" s="98"/>
      <x:c r="H320" s="2"/>
      <x:c r="I320" s="97"/>
      <x:c r="J320" s="97"/>
      <x:c r="K320" s="2"/>
      <x:c r="L320" s="2"/>
      <x:c r="M320" s="2"/>
      <x:c r="N320" s="2"/>
      <x:c r="O320" s="2"/>
      <x:c r="P320" s="2"/>
    </x:row>
    <x:row r="321">
      <x:c r="A321" s="2"/>
      <x:c r="B321" s="2"/>
      <x:c r="C321" s="2"/>
      <x:c r="D321" s="2"/>
      <x:c r="E321" s="2"/>
      <x:c r="F321" s="97"/>
      <x:c r="G321" s="98"/>
      <x:c r="H321" s="2"/>
      <x:c r="I321" s="97"/>
      <x:c r="J321" s="97"/>
      <x:c r="K321" s="2"/>
      <x:c r="L321" s="2"/>
      <x:c r="M321" s="2"/>
      <x:c r="N321" s="2"/>
      <x:c r="O321" s="2"/>
      <x:c r="P321" s="2"/>
    </x:row>
    <x:row r="322">
      <x:c r="A322" s="2"/>
      <x:c r="B322" s="2"/>
      <x:c r="C322" s="2"/>
      <x:c r="D322" s="2"/>
      <x:c r="E322" s="2"/>
      <x:c r="F322" s="97"/>
      <x:c r="G322" s="98"/>
      <x:c r="H322" s="2"/>
      <x:c r="I322" s="97"/>
      <x:c r="J322" s="97"/>
      <x:c r="K322" s="2"/>
      <x:c r="L322" s="2"/>
      <x:c r="M322" s="2"/>
      <x:c r="N322" s="2"/>
      <x:c r="O322" s="2"/>
      <x:c r="P322" s="2"/>
    </x:row>
    <x:row r="323">
      <x:c r="A323" s="2"/>
      <x:c r="B323" s="2"/>
      <x:c r="C323" s="2"/>
      <x:c r="D323" s="2"/>
      <x:c r="E323" s="2"/>
      <x:c r="F323" s="97"/>
      <x:c r="G323" s="98"/>
      <x:c r="H323" s="2"/>
      <x:c r="I323" s="97"/>
      <x:c r="J323" s="97"/>
      <x:c r="K323" s="2"/>
      <x:c r="L323" s="2"/>
      <x:c r="M323" s="2"/>
      <x:c r="N323" s="2"/>
      <x:c r="O323" s="2"/>
      <x:c r="P323" s="2"/>
    </x:row>
    <x:row r="324">
      <x:c r="A324" s="2"/>
      <x:c r="B324" s="2"/>
      <x:c r="C324" s="2"/>
      <x:c r="D324" s="2"/>
      <x:c r="E324" s="2"/>
      <x:c r="F324" s="97"/>
      <x:c r="G324" s="98"/>
      <x:c r="H324" s="2"/>
      <x:c r="I324" s="97"/>
      <x:c r="J324" s="97"/>
      <x:c r="K324" s="2"/>
      <x:c r="L324" s="2"/>
      <x:c r="M324" s="2"/>
      <x:c r="N324" s="2"/>
      <x:c r="O324" s="2"/>
      <x:c r="P324" s="2"/>
    </x:row>
    <x:row r="325">
      <x:c r="A325" s="2"/>
      <x:c r="B325" s="2"/>
      <x:c r="C325" s="2"/>
      <x:c r="D325" s="2"/>
      <x:c r="E325" s="2"/>
      <x:c r="F325" s="97"/>
      <x:c r="G325" s="98"/>
      <x:c r="H325" s="2"/>
      <x:c r="I325" s="97"/>
      <x:c r="J325" s="97"/>
      <x:c r="K325" s="2"/>
      <x:c r="L325" s="2"/>
      <x:c r="M325" s="2"/>
      <x:c r="N325" s="2"/>
      <x:c r="O325" s="2"/>
      <x:c r="P325" s="2"/>
    </x:row>
    <x:row r="326">
      <x:c r="A326" s="2"/>
      <x:c r="B326" s="2"/>
      <x:c r="C326" s="2"/>
      <x:c r="D326" s="2"/>
      <x:c r="E326" s="2"/>
      <x:c r="F326" s="97"/>
      <x:c r="G326" s="98"/>
      <x:c r="H326" s="2"/>
      <x:c r="I326" s="97"/>
      <x:c r="J326" s="97"/>
      <x:c r="K326" s="2"/>
      <x:c r="L326" s="2"/>
      <x:c r="M326" s="2"/>
      <x:c r="N326" s="2"/>
      <x:c r="O326" s="2"/>
      <x:c r="P326" s="2"/>
    </x:row>
    <x:row r="327">
      <x:c r="A327" s="2"/>
      <x:c r="B327" s="2"/>
      <x:c r="C327" s="2"/>
      <x:c r="D327" s="2"/>
      <x:c r="E327" s="2"/>
      <x:c r="F327" s="97"/>
      <x:c r="G327" s="98"/>
      <x:c r="H327" s="2"/>
      <x:c r="I327" s="97"/>
      <x:c r="J327" s="97"/>
      <x:c r="K327" s="2"/>
      <x:c r="L327" s="2"/>
      <x:c r="M327" s="2"/>
      <x:c r="N327" s="2"/>
      <x:c r="O327" s="2"/>
      <x:c r="P327" s="2"/>
    </x:row>
    <x:row r="328">
      <x:c r="A328" s="2"/>
      <x:c r="B328" s="2"/>
      <x:c r="C328" s="2"/>
      <x:c r="D328" s="2"/>
      <x:c r="E328" s="2"/>
      <x:c r="F328" s="97"/>
      <x:c r="G328" s="98"/>
      <x:c r="H328" s="2"/>
      <x:c r="I328" s="97"/>
      <x:c r="J328" s="97"/>
      <x:c r="K328" s="2"/>
      <x:c r="L328" s="2"/>
      <x:c r="M328" s="2"/>
      <x:c r="N328" s="2"/>
      <x:c r="O328" s="2"/>
      <x:c r="P328" s="2"/>
    </x:row>
    <x:row r="329">
      <x:c r="A329" s="2"/>
      <x:c r="B329" s="2"/>
      <x:c r="C329" s="2"/>
      <x:c r="D329" s="2"/>
      <x:c r="E329" s="2"/>
      <x:c r="F329" s="97"/>
      <x:c r="G329" s="98"/>
      <x:c r="H329" s="2"/>
      <x:c r="I329" s="97"/>
      <x:c r="J329" s="97"/>
      <x:c r="K329" s="2"/>
      <x:c r="L329" s="2"/>
      <x:c r="M329" s="2"/>
      <x:c r="N329" s="2"/>
      <x:c r="O329" s="2"/>
      <x:c r="P329" s="2"/>
    </x:row>
    <x:row r="330">
      <x:c r="A330" s="2"/>
      <x:c r="B330" s="2"/>
      <x:c r="C330" s="2"/>
      <x:c r="D330" s="2"/>
      <x:c r="E330" s="2"/>
      <x:c r="F330" s="97"/>
      <x:c r="G330" s="98"/>
      <x:c r="H330" s="2"/>
      <x:c r="I330" s="97"/>
      <x:c r="J330" s="97"/>
      <x:c r="K330" s="2"/>
      <x:c r="L330" s="2"/>
      <x:c r="M330" s="2"/>
      <x:c r="N330" s="2"/>
      <x:c r="O330" s="2"/>
      <x:c r="P330" s="2"/>
    </x:row>
    <x:row r="331">
      <x:c r="A331" s="2"/>
      <x:c r="B331" s="2"/>
      <x:c r="C331" s="2"/>
      <x:c r="D331" s="2"/>
      <x:c r="E331" s="2"/>
      <x:c r="F331" s="97"/>
      <x:c r="G331" s="98"/>
      <x:c r="H331" s="2"/>
      <x:c r="I331" s="97"/>
      <x:c r="J331" s="97"/>
      <x:c r="K331" s="2"/>
      <x:c r="L331" s="2"/>
      <x:c r="M331" s="2"/>
      <x:c r="N331" s="2"/>
      <x:c r="O331" s="2"/>
      <x:c r="P331" s="2"/>
    </x:row>
    <x:row r="332">
      <x:c r="A332" s="2"/>
      <x:c r="B332" s="2"/>
      <x:c r="C332" s="2"/>
      <x:c r="D332" s="2"/>
      <x:c r="E332" s="2"/>
      <x:c r="F332" s="97"/>
      <x:c r="G332" s="98"/>
      <x:c r="H332" s="2"/>
      <x:c r="I332" s="97"/>
      <x:c r="J332" s="97"/>
      <x:c r="K332" s="2"/>
      <x:c r="L332" s="2"/>
      <x:c r="M332" s="2"/>
      <x:c r="N332" s="2"/>
      <x:c r="O332" s="2"/>
      <x:c r="P332" s="2"/>
    </x:row>
    <x:row r="333">
      <x:c r="A333" s="2"/>
      <x:c r="B333" s="2"/>
      <x:c r="C333" s="2"/>
      <x:c r="D333" s="2"/>
      <x:c r="E333" s="2"/>
      <x:c r="F333" s="97"/>
      <x:c r="G333" s="98"/>
      <x:c r="H333" s="2"/>
      <x:c r="I333" s="97"/>
      <x:c r="J333" s="97"/>
      <x:c r="K333" s="2"/>
      <x:c r="L333" s="2"/>
      <x:c r="M333" s="2"/>
      <x:c r="N333" s="2"/>
      <x:c r="O333" s="2"/>
      <x:c r="P333" s="2"/>
    </x:row>
    <x:row r="334">
      <x:c r="A334" s="2"/>
      <x:c r="B334" s="2"/>
      <x:c r="C334" s="2"/>
      <x:c r="D334" s="2"/>
      <x:c r="E334" s="2"/>
      <x:c r="F334" s="97"/>
      <x:c r="G334" s="98"/>
      <x:c r="H334" s="2"/>
      <x:c r="I334" s="97"/>
      <x:c r="J334" s="97"/>
      <x:c r="K334" s="2"/>
      <x:c r="L334" s="2"/>
      <x:c r="M334" s="2"/>
      <x:c r="N334" s="2"/>
      <x:c r="O334" s="2"/>
      <x:c r="P334" s="2"/>
    </x:row>
    <x:row r="335">
      <x:c r="A335" s="2"/>
      <x:c r="B335" s="2"/>
      <x:c r="C335" s="2"/>
      <x:c r="D335" s="2"/>
      <x:c r="E335" s="2"/>
      <x:c r="F335" s="97"/>
      <x:c r="G335" s="98"/>
      <x:c r="H335" s="2"/>
      <x:c r="I335" s="97"/>
      <x:c r="J335" s="97"/>
      <x:c r="K335" s="2"/>
      <x:c r="L335" s="2"/>
      <x:c r="M335" s="2"/>
      <x:c r="N335" s="2"/>
      <x:c r="O335" s="2"/>
      <x:c r="P335" s="2"/>
    </x:row>
    <x:row r="336">
      <x:c r="A336" s="2"/>
      <x:c r="B336" s="2"/>
      <x:c r="C336" s="2"/>
      <x:c r="D336" s="2"/>
      <x:c r="E336" s="2"/>
      <x:c r="F336" s="97"/>
      <x:c r="G336" s="98"/>
      <x:c r="H336" s="2"/>
      <x:c r="I336" s="97"/>
      <x:c r="J336" s="97"/>
      <x:c r="K336" s="2"/>
      <x:c r="L336" s="2"/>
      <x:c r="M336" s="2"/>
      <x:c r="N336" s="2"/>
      <x:c r="O336" s="2"/>
      <x:c r="P336" s="2"/>
    </x:row>
    <x:row r="337">
      <x:c r="A337" s="2"/>
      <x:c r="B337" s="2"/>
      <x:c r="C337" s="2"/>
      <x:c r="D337" s="2"/>
      <x:c r="E337" s="2"/>
      <x:c r="F337" s="97"/>
      <x:c r="G337" s="98"/>
      <x:c r="H337" s="2"/>
      <x:c r="I337" s="97"/>
      <x:c r="J337" s="97"/>
      <x:c r="K337" s="2"/>
      <x:c r="L337" s="2"/>
      <x:c r="M337" s="2"/>
      <x:c r="N337" s="2"/>
      <x:c r="O337" s="2"/>
      <x:c r="P337" s="2"/>
    </x:row>
    <x:row r="338">
      <x:c r="A338" s="2"/>
      <x:c r="B338" s="2"/>
      <x:c r="C338" s="2"/>
      <x:c r="D338" s="2"/>
      <x:c r="E338" s="2"/>
      <x:c r="F338" s="97"/>
      <x:c r="G338" s="98"/>
      <x:c r="H338" s="2"/>
      <x:c r="I338" s="97"/>
      <x:c r="J338" s="97"/>
      <x:c r="K338" s="2"/>
      <x:c r="L338" s="2"/>
      <x:c r="M338" s="2"/>
      <x:c r="N338" s="2"/>
      <x:c r="O338" s="2"/>
      <x:c r="P338" s="2"/>
    </x:row>
    <x:row r="339">
      <x:c r="A339" s="2"/>
      <x:c r="B339" s="2"/>
      <x:c r="C339" s="2"/>
      <x:c r="D339" s="2"/>
      <x:c r="E339" s="2"/>
      <x:c r="F339" s="97"/>
      <x:c r="G339" s="98"/>
      <x:c r="H339" s="2"/>
      <x:c r="I339" s="97"/>
      <x:c r="J339" s="97"/>
      <x:c r="K339" s="2"/>
      <x:c r="L339" s="2"/>
      <x:c r="M339" s="2"/>
      <x:c r="N339" s="2"/>
      <x:c r="O339" s="2"/>
      <x:c r="P339" s="2"/>
    </x:row>
    <x:row r="340">
      <x:c r="A340" s="2"/>
      <x:c r="B340" s="2"/>
      <x:c r="C340" s="2"/>
      <x:c r="D340" s="2"/>
      <x:c r="E340" s="2"/>
      <x:c r="F340" s="97"/>
      <x:c r="G340" s="98"/>
      <x:c r="H340" s="2"/>
      <x:c r="I340" s="97"/>
      <x:c r="J340" s="97"/>
      <x:c r="K340" s="2"/>
      <x:c r="L340" s="2"/>
      <x:c r="M340" s="2"/>
      <x:c r="N340" s="2"/>
      <x:c r="O340" s="2"/>
      <x:c r="P340" s="2"/>
    </x:row>
    <x:row r="341">
      <x:c r="A341" s="2"/>
      <x:c r="B341" s="2"/>
      <x:c r="C341" s="2"/>
      <x:c r="D341" s="2"/>
      <x:c r="E341" s="2"/>
      <x:c r="F341" s="97"/>
      <x:c r="G341" s="98"/>
      <x:c r="H341" s="2"/>
      <x:c r="I341" s="97"/>
      <x:c r="J341" s="97"/>
      <x:c r="K341" s="2"/>
      <x:c r="L341" s="2"/>
      <x:c r="M341" s="2"/>
      <x:c r="N341" s="2"/>
      <x:c r="O341" s="2"/>
      <x:c r="P341" s="2"/>
    </x:row>
    <x:row r="342">
      <x:c r="A342" s="2"/>
      <x:c r="B342" s="2"/>
      <x:c r="C342" s="2"/>
      <x:c r="D342" s="2"/>
      <x:c r="E342" s="2"/>
      <x:c r="F342" s="97"/>
      <x:c r="G342" s="98"/>
      <x:c r="H342" s="2"/>
      <x:c r="I342" s="97"/>
      <x:c r="J342" s="97"/>
      <x:c r="K342" s="2"/>
      <x:c r="L342" s="2"/>
      <x:c r="M342" s="2"/>
      <x:c r="N342" s="2"/>
      <x:c r="O342" s="2"/>
      <x:c r="P342" s="2"/>
    </x:row>
    <x:row r="343">
      <x:c r="A343" s="2"/>
      <x:c r="B343" s="2"/>
      <x:c r="C343" s="2"/>
      <x:c r="D343" s="2"/>
      <x:c r="E343" s="2"/>
      <x:c r="F343" s="97"/>
      <x:c r="G343" s="98"/>
      <x:c r="H343" s="2"/>
      <x:c r="I343" s="97"/>
      <x:c r="J343" s="97"/>
      <x:c r="K343" s="2"/>
      <x:c r="L343" s="2"/>
      <x:c r="M343" s="2"/>
      <x:c r="N343" s="2"/>
      <x:c r="O343" s="2"/>
      <x:c r="P343" s="2"/>
    </x:row>
    <x:row r="344">
      <x:c r="A344" s="2"/>
      <x:c r="B344" s="2"/>
      <x:c r="C344" s="2"/>
      <x:c r="D344" s="2"/>
      <x:c r="E344" s="2"/>
      <x:c r="F344" s="97"/>
      <x:c r="G344" s="98"/>
      <x:c r="H344" s="2"/>
      <x:c r="I344" s="97"/>
      <x:c r="J344" s="97"/>
      <x:c r="K344" s="2"/>
      <x:c r="L344" s="2"/>
      <x:c r="M344" s="2"/>
      <x:c r="N344" s="2"/>
      <x:c r="O344" s="2"/>
      <x:c r="P344" s="2"/>
    </x:row>
    <x:row r="345">
      <x:c r="A345" s="2"/>
      <x:c r="B345" s="2"/>
      <x:c r="C345" s="2"/>
      <x:c r="D345" s="2"/>
      <x:c r="E345" s="2"/>
      <x:c r="F345" s="97"/>
      <x:c r="G345" s="98"/>
      <x:c r="H345" s="2"/>
      <x:c r="I345" s="97"/>
      <x:c r="J345" s="97"/>
      <x:c r="K345" s="2"/>
      <x:c r="L345" s="2"/>
      <x:c r="M345" s="2"/>
      <x:c r="N345" s="2"/>
      <x:c r="O345" s="2"/>
      <x:c r="P345" s="2"/>
    </x:row>
    <x:row r="346">
      <x:c r="A346" s="2"/>
      <x:c r="B346" s="2"/>
      <x:c r="C346" s="2"/>
      <x:c r="D346" s="2"/>
      <x:c r="E346" s="2"/>
      <x:c r="F346" s="97"/>
      <x:c r="G346" s="98"/>
      <x:c r="H346" s="2"/>
      <x:c r="I346" s="97"/>
      <x:c r="J346" s="97"/>
      <x:c r="K346" s="2"/>
      <x:c r="L346" s="2"/>
      <x:c r="M346" s="2"/>
      <x:c r="N346" s="2"/>
      <x:c r="O346" s="2"/>
      <x:c r="P346" s="2"/>
    </x:row>
    <x:row r="347">
      <x:c r="A347" s="2"/>
      <x:c r="B347" s="2"/>
      <x:c r="C347" s="2"/>
      <x:c r="D347" s="2"/>
      <x:c r="E347" s="2"/>
      <x:c r="F347" s="97"/>
      <x:c r="G347" s="98"/>
      <x:c r="H347" s="2"/>
      <x:c r="I347" s="97"/>
      <x:c r="J347" s="97"/>
      <x:c r="K347" s="2"/>
      <x:c r="L347" s="2"/>
      <x:c r="M347" s="2"/>
      <x:c r="N347" s="2"/>
      <x:c r="O347" s="2"/>
      <x:c r="P347" s="2"/>
    </x:row>
    <x:row r="348">
      <x:c r="A348" s="2"/>
      <x:c r="B348" s="2"/>
      <x:c r="C348" s="2"/>
      <x:c r="D348" s="2"/>
      <x:c r="E348" s="2"/>
      <x:c r="F348" s="97"/>
      <x:c r="G348" s="98"/>
      <x:c r="H348" s="2"/>
      <x:c r="I348" s="97"/>
      <x:c r="J348" s="97"/>
      <x:c r="K348" s="2"/>
      <x:c r="L348" s="2"/>
      <x:c r="M348" s="2"/>
      <x:c r="N348" s="2"/>
      <x:c r="O348" s="2"/>
      <x:c r="P348" s="2"/>
    </x:row>
    <x:row r="349">
      <x:c r="A349" s="2"/>
      <x:c r="B349" s="2"/>
      <x:c r="C349" s="2"/>
      <x:c r="D349" s="2"/>
      <x:c r="E349" s="2"/>
      <x:c r="F349" s="97"/>
      <x:c r="G349" s="98"/>
      <x:c r="H349" s="2"/>
      <x:c r="I349" s="97"/>
      <x:c r="J349" s="97"/>
      <x:c r="K349" s="2"/>
      <x:c r="L349" s="2"/>
      <x:c r="M349" s="2"/>
      <x:c r="N349" s="2"/>
      <x:c r="O349" s="2"/>
      <x:c r="P349" s="2"/>
    </x:row>
    <x:row r="350">
      <x:c r="A350" s="2"/>
      <x:c r="B350" s="2"/>
      <x:c r="C350" s="2"/>
      <x:c r="D350" s="2"/>
      <x:c r="E350" s="2"/>
      <x:c r="F350" s="97"/>
      <x:c r="G350" s="98"/>
      <x:c r="H350" s="2"/>
      <x:c r="I350" s="97"/>
      <x:c r="J350" s="97"/>
      <x:c r="K350" s="2"/>
      <x:c r="L350" s="2"/>
      <x:c r="M350" s="2"/>
      <x:c r="N350" s="2"/>
      <x:c r="O350" s="2"/>
      <x:c r="P350" s="2"/>
    </x:row>
    <x:row r="351">
      <x:c r="A351" s="2"/>
      <x:c r="B351" s="2"/>
      <x:c r="C351" s="2"/>
      <x:c r="D351" s="2"/>
      <x:c r="E351" s="2"/>
      <x:c r="F351" s="97"/>
      <x:c r="G351" s="98"/>
      <x:c r="H351" s="2"/>
      <x:c r="I351" s="97"/>
      <x:c r="J351" s="97"/>
      <x:c r="K351" s="2"/>
      <x:c r="L351" s="2"/>
      <x:c r="M351" s="2"/>
      <x:c r="N351" s="2"/>
      <x:c r="O351" s="2"/>
      <x:c r="P351" s="2"/>
    </x:row>
    <x:row r="352">
      <x:c r="A352" s="2"/>
      <x:c r="B352" s="2"/>
      <x:c r="C352" s="2"/>
      <x:c r="D352" s="2"/>
      <x:c r="E352" s="2"/>
      <x:c r="F352" s="97"/>
      <x:c r="G352" s="98"/>
      <x:c r="H352" s="2"/>
      <x:c r="I352" s="97"/>
      <x:c r="J352" s="97"/>
      <x:c r="K352" s="2"/>
      <x:c r="L352" s="2"/>
      <x:c r="M352" s="2"/>
      <x:c r="N352" s="2"/>
      <x:c r="O352" s="2"/>
      <x:c r="P352" s="2"/>
    </x:row>
    <x:row r="353">
      <x:c r="A353" s="2"/>
      <x:c r="B353" s="2"/>
      <x:c r="C353" s="2"/>
      <x:c r="D353" s="2"/>
      <x:c r="E353" s="2"/>
      <x:c r="F353" s="97"/>
      <x:c r="G353" s="98"/>
      <x:c r="H353" s="2"/>
      <x:c r="I353" s="97"/>
      <x:c r="J353" s="97"/>
      <x:c r="K353" s="2"/>
      <x:c r="L353" s="2"/>
      <x:c r="M353" s="2"/>
      <x:c r="N353" s="2"/>
      <x:c r="O353" s="2"/>
      <x:c r="P353" s="2"/>
    </x:row>
    <x:row r="354">
      <x:c r="A354" s="2"/>
      <x:c r="B354" s="2"/>
      <x:c r="C354" s="2"/>
      <x:c r="D354" s="2"/>
      <x:c r="E354" s="2"/>
      <x:c r="F354" s="97"/>
      <x:c r="G354" s="98"/>
      <x:c r="H354" s="2"/>
      <x:c r="I354" s="97"/>
      <x:c r="J354" s="97"/>
      <x:c r="K354" s="2"/>
      <x:c r="L354" s="2"/>
      <x:c r="M354" s="2"/>
      <x:c r="N354" s="2"/>
      <x:c r="O354" s="2"/>
      <x:c r="P354" s="2"/>
    </x:row>
    <x:row r="355">
      <x:c r="A355" s="2"/>
      <x:c r="B355" s="2"/>
      <x:c r="C355" s="2"/>
      <x:c r="D355" s="2"/>
      <x:c r="E355" s="2"/>
      <x:c r="F355" s="97"/>
      <x:c r="G355" s="98"/>
      <x:c r="H355" s="2"/>
      <x:c r="I355" s="97"/>
      <x:c r="J355" s="97"/>
      <x:c r="K355" s="2"/>
      <x:c r="L355" s="2"/>
      <x:c r="M355" s="2"/>
      <x:c r="N355" s="2"/>
      <x:c r="O355" s="2"/>
      <x:c r="P355" s="2"/>
    </x:row>
    <x:row r="356">
      <x:c r="A356" s="2"/>
      <x:c r="B356" s="2"/>
      <x:c r="C356" s="2"/>
      <x:c r="D356" s="2"/>
      <x:c r="E356" s="2"/>
      <x:c r="F356" s="97"/>
      <x:c r="G356" s="98"/>
      <x:c r="H356" s="2"/>
      <x:c r="I356" s="97"/>
      <x:c r="J356" s="97"/>
      <x:c r="K356" s="2"/>
      <x:c r="L356" s="2"/>
      <x:c r="M356" s="2"/>
      <x:c r="N356" s="2"/>
      <x:c r="O356" s="2"/>
      <x:c r="P356" s="2"/>
    </x:row>
    <x:row r="357">
      <x:c r="A357" s="2"/>
      <x:c r="B357" s="2"/>
      <x:c r="C357" s="2"/>
      <x:c r="D357" s="2"/>
      <x:c r="E357" s="2"/>
      <x:c r="F357" s="97"/>
      <x:c r="G357" s="98"/>
      <x:c r="H357" s="2"/>
      <x:c r="I357" s="97"/>
      <x:c r="J357" s="97"/>
      <x:c r="K357" s="2"/>
      <x:c r="L357" s="2"/>
      <x:c r="M357" s="2"/>
      <x:c r="N357" s="2"/>
      <x:c r="O357" s="2"/>
      <x:c r="P357" s="2"/>
    </x:row>
    <x:row r="358">
      <x:c r="A358" s="2"/>
      <x:c r="B358" s="2"/>
      <x:c r="C358" s="2"/>
      <x:c r="D358" s="2"/>
      <x:c r="E358" s="2"/>
      <x:c r="F358" s="97"/>
      <x:c r="G358" s="98"/>
      <x:c r="H358" s="2"/>
      <x:c r="I358" s="97"/>
      <x:c r="J358" s="97"/>
      <x:c r="K358" s="2"/>
      <x:c r="L358" s="2"/>
      <x:c r="M358" s="2"/>
      <x:c r="N358" s="2"/>
      <x:c r="O358" s="2"/>
      <x:c r="P358" s="2"/>
    </x:row>
    <x:row r="359">
      <x:c r="A359" s="2"/>
      <x:c r="B359" s="2"/>
      <x:c r="C359" s="2"/>
      <x:c r="D359" s="2"/>
      <x:c r="E359" s="2"/>
      <x:c r="F359" s="97"/>
      <x:c r="G359" s="98"/>
      <x:c r="H359" s="2"/>
      <x:c r="I359" s="97"/>
      <x:c r="J359" s="97"/>
      <x:c r="K359" s="2"/>
      <x:c r="L359" s="2"/>
      <x:c r="M359" s="2"/>
      <x:c r="N359" s="2"/>
      <x:c r="O359" s="2"/>
      <x:c r="P359" s="2"/>
    </x:row>
    <x:row r="360">
      <x:c r="A360" s="2"/>
      <x:c r="B360" s="2"/>
      <x:c r="C360" s="2"/>
      <x:c r="D360" s="2"/>
      <x:c r="E360" s="2"/>
      <x:c r="F360" s="97"/>
      <x:c r="G360" s="98"/>
      <x:c r="H360" s="2"/>
      <x:c r="I360" s="97"/>
      <x:c r="J360" s="97"/>
      <x:c r="K360" s="2"/>
      <x:c r="L360" s="2"/>
      <x:c r="M360" s="2"/>
      <x:c r="N360" s="2"/>
      <x:c r="O360" s="2"/>
      <x:c r="P360" s="2"/>
    </x:row>
    <x:row r="361">
      <x:c r="A361" s="2"/>
      <x:c r="B361" s="2"/>
      <x:c r="C361" s="2"/>
      <x:c r="D361" s="2"/>
      <x:c r="E361" s="2"/>
      <x:c r="F361" s="97"/>
      <x:c r="G361" s="98"/>
      <x:c r="H361" s="2"/>
      <x:c r="I361" s="97"/>
      <x:c r="J361" s="97"/>
      <x:c r="K361" s="2"/>
      <x:c r="L361" s="2"/>
      <x:c r="M361" s="2"/>
      <x:c r="N361" s="2"/>
      <x:c r="O361" s="2"/>
      <x:c r="P361" s="2"/>
    </x:row>
    <x:row r="362">
      <x:c r="A362" s="2"/>
      <x:c r="B362" s="2"/>
      <x:c r="C362" s="2"/>
      <x:c r="D362" s="2"/>
      <x:c r="E362" s="2"/>
      <x:c r="F362" s="97"/>
      <x:c r="G362" s="98"/>
      <x:c r="H362" s="2"/>
      <x:c r="I362" s="97"/>
      <x:c r="J362" s="97"/>
      <x:c r="K362" s="2"/>
      <x:c r="L362" s="2"/>
      <x:c r="M362" s="2"/>
      <x:c r="N362" s="2"/>
      <x:c r="O362" s="2"/>
      <x:c r="P362" s="2"/>
    </x:row>
    <x:row r="363">
      <x:c r="A363" s="2"/>
      <x:c r="B363" s="2"/>
      <x:c r="C363" s="2"/>
      <x:c r="D363" s="2"/>
      <x:c r="E363" s="2"/>
      <x:c r="F363" s="97"/>
      <x:c r="G363" s="98"/>
      <x:c r="H363" s="2"/>
      <x:c r="I363" s="97"/>
      <x:c r="J363" s="97"/>
      <x:c r="K363" s="2"/>
      <x:c r="L363" s="2"/>
      <x:c r="M363" s="2"/>
      <x:c r="N363" s="2"/>
      <x:c r="O363" s="2"/>
      <x:c r="P363" s="2"/>
    </x:row>
    <x:row r="364">
      <x:c r="A364" s="2"/>
      <x:c r="B364" s="2"/>
      <x:c r="C364" s="2"/>
      <x:c r="D364" s="2"/>
      <x:c r="E364" s="2"/>
      <x:c r="F364" s="97"/>
      <x:c r="G364" s="98"/>
      <x:c r="H364" s="2"/>
      <x:c r="I364" s="97"/>
      <x:c r="J364" s="97"/>
      <x:c r="K364" s="2"/>
      <x:c r="L364" s="2"/>
      <x:c r="M364" s="2"/>
      <x:c r="N364" s="2"/>
      <x:c r="O364" s="2"/>
      <x:c r="P364" s="2"/>
    </x:row>
    <x:row r="365">
      <x:c r="A365" s="2"/>
      <x:c r="B365" s="2"/>
      <x:c r="C365" s="2"/>
      <x:c r="D365" s="2"/>
      <x:c r="E365" s="2"/>
      <x:c r="F365" s="97"/>
      <x:c r="G365" s="98"/>
      <x:c r="H365" s="2"/>
      <x:c r="I365" s="97"/>
      <x:c r="J365" s="97"/>
      <x:c r="K365" s="2"/>
      <x:c r="L365" s="2"/>
      <x:c r="M365" s="2"/>
      <x:c r="N365" s="2"/>
      <x:c r="O365" s="2"/>
      <x:c r="P365" s="2"/>
    </x:row>
    <x:row r="366">
      <x:c r="A366" s="2"/>
      <x:c r="B366" s="2"/>
      <x:c r="C366" s="2"/>
      <x:c r="D366" s="2"/>
      <x:c r="E366" s="2"/>
      <x:c r="F366" s="97"/>
      <x:c r="G366" s="98"/>
      <x:c r="H366" s="2"/>
      <x:c r="I366" s="97"/>
      <x:c r="J366" s="97"/>
      <x:c r="K366" s="2"/>
      <x:c r="L366" s="2"/>
      <x:c r="M366" s="2"/>
      <x:c r="N366" s="2"/>
      <x:c r="O366" s="2"/>
      <x:c r="P366" s="2"/>
    </x:row>
    <x:row r="367">
      <x:c r="A367" s="2"/>
      <x:c r="B367" s="2"/>
      <x:c r="C367" s="2"/>
      <x:c r="D367" s="2"/>
      <x:c r="E367" s="2"/>
      <x:c r="F367" s="97"/>
      <x:c r="G367" s="98"/>
      <x:c r="H367" s="2"/>
      <x:c r="I367" s="97"/>
      <x:c r="J367" s="97"/>
      <x:c r="K367" s="2"/>
      <x:c r="L367" s="2"/>
      <x:c r="M367" s="2"/>
      <x:c r="N367" s="2"/>
      <x:c r="O367" s="2"/>
      <x:c r="P367" s="2"/>
    </x:row>
    <x:row r="368">
      <x:c r="A368" s="2"/>
      <x:c r="B368" s="2"/>
      <x:c r="C368" s="2"/>
      <x:c r="D368" s="2"/>
      <x:c r="E368" s="2"/>
      <x:c r="F368" s="97"/>
      <x:c r="G368" s="98"/>
      <x:c r="H368" s="2"/>
      <x:c r="I368" s="97"/>
      <x:c r="J368" s="97"/>
      <x:c r="K368" s="2"/>
      <x:c r="L368" s="2"/>
      <x:c r="M368" s="2"/>
      <x:c r="N368" s="2"/>
      <x:c r="O368" s="2"/>
      <x:c r="P368" s="2"/>
    </x:row>
    <x:row r="369">
      <x:c r="A369" s="2"/>
      <x:c r="B369" s="2"/>
      <x:c r="C369" s="2"/>
      <x:c r="D369" s="2"/>
      <x:c r="E369" s="2"/>
      <x:c r="F369" s="97"/>
      <x:c r="G369" s="98"/>
      <x:c r="H369" s="2"/>
      <x:c r="I369" s="97"/>
      <x:c r="J369" s="97"/>
      <x:c r="K369" s="2"/>
      <x:c r="L369" s="2"/>
      <x:c r="M369" s="2"/>
      <x:c r="N369" s="2"/>
      <x:c r="O369" s="2"/>
      <x:c r="P369" s="2"/>
    </x:row>
    <x:row r="370">
      <x:c r="A370" s="2"/>
      <x:c r="B370" s="2"/>
      <x:c r="C370" s="2"/>
      <x:c r="D370" s="2"/>
      <x:c r="E370" s="2"/>
      <x:c r="F370" s="97"/>
      <x:c r="G370" s="98"/>
      <x:c r="H370" s="2"/>
      <x:c r="I370" s="97"/>
      <x:c r="J370" s="97"/>
      <x:c r="K370" s="2"/>
      <x:c r="L370" s="2"/>
      <x:c r="M370" s="2"/>
      <x:c r="N370" s="2"/>
      <x:c r="O370" s="2"/>
      <x:c r="P370" s="2"/>
    </x:row>
    <x:row r="371">
      <x:c r="A371" s="2"/>
      <x:c r="B371" s="2"/>
      <x:c r="C371" s="2"/>
      <x:c r="D371" s="2"/>
      <x:c r="E371" s="2"/>
      <x:c r="F371" s="97"/>
      <x:c r="G371" s="98"/>
      <x:c r="H371" s="2"/>
      <x:c r="I371" s="97"/>
      <x:c r="J371" s="97"/>
      <x:c r="K371" s="2"/>
      <x:c r="L371" s="2"/>
      <x:c r="M371" s="2"/>
      <x:c r="N371" s="2"/>
      <x:c r="O371" s="2"/>
      <x:c r="P371" s="2"/>
    </x:row>
    <x:row r="372">
      <x:c r="A372" s="2"/>
      <x:c r="B372" s="2"/>
      <x:c r="C372" s="2"/>
      <x:c r="D372" s="2"/>
      <x:c r="E372" s="2"/>
      <x:c r="F372" s="97"/>
      <x:c r="G372" s="98"/>
      <x:c r="H372" s="2"/>
      <x:c r="I372" s="97"/>
      <x:c r="J372" s="97"/>
      <x:c r="K372" s="2"/>
      <x:c r="L372" s="2"/>
      <x:c r="M372" s="2"/>
      <x:c r="N372" s="2"/>
      <x:c r="O372" s="2"/>
      <x:c r="P372" s="2"/>
    </x:row>
    <x:row r="373">
      <x:c r="A373" s="2"/>
      <x:c r="B373" s="2"/>
      <x:c r="C373" s="2"/>
      <x:c r="D373" s="2"/>
      <x:c r="E373" s="2"/>
      <x:c r="F373" s="97"/>
      <x:c r="G373" s="98"/>
      <x:c r="H373" s="2"/>
      <x:c r="I373" s="97"/>
      <x:c r="J373" s="97"/>
      <x:c r="K373" s="2"/>
      <x:c r="L373" s="2"/>
      <x:c r="M373" s="2"/>
      <x:c r="N373" s="2"/>
      <x:c r="O373" s="2"/>
      <x:c r="P373" s="2"/>
    </x:row>
    <x:row r="374">
      <x:c r="A374" s="2"/>
      <x:c r="B374" s="2"/>
      <x:c r="C374" s="2"/>
      <x:c r="D374" s="2"/>
      <x:c r="E374" s="2"/>
      <x:c r="F374" s="97"/>
      <x:c r="G374" s="98"/>
      <x:c r="H374" s="2"/>
      <x:c r="I374" s="97"/>
      <x:c r="J374" s="97"/>
      <x:c r="K374" s="2"/>
      <x:c r="L374" s="2"/>
      <x:c r="M374" s="2"/>
      <x:c r="N374" s="2"/>
      <x:c r="O374" s="2"/>
      <x:c r="P374" s="2"/>
    </x:row>
    <x:row r="375">
      <x:c r="A375" s="2"/>
      <x:c r="B375" s="2"/>
      <x:c r="C375" s="2"/>
      <x:c r="D375" s="2"/>
      <x:c r="E375" s="2"/>
      <x:c r="F375" s="97"/>
      <x:c r="G375" s="98"/>
      <x:c r="H375" s="2"/>
      <x:c r="I375" s="97"/>
      <x:c r="J375" s="97"/>
      <x:c r="K375" s="2"/>
      <x:c r="L375" s="2"/>
      <x:c r="M375" s="2"/>
      <x:c r="N375" s="2"/>
      <x:c r="O375" s="2"/>
      <x:c r="P375" s="2"/>
    </x:row>
    <x:row r="376">
      <x:c r="A376" s="2"/>
      <x:c r="B376" s="2"/>
      <x:c r="C376" s="2"/>
      <x:c r="D376" s="2"/>
      <x:c r="E376" s="2"/>
      <x:c r="F376" s="97"/>
      <x:c r="G376" s="98"/>
      <x:c r="H376" s="2"/>
      <x:c r="I376" s="97"/>
      <x:c r="J376" s="97"/>
      <x:c r="K376" s="2"/>
      <x:c r="L376" s="2"/>
      <x:c r="M376" s="2"/>
      <x:c r="N376" s="2"/>
      <x:c r="O376" s="2"/>
      <x:c r="P376" s="2"/>
    </x:row>
    <x:row r="377">
      <x:c r="A377" s="2"/>
      <x:c r="B377" s="2"/>
      <x:c r="C377" s="2"/>
      <x:c r="D377" s="2"/>
      <x:c r="E377" s="2"/>
      <x:c r="F377" s="97"/>
      <x:c r="G377" s="98"/>
      <x:c r="H377" s="2"/>
      <x:c r="I377" s="97"/>
      <x:c r="J377" s="97"/>
      <x:c r="K377" s="2"/>
      <x:c r="L377" s="2"/>
      <x:c r="M377" s="2"/>
      <x:c r="N377" s="2"/>
      <x:c r="O377" s="2"/>
      <x:c r="P377" s="2"/>
    </x:row>
    <x:row r="378">
      <x:c r="A378" s="2"/>
      <x:c r="B378" s="2"/>
      <x:c r="C378" s="2"/>
      <x:c r="D378" s="2"/>
      <x:c r="E378" s="2"/>
      <x:c r="F378" s="97"/>
      <x:c r="G378" s="98"/>
      <x:c r="H378" s="2"/>
      <x:c r="I378" s="97"/>
      <x:c r="J378" s="97"/>
      <x:c r="K378" s="2"/>
      <x:c r="L378" s="2"/>
      <x:c r="M378" s="2"/>
      <x:c r="N378" s="2"/>
      <x:c r="O378" s="2"/>
      <x:c r="P378" s="2"/>
    </x:row>
    <x:row r="379">
      <x:c r="A379" s="2"/>
      <x:c r="B379" s="2"/>
      <x:c r="C379" s="2"/>
      <x:c r="D379" s="2"/>
      <x:c r="E379" s="2"/>
      <x:c r="F379" s="97"/>
      <x:c r="G379" s="98"/>
      <x:c r="H379" s="2"/>
      <x:c r="I379" s="97"/>
      <x:c r="J379" s="97"/>
      <x:c r="K379" s="2"/>
      <x:c r="L379" s="2"/>
      <x:c r="M379" s="2"/>
      <x:c r="N379" s="2"/>
      <x:c r="O379" s="2"/>
      <x:c r="P379" s="2"/>
    </x:row>
    <x:row r="380">
      <x:c r="A380" s="2"/>
      <x:c r="B380" s="2"/>
      <x:c r="C380" s="2"/>
      <x:c r="D380" s="2"/>
      <x:c r="E380" s="2"/>
      <x:c r="F380" s="97"/>
      <x:c r="G380" s="98"/>
      <x:c r="H380" s="2"/>
      <x:c r="I380" s="97"/>
      <x:c r="J380" s="97"/>
      <x:c r="K380" s="2"/>
      <x:c r="L380" s="2"/>
      <x:c r="M380" s="2"/>
      <x:c r="N380" s="2"/>
      <x:c r="O380" s="2"/>
      <x:c r="P380" s="2"/>
    </x:row>
    <x:row r="381">
      <x:c r="A381" s="2"/>
      <x:c r="B381" s="2"/>
      <x:c r="C381" s="2"/>
      <x:c r="D381" s="2"/>
      <x:c r="E381" s="2"/>
      <x:c r="F381" s="97"/>
      <x:c r="G381" s="98"/>
      <x:c r="H381" s="2"/>
      <x:c r="I381" s="97"/>
      <x:c r="J381" s="97"/>
      <x:c r="K381" s="2"/>
      <x:c r="L381" s="2"/>
      <x:c r="M381" s="2"/>
      <x:c r="N381" s="2"/>
      <x:c r="O381" s="2"/>
      <x:c r="P381" s="2"/>
    </x:row>
    <x:row r="382">
      <x:c r="A382" s="2"/>
      <x:c r="B382" s="2"/>
      <x:c r="C382" s="2"/>
      <x:c r="D382" s="2"/>
      <x:c r="E382" s="2"/>
      <x:c r="F382" s="97"/>
      <x:c r="G382" s="98"/>
      <x:c r="H382" s="2"/>
      <x:c r="I382" s="97"/>
      <x:c r="J382" s="97"/>
      <x:c r="K382" s="2"/>
      <x:c r="L382" s="2"/>
      <x:c r="M382" s="2"/>
      <x:c r="N382" s="2"/>
      <x:c r="O382" s="2"/>
      <x:c r="P382" s="2"/>
    </x:row>
    <x:row r="383">
      <x:c r="A383" s="2"/>
      <x:c r="B383" s="2"/>
      <x:c r="C383" s="2"/>
      <x:c r="D383" s="2"/>
      <x:c r="E383" s="2"/>
      <x:c r="F383" s="97"/>
      <x:c r="G383" s="98"/>
      <x:c r="H383" s="2"/>
      <x:c r="I383" s="97"/>
      <x:c r="J383" s="97"/>
      <x:c r="K383" s="2"/>
      <x:c r="L383" s="2"/>
      <x:c r="M383" s="2"/>
      <x:c r="N383" s="2"/>
      <x:c r="O383" s="2"/>
      <x:c r="P383" s="2"/>
    </x:row>
    <x:row r="384">
      <x:c r="A384" s="2"/>
      <x:c r="B384" s="2"/>
      <x:c r="C384" s="2"/>
      <x:c r="D384" s="2"/>
      <x:c r="E384" s="2"/>
      <x:c r="F384" s="97"/>
      <x:c r="G384" s="98"/>
      <x:c r="H384" s="2"/>
      <x:c r="I384" s="97"/>
      <x:c r="J384" s="97"/>
      <x:c r="K384" s="2"/>
      <x:c r="L384" s="2"/>
      <x:c r="M384" s="2"/>
      <x:c r="N384" s="2"/>
      <x:c r="O384" s="2"/>
      <x:c r="P384" s="2"/>
    </x:row>
    <x:row r="385">
      <x:c r="A385" s="2"/>
      <x:c r="B385" s="2"/>
      <x:c r="C385" s="2"/>
      <x:c r="D385" s="2"/>
      <x:c r="E385" s="2"/>
      <x:c r="F385" s="97"/>
      <x:c r="G385" s="98"/>
      <x:c r="H385" s="2"/>
      <x:c r="I385" s="97"/>
      <x:c r="J385" s="97"/>
      <x:c r="K385" s="2"/>
      <x:c r="L385" s="2"/>
      <x:c r="M385" s="2"/>
      <x:c r="N385" s="2"/>
      <x:c r="O385" s="2"/>
      <x:c r="P385" s="2"/>
    </x:row>
    <x:row r="386">
      <x:c r="A386" s="2"/>
      <x:c r="B386" s="2"/>
      <x:c r="C386" s="2"/>
      <x:c r="D386" s="2"/>
      <x:c r="E386" s="2"/>
      <x:c r="F386" s="97"/>
      <x:c r="G386" s="98"/>
      <x:c r="H386" s="2"/>
      <x:c r="I386" s="97"/>
      <x:c r="J386" s="97"/>
      <x:c r="K386" s="2"/>
      <x:c r="L386" s="2"/>
      <x:c r="M386" s="2"/>
      <x:c r="N386" s="2"/>
      <x:c r="O386" s="2"/>
      <x:c r="P386" s="2"/>
    </x:row>
    <x:row r="387">
      <x:c r="A387" s="2"/>
      <x:c r="B387" s="2"/>
      <x:c r="C387" s="2"/>
      <x:c r="D387" s="2"/>
      <x:c r="E387" s="2"/>
      <x:c r="F387" s="97"/>
      <x:c r="G387" s="98"/>
      <x:c r="H387" s="2"/>
      <x:c r="I387" s="97"/>
      <x:c r="J387" s="97"/>
      <x:c r="K387" s="2"/>
      <x:c r="L387" s="2"/>
      <x:c r="M387" s="2"/>
      <x:c r="N387" s="2"/>
      <x:c r="O387" s="2"/>
      <x:c r="P387" s="2"/>
    </x:row>
    <x:row r="388">
      <x:c r="A388" s="2"/>
      <x:c r="B388" s="2"/>
      <x:c r="C388" s="2"/>
      <x:c r="D388" s="2"/>
      <x:c r="E388" s="2"/>
      <x:c r="F388" s="97"/>
      <x:c r="G388" s="98"/>
      <x:c r="H388" s="2"/>
      <x:c r="I388" s="97"/>
      <x:c r="J388" s="97"/>
      <x:c r="K388" s="2"/>
      <x:c r="L388" s="2"/>
      <x:c r="M388" s="2"/>
      <x:c r="N388" s="2"/>
      <x:c r="O388" s="2"/>
      <x:c r="P388" s="2"/>
    </x:row>
    <x:row r="389">
      <x:c r="A389" s="2"/>
      <x:c r="B389" s="2"/>
      <x:c r="C389" s="2"/>
      <x:c r="D389" s="2"/>
      <x:c r="E389" s="2"/>
      <x:c r="F389" s="97"/>
      <x:c r="G389" s="98"/>
      <x:c r="H389" s="2"/>
      <x:c r="I389" s="97"/>
      <x:c r="J389" s="97"/>
      <x:c r="K389" s="2"/>
      <x:c r="L389" s="2"/>
      <x:c r="M389" s="2"/>
      <x:c r="N389" s="2"/>
      <x:c r="O389" s="2"/>
      <x:c r="P389" s="2"/>
    </x:row>
    <x:row r="390">
      <x:c r="A390" s="2"/>
      <x:c r="B390" s="2"/>
      <x:c r="C390" s="2"/>
      <x:c r="D390" s="2"/>
      <x:c r="E390" s="2"/>
      <x:c r="F390" s="97"/>
      <x:c r="G390" s="98"/>
      <x:c r="H390" s="2"/>
      <x:c r="I390" s="97"/>
      <x:c r="J390" s="97"/>
      <x:c r="K390" s="2"/>
      <x:c r="L390" s="2"/>
      <x:c r="M390" s="2"/>
      <x:c r="N390" s="2"/>
      <x:c r="O390" s="2"/>
      <x:c r="P390" s="2"/>
    </x:row>
    <x:row r="391">
      <x:c r="A391" s="2"/>
      <x:c r="B391" s="2"/>
      <x:c r="C391" s="2"/>
      <x:c r="D391" s="2"/>
      <x:c r="E391" s="2"/>
      <x:c r="F391" s="97"/>
      <x:c r="G391" s="98"/>
      <x:c r="H391" s="2"/>
      <x:c r="I391" s="97"/>
      <x:c r="J391" s="97"/>
      <x:c r="K391" s="2"/>
      <x:c r="L391" s="2"/>
      <x:c r="M391" s="2"/>
      <x:c r="N391" s="2"/>
      <x:c r="O391" s="2"/>
      <x:c r="P391" s="2"/>
    </x:row>
    <x:row r="392">
      <x:c r="A392" s="2"/>
      <x:c r="B392" s="2"/>
      <x:c r="C392" s="2"/>
      <x:c r="D392" s="2"/>
      <x:c r="E392" s="2"/>
      <x:c r="F392" s="97"/>
      <x:c r="G392" s="98"/>
      <x:c r="H392" s="2"/>
      <x:c r="I392" s="97"/>
      <x:c r="J392" s="97"/>
      <x:c r="K392" s="2"/>
      <x:c r="L392" s="2"/>
      <x:c r="M392" s="2"/>
      <x:c r="N392" s="2"/>
      <x:c r="O392" s="2"/>
      <x:c r="P392" s="2"/>
    </x:row>
    <x:row r="393">
      <x:c r="A393" s="2"/>
      <x:c r="B393" s="2"/>
      <x:c r="C393" s="2"/>
      <x:c r="D393" s="2"/>
      <x:c r="E393" s="2"/>
      <x:c r="F393" s="97"/>
      <x:c r="G393" s="98"/>
      <x:c r="H393" s="2"/>
      <x:c r="I393" s="97"/>
      <x:c r="J393" s="97"/>
      <x:c r="K393" s="2"/>
      <x:c r="L393" s="2"/>
      <x:c r="M393" s="2"/>
      <x:c r="N393" s="2"/>
      <x:c r="O393" s="2"/>
      <x:c r="P393" s="2"/>
    </x:row>
    <x:row r="394">
      <x:c r="A394" s="2"/>
      <x:c r="B394" s="2"/>
      <x:c r="C394" s="2"/>
      <x:c r="D394" s="2"/>
      <x:c r="E394" s="2"/>
      <x:c r="F394" s="97"/>
      <x:c r="G394" s="98"/>
      <x:c r="H394" s="2"/>
      <x:c r="I394" s="97"/>
      <x:c r="J394" s="97"/>
      <x:c r="K394" s="2"/>
      <x:c r="L394" s="2"/>
      <x:c r="M394" s="2"/>
      <x:c r="N394" s="2"/>
      <x:c r="O394" s="2"/>
      <x:c r="P394" s="2"/>
    </x:row>
    <x:row r="395">
      <x:c r="A395" s="2"/>
      <x:c r="B395" s="2"/>
      <x:c r="C395" s="2"/>
      <x:c r="D395" s="2"/>
      <x:c r="E395" s="2"/>
      <x:c r="F395" s="97"/>
      <x:c r="G395" s="98"/>
      <x:c r="H395" s="2"/>
      <x:c r="I395" s="97"/>
      <x:c r="J395" s="97"/>
      <x:c r="K395" s="2"/>
      <x:c r="L395" s="2"/>
      <x:c r="M395" s="2"/>
      <x:c r="N395" s="2"/>
      <x:c r="O395" s="2"/>
      <x:c r="P395" s="2"/>
    </x:row>
    <x:row r="396">
      <x:c r="A396" s="2"/>
      <x:c r="B396" s="2"/>
      <x:c r="C396" s="2"/>
      <x:c r="D396" s="2"/>
      <x:c r="E396" s="2"/>
      <x:c r="F396" s="97"/>
      <x:c r="G396" s="98"/>
      <x:c r="H396" s="2"/>
      <x:c r="I396" s="97"/>
      <x:c r="J396" s="97"/>
      <x:c r="K396" s="2"/>
      <x:c r="L396" s="2"/>
      <x:c r="M396" s="2"/>
      <x:c r="N396" s="2"/>
      <x:c r="O396" s="2"/>
      <x:c r="P396" s="2"/>
    </x:row>
    <x:row r="397">
      <x:c r="A397" s="2"/>
      <x:c r="B397" s="2"/>
      <x:c r="C397" s="2"/>
      <x:c r="D397" s="2"/>
      <x:c r="E397" s="2"/>
      <x:c r="F397" s="97"/>
      <x:c r="G397" s="98"/>
      <x:c r="H397" s="2"/>
      <x:c r="I397" s="97"/>
      <x:c r="J397" s="97"/>
      <x:c r="K397" s="2"/>
      <x:c r="L397" s="2"/>
      <x:c r="M397" s="2"/>
      <x:c r="N397" s="2"/>
      <x:c r="O397" s="2"/>
      <x:c r="P397" s="2"/>
    </x:row>
    <x:row r="398">
      <x:c r="A398" s="2"/>
      <x:c r="B398" s="2"/>
      <x:c r="C398" s="2"/>
      <x:c r="D398" s="2"/>
      <x:c r="E398" s="2"/>
      <x:c r="F398" s="97"/>
      <x:c r="G398" s="98"/>
      <x:c r="H398" s="2"/>
      <x:c r="I398" s="97"/>
      <x:c r="J398" s="97"/>
      <x:c r="K398" s="2"/>
      <x:c r="L398" s="2"/>
      <x:c r="M398" s="2"/>
      <x:c r="N398" s="2"/>
      <x:c r="O398" s="2"/>
      <x:c r="P398" s="2"/>
    </x:row>
    <x:row r="399">
      <x:c r="A399" s="2"/>
      <x:c r="B399" s="2"/>
      <x:c r="C399" s="2"/>
      <x:c r="D399" s="2"/>
      <x:c r="E399" s="2"/>
      <x:c r="F399" s="97"/>
      <x:c r="G399" s="98"/>
      <x:c r="H399" s="2"/>
      <x:c r="I399" s="97"/>
      <x:c r="J399" s="97"/>
      <x:c r="K399" s="2"/>
      <x:c r="L399" s="2"/>
      <x:c r="M399" s="2"/>
      <x:c r="N399" s="2"/>
      <x:c r="O399" s="2"/>
      <x:c r="P399" s="2"/>
    </x:row>
    <x:row r="400">
      <x:c r="A400" s="2"/>
      <x:c r="B400" s="2"/>
      <x:c r="C400" s="2"/>
      <x:c r="D400" s="2"/>
      <x:c r="E400" s="2"/>
      <x:c r="F400" s="97"/>
      <x:c r="G400" s="98"/>
      <x:c r="H400" s="2"/>
      <x:c r="I400" s="97"/>
      <x:c r="J400" s="97"/>
      <x:c r="K400" s="2"/>
      <x:c r="L400" s="2"/>
      <x:c r="M400" s="2"/>
      <x:c r="N400" s="2"/>
      <x:c r="O400" s="2"/>
      <x:c r="P400" s="2"/>
    </x:row>
    <x:row r="401">
      <x:c r="A401" s="2"/>
      <x:c r="B401" s="2"/>
      <x:c r="C401" s="2"/>
      <x:c r="D401" s="2"/>
      <x:c r="E401" s="2"/>
      <x:c r="F401" s="97"/>
      <x:c r="G401" s="98"/>
      <x:c r="H401" s="2"/>
      <x:c r="I401" s="97"/>
      <x:c r="J401" s="97"/>
      <x:c r="K401" s="2"/>
      <x:c r="L401" s="2"/>
      <x:c r="M401" s="2"/>
      <x:c r="N401" s="2"/>
      <x:c r="O401" s="2"/>
      <x:c r="P401" s="2"/>
    </x:row>
    <x:row r="402">
      <x:c r="A402" s="2"/>
      <x:c r="B402" s="2"/>
      <x:c r="C402" s="2"/>
      <x:c r="D402" s="2"/>
      <x:c r="E402" s="2"/>
      <x:c r="F402" s="97"/>
      <x:c r="G402" s="98"/>
      <x:c r="H402" s="2"/>
      <x:c r="I402" s="97"/>
      <x:c r="J402" s="97"/>
      <x:c r="K402" s="2"/>
      <x:c r="L402" s="2"/>
      <x:c r="M402" s="2"/>
      <x:c r="N402" s="2"/>
      <x:c r="O402" s="2"/>
      <x:c r="P402" s="2"/>
    </x:row>
    <x:row r="403">
      <x:c r="A403" s="2"/>
      <x:c r="B403" s="2"/>
      <x:c r="C403" s="2"/>
      <x:c r="D403" s="2"/>
      <x:c r="E403" s="2"/>
      <x:c r="F403" s="97"/>
      <x:c r="G403" s="98"/>
      <x:c r="H403" s="2"/>
      <x:c r="I403" s="97"/>
      <x:c r="J403" s="97"/>
      <x:c r="K403" s="2"/>
      <x:c r="L403" s="2"/>
      <x:c r="M403" s="2"/>
      <x:c r="N403" s="2"/>
      <x:c r="O403" s="2"/>
      <x:c r="P403" s="2"/>
    </x:row>
    <x:row r="404">
      <x:c r="A404" s="2"/>
      <x:c r="B404" s="2"/>
      <x:c r="C404" s="2"/>
      <x:c r="D404" s="2"/>
      <x:c r="E404" s="2"/>
      <x:c r="F404" s="97"/>
      <x:c r="G404" s="98"/>
      <x:c r="H404" s="2"/>
      <x:c r="I404" s="97"/>
      <x:c r="J404" s="97"/>
      <x:c r="K404" s="2"/>
      <x:c r="L404" s="2"/>
      <x:c r="M404" s="2"/>
      <x:c r="N404" s="2"/>
      <x:c r="O404" s="2"/>
      <x:c r="P404" s="2"/>
    </x:row>
    <x:row r="405">
      <x:c r="A405" s="2"/>
      <x:c r="B405" s="2"/>
      <x:c r="C405" s="2"/>
      <x:c r="D405" s="2"/>
      <x:c r="E405" s="2"/>
      <x:c r="F405" s="97"/>
      <x:c r="G405" s="98"/>
      <x:c r="H405" s="2"/>
      <x:c r="I405" s="97"/>
      <x:c r="J405" s="97"/>
      <x:c r="K405" s="2"/>
      <x:c r="L405" s="2"/>
      <x:c r="M405" s="2"/>
      <x:c r="N405" s="2"/>
      <x:c r="O405" s="2"/>
      <x:c r="P405" s="2"/>
    </x:row>
    <x:row r="406">
      <x:c r="A406" s="2"/>
      <x:c r="B406" s="2"/>
      <x:c r="C406" s="2"/>
      <x:c r="D406" s="2"/>
      <x:c r="E406" s="2"/>
      <x:c r="F406" s="97"/>
      <x:c r="G406" s="98"/>
      <x:c r="H406" s="2"/>
      <x:c r="I406" s="97"/>
      <x:c r="J406" s="97"/>
      <x:c r="K406" s="2"/>
      <x:c r="L406" s="2"/>
      <x:c r="M406" s="2"/>
      <x:c r="N406" s="2"/>
      <x:c r="O406" s="2"/>
      <x:c r="P406" s="2"/>
    </x:row>
    <x:row r="407">
      <x:c r="A407" s="2"/>
      <x:c r="B407" s="2"/>
      <x:c r="C407" s="2"/>
      <x:c r="D407" s="2"/>
      <x:c r="E407" s="2"/>
      <x:c r="F407" s="97"/>
      <x:c r="G407" s="98"/>
      <x:c r="H407" s="2"/>
      <x:c r="I407" s="97"/>
      <x:c r="J407" s="97"/>
      <x:c r="K407" s="2"/>
      <x:c r="L407" s="2"/>
      <x:c r="M407" s="2"/>
      <x:c r="N407" s="2"/>
      <x:c r="O407" s="2"/>
      <x:c r="P407" s="2"/>
    </x:row>
    <x:row r="408">
      <x:c r="A408" s="2"/>
      <x:c r="B408" s="2"/>
      <x:c r="C408" s="2"/>
      <x:c r="D408" s="2"/>
      <x:c r="E408" s="2"/>
      <x:c r="F408" s="97"/>
      <x:c r="G408" s="98"/>
      <x:c r="H408" s="2"/>
      <x:c r="I408" s="97"/>
      <x:c r="J408" s="97"/>
      <x:c r="K408" s="2"/>
      <x:c r="L408" s="2"/>
      <x:c r="M408" s="2"/>
      <x:c r="N408" s="2"/>
      <x:c r="O408" s="2"/>
      <x:c r="P408" s="2"/>
    </x:row>
    <x:row r="409">
      <x:c r="A409" s="2"/>
      <x:c r="B409" s="2"/>
      <x:c r="C409" s="2"/>
      <x:c r="D409" s="2"/>
      <x:c r="E409" s="2"/>
      <x:c r="F409" s="97"/>
      <x:c r="G409" s="98"/>
      <x:c r="H409" s="2"/>
      <x:c r="I409" s="97"/>
      <x:c r="J409" s="97"/>
      <x:c r="K409" s="2"/>
      <x:c r="L409" s="2"/>
      <x:c r="M409" s="2"/>
      <x:c r="N409" s="2"/>
      <x:c r="O409" s="2"/>
      <x:c r="P409" s="2"/>
    </x:row>
    <x:row r="410">
      <x:c r="A410" s="2"/>
      <x:c r="B410" s="2"/>
      <x:c r="C410" s="2"/>
      <x:c r="D410" s="2"/>
      <x:c r="E410" s="2"/>
      <x:c r="F410" s="97"/>
      <x:c r="G410" s="98"/>
      <x:c r="H410" s="2"/>
      <x:c r="I410" s="97"/>
      <x:c r="J410" s="97"/>
      <x:c r="K410" s="2"/>
      <x:c r="L410" s="2"/>
      <x:c r="M410" s="2"/>
      <x:c r="N410" s="2"/>
      <x:c r="O410" s="2"/>
      <x:c r="P410" s="2"/>
    </x:row>
    <x:row r="411">
      <x:c r="A411" s="2"/>
      <x:c r="B411" s="2"/>
      <x:c r="C411" s="2"/>
      <x:c r="D411" s="2"/>
      <x:c r="E411" s="2"/>
      <x:c r="F411" s="97"/>
      <x:c r="G411" s="98"/>
      <x:c r="H411" s="2"/>
      <x:c r="I411" s="97"/>
      <x:c r="J411" s="97"/>
      <x:c r="K411" s="2"/>
      <x:c r="L411" s="2"/>
      <x:c r="M411" s="2"/>
      <x:c r="N411" s="2"/>
      <x:c r="O411" s="2"/>
      <x:c r="P411" s="2"/>
    </x:row>
    <x:row r="412">
      <x:c r="A412" s="2"/>
      <x:c r="B412" s="2"/>
      <x:c r="C412" s="2"/>
      <x:c r="D412" s="2"/>
      <x:c r="E412" s="2"/>
      <x:c r="F412" s="97"/>
      <x:c r="G412" s="98"/>
      <x:c r="H412" s="2"/>
      <x:c r="I412" s="97"/>
      <x:c r="J412" s="97"/>
      <x:c r="K412" s="2"/>
      <x:c r="L412" s="2"/>
      <x:c r="M412" s="2"/>
      <x:c r="N412" s="2"/>
      <x:c r="O412" s="2"/>
      <x:c r="P412" s="2"/>
    </x:row>
    <x:row r="413">
      <x:c r="A413" s="2"/>
      <x:c r="B413" s="2"/>
      <x:c r="C413" s="2"/>
      <x:c r="D413" s="2"/>
      <x:c r="E413" s="2"/>
      <x:c r="F413" s="97"/>
      <x:c r="G413" s="98"/>
      <x:c r="H413" s="2"/>
      <x:c r="I413" s="97"/>
      <x:c r="J413" s="97"/>
      <x:c r="K413" s="2"/>
      <x:c r="L413" s="2"/>
      <x:c r="M413" s="2"/>
      <x:c r="N413" s="2"/>
      <x:c r="O413" s="2"/>
      <x:c r="P413" s="2"/>
    </x:row>
    <x:row r="414">
      <x:c r="A414" s="2"/>
      <x:c r="B414" s="2"/>
      <x:c r="C414" s="2"/>
      <x:c r="D414" s="2"/>
      <x:c r="E414" s="2"/>
      <x:c r="F414" s="97"/>
      <x:c r="G414" s="98"/>
      <x:c r="H414" s="2"/>
      <x:c r="I414" s="97"/>
      <x:c r="J414" s="97"/>
      <x:c r="K414" s="2"/>
      <x:c r="L414" s="2"/>
      <x:c r="M414" s="2"/>
      <x:c r="N414" s="2"/>
      <x:c r="O414" s="2"/>
      <x:c r="P414" s="2"/>
    </x:row>
    <x:row r="415">
      <x:c r="A415" s="2"/>
      <x:c r="B415" s="2"/>
      <x:c r="C415" s="2"/>
      <x:c r="D415" s="2"/>
      <x:c r="E415" s="2"/>
      <x:c r="F415" s="97"/>
      <x:c r="G415" s="98"/>
      <x:c r="H415" s="2"/>
      <x:c r="I415" s="97"/>
      <x:c r="J415" s="97"/>
      <x:c r="K415" s="2"/>
      <x:c r="L415" s="2"/>
      <x:c r="M415" s="2"/>
      <x:c r="N415" s="2"/>
      <x:c r="O415" s="2"/>
      <x:c r="P415" s="2"/>
    </x:row>
    <x:row r="416">
      <x:c r="A416" s="2"/>
      <x:c r="B416" s="2"/>
      <x:c r="C416" s="2"/>
      <x:c r="D416" s="2"/>
      <x:c r="E416" s="2"/>
      <x:c r="F416" s="97"/>
      <x:c r="G416" s="98"/>
      <x:c r="H416" s="2"/>
      <x:c r="I416" s="97"/>
      <x:c r="J416" s="97"/>
      <x:c r="K416" s="2"/>
      <x:c r="L416" s="2"/>
      <x:c r="M416" s="2"/>
      <x:c r="N416" s="2"/>
      <x:c r="O416" s="2"/>
      <x:c r="P416" s="2"/>
    </x:row>
    <x:row r="417">
      <x:c r="A417" s="2"/>
      <x:c r="B417" s="2"/>
      <x:c r="C417" s="2"/>
      <x:c r="D417" s="2"/>
      <x:c r="E417" s="2"/>
      <x:c r="F417" s="97"/>
      <x:c r="G417" s="98"/>
      <x:c r="H417" s="2"/>
      <x:c r="I417" s="97"/>
      <x:c r="J417" s="97"/>
      <x:c r="K417" s="2"/>
      <x:c r="L417" s="2"/>
      <x:c r="M417" s="2"/>
      <x:c r="N417" s="2"/>
      <x:c r="O417" s="2"/>
      <x:c r="P417" s="2"/>
    </x:row>
    <x:row r="418">
      <x:c r="A418" s="2"/>
      <x:c r="B418" s="2"/>
      <x:c r="C418" s="2"/>
      <x:c r="D418" s="2"/>
      <x:c r="E418" s="2"/>
      <x:c r="F418" s="97"/>
      <x:c r="G418" s="98"/>
      <x:c r="H418" s="2"/>
      <x:c r="I418" s="97"/>
      <x:c r="J418" s="97"/>
      <x:c r="K418" s="2"/>
      <x:c r="L418" s="2"/>
      <x:c r="M418" s="2"/>
      <x:c r="N418" s="2"/>
      <x:c r="O418" s="2"/>
      <x:c r="P418" s="2"/>
    </x:row>
    <x:row r="419">
      <x:c r="A419" s="2"/>
      <x:c r="B419" s="2"/>
      <x:c r="C419" s="2"/>
      <x:c r="D419" s="2"/>
      <x:c r="E419" s="2"/>
      <x:c r="F419" s="97"/>
      <x:c r="G419" s="98"/>
      <x:c r="H419" s="2"/>
      <x:c r="I419" s="97"/>
      <x:c r="J419" s="97"/>
      <x:c r="K419" s="2"/>
      <x:c r="L419" s="2"/>
      <x:c r="M419" s="2"/>
      <x:c r="N419" s="2"/>
      <x:c r="O419" s="2"/>
      <x:c r="P419" s="2"/>
    </x:row>
    <x:row r="420">
      <x:c r="A420" s="2"/>
      <x:c r="B420" s="2"/>
      <x:c r="C420" s="2"/>
      <x:c r="D420" s="2"/>
      <x:c r="E420" s="2"/>
      <x:c r="F420" s="97"/>
      <x:c r="G420" s="98"/>
      <x:c r="H420" s="2"/>
      <x:c r="I420" s="97"/>
      <x:c r="J420" s="97"/>
      <x:c r="K420" s="2"/>
      <x:c r="L420" s="2"/>
      <x:c r="M420" s="2"/>
      <x:c r="N420" s="2"/>
      <x:c r="O420" s="2"/>
      <x:c r="P420" s="2"/>
    </x:row>
    <x:row r="421">
      <x:c r="A421" s="2"/>
      <x:c r="B421" s="2"/>
      <x:c r="C421" s="2"/>
      <x:c r="D421" s="2"/>
      <x:c r="E421" s="2"/>
      <x:c r="F421" s="97"/>
      <x:c r="G421" s="98"/>
      <x:c r="H421" s="2"/>
      <x:c r="I421" s="97"/>
      <x:c r="J421" s="97"/>
      <x:c r="K421" s="2"/>
      <x:c r="L421" s="2"/>
      <x:c r="M421" s="2"/>
      <x:c r="N421" s="2"/>
      <x:c r="O421" s="2"/>
      <x:c r="P421" s="2"/>
    </x:row>
    <x:row r="422">
      <x:c r="A422" s="2"/>
      <x:c r="B422" s="2"/>
      <x:c r="C422" s="2"/>
      <x:c r="D422" s="2"/>
      <x:c r="E422" s="2"/>
      <x:c r="F422" s="97"/>
      <x:c r="G422" s="98"/>
      <x:c r="H422" s="2"/>
      <x:c r="I422" s="97"/>
      <x:c r="J422" s="97"/>
      <x:c r="K422" s="2"/>
      <x:c r="L422" s="2"/>
      <x:c r="M422" s="2"/>
      <x:c r="N422" s="2"/>
      <x:c r="O422" s="2"/>
      <x:c r="P422" s="2"/>
    </x:row>
    <x:row r="423">
      <x:c r="A423" s="2"/>
      <x:c r="B423" s="2"/>
      <x:c r="C423" s="2"/>
      <x:c r="D423" s="2"/>
      <x:c r="E423" s="2"/>
      <x:c r="F423" s="97"/>
      <x:c r="G423" s="98"/>
      <x:c r="H423" s="2"/>
      <x:c r="I423" s="97"/>
      <x:c r="J423" s="97"/>
      <x:c r="K423" s="2"/>
      <x:c r="L423" s="2"/>
      <x:c r="M423" s="2"/>
      <x:c r="N423" s="2"/>
      <x:c r="O423" s="2"/>
      <x:c r="P423" s="2"/>
    </x:row>
    <x:row r="424">
      <x:c r="A424" s="2"/>
      <x:c r="B424" s="2"/>
      <x:c r="C424" s="2"/>
      <x:c r="D424" s="2"/>
      <x:c r="E424" s="2"/>
      <x:c r="F424" s="97"/>
      <x:c r="G424" s="98"/>
      <x:c r="H424" s="2"/>
      <x:c r="I424" s="97"/>
      <x:c r="J424" s="97"/>
      <x:c r="K424" s="2"/>
      <x:c r="L424" s="2"/>
      <x:c r="M424" s="2"/>
      <x:c r="N424" s="2"/>
      <x:c r="O424" s="2"/>
      <x:c r="P424" s="2"/>
    </x:row>
    <x:row r="425">
      <x:c r="A425" s="2"/>
      <x:c r="B425" s="2"/>
      <x:c r="C425" s="2"/>
      <x:c r="D425" s="2"/>
      <x:c r="E425" s="2"/>
      <x:c r="F425" s="97"/>
      <x:c r="G425" s="98"/>
      <x:c r="H425" s="2"/>
      <x:c r="I425" s="97"/>
      <x:c r="J425" s="97"/>
      <x:c r="K425" s="2"/>
      <x:c r="L425" s="2"/>
      <x:c r="M425" s="2"/>
      <x:c r="N425" s="2"/>
      <x:c r="O425" s="2"/>
      <x:c r="P425" s="2"/>
    </x:row>
    <x:row r="426">
      <x:c r="A426" s="2"/>
      <x:c r="B426" s="2"/>
      <x:c r="C426" s="2"/>
      <x:c r="D426" s="2"/>
      <x:c r="E426" s="2"/>
      <x:c r="F426" s="97"/>
      <x:c r="G426" s="98"/>
      <x:c r="H426" s="2"/>
      <x:c r="I426" s="97"/>
      <x:c r="J426" s="97"/>
      <x:c r="K426" s="2"/>
      <x:c r="L426" s="2"/>
      <x:c r="M426" s="2"/>
      <x:c r="N426" s="2"/>
      <x:c r="O426" s="2"/>
      <x:c r="P426" s="2"/>
    </x:row>
    <x:row r="427">
      <x:c r="A427" s="2"/>
      <x:c r="B427" s="2"/>
      <x:c r="C427" s="2"/>
      <x:c r="D427" s="2"/>
      <x:c r="E427" s="2"/>
      <x:c r="F427" s="97"/>
      <x:c r="G427" s="98"/>
      <x:c r="H427" s="2"/>
      <x:c r="I427" s="97"/>
      <x:c r="J427" s="97"/>
      <x:c r="K427" s="2"/>
      <x:c r="L427" s="2"/>
      <x:c r="M427" s="2"/>
      <x:c r="N427" s="2"/>
      <x:c r="O427" s="2"/>
      <x:c r="P427" s="2"/>
    </x:row>
    <x:row r="428">
      <x:c r="A428" s="2"/>
      <x:c r="B428" s="2"/>
      <x:c r="C428" s="2"/>
      <x:c r="D428" s="2"/>
      <x:c r="E428" s="2"/>
      <x:c r="F428" s="97"/>
      <x:c r="G428" s="98"/>
      <x:c r="H428" s="2"/>
      <x:c r="I428" s="97"/>
      <x:c r="J428" s="97"/>
      <x:c r="K428" s="2"/>
      <x:c r="L428" s="2"/>
      <x:c r="M428" s="2"/>
      <x:c r="N428" s="2"/>
      <x:c r="O428" s="2"/>
      <x:c r="P428" s="2"/>
    </x:row>
    <x:row r="429">
      <x:c r="A429" s="2"/>
      <x:c r="B429" s="2"/>
      <x:c r="C429" s="2"/>
      <x:c r="D429" s="2"/>
      <x:c r="E429" s="2"/>
      <x:c r="F429" s="97"/>
      <x:c r="G429" s="98"/>
      <x:c r="H429" s="2"/>
      <x:c r="I429" s="97"/>
      <x:c r="J429" s="97"/>
      <x:c r="K429" s="2"/>
      <x:c r="L429" s="2"/>
      <x:c r="M429" s="2"/>
      <x:c r="N429" s="2"/>
      <x:c r="O429" s="2"/>
      <x:c r="P429" s="2"/>
    </x:row>
    <x:row r="430">
      <x:c r="A430" s="2"/>
      <x:c r="B430" s="2"/>
      <x:c r="C430" s="2"/>
      <x:c r="D430" s="2"/>
      <x:c r="E430" s="2"/>
      <x:c r="F430" s="97"/>
      <x:c r="G430" s="98"/>
      <x:c r="H430" s="2"/>
      <x:c r="I430" s="97"/>
      <x:c r="J430" s="97"/>
      <x:c r="K430" s="2"/>
      <x:c r="L430" s="2"/>
      <x:c r="M430" s="2"/>
      <x:c r="N430" s="2"/>
      <x:c r="O430" s="2"/>
      <x:c r="P430" s="2"/>
    </x:row>
    <x:row r="431">
      <x:c r="A431" s="2"/>
      <x:c r="B431" s="2"/>
      <x:c r="C431" s="2"/>
      <x:c r="D431" s="2"/>
      <x:c r="E431" s="2"/>
      <x:c r="F431" s="97"/>
      <x:c r="G431" s="98"/>
      <x:c r="H431" s="2"/>
      <x:c r="I431" s="97"/>
      <x:c r="J431" s="97"/>
      <x:c r="K431" s="2"/>
      <x:c r="L431" s="2"/>
      <x:c r="M431" s="2"/>
      <x:c r="N431" s="2"/>
      <x:c r="O431" s="2"/>
      <x:c r="P431" s="2"/>
    </x:row>
    <x:row r="432">
      <x:c r="A432" s="2"/>
      <x:c r="B432" s="2"/>
      <x:c r="C432" s="2"/>
      <x:c r="D432" s="2"/>
      <x:c r="E432" s="2"/>
      <x:c r="F432" s="97"/>
      <x:c r="G432" s="98"/>
      <x:c r="H432" s="2"/>
      <x:c r="I432" s="97"/>
      <x:c r="J432" s="97"/>
      <x:c r="K432" s="2"/>
      <x:c r="L432" s="2"/>
      <x:c r="M432" s="2"/>
      <x:c r="N432" s="2"/>
      <x:c r="O432" s="2"/>
      <x:c r="P432" s="2"/>
    </x:row>
    <x:row r="433">
      <x:c r="A433" s="2"/>
      <x:c r="B433" s="2"/>
      <x:c r="C433" s="2"/>
      <x:c r="D433" s="2"/>
      <x:c r="E433" s="2"/>
      <x:c r="F433" s="97"/>
      <x:c r="G433" s="98"/>
      <x:c r="H433" s="2"/>
      <x:c r="I433" s="97"/>
      <x:c r="J433" s="97"/>
      <x:c r="K433" s="2"/>
      <x:c r="L433" s="2"/>
      <x:c r="M433" s="2"/>
      <x:c r="N433" s="2"/>
      <x:c r="O433" s="2"/>
      <x:c r="P433" s="2"/>
    </x:row>
    <x:row r="434">
      <x:c r="A434" s="2"/>
      <x:c r="B434" s="2"/>
      <x:c r="C434" s="2"/>
      <x:c r="D434" s="2"/>
      <x:c r="E434" s="2"/>
      <x:c r="F434" s="97"/>
      <x:c r="G434" s="98"/>
      <x:c r="H434" s="2"/>
      <x:c r="I434" s="97"/>
      <x:c r="J434" s="97"/>
      <x:c r="K434" s="2"/>
      <x:c r="L434" s="2"/>
      <x:c r="M434" s="2"/>
      <x:c r="N434" s="2"/>
      <x:c r="O434" s="2"/>
      <x:c r="P434" s="2"/>
    </x:row>
    <x:row r="435">
      <x:c r="A435" s="2"/>
      <x:c r="B435" s="2"/>
      <x:c r="C435" s="2"/>
      <x:c r="D435" s="2"/>
      <x:c r="E435" s="2"/>
      <x:c r="F435" s="97"/>
      <x:c r="G435" s="98"/>
      <x:c r="H435" s="2"/>
      <x:c r="I435" s="97"/>
      <x:c r="J435" s="97"/>
      <x:c r="K435" s="2"/>
      <x:c r="L435" s="2"/>
      <x:c r="M435" s="2"/>
      <x:c r="N435" s="2"/>
      <x:c r="O435" s="2"/>
      <x:c r="P435" s="2"/>
    </x:row>
    <x:row r="436">
      <x:c r="A436" s="2"/>
      <x:c r="B436" s="2"/>
      <x:c r="C436" s="2"/>
      <x:c r="D436" s="2"/>
      <x:c r="E436" s="2"/>
      <x:c r="F436" s="97"/>
      <x:c r="G436" s="98"/>
      <x:c r="H436" s="2"/>
      <x:c r="I436" s="97"/>
      <x:c r="J436" s="97"/>
      <x:c r="K436" s="2"/>
      <x:c r="L436" s="2"/>
      <x:c r="M436" s="2"/>
      <x:c r="N436" s="2"/>
      <x:c r="O436" s="2"/>
      <x:c r="P436" s="2"/>
    </x:row>
    <x:row r="437">
      <x:c r="A437" s="2"/>
      <x:c r="B437" s="2"/>
      <x:c r="C437" s="2"/>
      <x:c r="D437" s="2"/>
      <x:c r="E437" s="2"/>
      <x:c r="F437" s="97"/>
      <x:c r="G437" s="98"/>
      <x:c r="H437" s="2"/>
      <x:c r="I437" s="97"/>
      <x:c r="J437" s="97"/>
      <x:c r="K437" s="2"/>
      <x:c r="L437" s="2"/>
      <x:c r="M437" s="2"/>
      <x:c r="N437" s="2"/>
      <x:c r="O437" s="2"/>
      <x:c r="P437" s="2"/>
    </x:row>
    <x:row r="438">
      <x:c r="A438" s="2"/>
      <x:c r="B438" s="2"/>
      <x:c r="C438" s="2"/>
      <x:c r="D438" s="2"/>
      <x:c r="E438" s="2"/>
      <x:c r="F438" s="97"/>
      <x:c r="G438" s="98"/>
      <x:c r="H438" s="2"/>
      <x:c r="I438" s="97"/>
      <x:c r="J438" s="97"/>
      <x:c r="K438" s="2"/>
      <x:c r="L438" s="2"/>
      <x:c r="M438" s="2"/>
      <x:c r="N438" s="2"/>
      <x:c r="O438" s="2"/>
      <x:c r="P438" s="2"/>
    </x:row>
    <x:row r="439">
      <x:c r="A439" s="2"/>
      <x:c r="B439" s="2"/>
      <x:c r="C439" s="2"/>
      <x:c r="D439" s="2"/>
      <x:c r="E439" s="2"/>
      <x:c r="F439" s="97"/>
      <x:c r="G439" s="98"/>
      <x:c r="H439" s="2"/>
      <x:c r="I439" s="97"/>
      <x:c r="J439" s="97"/>
      <x:c r="K439" s="2"/>
      <x:c r="L439" s="2"/>
      <x:c r="M439" s="2"/>
      <x:c r="N439" s="2"/>
      <x:c r="O439" s="2"/>
      <x:c r="P439" s="2"/>
    </x:row>
    <x:row r="440">
      <x:c r="A440" s="2"/>
      <x:c r="B440" s="2"/>
      <x:c r="C440" s="2"/>
      <x:c r="D440" s="2"/>
      <x:c r="E440" s="2"/>
      <x:c r="F440" s="97"/>
      <x:c r="G440" s="98"/>
      <x:c r="H440" s="2"/>
      <x:c r="I440" s="97"/>
      <x:c r="J440" s="97"/>
      <x:c r="K440" s="2"/>
      <x:c r="L440" s="2"/>
      <x:c r="M440" s="2"/>
      <x:c r="N440" s="2"/>
      <x:c r="O440" s="2"/>
      <x:c r="P440" s="2"/>
    </x:row>
    <x:row r="441">
      <x:c r="A441" s="2"/>
      <x:c r="B441" s="2"/>
      <x:c r="C441" s="2"/>
      <x:c r="D441" s="2"/>
      <x:c r="E441" s="2"/>
      <x:c r="F441" s="97"/>
      <x:c r="G441" s="98"/>
      <x:c r="H441" s="2"/>
      <x:c r="I441" s="97"/>
      <x:c r="J441" s="97"/>
      <x:c r="K441" s="2"/>
      <x:c r="L441" s="2"/>
      <x:c r="M441" s="2"/>
      <x:c r="N441" s="2"/>
      <x:c r="O441" s="2"/>
      <x:c r="P441" s="2"/>
    </x:row>
    <x:row r="442">
      <x:c r="A442" s="2"/>
      <x:c r="B442" s="2"/>
      <x:c r="C442" s="2"/>
      <x:c r="D442" s="2"/>
      <x:c r="E442" s="2"/>
      <x:c r="F442" s="97"/>
      <x:c r="G442" s="98"/>
      <x:c r="H442" s="2"/>
      <x:c r="I442" s="97"/>
      <x:c r="J442" s="97"/>
      <x:c r="K442" s="2"/>
      <x:c r="L442" s="2"/>
      <x:c r="M442" s="2"/>
      <x:c r="N442" s="2"/>
      <x:c r="O442" s="2"/>
      <x:c r="P442" s="2"/>
    </x:row>
    <x:row r="443">
      <x:c r="A443" s="2"/>
      <x:c r="B443" s="2"/>
      <x:c r="C443" s="2"/>
      <x:c r="D443" s="2"/>
      <x:c r="E443" s="2"/>
      <x:c r="F443" s="97"/>
      <x:c r="G443" s="98"/>
      <x:c r="H443" s="2"/>
      <x:c r="I443" s="97"/>
      <x:c r="J443" s="97"/>
      <x:c r="K443" s="2"/>
      <x:c r="L443" s="2"/>
      <x:c r="M443" s="2"/>
      <x:c r="N443" s="2"/>
      <x:c r="O443" s="2"/>
      <x:c r="P443" s="2"/>
    </x:row>
    <x:row r="444">
      <x:c r="A444" s="2"/>
      <x:c r="B444" s="2"/>
      <x:c r="C444" s="2"/>
      <x:c r="D444" s="2"/>
      <x:c r="E444" s="2"/>
      <x:c r="F444" s="97"/>
      <x:c r="G444" s="98"/>
      <x:c r="H444" s="2"/>
      <x:c r="I444" s="97"/>
      <x:c r="J444" s="97"/>
      <x:c r="K444" s="2"/>
      <x:c r="L444" s="2"/>
      <x:c r="M444" s="2"/>
      <x:c r="N444" s="2"/>
      <x:c r="O444" s="2"/>
      <x:c r="P444" s="2"/>
    </x:row>
    <x:row r="445">
      <x:c r="A445" s="2"/>
      <x:c r="B445" s="2"/>
      <x:c r="C445" s="2"/>
      <x:c r="D445" s="2"/>
      <x:c r="E445" s="2"/>
      <x:c r="F445" s="97"/>
      <x:c r="G445" s="98"/>
      <x:c r="H445" s="2"/>
      <x:c r="I445" s="97"/>
      <x:c r="J445" s="97"/>
      <x:c r="K445" s="2"/>
      <x:c r="L445" s="2"/>
      <x:c r="M445" s="2"/>
      <x:c r="N445" s="2"/>
      <x:c r="O445" s="2"/>
      <x:c r="P445" s="2"/>
    </x:row>
    <x:row r="446">
      <x:c r="A446" s="2"/>
      <x:c r="B446" s="2"/>
      <x:c r="C446" s="2"/>
      <x:c r="D446" s="2"/>
      <x:c r="E446" s="2"/>
      <x:c r="F446" s="97"/>
      <x:c r="G446" s="98"/>
      <x:c r="H446" s="2"/>
      <x:c r="I446" s="97"/>
      <x:c r="J446" s="97"/>
      <x:c r="K446" s="2"/>
      <x:c r="L446" s="2"/>
      <x:c r="M446" s="2"/>
      <x:c r="N446" s="2"/>
      <x:c r="O446" s="2"/>
      <x:c r="P446" s="2"/>
    </x:row>
    <x:row r="447">
      <x:c r="A447" s="2"/>
      <x:c r="B447" s="2"/>
      <x:c r="C447" s="2"/>
      <x:c r="D447" s="2"/>
      <x:c r="E447" s="2"/>
      <x:c r="F447" s="97"/>
      <x:c r="G447" s="98"/>
      <x:c r="H447" s="2"/>
      <x:c r="I447" s="97"/>
      <x:c r="J447" s="97"/>
      <x:c r="K447" s="2"/>
      <x:c r="L447" s="2"/>
      <x:c r="M447" s="2"/>
      <x:c r="N447" s="2"/>
      <x:c r="O447" s="2"/>
      <x:c r="P447" s="2"/>
    </x:row>
    <x:row r="448">
      <x:c r="A448" s="2"/>
      <x:c r="B448" s="2"/>
      <x:c r="C448" s="2"/>
      <x:c r="D448" s="2"/>
      <x:c r="E448" s="2"/>
      <x:c r="F448" s="97"/>
      <x:c r="G448" s="98"/>
      <x:c r="H448" s="2"/>
      <x:c r="I448" s="97"/>
      <x:c r="J448" s="97"/>
      <x:c r="K448" s="2"/>
      <x:c r="L448" s="2"/>
      <x:c r="M448" s="2"/>
      <x:c r="N448" s="2"/>
      <x:c r="O448" s="2"/>
      <x:c r="P448" s="2"/>
    </x:row>
    <x:row r="449">
      <x:c r="A449" s="2"/>
      <x:c r="B449" s="2"/>
      <x:c r="C449" s="2"/>
      <x:c r="D449" s="2"/>
      <x:c r="E449" s="2"/>
      <x:c r="F449" s="97"/>
      <x:c r="G449" s="98"/>
      <x:c r="H449" s="2"/>
      <x:c r="I449" s="97"/>
      <x:c r="J449" s="97"/>
      <x:c r="K449" s="2"/>
      <x:c r="L449" s="2"/>
      <x:c r="M449" s="2"/>
      <x:c r="N449" s="2"/>
      <x:c r="O449" s="2"/>
      <x:c r="P449" s="2"/>
    </x:row>
    <x:row r="450">
      <x:c r="A450" s="2"/>
      <x:c r="B450" s="2"/>
      <x:c r="C450" s="2"/>
      <x:c r="D450" s="2"/>
      <x:c r="E450" s="2"/>
      <x:c r="F450" s="97"/>
      <x:c r="G450" s="98"/>
      <x:c r="H450" s="2"/>
      <x:c r="I450" s="97"/>
      <x:c r="J450" s="97"/>
      <x:c r="K450" s="2"/>
      <x:c r="L450" s="2"/>
      <x:c r="M450" s="2"/>
      <x:c r="N450" s="2"/>
      <x:c r="O450" s="2"/>
      <x:c r="P450" s="2"/>
    </x:row>
    <x:row r="451">
      <x:c r="A451" s="2"/>
      <x:c r="B451" s="2"/>
      <x:c r="C451" s="2"/>
      <x:c r="D451" s="2"/>
      <x:c r="E451" s="2"/>
      <x:c r="F451" s="97"/>
      <x:c r="G451" s="98"/>
      <x:c r="H451" s="2"/>
      <x:c r="I451" s="97"/>
      <x:c r="J451" s="97"/>
      <x:c r="K451" s="2"/>
      <x:c r="L451" s="2"/>
      <x:c r="M451" s="2"/>
      <x:c r="N451" s="2"/>
      <x:c r="O451" s="2"/>
      <x:c r="P451" s="2"/>
    </x:row>
    <x:row r="452">
      <x:c r="A452" s="2"/>
      <x:c r="B452" s="2"/>
      <x:c r="C452" s="2"/>
      <x:c r="D452" s="2"/>
      <x:c r="E452" s="2"/>
      <x:c r="F452" s="97"/>
      <x:c r="G452" s="98"/>
      <x:c r="H452" s="2"/>
      <x:c r="I452" s="97"/>
      <x:c r="J452" s="97"/>
      <x:c r="K452" s="2"/>
      <x:c r="L452" s="2"/>
      <x:c r="M452" s="2"/>
      <x:c r="N452" s="2"/>
      <x:c r="O452" s="2"/>
      <x:c r="P452" s="2"/>
    </x:row>
    <x:row r="453">
      <x:c r="A453" s="2"/>
      <x:c r="B453" s="2"/>
      <x:c r="C453" s="2"/>
      <x:c r="D453" s="2"/>
      <x:c r="E453" s="2"/>
      <x:c r="F453" s="97"/>
      <x:c r="G453" s="98"/>
      <x:c r="H453" s="2"/>
      <x:c r="I453" s="97"/>
      <x:c r="J453" s="97"/>
      <x:c r="K453" s="2"/>
      <x:c r="L453" s="2"/>
      <x:c r="M453" s="2"/>
      <x:c r="N453" s="2"/>
      <x:c r="O453" s="2"/>
      <x:c r="P453" s="2"/>
    </x:row>
    <x:row r="454">
      <x:c r="A454" s="2"/>
      <x:c r="B454" s="2"/>
      <x:c r="C454" s="2"/>
      <x:c r="D454" s="2"/>
      <x:c r="E454" s="2"/>
      <x:c r="F454" s="97"/>
      <x:c r="G454" s="98"/>
      <x:c r="H454" s="2"/>
      <x:c r="I454" s="97"/>
      <x:c r="J454" s="97"/>
      <x:c r="K454" s="2"/>
      <x:c r="L454" s="2"/>
      <x:c r="M454" s="2"/>
      <x:c r="N454" s="2"/>
      <x:c r="O454" s="2"/>
      <x:c r="P454" s="2"/>
    </x:row>
    <x:row r="455">
      <x:c r="A455" s="2"/>
      <x:c r="B455" s="2"/>
      <x:c r="C455" s="2"/>
      <x:c r="D455" s="2"/>
      <x:c r="E455" s="2"/>
      <x:c r="F455" s="97"/>
      <x:c r="G455" s="98"/>
      <x:c r="H455" s="2"/>
      <x:c r="I455" s="97"/>
      <x:c r="J455" s="97"/>
      <x:c r="K455" s="2"/>
      <x:c r="L455" s="2"/>
      <x:c r="M455" s="2"/>
      <x:c r="N455" s="2"/>
      <x:c r="O455" s="2"/>
      <x:c r="P455" s="2"/>
    </x:row>
    <x:row r="456">
      <x:c r="A456" s="2"/>
      <x:c r="B456" s="2"/>
      <x:c r="C456" s="2"/>
      <x:c r="D456" s="2"/>
      <x:c r="E456" s="2"/>
      <x:c r="F456" s="97"/>
      <x:c r="G456" s="98"/>
      <x:c r="H456" s="2"/>
      <x:c r="I456" s="97"/>
      <x:c r="J456" s="97"/>
      <x:c r="K456" s="2"/>
      <x:c r="L456" s="2"/>
      <x:c r="M456" s="2"/>
      <x:c r="N456" s="2"/>
      <x:c r="O456" s="2"/>
      <x:c r="P456" s="2"/>
    </x:row>
    <x:row r="457">
      <x:c r="A457" s="2"/>
      <x:c r="B457" s="2"/>
      <x:c r="C457" s="2"/>
      <x:c r="D457" s="2"/>
      <x:c r="E457" s="2"/>
      <x:c r="F457" s="97"/>
      <x:c r="G457" s="98"/>
      <x:c r="H457" s="2"/>
      <x:c r="I457" s="97"/>
      <x:c r="J457" s="97"/>
      <x:c r="K457" s="2"/>
      <x:c r="L457" s="2"/>
      <x:c r="M457" s="2"/>
      <x:c r="N457" s="2"/>
      <x:c r="O457" s="2"/>
      <x:c r="P457" s="2"/>
    </x:row>
    <x:row r="458">
      <x:c r="A458" s="2"/>
      <x:c r="B458" s="2"/>
      <x:c r="C458" s="2"/>
      <x:c r="D458" s="2"/>
      <x:c r="E458" s="2"/>
      <x:c r="F458" s="97"/>
      <x:c r="G458" s="98"/>
      <x:c r="H458" s="2"/>
      <x:c r="I458" s="97"/>
      <x:c r="J458" s="97"/>
      <x:c r="K458" s="2"/>
      <x:c r="L458" s="2"/>
      <x:c r="M458" s="2"/>
      <x:c r="N458" s="2"/>
      <x:c r="O458" s="2"/>
      <x:c r="P458" s="2"/>
    </x:row>
    <x:row r="459">
      <x:c r="A459" s="2"/>
      <x:c r="B459" s="2"/>
      <x:c r="C459" s="2"/>
      <x:c r="D459" s="2"/>
      <x:c r="E459" s="2"/>
      <x:c r="F459" s="97"/>
      <x:c r="G459" s="98"/>
      <x:c r="H459" s="2"/>
      <x:c r="I459" s="97"/>
      <x:c r="J459" s="97"/>
      <x:c r="K459" s="2"/>
      <x:c r="L459" s="2"/>
      <x:c r="M459" s="2"/>
      <x:c r="N459" s="2"/>
      <x:c r="O459" s="2"/>
      <x:c r="P459" s="2"/>
    </x:row>
    <x:row r="460">
      <x:c r="A460" s="2"/>
      <x:c r="B460" s="2"/>
      <x:c r="C460" s="2"/>
      <x:c r="D460" s="2"/>
      <x:c r="E460" s="2"/>
      <x:c r="F460" s="97"/>
      <x:c r="G460" s="98"/>
      <x:c r="H460" s="2"/>
      <x:c r="I460" s="97"/>
      <x:c r="J460" s="97"/>
      <x:c r="K460" s="2"/>
      <x:c r="L460" s="2"/>
      <x:c r="M460" s="2"/>
      <x:c r="N460" s="2"/>
      <x:c r="O460" s="2"/>
      <x:c r="P460" s="2"/>
    </x:row>
    <x:row r="461">
      <x:c r="A461" s="2"/>
      <x:c r="B461" s="2"/>
      <x:c r="C461" s="2"/>
      <x:c r="D461" s="2"/>
      <x:c r="E461" s="2"/>
      <x:c r="F461" s="97"/>
      <x:c r="G461" s="98"/>
      <x:c r="H461" s="2"/>
      <x:c r="I461" s="97"/>
      <x:c r="J461" s="97"/>
      <x:c r="K461" s="2"/>
      <x:c r="L461" s="2"/>
      <x:c r="M461" s="2"/>
      <x:c r="N461" s="2"/>
      <x:c r="O461" s="2"/>
      <x:c r="P461" s="2"/>
    </x:row>
    <x:row r="462">
      <x:c r="A462" s="2"/>
      <x:c r="B462" s="2"/>
      <x:c r="C462" s="2"/>
      <x:c r="D462" s="2"/>
      <x:c r="E462" s="2"/>
      <x:c r="F462" s="97"/>
      <x:c r="G462" s="98"/>
      <x:c r="H462" s="2"/>
      <x:c r="I462" s="97"/>
      <x:c r="J462" s="97"/>
      <x:c r="K462" s="2"/>
      <x:c r="L462" s="2"/>
      <x:c r="M462" s="2"/>
      <x:c r="N462" s="2"/>
      <x:c r="O462" s="2"/>
      <x:c r="P462" s="2"/>
    </x:row>
    <x:row r="463">
      <x:c r="A463" s="2"/>
      <x:c r="B463" s="2"/>
      <x:c r="C463" s="2"/>
      <x:c r="D463" s="2"/>
      <x:c r="E463" s="2"/>
      <x:c r="F463" s="97"/>
      <x:c r="G463" s="98"/>
      <x:c r="H463" s="2"/>
      <x:c r="I463" s="97"/>
      <x:c r="J463" s="97"/>
      <x:c r="K463" s="2"/>
      <x:c r="L463" s="2"/>
      <x:c r="M463" s="2"/>
      <x:c r="N463" s="2"/>
      <x:c r="O463" s="2"/>
      <x:c r="P463" s="2"/>
    </x:row>
    <x:row r="464">
      <x:c r="A464" s="2"/>
      <x:c r="B464" s="2"/>
      <x:c r="C464" s="2"/>
      <x:c r="D464" s="2"/>
      <x:c r="E464" s="2"/>
      <x:c r="F464" s="97"/>
      <x:c r="G464" s="98"/>
      <x:c r="H464" s="2"/>
      <x:c r="I464" s="97"/>
      <x:c r="J464" s="97"/>
      <x:c r="K464" s="2"/>
      <x:c r="L464" s="2"/>
      <x:c r="M464" s="2"/>
      <x:c r="N464" s="2"/>
      <x:c r="O464" s="2"/>
      <x:c r="P464" s="2"/>
    </x:row>
    <x:row r="465">
      <x:c r="A465" s="2"/>
      <x:c r="B465" s="2"/>
      <x:c r="C465" s="2"/>
      <x:c r="D465" s="2"/>
      <x:c r="E465" s="2"/>
      <x:c r="F465" s="97"/>
      <x:c r="G465" s="98"/>
      <x:c r="H465" s="2"/>
      <x:c r="I465" s="97"/>
      <x:c r="J465" s="97"/>
      <x:c r="K465" s="2"/>
      <x:c r="L465" s="2"/>
      <x:c r="M465" s="2"/>
      <x:c r="N465" s="2"/>
      <x:c r="O465" s="2"/>
      <x:c r="P465" s="2"/>
    </x:row>
    <x:row r="466">
      <x:c r="A466" s="2"/>
      <x:c r="B466" s="2"/>
      <x:c r="C466" s="2"/>
      <x:c r="D466" s="2"/>
      <x:c r="E466" s="2"/>
      <x:c r="F466" s="97"/>
      <x:c r="G466" s="98"/>
      <x:c r="H466" s="2"/>
      <x:c r="I466" s="97"/>
      <x:c r="J466" s="97"/>
      <x:c r="K466" s="2"/>
      <x:c r="L466" s="2"/>
      <x:c r="M466" s="2"/>
      <x:c r="N466" s="2"/>
      <x:c r="O466" s="2"/>
      <x:c r="P466" s="2"/>
    </x:row>
    <x:row r="467">
      <x:c r="A467" s="2"/>
      <x:c r="B467" s="2"/>
      <x:c r="C467" s="2"/>
      <x:c r="D467" s="2"/>
      <x:c r="E467" s="2"/>
      <x:c r="F467" s="97"/>
      <x:c r="G467" s="98"/>
      <x:c r="H467" s="2"/>
      <x:c r="I467" s="97"/>
      <x:c r="J467" s="97"/>
      <x:c r="K467" s="2"/>
      <x:c r="L467" s="2"/>
      <x:c r="M467" s="2"/>
      <x:c r="N467" s="2"/>
      <x:c r="O467" s="2"/>
      <x:c r="P467" s="2"/>
    </x:row>
    <x:row r="468">
      <x:c r="A468" s="2"/>
      <x:c r="B468" s="2"/>
      <x:c r="C468" s="2"/>
      <x:c r="D468" s="2"/>
      <x:c r="E468" s="2"/>
      <x:c r="F468" s="97"/>
      <x:c r="G468" s="98"/>
      <x:c r="H468" s="2"/>
      <x:c r="I468" s="97"/>
      <x:c r="J468" s="97"/>
      <x:c r="K468" s="2"/>
      <x:c r="L468" s="2"/>
      <x:c r="M468" s="2"/>
      <x:c r="N468" s="2"/>
      <x:c r="O468" s="2"/>
      <x:c r="P468" s="2"/>
    </x:row>
    <x:row r="469">
      <x:c r="A469" s="2"/>
      <x:c r="B469" s="2"/>
      <x:c r="C469" s="2"/>
      <x:c r="D469" s="2"/>
      <x:c r="E469" s="2"/>
      <x:c r="F469" s="97"/>
      <x:c r="G469" s="98"/>
      <x:c r="H469" s="2"/>
      <x:c r="I469" s="97"/>
      <x:c r="J469" s="97"/>
      <x:c r="K469" s="2"/>
      <x:c r="L469" s="2"/>
      <x:c r="M469" s="2"/>
      <x:c r="N469" s="2"/>
      <x:c r="O469" s="2"/>
      <x:c r="P469" s="2"/>
    </x:row>
    <x:row r="470">
      <x:c r="A470" s="2"/>
      <x:c r="B470" s="2"/>
      <x:c r="C470" s="2"/>
      <x:c r="D470" s="2"/>
      <x:c r="E470" s="2"/>
      <x:c r="F470" s="97"/>
      <x:c r="G470" s="98"/>
      <x:c r="H470" s="2"/>
      <x:c r="I470" s="97"/>
      <x:c r="J470" s="97"/>
      <x:c r="K470" s="2"/>
      <x:c r="L470" s="2"/>
      <x:c r="M470" s="2"/>
      <x:c r="N470" s="2"/>
      <x:c r="O470" s="2"/>
      <x:c r="P470" s="2"/>
    </x:row>
    <x:row r="471">
      <x:c r="A471" s="2"/>
      <x:c r="B471" s="2"/>
      <x:c r="C471" s="2"/>
      <x:c r="D471" s="2"/>
      <x:c r="E471" s="2"/>
      <x:c r="F471" s="97"/>
      <x:c r="G471" s="98"/>
      <x:c r="H471" s="2"/>
      <x:c r="I471" s="97"/>
      <x:c r="J471" s="97"/>
      <x:c r="K471" s="2"/>
      <x:c r="L471" s="2"/>
      <x:c r="M471" s="2"/>
      <x:c r="N471" s="2"/>
      <x:c r="O471" s="2"/>
      <x:c r="P471" s="2"/>
    </x:row>
    <x:row r="472">
      <x:c r="A472" s="2"/>
      <x:c r="B472" s="2"/>
      <x:c r="C472" s="2"/>
      <x:c r="D472" s="2"/>
      <x:c r="E472" s="2"/>
      <x:c r="F472" s="97"/>
      <x:c r="G472" s="98"/>
      <x:c r="H472" s="2"/>
      <x:c r="I472" s="97"/>
      <x:c r="J472" s="97"/>
      <x:c r="K472" s="2"/>
      <x:c r="L472" s="2"/>
      <x:c r="M472" s="2"/>
      <x:c r="N472" s="2"/>
      <x:c r="O472" s="2"/>
      <x:c r="P472" s="2"/>
    </x:row>
    <x:row r="473">
      <x:c r="A473" s="2"/>
      <x:c r="B473" s="2"/>
      <x:c r="C473" s="2"/>
      <x:c r="D473" s="2"/>
      <x:c r="E473" s="2"/>
      <x:c r="F473" s="97"/>
      <x:c r="G473" s="98"/>
      <x:c r="H473" s="2"/>
      <x:c r="I473" s="97"/>
      <x:c r="J473" s="97"/>
      <x:c r="K473" s="2"/>
      <x:c r="L473" s="2"/>
      <x:c r="M473" s="2"/>
      <x:c r="N473" s="2"/>
      <x:c r="O473" s="2"/>
      <x:c r="P473" s="2"/>
    </x:row>
    <x:row r="474">
      <x:c r="A474" s="2"/>
      <x:c r="B474" s="2"/>
      <x:c r="C474" s="2"/>
      <x:c r="D474" s="2"/>
      <x:c r="E474" s="2"/>
      <x:c r="F474" s="97"/>
      <x:c r="G474" s="98"/>
      <x:c r="H474" s="2"/>
      <x:c r="I474" s="97"/>
      <x:c r="J474" s="97"/>
      <x:c r="K474" s="2"/>
      <x:c r="L474" s="2"/>
      <x:c r="M474" s="2"/>
      <x:c r="N474" s="2"/>
      <x:c r="O474" s="2"/>
      <x:c r="P474" s="2"/>
    </x:row>
    <x:row r="475">
      <x:c r="A475" s="2"/>
      <x:c r="B475" s="2"/>
      <x:c r="C475" s="2"/>
      <x:c r="D475" s="2"/>
      <x:c r="E475" s="2"/>
      <x:c r="F475" s="97"/>
      <x:c r="G475" s="98"/>
      <x:c r="H475" s="2"/>
      <x:c r="I475" s="97"/>
      <x:c r="J475" s="97"/>
      <x:c r="K475" s="2"/>
      <x:c r="L475" s="2"/>
      <x:c r="M475" s="2"/>
      <x:c r="N475" s="2"/>
      <x:c r="O475" s="2"/>
      <x:c r="P475" s="2"/>
    </x:row>
    <x:row r="476">
      <x:c r="A476" s="2"/>
      <x:c r="B476" s="2"/>
      <x:c r="C476" s="2"/>
      <x:c r="D476" s="2"/>
      <x:c r="E476" s="2"/>
      <x:c r="F476" s="97"/>
      <x:c r="G476" s="98"/>
      <x:c r="H476" s="2"/>
      <x:c r="I476" s="97"/>
      <x:c r="J476" s="97"/>
      <x:c r="K476" s="2"/>
      <x:c r="L476" s="2"/>
      <x:c r="M476" s="2"/>
      <x:c r="N476" s="2"/>
      <x:c r="O476" s="2"/>
      <x:c r="P476" s="2"/>
    </x:row>
    <x:row r="477">
      <x:c r="A477" s="2"/>
      <x:c r="B477" s="2"/>
      <x:c r="C477" s="2"/>
      <x:c r="D477" s="2"/>
      <x:c r="E477" s="2"/>
      <x:c r="F477" s="97"/>
      <x:c r="G477" s="98"/>
      <x:c r="H477" s="2"/>
      <x:c r="I477" s="97"/>
      <x:c r="J477" s="97"/>
      <x:c r="K477" s="2"/>
      <x:c r="L477" s="2"/>
      <x:c r="M477" s="2"/>
      <x:c r="N477" s="2"/>
      <x:c r="O477" s="2"/>
      <x:c r="P477" s="2"/>
    </x:row>
    <x:row r="478">
      <x:c r="A478" s="2"/>
      <x:c r="B478" s="2"/>
      <x:c r="C478" s="2"/>
      <x:c r="D478" s="2"/>
      <x:c r="E478" s="2"/>
      <x:c r="F478" s="97"/>
      <x:c r="G478" s="98"/>
      <x:c r="H478" s="2"/>
      <x:c r="I478" s="97"/>
      <x:c r="J478" s="97"/>
      <x:c r="K478" s="2"/>
      <x:c r="L478" s="2"/>
      <x:c r="M478" s="2"/>
      <x:c r="N478" s="2"/>
      <x:c r="O478" s="2"/>
      <x:c r="P478" s="2"/>
    </x:row>
    <x:row r="479">
      <x:c r="A479" s="2"/>
      <x:c r="B479" s="2"/>
      <x:c r="C479" s="2"/>
      <x:c r="D479" s="2"/>
      <x:c r="E479" s="2"/>
      <x:c r="F479" s="97"/>
      <x:c r="G479" s="98"/>
      <x:c r="H479" s="2"/>
      <x:c r="I479" s="97"/>
      <x:c r="J479" s="97"/>
      <x:c r="K479" s="2"/>
      <x:c r="L479" s="2"/>
      <x:c r="M479" s="2"/>
      <x:c r="N479" s="2"/>
      <x:c r="O479" s="2"/>
      <x:c r="P479" s="2"/>
    </x:row>
    <x:row r="480">
      <x:c r="A480" s="2"/>
      <x:c r="B480" s="2"/>
      <x:c r="C480" s="2"/>
      <x:c r="D480" s="2"/>
      <x:c r="E480" s="2"/>
      <x:c r="F480" s="97"/>
      <x:c r="G480" s="98"/>
      <x:c r="H480" s="2"/>
      <x:c r="I480" s="97"/>
      <x:c r="J480" s="97"/>
      <x:c r="K480" s="2"/>
      <x:c r="L480" s="2"/>
      <x:c r="M480" s="2"/>
      <x:c r="N480" s="2"/>
      <x:c r="O480" s="2"/>
      <x:c r="P480" s="2"/>
    </x:row>
    <x:row r="481">
      <x:c r="A481" s="2"/>
      <x:c r="B481" s="2"/>
      <x:c r="C481" s="2"/>
      <x:c r="D481" s="2"/>
      <x:c r="E481" s="2"/>
      <x:c r="F481" s="97"/>
      <x:c r="G481" s="98"/>
      <x:c r="H481" s="2"/>
      <x:c r="I481" s="97"/>
      <x:c r="J481" s="97"/>
      <x:c r="K481" s="2"/>
      <x:c r="L481" s="2"/>
      <x:c r="M481" s="2"/>
      <x:c r="N481" s="2"/>
      <x:c r="O481" s="2"/>
      <x:c r="P481" s="2"/>
    </x:row>
    <x:row r="482">
      <x:c r="A482" s="2"/>
      <x:c r="B482" s="2"/>
      <x:c r="C482" s="2"/>
      <x:c r="D482" s="2"/>
      <x:c r="E482" s="2"/>
      <x:c r="F482" s="97"/>
      <x:c r="G482" s="98"/>
      <x:c r="H482" s="2"/>
      <x:c r="I482" s="97"/>
      <x:c r="J482" s="97"/>
      <x:c r="K482" s="2"/>
      <x:c r="L482" s="2"/>
      <x:c r="M482" s="2"/>
      <x:c r="N482" s="2"/>
      <x:c r="O482" s="2"/>
      <x:c r="P482" s="2"/>
    </x:row>
    <x:row r="483">
      <x:c r="A483" s="2"/>
      <x:c r="B483" s="2"/>
      <x:c r="C483" s="2"/>
      <x:c r="D483" s="2"/>
      <x:c r="E483" s="2"/>
      <x:c r="F483" s="97"/>
      <x:c r="G483" s="98"/>
      <x:c r="H483" s="2"/>
      <x:c r="I483" s="97"/>
      <x:c r="J483" s="97"/>
      <x:c r="K483" s="2"/>
      <x:c r="L483" s="2"/>
      <x:c r="M483" s="2"/>
      <x:c r="N483" s="2"/>
      <x:c r="O483" s="2"/>
      <x:c r="P483" s="2"/>
    </x:row>
    <x:row r="484">
      <x:c r="A484" s="2"/>
      <x:c r="B484" s="2"/>
      <x:c r="C484" s="2"/>
      <x:c r="D484" s="2"/>
      <x:c r="E484" s="2"/>
      <x:c r="F484" s="97"/>
      <x:c r="G484" s="98"/>
      <x:c r="H484" s="2"/>
      <x:c r="I484" s="97"/>
      <x:c r="J484" s="97"/>
      <x:c r="K484" s="2"/>
      <x:c r="L484" s="2"/>
      <x:c r="M484" s="2"/>
      <x:c r="N484" s="2"/>
      <x:c r="O484" s="2"/>
      <x:c r="P484" s="2"/>
    </x:row>
    <x:row r="485">
      <x:c r="A485" s="2"/>
      <x:c r="B485" s="2"/>
      <x:c r="C485" s="2"/>
      <x:c r="D485" s="2"/>
      <x:c r="E485" s="2"/>
      <x:c r="F485" s="97"/>
      <x:c r="G485" s="98"/>
      <x:c r="H485" s="2"/>
      <x:c r="I485" s="97"/>
      <x:c r="J485" s="97"/>
      <x:c r="K485" s="2"/>
      <x:c r="L485" s="2"/>
      <x:c r="M485" s="2"/>
      <x:c r="N485" s="2"/>
      <x:c r="O485" s="2"/>
      <x:c r="P485" s="2"/>
    </x:row>
    <x:row r="486">
      <x:c r="A486" s="2"/>
      <x:c r="B486" s="2"/>
      <x:c r="C486" s="2"/>
      <x:c r="D486" s="2"/>
      <x:c r="E486" s="2"/>
      <x:c r="F486" s="97"/>
      <x:c r="G486" s="98"/>
      <x:c r="H486" s="2"/>
      <x:c r="I486" s="97"/>
      <x:c r="J486" s="97"/>
      <x:c r="K486" s="2"/>
      <x:c r="L486" s="2"/>
      <x:c r="M486" s="2"/>
      <x:c r="N486" s="2"/>
      <x:c r="O486" s="2"/>
      <x:c r="P486" s="2"/>
    </x:row>
    <x:row r="487">
      <x:c r="A487" s="2"/>
      <x:c r="B487" s="2"/>
      <x:c r="C487" s="2"/>
      <x:c r="D487" s="2"/>
      <x:c r="E487" s="2"/>
      <x:c r="F487" s="97"/>
      <x:c r="G487" s="98"/>
      <x:c r="H487" s="2"/>
      <x:c r="I487" s="97"/>
      <x:c r="J487" s="97"/>
      <x:c r="K487" s="2"/>
      <x:c r="L487" s="2"/>
      <x:c r="M487" s="2"/>
      <x:c r="N487" s="2"/>
      <x:c r="O487" s="2"/>
      <x:c r="P487" s="2"/>
    </x:row>
    <x:row r="488">
      <x:c r="A488" s="2"/>
      <x:c r="B488" s="2"/>
      <x:c r="C488" s="2"/>
      <x:c r="D488" s="2"/>
      <x:c r="E488" s="2"/>
      <x:c r="F488" s="97"/>
      <x:c r="G488" s="98"/>
      <x:c r="H488" s="2"/>
      <x:c r="I488" s="97"/>
      <x:c r="J488" s="97"/>
      <x:c r="K488" s="2"/>
      <x:c r="L488" s="2"/>
      <x:c r="M488" s="2"/>
      <x:c r="N488" s="2"/>
      <x:c r="O488" s="2"/>
      <x:c r="P488" s="2"/>
    </x:row>
    <x:row r="489">
      <x:c r="A489" s="2"/>
      <x:c r="B489" s="2"/>
      <x:c r="C489" s="2"/>
      <x:c r="D489" s="2"/>
      <x:c r="E489" s="2"/>
      <x:c r="F489" s="97"/>
      <x:c r="G489" s="98"/>
      <x:c r="H489" s="2"/>
      <x:c r="I489" s="97"/>
      <x:c r="J489" s="97"/>
      <x:c r="K489" s="2"/>
      <x:c r="L489" s="2"/>
      <x:c r="M489" s="2"/>
      <x:c r="N489" s="2"/>
      <x:c r="O489" s="2"/>
      <x:c r="P489" s="2"/>
    </x:row>
    <x:row r="490">
      <x:c r="A490" s="2"/>
      <x:c r="B490" s="2"/>
      <x:c r="C490" s="2"/>
      <x:c r="D490" s="2"/>
      <x:c r="E490" s="2"/>
      <x:c r="F490" s="97"/>
      <x:c r="G490" s="98"/>
      <x:c r="H490" s="2"/>
      <x:c r="I490" s="97"/>
      <x:c r="J490" s="97"/>
      <x:c r="K490" s="2"/>
      <x:c r="L490" s="2"/>
      <x:c r="M490" s="2"/>
      <x:c r="N490" s="2"/>
      <x:c r="O490" s="2"/>
      <x:c r="P490" s="2"/>
    </x:row>
    <x:row r="491">
      <x:c r="A491" s="2"/>
      <x:c r="B491" s="2"/>
      <x:c r="C491" s="2"/>
      <x:c r="D491" s="2"/>
      <x:c r="E491" s="2"/>
      <x:c r="F491" s="97"/>
      <x:c r="G491" s="98"/>
      <x:c r="H491" s="2"/>
      <x:c r="I491" s="97"/>
      <x:c r="J491" s="97"/>
      <x:c r="K491" s="2"/>
      <x:c r="L491" s="2"/>
      <x:c r="M491" s="2"/>
      <x:c r="N491" s="2"/>
      <x:c r="O491" s="2"/>
      <x:c r="P491" s="2"/>
    </x:row>
    <x:row r="492">
      <x:c r="A492" s="2"/>
      <x:c r="B492" s="2"/>
      <x:c r="C492" s="2"/>
      <x:c r="D492" s="2"/>
      <x:c r="E492" s="2"/>
      <x:c r="F492" s="97"/>
      <x:c r="G492" s="98"/>
      <x:c r="H492" s="2"/>
      <x:c r="I492" s="97"/>
      <x:c r="J492" s="97"/>
      <x:c r="K492" s="2"/>
      <x:c r="L492" s="2"/>
      <x:c r="M492" s="2"/>
      <x:c r="N492" s="2"/>
      <x:c r="O492" s="2"/>
      <x:c r="P492" s="2"/>
    </x:row>
    <x:row r="493">
      <x:c r="A493" s="2"/>
      <x:c r="B493" s="2"/>
      <x:c r="C493" s="2"/>
      <x:c r="D493" s="2"/>
      <x:c r="E493" s="2"/>
      <x:c r="F493" s="97"/>
      <x:c r="G493" s="98"/>
      <x:c r="H493" s="2"/>
      <x:c r="I493" s="97"/>
      <x:c r="J493" s="97"/>
      <x:c r="K493" s="2"/>
      <x:c r="L493" s="2"/>
      <x:c r="M493" s="2"/>
      <x:c r="N493" s="2"/>
      <x:c r="O493" s="2"/>
      <x:c r="P493" s="2"/>
    </x:row>
    <x:row r="494">
      <x:c r="A494" s="2"/>
      <x:c r="B494" s="2"/>
      <x:c r="C494" s="2"/>
      <x:c r="D494" s="2"/>
      <x:c r="E494" s="2"/>
      <x:c r="F494" s="97"/>
      <x:c r="G494" s="98"/>
      <x:c r="H494" s="2"/>
      <x:c r="I494" s="97"/>
      <x:c r="J494" s="97"/>
      <x:c r="K494" s="2"/>
      <x:c r="L494" s="2"/>
      <x:c r="M494" s="2"/>
      <x:c r="N494" s="2"/>
      <x:c r="O494" s="2"/>
      <x:c r="P494" s="2"/>
    </x:row>
    <x:row r="495">
      <x:c r="A495" s="2"/>
      <x:c r="B495" s="2"/>
      <x:c r="C495" s="2"/>
      <x:c r="D495" s="2"/>
      <x:c r="E495" s="2"/>
      <x:c r="F495" s="97"/>
      <x:c r="G495" s="98"/>
      <x:c r="H495" s="2"/>
      <x:c r="I495" s="97"/>
      <x:c r="J495" s="97"/>
      <x:c r="K495" s="2"/>
      <x:c r="L495" s="2"/>
      <x:c r="M495" s="2"/>
      <x:c r="N495" s="2"/>
      <x:c r="O495" s="2"/>
      <x:c r="P495" s="2"/>
    </x:row>
    <x:row r="496">
      <x:c r="A496" s="2"/>
      <x:c r="B496" s="2"/>
      <x:c r="C496" s="2"/>
      <x:c r="D496" s="2"/>
      <x:c r="E496" s="2"/>
      <x:c r="F496" s="97"/>
      <x:c r="G496" s="98"/>
      <x:c r="H496" s="2"/>
      <x:c r="I496" s="97"/>
      <x:c r="J496" s="97"/>
      <x:c r="K496" s="2"/>
      <x:c r="L496" s="2"/>
      <x:c r="M496" s="2"/>
      <x:c r="N496" s="2"/>
      <x:c r="O496" s="2"/>
      <x:c r="P496" s="2"/>
    </x:row>
    <x:row r="497">
      <x:c r="A497" s="2"/>
      <x:c r="B497" s="2"/>
      <x:c r="C497" s="2"/>
      <x:c r="D497" s="2"/>
      <x:c r="E497" s="2"/>
      <x:c r="F497" s="97"/>
      <x:c r="G497" s="98"/>
      <x:c r="H497" s="2"/>
      <x:c r="I497" s="97"/>
      <x:c r="J497" s="97"/>
      <x:c r="K497" s="2"/>
      <x:c r="L497" s="2"/>
      <x:c r="M497" s="2"/>
      <x:c r="N497" s="2"/>
      <x:c r="O497" s="2"/>
      <x:c r="P497" s="2"/>
    </x:row>
    <x:row r="498">
      <x:c r="A498" s="2"/>
      <x:c r="B498" s="2"/>
      <x:c r="C498" s="2"/>
      <x:c r="D498" s="2"/>
      <x:c r="E498" s="2"/>
      <x:c r="F498" s="97"/>
      <x:c r="G498" s="98"/>
      <x:c r="H498" s="2"/>
      <x:c r="I498" s="97"/>
      <x:c r="J498" s="97"/>
      <x:c r="K498" s="2"/>
      <x:c r="L498" s="2"/>
      <x:c r="M498" s="2"/>
      <x:c r="N498" s="2"/>
      <x:c r="O498" s="2"/>
      <x:c r="P498" s="2"/>
    </x:row>
    <x:row r="499">
      <x:c r="A499" s="2"/>
      <x:c r="B499" s="2"/>
      <x:c r="C499" s="2"/>
      <x:c r="D499" s="2"/>
      <x:c r="E499" s="2"/>
      <x:c r="F499" s="97"/>
      <x:c r="G499" s="98"/>
      <x:c r="H499" s="2"/>
      <x:c r="I499" s="97"/>
      <x:c r="J499" s="97"/>
      <x:c r="K499" s="2"/>
      <x:c r="L499" s="2"/>
      <x:c r="M499" s="2"/>
      <x:c r="N499" s="2"/>
      <x:c r="O499" s="2"/>
      <x:c r="P499" s="2"/>
    </x:row>
    <x:row r="500">
      <x:c r="A500" s="2"/>
      <x:c r="B500" s="2"/>
      <x:c r="C500" s="2"/>
      <x:c r="D500" s="2"/>
      <x:c r="E500" s="2"/>
      <x:c r="F500" s="97"/>
      <x:c r="G500" s="98"/>
      <x:c r="H500" s="2"/>
      <x:c r="I500" s="97"/>
      <x:c r="J500" s="97"/>
      <x:c r="K500" s="2"/>
      <x:c r="L500" s="2"/>
      <x:c r="M500" s="2"/>
      <x:c r="N500" s="2"/>
      <x:c r="O500" s="2"/>
      <x:c r="P500" s="2"/>
    </x:row>
  </x:sheetData>
  <x:mergeCells>
    <x:mergeCell ref="A1:P1"/>
  </x:mergeCells>
  <x:dataValidations count="2">
    <x:dataValidation type="list" sqref="H4:H500">
      <x:formula1>"Excellent,Good,Fair,Repair,Replace"</x:formula1>
    </x:dataValidation>
    <x:dataValidation type="list" sqref="O4:O500">
      <x:formula1>"Yes,No"</x:formula1>
    </x:dataValidation>
  </x:dataValidation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17" hidden="0" customWidth="1"/>
  </x:cols>
  <x:sheetData>
    <x:row r="1" ht="34" customHeight="1">
      <x:c r="A1" s="63" t="str">
        <x:v>THE HASTINGS FAMILY HUNTING LEGACY</x:v>
      </x:c>
    </x:row>
    <x:row r="3" ht="22" customHeight="1">
      <x:c r="A3" s="72" t="str">
        <x:v>Family hunting mission</x:v>
      </x:c>
      <x:c r="B3" s="72"/>
      <x:c r="C3" s="72"/>
      <x:c r="D3" s="72"/>
      <x:c r="E3" s="72"/>
      <x:c r="F3" s="72"/>
      <x:c r="G3" s="72"/>
      <x:c r="H3" s="72"/>
    </x:row>
    <x:row r="4">
      <x:c r="A4" s="103" t="str">
        <x:v>Our goal is not simply to harvest animals. Our goal is to steward God's creation, spend meaningful time together, learn new places, develop perseverance and practical skill, and build a family legacy of faith, hard work, adventure, gratitude, and service. We measure success by the memories, character, and relationships we build together—not only by the tags we fill.</x:v>
      </x:c>
      <x:c r="B4" s="103"/>
      <x:c r="C4" s="103"/>
      <x:c r="D4" s="103"/>
      <x:c r="E4" s="103"/>
      <x:c r="F4" s="103"/>
      <x:c r="G4" s="103"/>
      <x:c r="H4" s="103"/>
    </x:row>
    <x:row r="5">
      <x:c r="A5" s="103"/>
      <x:c r="B5" s="103"/>
      <x:c r="C5" s="103"/>
      <x:c r="D5" s="103"/>
      <x:c r="E5" s="103"/>
      <x:c r="F5" s="103"/>
      <x:c r="G5" s="103"/>
      <x:c r="H5" s="103"/>
    </x:row>
    <x:row r="6">
      <x:c r="A6" s="103"/>
      <x:c r="B6" s="103"/>
      <x:c r="C6" s="103"/>
      <x:c r="D6" s="103"/>
      <x:c r="E6" s="103"/>
      <x:c r="F6" s="103"/>
      <x:c r="G6" s="103"/>
      <x:c r="H6" s="103"/>
    </x:row>
    <x:row r="7">
      <x:c r="A7" s="103"/>
      <x:c r="B7" s="103"/>
      <x:c r="C7" s="103"/>
      <x:c r="D7" s="103"/>
      <x:c r="E7" s="103"/>
      <x:c r="F7" s="103"/>
      <x:c r="G7" s="103"/>
      <x:c r="H7" s="103"/>
    </x:row>
    <x:row r="8">
      <x:c r="A8" s="103"/>
      <x:c r="B8" s="103"/>
      <x:c r="C8" s="103"/>
      <x:c r="D8" s="103"/>
      <x:c r="E8" s="103"/>
      <x:c r="F8" s="103"/>
      <x:c r="G8" s="103"/>
      <x:c r="H8" s="103"/>
    </x:row>
    <x:row r="10" ht="22" customHeight="1">
      <x:c r="A10" s="72" t="str">
        <x:v>Principles to pass on</x:v>
      </x:c>
      <x:c r="B10" s="72"/>
      <x:c r="C10" s="72"/>
      <x:c r="D10" s="72"/>
      <x:c r="E10" s="72"/>
      <x:c r="F10" s="72"/>
      <x:c r="G10" s="72"/>
      <x:c r="H10" s="72"/>
    </x:row>
    <x:row r="11">
      <x:c r="A11" s="75" t="str">
        <x:v>1</x:v>
      </x:c>
      <x:c r="B11" s="104" t="str">
        <x:v>Honor God and care for creation.</x:v>
      </x:c>
    </x:row>
    <x:row r="12">
      <x:c r="A12" s="75" t="str">
        <x:v>2</x:v>
      </x:c>
      <x:c r="B12" s="104" t="str">
        <x:v>Respect the animal, the land, landowners, and other hunters.</x:v>
      </x:c>
    </x:row>
    <x:row r="13">
      <x:c r="A13" s="75" t="str">
        <x:v>3</x:v>
      </x:c>
      <x:c r="B13" s="104" t="str">
        <x:v>Prepare thoroughly, work hard, and stay humble.</x:v>
      </x:c>
    </x:row>
    <x:row r="14">
      <x:c r="A14" s="75" t="str">
        <x:v>4</x:v>
      </x:c>
      <x:c r="B14" s="104" t="str">
        <x:v>Leave every camp and trail better than we found it.</x:v>
      </x:c>
    </x:row>
    <x:row r="15">
      <x:c r="A15" s="75" t="str">
        <x:v>5</x:v>
      </x:c>
      <x:c r="B15" s="104" t="str">
        <x:v>Help youth and new hunters grow safely and confidently.</x:v>
      </x:c>
    </x:row>
    <x:row r="16">
      <x:c r="A16" s="75" t="str">
        <x:v>6</x:v>
      </x:c>
      <x:c r="B16" s="104" t="str">
        <x:v>Enjoy the sunrise, the campfire, and the people—not just the harvest.</x:v>
      </x:c>
    </x:row>
    <x:row r="17">
      <x:c r="A17" s="75" t="str">
        <x:v>7</x:v>
      </x:c>
      <x:c r="B17" s="104" t="str">
        <x:v>Write down the stories so the next generation knows where it came from.</x:v>
      </x:c>
    </x:row>
    <x:row r="19" ht="22" customHeight="1">
      <x:c r="A19" s="72" t="str">
        <x:v>Annual legacy entries</x:v>
      </x:c>
      <x:c r="B19" s="72"/>
      <x:c r="C19" s="72"/>
      <x:c r="D19" s="72"/>
      <x:c r="E19" s="72"/>
      <x:c r="F19" s="72"/>
      <x:c r="G19" s="72"/>
      <x:c r="H19" s="72"/>
    </x:row>
    <x:row r="20">
      <x:c r="A20" s="89" t="str">
        <x:v>Year</x:v>
      </x:c>
      <x:c r="B20" s="89" t="str">
        <x:v>Who Was There</x:v>
      </x:c>
      <x:c r="C20" s="89" t="str">
        <x:v>Hunt / Place</x:v>
      </x:c>
      <x:c r="D20" s="89" t="str">
        <x:v>What Happened</x:v>
      </x:c>
      <x:c r="E20" s="89" t="str">
        <x:v>Favorite Story</x:v>
      </x:c>
      <x:c r="F20" s="89" t="str">
        <x:v>Lesson Passed On</x:v>
      </x:c>
      <x:c r="G20" s="89" t="str">
        <x:v>Photo / Link</x:v>
      </x:c>
      <x:c r="H20" s="89" t="str">
        <x:v>Written By</x:v>
      </x:c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mergeCells>
    <x:mergeCell ref="A1:H1"/>
    <x:mergeCell ref="A3:H3"/>
    <x:mergeCell ref="A4:H8"/>
    <x:mergeCell ref="A10:H10"/>
    <x:mergeCell ref="A19:H19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3" hidden="0" customWidth="1"/>
    <x:col min="3" max="3" width="25" hidden="0" customWidth="1"/>
    <x:col min="4" max="4" width="18" hidden="0" customWidth="1"/>
    <x:col min="5" max="5" width="55" hidden="0" customWidth="1"/>
    <x:col min="6" max="6" width="12" hidden="0" customWidth="1"/>
  </x:cols>
  <x:sheetData>
    <x:row r="1">
      <x:c r="A1" s="155" t="str">
        <x:v>Hastings Family Hunt Preferences — V5</x:v>
      </x:c>
      <x:c r="B1" s="155"/>
      <x:c r="C1" s="155"/>
      <x:c r="D1" s="155"/>
      <x:c r="E1" s="155"/>
      <x:c r="F1" s="155"/>
    </x:row>
    <x:row r="2">
      <x:c r="A2" s="2"/>
      <x:c r="B2" s="2"/>
      <x:c r="C2" s="2"/>
      <x:c r="D2" s="2"/>
      <x:c r="E2" s="2"/>
      <x:c r="F2" s="2"/>
    </x:row>
    <x:row r="3">
      <x:c r="A3" s="150" t="str">
        <x:v>Rule</x:v>
      </x:c>
      <x:c r="B3" s="150" t="str">
        <x:v>Applies When</x:v>
      </x:c>
      <x:c r="C3" s="150" t="str">
        <x:v>Priority Effect</x:v>
      </x:c>
      <x:c r="D3" s="150" t="str">
        <x:v>Score Adjustment</x:v>
      </x:c>
      <x:c r="E3" s="150" t="str">
        <x:v>Reason</x:v>
      </x:c>
      <x:c r="F3" s="150" t="str">
        <x:v>Status</x:v>
      </x:c>
    </x:row>
    <x:row r="4">
      <x:c r="A4" s="2" t="str">
        <x:v>Distant archery whitetail</x:v>
      </x:c>
      <x:c r="B4" s="2" t="str">
        <x:v>Whitetail + Archery + distance &gt;200 miles</x:v>
      </x:c>
      <x:c r="C4" s="2" t="str">
        <x:v>Adult C; Youth B</x:v>
      </x:c>
      <x:c r="D4" s="2" t="n">
        <x:v>-1</x:v>
      </x:c>
      <x:c r="E4" s="2" t="str">
        <x:v>Long-distance whitetail archery is less appealing than western spot-and-stalk</x:v>
      </x:c>
      <x:c r="F4" s="2" t="str">
        <x:v>Active</x:v>
      </x:c>
    </x:row>
    <x:row r="5">
      <x:c r="A5" s="2" t="str">
        <x:v>Archery mule deer</x:v>
      </x:c>
      <x:c r="B5" s="2" t="str">
        <x:v>Mule Deer + Archery, statewide</x:v>
      </x:c>
      <x:c r="C5" s="2" t="str">
        <x:v>A</x:v>
      </x:c>
      <x:c r="D5" s="2" t="n">
        <x:v>1</x:v>
      </x:c>
      <x:c r="E5" s="2" t="str">
        <x:v>Public-land mule deer stalking is a preferred experience</x:v>
      </x:c>
      <x:c r="F5" s="2" t="str">
        <x:v>Active</x:v>
      </x:c>
    </x:row>
    <x:row r="6">
      <x:c r="A6" s="2" t="str">
        <x:v>Youth protection</x:v>
      </x:c>
      <x:c r="B6" s="2" t="str">
        <x:v>Distant archery whitetail also eligible for youth</x:v>
      </x:c>
      <x:c r="C6" s="2" t="str">
        <x:v>Never below B</x:v>
      </x:c>
      <x:c r="D6" s="2" t="n">
        <x:v>0</x:v>
      </x:c>
      <x:c r="E6" s="2" t="str">
        <x:v>Youth opportunity remains valuable despite lower hunt-style preference</x:v>
      </x:c>
      <x:c r="F6" s="2" t="str">
        <x:v>Active</x:v>
      </x:c>
    </x:row>
    <x:row r="7">
      <x:c r="A7" s="2"/>
      <x:c r="B7" s="2"/>
      <x:c r="C7" s="2"/>
      <x:c r="D7" s="2"/>
      <x:c r="E7" s="2"/>
      <x:c r="F7" s="2"/>
    </x:row>
    <x:row r="8">
      <x:c r="A8" s="150" t="str">
        <x:v>V5 Link</x:v>
      </x:c>
      <x:c r="B8" s="150" t="str">
        <x:v>Purpose</x:v>
      </x:c>
      <x:c r="C8" s="150" t="str">
        <x:v>Use</x:v>
      </x:c>
      <x:c r="D8" s="2"/>
      <x:c r="E8" s="2"/>
      <x:c r="F8" s="2"/>
    </x:row>
    <x:row r="9">
      <x:c r="A9" s="2" t="str">
        <x:v>Official Category Link</x:v>
      </x:c>
      <x:c r="B9" s="2" t="str">
        <x:v>Official TPWD category page</x:v>
      </x:c>
      <x:c r="C9" s="2" t="str">
        <x:v>Dates, fees, permits and area listing</x:v>
      </x:c>
      <x:c r="D9" s="2"/>
      <x:c r="E9" s="2"/>
      <x:c r="F9" s="2"/>
    </x:row>
    <x:row r="10">
      <x:c r="A10" s="2" t="str">
        <x:v>TPWD Area / Brochure Search</x:v>
      </x:c>
      <x:c r="B10" s="2" t="str">
        <x:v>Official TPWD site search</x:v>
      </x:c>
      <x:c r="C10" s="2" t="str">
        <x:v>Find property page, area details and brochure PDF</x:v>
      </x:c>
      <x:c r="D10" s="2"/>
      <x:c r="E10" s="2"/>
      <x:c r="F10" s="2"/>
    </x:row>
    <x:row r="11">
      <x:c r="A11" s="2" t="str">
        <x:v>TPWD Apply Portal</x:v>
      </x:c>
      <x:c r="B11" s="2" t="str">
        <x:v>Official TPWD application portal</x:v>
      </x:c>
      <x:c r="C11" s="2" t="str">
        <x:v>Sign in and submit the application</x:v>
      </x:c>
      <x:c r="D11" s="2"/>
      <x:c r="E11" s="2"/>
      <x:c r="F11" s="2"/>
    </x:row>
    <x:row r="12">
      <x:c r="A12" s="2" t="str">
        <x:v>Google Maps</x:v>
      </x:c>
      <x:c r="B12" s="2" t="str">
        <x:v>Travel orientation</x:v>
      </x:c>
      <x:c r="C12" s="2" t="str">
        <x:v>Approximate location only; verify official boundaries</x:v>
      </x:c>
      <x:c r="D12" s="2"/>
      <x:c r="E12" s="2"/>
      <x:c r="F12" s="2"/>
    </x:row>
    <x:row r="13">
      <x:c r="A13" s="2" t="str">
        <x:v>Preference Adjustment</x:v>
      </x:c>
      <x:c r="B13" s="2" t="str">
        <x:v>Shows V5 scoring change</x:v>
      </x:c>
      <x:c r="C13" s="2" t="str">
        <x:v>+1 mule archery; -1 distant archery whitetail</x:v>
      </x:c>
      <x:c r="D13" s="2"/>
      <x:c r="E13" s="2"/>
      <x:c r="F13" s="2"/>
    </x:row>
  </x:sheetData>
  <x:mergeCells>
    <x:mergeCell ref="A1:F1"/>
  </x:mergeCells>
  <x:pageMargins left="0.7" right="0.7" top="0.75" bottom="0.75" header="0.3" footer="0.3"/>
</x:worksheet>
</file>