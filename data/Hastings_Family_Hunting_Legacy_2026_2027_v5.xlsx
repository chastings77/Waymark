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est Bets" sheetId="2" r:id="rId6"/>
    <sheet state="visible" name="Master Hunt List" sheetId="3" r:id="rId7"/>
    <sheet state="visible" name="Youth Priority" sheetId="4" r:id="rId8"/>
    <sheet state="visible" name="Application Calendar" sheetId="5" r:id="rId9"/>
    <sheet state="visible" name="Draw Odds" sheetId="6" r:id="rId10"/>
    <sheet state="visible" name="Budget Planner" sheetId="7" r:id="rId11"/>
    <sheet state="visible" name="Hastings Hunt History" sheetId="8" r:id="rId12"/>
    <sheet state="visible" name="Whitetail Deer" sheetId="9" r:id="rId13"/>
    <sheet state="visible" name="Mule Deer" sheetId="10" r:id="rId14"/>
    <sheet state="visible" name="Feral Hog" sheetId="11" r:id="rId15"/>
    <sheet state="visible" name="Turkey" sheetId="12" r:id="rId16"/>
    <sheet state="visible" name="Waterfowl Upland" sheetId="13" r:id="rId17"/>
    <sheet state="visible" name="Pronghorn Exotics" sheetId="14" r:id="rId18"/>
    <sheet state="visible" name="Sources &amp; Assumptions" sheetId="15" r:id="rId19"/>
    <sheet state="visible" name="Lists" sheetId="16" r:id="rId20"/>
    <sheet state="visible" name="Application Dashboard" sheetId="17" r:id="rId21"/>
    <sheet state="visible" name="Start Here" sheetId="18" r:id="rId22"/>
    <sheet state="visible" name="Lifetime Dashboard" sheetId="19" r:id="rId23"/>
    <sheet state="visible" name="Annual Strategy" sheetId="20" r:id="rId24"/>
    <sheet state="visible" name="State Points" sheetId="21" r:id="rId25"/>
    <sheet state="visible" name="State Applications" sheetId="22" r:id="rId26"/>
    <sheet state="visible" name="Dream Hunts" sheetId="23" r:id="rId27"/>
    <sheet state="visible" name="Dream Hunt Fund" sheetId="24" r:id="rId28"/>
    <sheet state="visible" name="Hunt Journal" sheetId="25" r:id="rId29"/>
    <sheet state="visible" name="Camp &amp; Scouting" sheetId="26" r:id="rId30"/>
    <sheet state="visible" name="Gear Inventory" sheetId="27" r:id="rId31"/>
    <sheet state="visible" name="Family Legacy" sheetId="28" r:id="rId32"/>
    <sheet state="visible" name="Hastings Preferences" sheetId="29" r:id="rId33"/>
  </sheets>
  <definedNames/>
  <calcPr/>
</workbook>
</file>

<file path=xl/sharedStrings.xml><?xml version="1.0" encoding="utf-8"?>
<sst xmlns="http://schemas.openxmlformats.org/spreadsheetml/2006/main" count="16662" uniqueCount="1069">
  <si>
    <t>Hastings Family Texas Draw Planner 2026-2027 — Statewide V4</t>
  </si>
  <si>
    <t>Statewide deer database added: use Master Hunt List to apply and track every verified TPWD deer opportunity.</t>
  </si>
  <si>
    <t>Apply?</t>
  </si>
  <si>
    <t>Applied</t>
  </si>
  <si>
    <t>Metric</t>
  </si>
  <si>
    <t>Priority</t>
  </si>
  <si>
    <t>Species Group</t>
  </si>
  <si>
    <t>Hunt Area</t>
  </si>
  <si>
    <t>Hunt Category</t>
  </si>
  <si>
    <t>Deadline</t>
  </si>
  <si>
    <t>Approx Miles</t>
  </si>
  <si>
    <t>Draw Odds</t>
  </si>
  <si>
    <t>Permits</t>
  </si>
  <si>
    <t>Formula</t>
  </si>
  <si>
    <t>Applicants</t>
  </si>
  <si>
    <t>Value</t>
  </si>
  <si>
    <t>Notes</t>
  </si>
  <si>
    <t>Region</t>
  </si>
  <si>
    <t>Source URL</t>
  </si>
  <si>
    <t>Quick Links</t>
  </si>
  <si>
    <t>Sheet</t>
  </si>
  <si>
    <t>Adult</t>
  </si>
  <si>
    <t>Youth</t>
  </si>
  <si>
    <t>Application Deadline</t>
  </si>
  <si>
    <t>Hunt Window</t>
  </si>
  <si>
    <t>Application Fee</t>
  </si>
  <si>
    <t>Estimated Permit Fee</t>
  </si>
  <si>
    <t>Permits/Groups</t>
  </si>
  <si>
    <t>Applicants Last Year</t>
  </si>
  <si>
    <t>Approx Miles from Amarillo</t>
  </si>
  <si>
    <t>Drive Zone</t>
  </si>
  <si>
    <t>Camping Notes</t>
  </si>
  <si>
    <t>Backpack Rating</t>
  </si>
  <si>
    <t>Past Drawn by Hastings</t>
  </si>
  <si>
    <t>Odds Score</t>
  </si>
  <si>
    <t>Distance Score</t>
  </si>
  <si>
    <t>Youth Fit Score</t>
  </si>
  <si>
    <t>Camping Score</t>
  </si>
  <si>
    <t>Backpack Score</t>
  </si>
  <si>
    <t>No</t>
  </si>
  <si>
    <t>Past Draw Bonus</t>
  </si>
  <si>
    <t>Total hunt/application rows</t>
  </si>
  <si>
    <t>Hastings Score</t>
  </si>
  <si>
    <t>Estimated Total If Drawn</t>
  </si>
  <si>
    <t>A</t>
  </si>
  <si>
    <t>Deadline Month</t>
  </si>
  <si>
    <t>Mule Deer</t>
  </si>
  <si>
    <t>Applicant(s)</t>
  </si>
  <si>
    <t>Big Bend Ranch SP</t>
  </si>
  <si>
    <t>Date Applied</t>
  </si>
  <si>
    <t>Archery Mule Deer</t>
  </si>
  <si>
    <t>TPWD Confirmation #</t>
  </si>
  <si>
    <t>2026-08-15</t>
  </si>
  <si>
    <t>Draw Status</t>
  </si>
  <si>
    <t>Draw Result Date</t>
  </si>
  <si>
    <t>Harvest/Outcome</t>
  </si>
  <si>
    <t>Post-Hunt Notes</t>
  </si>
  <si>
    <t>Official Category Link</t>
  </si>
  <si>
    <t>TPWD Area / Brochure Search</t>
  </si>
  <si>
    <t>Verified in TPWD 2026-2027 statewide deer category catalog. West Texas/El Paso-region opportunity; prioritize for mule deer adventure value.</t>
  </si>
  <si>
    <t>TPWD Apply Portal</t>
  </si>
  <si>
    <t>https://tpwd.texas.gov/huntwild/hunt/public/public_hunt_drawing/hunt-category-details.phtml?OCat=AMD</t>
  </si>
  <si>
    <t>Google Maps</t>
  </si>
  <si>
    <t>Preference Adjustment</t>
  </si>
  <si>
    <t>Priority Reason</t>
  </si>
  <si>
    <t>Start here</t>
  </si>
  <si>
    <t>Best Bets</t>
  </si>
  <si>
    <t>Youth opportunities</t>
  </si>
  <si>
    <t>Trans-Pecos / West Texas</t>
  </si>
  <si>
    <t>Yes</t>
  </si>
  <si>
    <t>Black Gap WMA</t>
  </si>
  <si>
    <t>See TPWD category page</t>
  </si>
  <si>
    <t>Full tracker</t>
  </si>
  <si>
    <t>Master Hunt List</t>
  </si>
  <si>
    <t>Statewide</t>
  </si>
  <si>
    <t>Research before draw; property brochure linked from TPWD</t>
  </si>
  <si>
    <t>High</t>
  </si>
  <si>
    <t>Verified in TPWD 2026-2027 statewide deer category catalog. West Texas/El Paso-region opportunity; prioritize for mule deer adventure value. V5 preference rule: High priority: public-land archery mule deer fits spot-and-stalk preference.</t>
  </si>
  <si>
    <t>Core/DFW hunts &lt;=400 miles</t>
  </si>
  <si>
    <t>Youth only</t>
  </si>
  <si>
    <t>Elephant Mountain WMA</t>
  </si>
  <si>
    <t>Youth Priority</t>
  </si>
  <si>
    <t>Stretch hunts &gt;400 miles</t>
  </si>
  <si>
    <t>https://tpwd.texas.gov/search/?q=Big+Bend+Ranch+SP+public+hunting+brochure</t>
  </si>
  <si>
    <t>https://apps.tpwd.state.tx.us/huntwild/hunt/public/public_hunt_drawing/</t>
  </si>
  <si>
    <t>https://www.google.com/maps/search/?api=1&amp;query=Big+Bend+Ranch+SP%2C+Texas</t>
  </si>
  <si>
    <t>Calendar</t>
  </si>
  <si>
    <t>Application Calendar</t>
  </si>
  <si>
    <t>High priority: public-land archery mule deer fits spot-and-stalk preference</t>
  </si>
  <si>
    <t>Matador WMA</t>
  </si>
  <si>
    <t>Verified in TPWD 2026-2027 statewide deer category catalog.</t>
  </si>
  <si>
    <t>Applied rows marked Yes</t>
  </si>
  <si>
    <t>Rank</t>
  </si>
  <si>
    <t>Budget</t>
  </si>
  <si>
    <t>Budget Planner</t>
  </si>
  <si>
    <t>Potter County - Cross Bar Mgt. Area</t>
  </si>
  <si>
    <t>Application fees marked Yes</t>
  </si>
  <si>
    <t>Recommendation</t>
  </si>
  <si>
    <t>https://tpwd.texas.gov/search/?q=Black+Gap+WMA+public+hunting+brochure</t>
  </si>
  <si>
    <t>https://www.google.com/maps/search/?api=1&amp;query=Black+Gap+WMA%2C+Texas</t>
  </si>
  <si>
    <t>Draw odds</t>
  </si>
  <si>
    <t>Top recommendation</t>
  </si>
  <si>
    <t>Whitetail Deer</t>
  </si>
  <si>
    <t>Abilene SP</t>
  </si>
  <si>
    <t>Archery Deer</t>
  </si>
  <si>
    <t>Caprock Canyons SP</t>
  </si>
  <si>
    <t>Panhandle / Rolling Plains</t>
  </si>
  <si>
    <t>History</t>
  </si>
  <si>
    <t>Youth Gun Deer - Either Sex</t>
  </si>
  <si>
    <t>Hastings Hunt History</t>
  </si>
  <si>
    <t>2026-09-01</t>
  </si>
  <si>
    <t>https://tpwd.texas.gov/huntwild/hunt/public/public_hunt_drawing/hunt-category-details.phtml?OCat=ADE</t>
  </si>
  <si>
    <t>https://tpwd.texas.gov/search/?q=Elephant+Mountain+WMA+public+hunting+brochure</t>
  </si>
  <si>
    <t>Youth priority — apply</t>
  </si>
  <si>
    <t>https://tpwd.texas.gov/huntwild/hunt/public/public_hunt_drawing/hunt-category-details.phtml?OCat=YDE</t>
  </si>
  <si>
    <t>https://www.google.com/maps/search/?api=1&amp;query=Elephant+Mountain+WMA%2C+Texas</t>
  </si>
  <si>
    <t>Applications</t>
  </si>
  <si>
    <t>Application Dashboard</t>
  </si>
  <si>
    <t>Chaparral WMA</t>
  </si>
  <si>
    <t>Lake McClellan Recreation Area</t>
  </si>
  <si>
    <t>Youth Gun Deer - Antlerless/Spike</t>
  </si>
  <si>
    <t>Core</t>
  </si>
  <si>
    <t>2026-09-15</t>
  </si>
  <si>
    <t>Verified in TPWD 2026-2027 statewide deer category catalog. V5 preference rule: High priority: public-land archery mule deer fits spot-and-stalk preference.</t>
  </si>
  <si>
    <t>How to use</t>
  </si>
  <si>
    <t>https://tpwd.texas.gov/huntwild/hunt/public/public_hunt_drawing/hunt-category-details.phtml?OCat=YDA</t>
  </si>
  <si>
    <t>Choke Canyon SP - North Shore Unit</t>
  </si>
  <si>
    <t>https://tpwd.texas.gov/search/?q=Matador+WMA+public+hunting+brochure</t>
  </si>
  <si>
    <t>https://www.google.com/maps/search/?api=1&amp;query=Matador+WMA%2C+Texas</t>
  </si>
  <si>
    <t>1. Review Best Bets and Youth Priority.</t>
  </si>
  <si>
    <t>Apply every year</t>
  </si>
  <si>
    <t>2. In Master Hunt List, change Applied from No to Yes as you submit.</t>
  </si>
  <si>
    <t>Colorado Bend SP</t>
  </si>
  <si>
    <t>Gene Howe WMA</t>
  </si>
  <si>
    <t>3. Watch Budget Planner update from the Applied column.</t>
  </si>
  <si>
    <t>https://tpwd.texas.gov/search/?q=Potter+County+-+Cross+Bar+Mgt.+Area+public+hunting+brochure</t>
  </si>
  <si>
    <t>https://www.google.com/maps/search/?api=1&amp;query=Potter+County+-+Cross+Bar+Mgt.+Area%2C+Texas</t>
  </si>
  <si>
    <t>B</t>
  </si>
  <si>
    <t>West-Central Texas</t>
  </si>
  <si>
    <t>4. After results, add Drawn/Harvest notes in Hunt History.</t>
  </si>
  <si>
    <t>Extended</t>
  </si>
  <si>
    <t>Copper Breaks SP</t>
  </si>
  <si>
    <t>Low</t>
  </si>
  <si>
    <t>Verified in TPWD 2026-2027 statewide deer category catalog. V5 preference rule: Lower priority: archery whitetail is more than 200 miles from Amarillo.</t>
  </si>
  <si>
    <t>New Application Workflow</t>
  </si>
  <si>
    <t>https://tpwd.texas.gov/search/?q=Abilene+SP+public+hunting+brochure</t>
  </si>
  <si>
    <t>https://www.google.com/maps/search/?api=1&amp;query=Abilene+SP%2C+Texas</t>
  </si>
  <si>
    <t>Lower priority: archery whitetail is more than 200 miles from Amarillo</t>
  </si>
  <si>
    <t>1. Work from Application Dashboard or Best Bets.</t>
  </si>
  <si>
    <t>Enchanted Rock SNA</t>
  </si>
  <si>
    <t>South Texas / Rio Grande Valley</t>
  </si>
  <si>
    <t>Taylor Lakes, Playa Lakes WMA</t>
  </si>
  <si>
    <t>2. After submitting on TPWD, update Master Hunt List: Applied, Applicant(s), Date Applied, Confirmation #.</t>
  </si>
  <si>
    <t>Long Haul</t>
  </si>
  <si>
    <t>Fort Boggy SP</t>
  </si>
  <si>
    <t>3. When results post, update Draw Status in Master Hunt List.</t>
  </si>
  <si>
    <t>https://tpwd.texas.gov/search/?q=Chaparral+WMA+public+hunting+brochure</t>
  </si>
  <si>
    <t>https://www.google.com/maps/search/?api=1&amp;query=Chaparral+WMA%2C+Texas</t>
  </si>
  <si>
    <t>4. After a hunt, fill Harvest/Outcome and Post-Hunt Notes.</t>
  </si>
  <si>
    <t>Garner SP</t>
  </si>
  <si>
    <t>Palo Duro Canyon SP</t>
  </si>
  <si>
    <t>https://tpwd.texas.gov/search/?q=Choke+Canyon+SP+-+North+Shore+Unit+public+hunting+brochure</t>
  </si>
  <si>
    <t>https://www.google.com/maps/search/?api=1&amp;query=Choke+Canyon+SP+-+North+Shore+Unit%2C+Texas</t>
  </si>
  <si>
    <t>New sheet added</t>
  </si>
  <si>
    <t>Central Texas / Austin</t>
  </si>
  <si>
    <t>Youth Gun Deer - Management</t>
  </si>
  <si>
    <t>https://tpwd.texas.gov/huntwild/hunt/public/public_hunt_drawing/hunt-category-details.phtml?OCat=YDM</t>
  </si>
  <si>
    <t>New master fields</t>
  </si>
  <si>
    <t>Applicant(s), Date Applied, Confirmation #, Draw Status, Result Date, Harvest/Outcome, Post-Hunt Notes</t>
  </si>
  <si>
    <t>Government Canyon SNA</t>
  </si>
  <si>
    <t>Yoakum Dunes WMA</t>
  </si>
  <si>
    <t>https://tpwd.texas.gov/search/?q=Colorado+Bend+SP+public+hunting+brochure</t>
  </si>
  <si>
    <t>https://www.google.com/maps/search/?api=1&amp;query=Colorado+Bend+SP%2C+Texas</t>
  </si>
  <si>
    <t>Gus Engeling WMA</t>
  </si>
  <si>
    <t>Buffalo Lake NWR</t>
  </si>
  <si>
    <t>National Refuge Youth Deer</t>
  </si>
  <si>
    <t>2026-10-01</t>
  </si>
  <si>
    <t>https://tpwd.texas.gov/huntwild/hunt/public/public_hunt_drawing/hunt-category-details.phtml?OCat=NYD</t>
  </si>
  <si>
    <t>James Daughtrey WMA</t>
  </si>
  <si>
    <t>https://tpwd.texas.gov/search/?q=Copper+Breaks+SP+public+hunting+brochure</t>
  </si>
  <si>
    <t>https://www.google.com/maps/search/?api=1&amp;query=Copper+Breaks+SP%2C+Texas</t>
  </si>
  <si>
    <t>Hill Country / San Antonio</t>
  </si>
  <si>
    <t>Lake Brownwood SP</t>
  </si>
  <si>
    <t>https://tpwd.texas.gov/search/?q=Enchanted+Rock+SNA+public+hunting+brochure</t>
  </si>
  <si>
    <t>Lake Mineral Wells SP</t>
  </si>
  <si>
    <t>https://www.google.com/maps/search/?api=1&amp;query=Enchanted+Rock+SNA%2C+Texas</t>
  </si>
  <si>
    <t>North Texas / DFW</t>
  </si>
  <si>
    <t>Las Palomas WMA - Arroyo Colorado Unit</t>
  </si>
  <si>
    <t>https://tpwd.texas.gov/search/?q=Fort+Boggy+SP+public+hunting+brochure</t>
  </si>
  <si>
    <t>https://www.google.com/maps/search/?api=1&amp;query=Fort+Boggy+SP%2C+Texas</t>
  </si>
  <si>
    <t>Muse WMA</t>
  </si>
  <si>
    <t>https://tpwd.texas.gov/search/?q=Garner+SP+public+hunting+brochure</t>
  </si>
  <si>
    <t>https://www.google.com/maps/search/?api=1&amp;query=Garner+SP%2C+Texas</t>
  </si>
  <si>
    <t>Nannie Stringfellow WMA</t>
  </si>
  <si>
    <t>https://tpwd.texas.gov/search/?q=Gene+Howe+WMA+public+hunting+brochure</t>
  </si>
  <si>
    <t>https://www.google.com/maps/search/?api=1&amp;query=Gene+Howe+WMA%2C+Texas</t>
  </si>
  <si>
    <t>Standard Hastings ranking</t>
  </si>
  <si>
    <t>Post Oak Ridge State Park</t>
  </si>
  <si>
    <t>National Refuge Archery Deer</t>
  </si>
  <si>
    <t>https://tpwd.texas.gov/search/?q=Government+Canyon+SNA+public+hunting+brochure</t>
  </si>
  <si>
    <t>https://www.google.com/maps/search/?api=1&amp;query=Government+Canyon+SNA%2C+Texas</t>
  </si>
  <si>
    <t>https://tpwd.texas.gov/huntwild/hunt/public/public_hunt_drawing/hunt-category-details.phtml?OCat=NAD</t>
  </si>
  <si>
    <t>Statewide / Other</t>
  </si>
  <si>
    <t>Richland Creek WMA - Carl Frentress Unit</t>
  </si>
  <si>
    <t>https://tpwd.texas.gov/search/?q=Gus+Engeling+WMA+public+hunting+brochure</t>
  </si>
  <si>
    <t>https://www.google.com/maps/search/?api=1&amp;query=Gus+Engeling+WMA%2C+Texas</t>
  </si>
  <si>
    <t>Lipscomb County Ranch</t>
  </si>
  <si>
    <t>Private Lands - Either Sex</t>
  </si>
  <si>
    <t>https://tpwd.texas.gov/huntwild/hunt/public/public_hunt_drawing/hunt-category-details.phtml?OCat=PLE</t>
  </si>
  <si>
    <t>Roger Fawcett WMA</t>
  </si>
  <si>
    <t>Muleshoe NWR</t>
  </si>
  <si>
    <t>https://tpwd.texas.gov/search/?q=James+Daughtrey+WMA+public+hunting+brochure</t>
  </si>
  <si>
    <t>https://www.google.com/maps/search/?api=1&amp;query=James+Daughtrey+WMA%2C+Texas</t>
  </si>
  <si>
    <t>San Angelo SP</t>
  </si>
  <si>
    <t>https://tpwd.texas.gov/search/?q=Lake+Brownwood+SP+public+hunting+brochure</t>
  </si>
  <si>
    <t>https://www.google.com/maps/search/?api=1&amp;query=Lake+Brownwood+SP%2C+Texas</t>
  </si>
  <si>
    <t>E-Postcard Deer</t>
  </si>
  <si>
    <t>https://tpwd.texas.gov/huntwild/hunt/public/public_hunt_drawing/hunt-category-details.phtml?OCat=EDR</t>
  </si>
  <si>
    <t>Alazan Bayou WMA</t>
  </si>
  <si>
    <t>Gun Deer - Antlerless/Spike</t>
  </si>
  <si>
    <t>https://tpwd.texas.gov/huntwild/hunt/public/public_hunt_drawing/hunt-category-details.phtml?OCat=GDA</t>
  </si>
  <si>
    <t>https://tpwd.texas.gov/search/?q=Lake+Mineral+Wells+SP+public+hunting+brochure</t>
  </si>
  <si>
    <t>https://www.google.com/maps/search/?api=1&amp;query=Lake+Mineral+Wells+SP%2C+Texas</t>
  </si>
  <si>
    <t>Aransas NWR</t>
  </si>
  <si>
    <t>Gun Deer - Either Sex</t>
  </si>
  <si>
    <t>https://tpwd.texas.gov/huntwild/hunt/public/public_hunt_drawing/hunt-category-details.phtml?OCat=GDE</t>
  </si>
  <si>
    <t>Verified in TPWD 2026-2027 statewide deer category catalog. Refuge-specific rules and permit fees may apply.</t>
  </si>
  <si>
    <t>https://tpwd.texas.gov/search/?q=Las+Palomas+WMA+-+Arroyo+Colorado+Unit+public+hunting+brochure</t>
  </si>
  <si>
    <t>Atlanta SP</t>
  </si>
  <si>
    <t>https://www.google.com/maps/search/?api=1&amp;query=Las+Palomas+WMA+-+Arroyo+Colorado+Unit%2C+Texas</t>
  </si>
  <si>
    <t>Balcones Canyonlands NWR</t>
  </si>
  <si>
    <t>E-Postcard Archery Deer</t>
  </si>
  <si>
    <t>Verified in TPWD 2026-2027 statewide deer category catalog. APH/eligibility rules apply; confirm account and permit requirements.</t>
  </si>
  <si>
    <t>https://tpwd.texas.gov/huntwild/hunt/public/public_hunt_drawing/hunt-category-details.phtml?OCat=EAD</t>
  </si>
  <si>
    <t>Bandera County - The Nature Conservancy</t>
  </si>
  <si>
    <t>Private Lands - Antlerless/Spike</t>
  </si>
  <si>
    <t>https://tpwd.texas.gov/huntwild/hunt/public/public_hunt_drawing/hunt-category-details.phtml?OCat=PLA</t>
  </si>
  <si>
    <t>Teacup Mountain WMA</t>
  </si>
  <si>
    <t>https://tpwd.texas.gov/search/?q=Muse+WMA+public+hunting+brochure</t>
  </si>
  <si>
    <t>https://www.google.com/maps/search/?api=1&amp;query=Muse+WMA%2C+Texas</t>
  </si>
  <si>
    <t>Houston / Gulf Coast</t>
  </si>
  <si>
    <t>Bastrop SP</t>
  </si>
  <si>
    <t>Gun Mule Deer</t>
  </si>
  <si>
    <t>https://tpwd.texas.gov/huntwild/hunt/public/public_hunt_drawing/hunt-category-details.phtml?OCat=MDG</t>
  </si>
  <si>
    <t>https://tpwd.texas.gov/search/?q=Nannie+Stringfellow+WMA+public+hunting+brochure</t>
  </si>
  <si>
    <t>https://www.google.com/maps/search/?api=1&amp;query=Nannie+Stringfellow+WMA%2C+Texas</t>
  </si>
  <si>
    <t>Big Lake Bottom WMA</t>
  </si>
  <si>
    <t>https://tpwd.texas.gov/search/?q=Palo+Duro+Canyon+SP+public+hunting+brochure</t>
  </si>
  <si>
    <t>https://www.google.com/maps/search/?api=1&amp;query=Palo+Duro+Canyon+SP%2C+Texas</t>
  </si>
  <si>
    <t>https://tpwd.texas.gov/search/?q=Post+Oak+Ridge+State+Park+public+hunting+brochure</t>
  </si>
  <si>
    <t>https://www.google.com/maps/search/?api=1&amp;query=Post+Oak+Ridge+State+Park%2C+Texas</t>
  </si>
  <si>
    <t>Cooper WMA</t>
  </si>
  <si>
    <t>Comal County Ranch - The Nature Conservancy</t>
  </si>
  <si>
    <t>Devils River SNA - Dan Allen Hughes</t>
  </si>
  <si>
    <t>https://tpwd.texas.gov/search/?q=Richland+Creek+WMA+-+Carl+Frentress+Unit+public+hunting+brochure</t>
  </si>
  <si>
    <t>https://www.google.com/maps/search/?api=1&amp;query=Richland+Creek+WMA+-+Carl+Frentress+Unit%2C+Texas</t>
  </si>
  <si>
    <t>Caddo National Grasslands WMA - Bois d'Arc Unit</t>
  </si>
  <si>
    <t>USFS Antlerless Deer Permit - Youth</t>
  </si>
  <si>
    <t>https://tpwd.texas.gov/huntwild/hunt/public/public_hunt_drawing/hunt-category-details.phtml?OCat=FSY</t>
  </si>
  <si>
    <t>https://tpwd.texas.gov/search/?q=Roger+Fawcett+WMA+public+hunting+brochure</t>
  </si>
  <si>
    <t>DeWitt County Ranch</t>
  </si>
  <si>
    <t>https://www.google.com/maps/search/?api=1&amp;query=Roger+Fawcett+WMA%2C+Texas</t>
  </si>
  <si>
    <t>Caddo National Grasslands WMA - Ladonia Unit</t>
  </si>
  <si>
    <t>Cooper Lake State Park</t>
  </si>
  <si>
    <t>Devil's Sinkhole SNA</t>
  </si>
  <si>
    <t>Lake Tawakoni State Park</t>
  </si>
  <si>
    <t>https://tpwd.texas.gov/search/?q=Caprock+Canyons+SP+public+hunting+brochure</t>
  </si>
  <si>
    <t>https://www.google.com/maps/search/?api=1&amp;query=Caprock+Canyons+SP%2C+Texas</t>
  </si>
  <si>
    <t>E.O. Siecke State Forest</t>
  </si>
  <si>
    <t>Ray Roberts Lake State Park - Isle du Bois</t>
  </si>
  <si>
    <t>Sierra Diablo WMA</t>
  </si>
  <si>
    <t>East Texas / Pineywoods</t>
  </si>
  <si>
    <t>https://tpwd.texas.gov/search/?q=Alazan+Bayou+WMA+public+hunting+brochure</t>
  </si>
  <si>
    <t>https://www.google.com/maps/search/?api=1&amp;query=Alazan+Bayou+WMA%2C+Texas</t>
  </si>
  <si>
    <t>https://tpwd.texas.gov/search/?q=Atlanta+SP+public+hunting+brochure</t>
  </si>
  <si>
    <t>https://www.google.com/maps/search/?api=1&amp;query=Atlanta+SP%2C+Texas</t>
  </si>
  <si>
    <t>Granger PHL</t>
  </si>
  <si>
    <t>Guadalupe River SP</t>
  </si>
  <si>
    <t>https://tpwd.texas.gov/search/?q=Bastrop+SP+public+hunting+brochure</t>
  </si>
  <si>
    <t>https://www.google.com/maps/search/?api=1&amp;query=Bastrop+SP%2C+Texas</t>
  </si>
  <si>
    <t>Hagerman NWR</t>
  </si>
  <si>
    <t>Hill Country SNA</t>
  </si>
  <si>
    <t>Honey Creek SNA</t>
  </si>
  <si>
    <t>Huntsville SP</t>
  </si>
  <si>
    <t>I.D. Fairchild State Forest</t>
  </si>
  <si>
    <t>West Texas priority</t>
  </si>
  <si>
    <t>Inks Lake/Longhorn Caverns SP</t>
  </si>
  <si>
    <t>https://tpwd.texas.gov/search/?q=Cooper+WMA+public+hunting+brochure</t>
  </si>
  <si>
    <t>https://www.google.com/maps/search/?api=1&amp;query=Cooper+WMA%2C+Texas</t>
  </si>
  <si>
    <t>John Henry Kirby State Forest</t>
  </si>
  <si>
    <t>https://tpwd.texas.gov/search/?q=Devil%27s+Sinkhole+SNA+public+hunting+brochure</t>
  </si>
  <si>
    <t>https://www.google.com/maps/search/?api=1&amp;query=Devil%27s+Sinkhole+SNA%2C+Texas</t>
  </si>
  <si>
    <t>Justin Hurst WMA</t>
  </si>
  <si>
    <t>Keechi Creek WMA</t>
  </si>
  <si>
    <t>https://tpwd.texas.gov/search/?q=Devils+River+SNA+-+Dan+Allen+Hughes+public+hunting+brochure</t>
  </si>
  <si>
    <t>https://www.google.com/maps/search/?api=1&amp;query=Devils+River+SNA+-+Dan+Allen+Hughes%2C+Texas</t>
  </si>
  <si>
    <t>Kerr WMA</t>
  </si>
  <si>
    <t>La Salle County Ranch</t>
  </si>
  <si>
    <t>https://tpwd.texas.gov/search/?q=E.O.+Siecke+State+Forest+public+hunting+brochure</t>
  </si>
  <si>
    <t>https://www.google.com/maps/search/?api=1&amp;query=E.O.+Siecke+State+Forest%2C+Texas</t>
  </si>
  <si>
    <t>Laguna Atascosa NWR</t>
  </si>
  <si>
    <t>Lake Somerville SP - Nails Creek Unit</t>
  </si>
  <si>
    <t>Lake Whitney SP</t>
  </si>
  <si>
    <t>E-Postcard Youth Archery Deer</t>
  </si>
  <si>
    <t>https://tpwd.texas.gov/huntwild/hunt/public/public_hunt_drawing/hunt-category-details.phtml?OCat=EYA</t>
  </si>
  <si>
    <t>https://tpwd.texas.gov/search/?q=Guadalupe+River+SP+public+hunting+brochure</t>
  </si>
  <si>
    <t>https://www.google.com/maps/search/?api=1&amp;query=Guadalupe+River+SP%2C+Texas</t>
  </si>
  <si>
    <t>Lower Rio Grande NWR - Schaleben</t>
  </si>
  <si>
    <t>Lower Rio Grande Valley NWR - Teniente</t>
  </si>
  <si>
    <t>https://tpwd.texas.gov/search/?q=Hill+Country+SNA+public+hunting+brochure</t>
  </si>
  <si>
    <t>https://www.google.com/maps/search/?api=1&amp;query=Hill+Country+SNA%2C+Texas</t>
  </si>
  <si>
    <t>Mad Island WMA</t>
  </si>
  <si>
    <t>https://tpwd.texas.gov/search/?q=Honey+Creek+SNA+public+hunting+brochure</t>
  </si>
  <si>
    <t>https://www.google.com/maps/search/?api=1&amp;query=Honey+Creek+SNA%2C+Texas</t>
  </si>
  <si>
    <t>Masterson State Forest</t>
  </si>
  <si>
    <t>Matagorda Island WMA</t>
  </si>
  <si>
    <t>https://tpwd.texas.gov/search/?q=Huntsville+SP+public+hunting+brochure</t>
  </si>
  <si>
    <t>https://www.google.com/maps/search/?api=1&amp;query=Huntsville+SP%2C+Texas</t>
  </si>
  <si>
    <t>https://tpwd.texas.gov/search/?q=I.D.+Fairchild+State+Forest+public+hunting+brochure</t>
  </si>
  <si>
    <t>https://www.google.com/maps/search/?api=1&amp;query=I.D.+Fairchild+State+Forest%2C+Texas</t>
  </si>
  <si>
    <t>Neches River NWR - Dead Water Unit</t>
  </si>
  <si>
    <t>https://tpwd.texas.gov/search/?q=Inks+Lake%2FLonghorn+Caverns+SP+public+hunting+brochure</t>
  </si>
  <si>
    <t>https://www.google.com/maps/search/?api=1&amp;query=Inks+Lake%2FLonghorn+Caverns+SP%2C+Texas</t>
  </si>
  <si>
    <t>Neches River NWR - Rocky Point Unit</t>
  </si>
  <si>
    <t>Neches River NWR - Sandy Bluff Unit</t>
  </si>
  <si>
    <t>Neches River NWR - Walnut Branch Unit</t>
  </si>
  <si>
    <t>Old Sabine Bottom WMA</t>
  </si>
  <si>
    <t>https://tpwd.texas.gov/search/?q=John+Henry+Kirby+State+Forest+public+hunting+brochure</t>
  </si>
  <si>
    <t>https://www.google.com/maps/search/?api=1&amp;query=John+Henry+Kirby+State+Forest%2C+Texas</t>
  </si>
  <si>
    <t>Pecos County Ranch</t>
  </si>
  <si>
    <t>https://tpwd.texas.gov/search/?q=Justin+Hurst+WMA+public+hunting+brochure</t>
  </si>
  <si>
    <t>Pedernales Falls SP</t>
  </si>
  <si>
    <t>https://www.google.com/maps/search/?api=1&amp;query=Justin+Hurst+WMA%2C+Texas</t>
  </si>
  <si>
    <t>https://tpwd.texas.gov/search/?q=Kerr+WMA+public+hunting+brochure</t>
  </si>
  <si>
    <t>https://www.google.com/maps/search/?api=1&amp;query=Kerr+WMA%2C+Texas</t>
  </si>
  <si>
    <t>Powderhorn State Park</t>
  </si>
  <si>
    <t>Powderhorn WMA</t>
  </si>
  <si>
    <t>https://tpwd.texas.gov/search/?q=Lake+McClellan+Recreation+Area+public+hunting+brochure</t>
  </si>
  <si>
    <t>https://www.google.com/maps/search/?api=1&amp;query=Lake+McClellan+Recreation+Area%2C+Texas</t>
  </si>
  <si>
    <t>Richland Creek WMA - South Unit</t>
  </si>
  <si>
    <t>South Llano River SP</t>
  </si>
  <si>
    <t>https://tpwd.texas.gov/search/?q=Lake+Somerville+SP+-+Nails+Creek+Unit+public+hunting+brochure</t>
  </si>
  <si>
    <t>https://www.google.com/maps/search/?api=1&amp;query=Lake+Somerville+SP+-+Nails+Creek+Unit%2C+Texas</t>
  </si>
  <si>
    <t>Travis County Ranch</t>
  </si>
  <si>
    <t>Verified in TPWD 2026-2027 statewide deer category catalog. APH/eligibility rules apply; confirm account and permit requirements. V5 preference rule: Lower priority: archery whitetail is more than 200 miles from Amarillo.</t>
  </si>
  <si>
    <t>https://tpwd.texas.gov/search/?q=Lake+Whitney+SP+public+hunting+brochure</t>
  </si>
  <si>
    <t>https://www.google.com/maps/search/?api=1&amp;query=Lake+Whitney+SP%2C+Texas</t>
  </si>
  <si>
    <t>Trinity River NWR - Brierwood</t>
  </si>
  <si>
    <t>Trinity River NWR - Hirsch</t>
  </si>
  <si>
    <t>https://tpwd.texas.gov/search/?q=Mad+Island+WMA+public+hunting+brochure</t>
  </si>
  <si>
    <t>https://www.google.com/maps/search/?api=1&amp;query=Mad+Island+WMA%2C+Texas</t>
  </si>
  <si>
    <t>Trinity River WMA</t>
  </si>
  <si>
    <t>Village Creek SP</t>
  </si>
  <si>
    <t>https://tpwd.texas.gov/search/?q=Masterson+State+Forest+public+hunting+brochure</t>
  </si>
  <si>
    <t>https://www.google.com/maps/search/?api=1&amp;query=Masterson+State+Forest%2C+Texas</t>
  </si>
  <si>
    <t>White Oak Creek WMA</t>
  </si>
  <si>
    <t>https://tpwd.texas.gov/search/?q=Matagorda+Island+WMA+public+hunting+brochure</t>
  </si>
  <si>
    <t>https://www.google.com/maps/search/?api=1&amp;query=Matagorda+Island+WMA%2C+Texas</t>
  </si>
  <si>
    <t>https://tpwd.texas.gov/search/?q=Old+Sabine+Bottom+WMA+public+hunting+brochure</t>
  </si>
  <si>
    <t>https://www.google.com/maps/search/?api=1&amp;query=Old+Sabine+Bottom+WMA%2C+Texas</t>
  </si>
  <si>
    <t>https://tpwd.texas.gov/search/?q=Pedernales+Falls+SP+public+hunting+brochure</t>
  </si>
  <si>
    <t>https://www.google.com/maps/search/?api=1&amp;query=Pedernales+Falls+SP%2C+Texas</t>
  </si>
  <si>
    <t>Alabama Creek WMA</t>
  </si>
  <si>
    <t>USFS Buck Deer Permit - Youth</t>
  </si>
  <si>
    <t>https://tpwd.texas.gov/huntwild/hunt/public/public_hunt_drawing/hunt-category-details.phtml?OCat=FBY</t>
  </si>
  <si>
    <t>https://tpwd.texas.gov/search/?q=Powderhorn+State+Park+public+hunting+brochure</t>
  </si>
  <si>
    <t>https://www.google.com/maps/search/?api=1&amp;query=Powderhorn+State+Park%2C+Texas</t>
  </si>
  <si>
    <t>National Refuge General Deer</t>
  </si>
  <si>
    <t>https://tpwd.texas.gov/huntwild/hunt/public/public_hunt_drawing/hunt-category-details.phtml?OCat=NGE</t>
  </si>
  <si>
    <t>https://tpwd.texas.gov/search/?q=Powderhorn+WMA+public+hunting+brochure</t>
  </si>
  <si>
    <t>https://www.google.com/maps/search/?api=1&amp;query=Powderhorn+WMA%2C+Texas</t>
  </si>
  <si>
    <t>Bannister WMA</t>
  </si>
  <si>
    <t>https://tpwd.texas.gov/search/?q=Richland+Creek+WMA+-+South+Unit+public+hunting+brochure</t>
  </si>
  <si>
    <t>https://www.google.com/maps/search/?api=1&amp;query=Richland+Creek+WMA+-+South+Unit%2C+Texas</t>
  </si>
  <si>
    <t>https://tpwd.texas.gov/search/?q=San+Angelo+SP+public+hunting+brochure</t>
  </si>
  <si>
    <t>https://www.google.com/maps/search/?api=1&amp;query=San+Angelo+SP%2C+Texas</t>
  </si>
  <si>
    <t>Bear Creek State Park</t>
  </si>
  <si>
    <t>https://tpwd.texas.gov/search/?q=South+Llano+River+SP+public+hunting+brochure</t>
  </si>
  <si>
    <t>https://www.google.com/maps/search/?api=1&amp;query=South+Llano+River+SP%2C+Texas</t>
  </si>
  <si>
    <t>E-Postcard Youth Deer</t>
  </si>
  <si>
    <t>https://tpwd.texas.gov/search/?q=Taylor+Lakes%2C+Playa+Lakes+WMA+public+hunting+brochure</t>
  </si>
  <si>
    <t>https://www.google.com/maps/search/?api=1&amp;query=Taylor+Lakes%2C+Playa+Lakes+WMA%2C+Texas</t>
  </si>
  <si>
    <t>https://tpwd.texas.gov/huntwild/hunt/public/public_hunt_drawing/hunt-category-details.phtml?OCat=EYD</t>
  </si>
  <si>
    <t>Brazos Bend SP</t>
  </si>
  <si>
    <t>https://tpwd.texas.gov/search/?q=Trinity+River+WMA+public+hunting+brochure</t>
  </si>
  <si>
    <t>https://www.google.com/maps/search/?api=1&amp;query=Trinity+River+WMA%2C+Texas</t>
  </si>
  <si>
    <t>https://tpwd.texas.gov/search/?q=Village+Creek+SP+public+hunting+brochure</t>
  </si>
  <si>
    <t>https://www.google.com/maps/search/?api=1&amp;query=Village+Creek+SP%2C+Texas</t>
  </si>
  <si>
    <t>Caddo Lake NWR</t>
  </si>
  <si>
    <t>https://tpwd.texas.gov/search/?q=White+Oak+Creek+WMA+public+hunting+brochure</t>
  </si>
  <si>
    <t>https://www.google.com/maps/search/?api=1&amp;query=White+Oak+Creek+WMA%2C+Texas</t>
  </si>
  <si>
    <t>Caddo Lake WMA</t>
  </si>
  <si>
    <t>Verified in TPWD 2026-2027 statewide deer category catalog. Refuge-specific rules and permit fees may apply. V5 preference rule: Lower priority: archery whitetail is more than 200 miles from Amarillo.</t>
  </si>
  <si>
    <t>https://tpwd.texas.gov/search/?q=Aransas+NWR+public+hunting+brochure</t>
  </si>
  <si>
    <t>https://www.google.com/maps/search/?api=1&amp;query=Aransas+NWR%2C+Texas</t>
  </si>
  <si>
    <t>https://tpwd.texas.gov/search/?q=Balcones+Canyonlands+NWR+public+hunting+brochure</t>
  </si>
  <si>
    <t>https://www.google.com/maps/search/?api=1&amp;query=Balcones+Canyonlands+NWR%2C+Texas</t>
  </si>
  <si>
    <t>https://tpwd.texas.gov/search/?q=Bandera+County+-+The+Nature+Conservancy+public+hunting+brochure</t>
  </si>
  <si>
    <t>https://www.google.com/maps/search/?api=1&amp;query=Bandera+County+-+The+Nature+Conservancy%2C+Texas</t>
  </si>
  <si>
    <t>https://tpwd.texas.gov/search/?q=Big+Lake+Bottom+WMA+public+hunting+brochure</t>
  </si>
  <si>
    <t>Choke Canyon SP - Calliham Unit</t>
  </si>
  <si>
    <t>https://www.google.com/maps/search/?api=1&amp;query=Big+Lake+Bottom+WMA%2C+Texas</t>
  </si>
  <si>
    <t>Gun Deer - Management</t>
  </si>
  <si>
    <t>https://tpwd.texas.gov/huntwild/hunt/public/public_hunt_drawing/hunt-category-details.phtml?OCat=GDM</t>
  </si>
  <si>
    <t>https://tpwd.texas.gov/search/?q=Buffalo+Lake+NWR+public+hunting+brochure</t>
  </si>
  <si>
    <t>https://www.google.com/maps/search/?api=1&amp;query=Buffalo+Lake+NWR%2C+Texas</t>
  </si>
  <si>
    <t>https://tpwd.texas.gov/search/?q=Comal+County+Ranch+-+The+Nature+Conservancy+public+hunting+brochure</t>
  </si>
  <si>
    <t>https://www.google.com/maps/search/?api=1&amp;query=Comal+County+Ranch+-+The+Nature+Conservancy%2C+Texas</t>
  </si>
  <si>
    <t>Choke Canyon SP - South Shore Unit</t>
  </si>
  <si>
    <t>https://tpwd.texas.gov/search/?q=DeWitt+County+Ranch+public+hunting+brochure</t>
  </si>
  <si>
    <t>https://www.google.com/maps/search/?api=1&amp;query=DeWitt+County+Ranch%2C+Texas</t>
  </si>
  <si>
    <t>https://tpwd.texas.gov/search/?q=Granger+PHL+public+hunting+brochure</t>
  </si>
  <si>
    <t>https://www.google.com/maps/search/?api=1&amp;query=Granger+PHL%2C+Texas</t>
  </si>
  <si>
    <t>https://tpwd.texas.gov/search/?q=Hagerman+NWR+public+hunting+brochure</t>
  </si>
  <si>
    <t>https://www.google.com/maps/search/?api=1&amp;query=Hagerman+NWR%2C+Texas</t>
  </si>
  <si>
    <t>Devils River SNA - Del Norte Unit</t>
  </si>
  <si>
    <t>https://tpwd.texas.gov/search/?q=Keechi+Creek+WMA+public+hunting+brochure</t>
  </si>
  <si>
    <t>https://www.google.com/maps/search/?api=1&amp;query=Keechi+Creek+WMA%2C+Texas</t>
  </si>
  <si>
    <t>Dinosaur Valley SP</t>
  </si>
  <si>
    <t>https://tpwd.texas.gov/search/?q=La+Salle+County+Ranch+public+hunting+brochure</t>
  </si>
  <si>
    <t>https://www.google.com/maps/search/?api=1&amp;query=La+Salle+County+Ranch%2C+Texas</t>
  </si>
  <si>
    <t>https://tpwd.texas.gov/search/?q=Laguna+Atascosa+NWR+public+hunting+brochure</t>
  </si>
  <si>
    <t>https://www.google.com/maps/search/?api=1&amp;query=Laguna+Atascosa+NWR%2C+Texas</t>
  </si>
  <si>
    <t>Main Categories to Apply</t>
  </si>
  <si>
    <t>Suggested Action</t>
  </si>
  <si>
    <t>Estimated App Fees in Master</t>
  </si>
  <si>
    <t>Archery Deer, Archery Mule Deer, Pronghorn, USFS/E-Postcard openers</t>
  </si>
  <si>
    <t>Submit all August 15 items first</t>
  </si>
  <si>
    <t>https://tpwd.texas.gov/search/?q=Lipscomb+County+Ranch+public+hunting+brochure</t>
  </si>
  <si>
    <t>https://www.google.com/maps/search/?api=1&amp;query=Lipscomb+County+Ranch%2C+Texas</t>
  </si>
  <si>
    <t>E-postcard requires APH; pronghorn/private lands are early.</t>
  </si>
  <si>
    <t>https://tpwd.texas.gov/search/?q=Lower+Rio+Grande+NWR+-+Schaleben+public+hunting+brochure</t>
  </si>
  <si>
    <t>https://www.google.com/maps/search/?api=1&amp;query=Lower+Rio+Grande+NWR+-+Schaleben%2C+Texas</t>
  </si>
  <si>
    <t>National Wildlife Refuge hunts</t>
  </si>
  <si>
    <t>Check Buffalo Lake and Muleshoe refuge options</t>
  </si>
  <si>
    <t>Some NWR hunts have separate rules.</t>
  </si>
  <si>
    <t>Deer: youth, antlerless/spike, either-sex, management</t>
  </si>
  <si>
    <t>Do not miss youth deer and core Panhandle deer</t>
  </si>
  <si>
    <t>https://tpwd.texas.gov/search/?q=Lower+Rio+Grande+Valley+NWR+-+Teniente+public+hunting+brochure</t>
  </si>
  <si>
    <t>This is the big deer deadline.</t>
  </si>
  <si>
    <t>https://www.google.com/maps/search/?api=1&amp;query=Lower+Rio+Grande+Valley+NWR+-+Teniente%2C+Texas</t>
  </si>
  <si>
    <t>Mule deer/private quail/turkey varies</t>
  </si>
  <si>
    <t>Check mule deer and upland items</t>
  </si>
  <si>
    <t>Some dates vary by category.</t>
  </si>
  <si>
    <t>https://tpwd.texas.gov/search/?q=Muleshoe+NWR+public+hunting+brochure</t>
  </si>
  <si>
    <t>https://www.google.com/maps/search/?api=1&amp;query=Muleshoe+NWR%2C+Texas</t>
  </si>
  <si>
    <t>2026-10-15</t>
  </si>
  <si>
    <t>Late deer/exotics/e-postcards varies</t>
  </si>
  <si>
    <t>Sweep remaining fall hunts</t>
  </si>
  <si>
    <t>Verify remaining TPWD pages.</t>
  </si>
  <si>
    <t>2026-11-01</t>
  </si>
  <si>
    <t>Feral Hog / Youth Feral Hog</t>
  </si>
  <si>
    <t>Apply for hogs after deer applications are done</t>
  </si>
  <si>
    <t>https://tpwd.texas.gov/search/?q=Neches+River+NWR+-+Dead+Water+Unit+public+hunting+brochure</t>
  </si>
  <si>
    <t>https://www.google.com/maps/search/?api=1&amp;query=Neches+River+NWR+-+Dead+Water+Unit%2C+Texas</t>
  </si>
  <si>
    <t>Great winter family hunting opportunities.</t>
  </si>
  <si>
    <t>2027-01-15</t>
  </si>
  <si>
    <t>Spring Turkey / Youth Spring Turkey</t>
  </si>
  <si>
    <t>Apply for spring turkey</t>
  </si>
  <si>
    <t>Good season extender.</t>
  </si>
  <si>
    <t>https://tpwd.texas.gov/search/?q=Neches+River+NWR+-+Rocky+Point+Unit+public+hunting+brochure</t>
  </si>
  <si>
    <t>https://www.google.com/maps/search/?api=1&amp;query=Neches+River+NWR+-+Rocky+Point+Unit%2C+Texas</t>
  </si>
  <si>
    <t>https://tpwd.texas.gov/search/?q=Neches+River+NWR+-+Sandy+Bluff+Unit+public+hunting+brochure</t>
  </si>
  <si>
    <t>https://www.google.com/maps/search/?api=1&amp;query=Neches+River+NWR+-+Sandy+Bluff+Unit%2C+Texas</t>
  </si>
  <si>
    <t>https://tpwd.texas.gov/search/?q=Neches+River+NWR+-+Walnut+Branch+Unit+public+hunting+brochure</t>
  </si>
  <si>
    <t>https://www.google.com/maps/search/?api=1&amp;query=Neches+River+NWR+-+Walnut+Branch+Unit%2C+Texas</t>
  </si>
  <si>
    <t>https://tpwd.texas.gov/search/?q=Pecos+County+Ranch+public+hunting+brochure</t>
  </si>
  <si>
    <t>https://www.google.com/maps/search/?api=1&amp;query=Pecos+County+Ranch%2C+Texas</t>
  </si>
  <si>
    <t>https://tpwd.texas.gov/search/?q=Travis+County+Ranch+public+hunting+brochure</t>
  </si>
  <si>
    <t>https://www.google.com/maps/search/?api=1&amp;query=Travis+County+Ranch%2C+Texas</t>
  </si>
  <si>
    <t>https://tpwd.texas.gov/search/?q=Trinity+River+NWR+-+Brierwood+public+hunting+brochure</t>
  </si>
  <si>
    <t>https://www.google.com/maps/search/?api=1&amp;query=Trinity+River+NWR+-+Brierwood%2C+Texas</t>
  </si>
  <si>
    <t>https://tpwd.texas.gov/search/?q=Trinity+River+NWR+-+Hirsch+public+hunting+brochure</t>
  </si>
  <si>
    <t>https://www.google.com/maps/search/?api=1&amp;query=Trinity+River+NWR+-+Hirsch%2C+Texas</t>
  </si>
  <si>
    <t>https://tpwd.texas.gov/search/?q=Sierra+Diablo+WMA+public+hunting+brochure</t>
  </si>
  <si>
    <t>https://www.google.com/maps/search/?api=1&amp;query=Sierra+Diablo+WMA%2C+Texas</t>
  </si>
  <si>
    <t>https://tpwd.texas.gov/search/?q=Yoakum+Dunes+WMA+public+hunting+brochure</t>
  </si>
  <si>
    <t>https://www.google.com/maps/search/?api=1&amp;query=Yoakum+Dunes+WMA%2C+Texas</t>
  </si>
  <si>
    <t>https://tpwd.texas.gov/search/?q=Alabama+Creek+WMA+public+hunting+brochure</t>
  </si>
  <si>
    <t>https://www.google.com/maps/search/?api=1&amp;query=Alabama+Creek+WMA%2C+Texas</t>
  </si>
  <si>
    <t>Lake Somerville SP - Birch Creek Unit</t>
  </si>
  <si>
    <t>https://tpwd.texas.gov/search/?q=Bannister+WMA+public+hunting+brochure</t>
  </si>
  <si>
    <t>https://www.google.com/maps/search/?api=1&amp;query=Bannister+WMA%2C+Texas</t>
  </si>
  <si>
    <t>https://tpwd.texas.gov/search/?q=Brazos+Bend+SP+public+hunting+brochure</t>
  </si>
  <si>
    <t>https://www.google.com/maps/search/?api=1&amp;query=Brazos+Bend+SP%2C+Texas</t>
  </si>
  <si>
    <t>Lost Maples SNA</t>
  </si>
  <si>
    <t>https://tpwd.texas.gov/search/?q=Caddo+Lake+WMA+public+hunting+brochure</t>
  </si>
  <si>
    <t>https://www.google.com/maps/search/?api=1&amp;query=Caddo+Lake+WMA%2C+Texas</t>
  </si>
  <si>
    <t>Lower Rio Grande Valley NWR - East Lake</t>
  </si>
  <si>
    <t>https://tpwd.texas.gov/search/?q=Caddo+National+Grasslands+WMA+-+Bois+d%27Arc+Unit+public+hunting+brochure</t>
  </si>
  <si>
    <t>https://www.google.com/maps/search/?api=1&amp;query=Caddo+National+Grasslands+WMA+-+Bois+d%27Arc+Unit%2C+Texas</t>
  </si>
  <si>
    <t>Mason Mountain WMA</t>
  </si>
  <si>
    <t>https://tpwd.texas.gov/search/?q=Caddo+National+Grasslands+WMA+-+Ladonia+Unit+public+hunting+brochure</t>
  </si>
  <si>
    <t>https://www.google.com/maps/search/?api=1&amp;query=Caddo+National+Grasslands+WMA+-+Ladonia+Unit%2C+Texas</t>
  </si>
  <si>
    <t>Moore Plantation WMA</t>
  </si>
  <si>
    <t>https://tpwd.texas.gov/search/?q=Cooper+Lake+State+Park+public+hunting+brochure</t>
  </si>
  <si>
    <t>https://www.google.com/maps/search/?api=1&amp;query=Cooper+Lake+State+Park%2C+Texas</t>
  </si>
  <si>
    <t>Palmetto SP</t>
  </si>
  <si>
    <t>Pat Mayse WMA</t>
  </si>
  <si>
    <t>Paul &amp; Toni Fox Burns WMA</t>
  </si>
  <si>
    <t>Pedernales Falls SP Annex</t>
  </si>
  <si>
    <t>Possum Kingdom SP</t>
  </si>
  <si>
    <t>Species</t>
  </si>
  <si>
    <t>Odds Tier</t>
  </si>
  <si>
    <t>https://tpwd.texas.gov/search/?q=Lake+Tawakoni+State+Park+public+hunting+brochure</t>
  </si>
  <si>
    <t>https://www.google.com/maps/search/?api=1&amp;query=Lake+Tawakoni+State+Park%2C+Texas</t>
  </si>
  <si>
    <t>Feral Hog</t>
  </si>
  <si>
    <t>Good</t>
  </si>
  <si>
    <t>https://tpwd.texas.gov/huntwild/hunt/public/public_hunt_drawing/hunt-category-details.phtml?OCat=GFH</t>
  </si>
  <si>
    <t>Sam Houston National Forest WMA</t>
  </si>
  <si>
    <t>Youth Only Feral Hog</t>
  </si>
  <si>
    <t>Fair</t>
  </si>
  <si>
    <t>https://tpwd.texas.gov/huntwild/hunt/public/public_hunt_drawing/hunt-category-details.phtml?OCat=YFH</t>
  </si>
  <si>
    <t>Seminole Canyon SP / HS</t>
  </si>
  <si>
    <t>Silver Lake State Park</t>
  </si>
  <si>
    <t>Stephen F. Austin SP</t>
  </si>
  <si>
    <t>https://tpwd.texas.gov/search/?q=Mason+Mountain+WMA+public+hunting+brochure</t>
  </si>
  <si>
    <t>https://www.google.com/maps/search/?api=1&amp;query=Mason+Mountain+WMA%2C+Texas</t>
  </si>
  <si>
    <t>Trinity River NWR - Boars Den</t>
  </si>
  <si>
    <t>https://tpwd.texas.gov/search/?q=Moore+Plantation+WMA+public+hunting+brochure</t>
  </si>
  <si>
    <t>https://www.google.com/maps/search/?api=1&amp;query=Moore+Plantation+WMA%2C+Texas</t>
  </si>
  <si>
    <t>Trinity River NWR - Butler</t>
  </si>
  <si>
    <t>Trinity River NWR - Mcguire</t>
  </si>
  <si>
    <t>Trinity River NWR - Page</t>
  </si>
  <si>
    <t>https://tpwd.texas.gov/search/?q=Palmetto+SP+public+hunting+brochure</t>
  </si>
  <si>
    <t>https://www.google.com/maps/search/?api=1&amp;query=Palmetto+SP%2C+Texas</t>
  </si>
  <si>
    <t>National Refuge Deer Antlerless/Spike</t>
  </si>
  <si>
    <t>https://tpwd.texas.gov/huntwild/hunt/public/public_hunt_drawing/hunt-category-details.phtml?OCat=NGA</t>
  </si>
  <si>
    <t>https://tpwd.texas.gov/search/?q=Paul+%26+Toni+Fox+Burns+WMA+public+hunting+brochure</t>
  </si>
  <si>
    <t>https://www.google.com/maps/search/?api=1&amp;query=Paul+%26+Toni+Fox+Burns+WMA%2C+Texas</t>
  </si>
  <si>
    <t>National Refuge Muzzleloader Deer</t>
  </si>
  <si>
    <t>https://tpwd.texas.gov/search/?q=Possum+Kingdom+SP+public+hunting+brochure</t>
  </si>
  <si>
    <t>https://www.google.com/maps/search/?api=1&amp;query=Possum+Kingdom+SP%2C+Texas</t>
  </si>
  <si>
    <t>https://tpwd.texas.gov/huntwild/hunt/public/public_hunt_drawing/hunt-category-details.phtml?OCat=NMD</t>
  </si>
  <si>
    <t>https://tpwd.texas.gov/search/?q=Ray+Roberts+Lake+State+Park+-+Isle+du+Bois+public+hunting+brochure</t>
  </si>
  <si>
    <t>https://www.google.com/maps/search/?api=1&amp;query=Ray+Roberts+Lake+State+Park+-+Isle+du+Bois%2C+Texas</t>
  </si>
  <si>
    <t>https://tpwd.texas.gov/search/?q=Sam+Houston+National+Forest+WMA+public+hunting+brochure</t>
  </si>
  <si>
    <t>https://www.google.com/maps/search/?api=1&amp;query=Sam+Houston+National+Forest+WMA%2C+Texas</t>
  </si>
  <si>
    <t>USFS Antlerless Deer Permit - Adult</t>
  </si>
  <si>
    <t>https://tpwd.texas.gov/huntwild/hunt/public/public_hunt_drawing/hunt-category-details.phtml?OCat=FSD</t>
  </si>
  <si>
    <t>USFS Buck Deer Permit - Adult</t>
  </si>
  <si>
    <t>https://tpwd.texas.gov/huntwild/hunt/public/public_hunt_drawing/hunt-category-details.phtml?OCat=FBA</t>
  </si>
  <si>
    <t>Hastings Family Draw Budget Planner</t>
  </si>
  <si>
    <t>Input</t>
  </si>
  <si>
    <t>Formula/Notes</t>
  </si>
  <si>
    <t>Fuel cost per mile</t>
  </si>
  <si>
    <t>Change this to match your van/trailer gas estimate</t>
  </si>
  <si>
    <t>Camping/lodging per night</t>
  </si>
  <si>
    <t>Enter your average camp cost</t>
  </si>
  <si>
    <t>Average nights per drawn hunt</t>
  </si>
  <si>
    <t>Change per your family plan</t>
  </si>
  <si>
    <t>Summary</t>
  </si>
  <si>
    <t>Applied application fees</t>
  </si>
  <si>
    <t>https://tpwd.texas.gov/search/?q=Bear+Creek+State+Park+public+hunting+brochure</t>
  </si>
  <si>
    <t>https://www.google.com/maps/search/?api=1&amp;query=Bear+Creek+State+Park%2C+Texas</t>
  </si>
  <si>
    <t>Potential permit fees if all applied draw</t>
  </si>
  <si>
    <t>Estimated fuel if all applied draw</t>
  </si>
  <si>
    <t>Estimated camping if all applied draw</t>
  </si>
  <si>
    <t>Total estimated cost if all applied draw</t>
  </si>
  <si>
    <t>https://tpwd.texas.gov/search/?q=Caddo+Lake+NWR+public+hunting+brochure</t>
  </si>
  <si>
    <t>https://www.google.com/maps/search/?api=1&amp;query=Caddo+Lake+NWR%2C+Texas</t>
  </si>
  <si>
    <t>https://tpwd.texas.gov/search/?q=Choke+Canyon+SP+-+Calliham+Unit+public+hunting+brochure</t>
  </si>
  <si>
    <t>https://www.google.com/maps/search/?api=1&amp;query=Choke+Canyon+SP+-+Calliham+Unit%2C+Texas</t>
  </si>
  <si>
    <t>https://tpwd.texas.gov/search/?q=Choke+Canyon+SP+-+South+Shore+Unit+public+hunting+brochure</t>
  </si>
  <si>
    <t>https://www.google.com/maps/search/?api=1&amp;query=Choke+Canyon+SP+-+South+Shore+Unit%2C+Texas</t>
  </si>
  <si>
    <t>https://tpwd.texas.gov/search/?q=Devils+River+SNA+-+Del+Norte+Unit+public+hunting+brochure</t>
  </si>
  <si>
    <t>https://www.google.com/maps/search/?api=1&amp;query=Devils+River+SNA+-+Del+Norte+Unit%2C+Texas</t>
  </si>
  <si>
    <t>https://tpwd.texas.gov/search/?q=Dinosaur+Valley+SP+public+hunting+brochure</t>
  </si>
  <si>
    <t>https://www.google.com/maps/search/?api=1&amp;query=Dinosaur+Valley+SP%2C+Texas</t>
  </si>
  <si>
    <t>Year</t>
  </si>
  <si>
    <t>Hunt Type</t>
  </si>
  <si>
    <t>Drawn?</t>
  </si>
  <si>
    <t>Harvest?</t>
  </si>
  <si>
    <t>Camped?</t>
  </si>
  <si>
    <t>Backpack?</t>
  </si>
  <si>
    <t>Youth Caprock Canyon</t>
  </si>
  <si>
    <t>User reported drawn last year.</t>
  </si>
  <si>
    <t>https://tpwd.texas.gov/search/?q=Lake+Somerville+SP+-+Birch+Creek+Unit+public+hunting+brochure</t>
  </si>
  <si>
    <t>https://www.google.com/maps/search/?api=1&amp;query=Lake+Somerville+SP+-+Birch+Creek+Unit%2C+Texas</t>
  </si>
  <si>
    <t>Lake McClellan</t>
  </si>
  <si>
    <t>Youth Lake McClellan</t>
  </si>
  <si>
    <t>Potter County Cross Bar</t>
  </si>
  <si>
    <t>Whitetail Management</t>
  </si>
  <si>
    <t>User reported drawn; prior context says Cross Bar backpack hunt.</t>
  </si>
  <si>
    <t>https://tpwd.texas.gov/search/?q=Lost+Maples+SNA+public+hunting+brochure</t>
  </si>
  <si>
    <t>https://www.google.com/maps/search/?api=1&amp;query=Lost+Maples+SNA%2C+Texas</t>
  </si>
  <si>
    <t>https://tpwd.texas.gov/search/?q=Lower+Rio+Grande+Valley+NWR+-+East+Lake+public+hunting+brochure</t>
  </si>
  <si>
    <t>https://www.google.com/maps/search/?api=1&amp;query=Lower+Rio+Grande+Valley+NWR+-+East+Lake%2C+Texas</t>
  </si>
  <si>
    <t>https://tpwd.texas.gov/search/?q=Pat+Mayse+WMA+public+hunting+brochure</t>
  </si>
  <si>
    <t>https://www.google.com/maps/search/?api=1&amp;query=Pat+Mayse+WMA%2C+Texas</t>
  </si>
  <si>
    <t>https://tpwd.texas.gov/search/?q=Pedernales+Falls+SP+Annex+public+hunting+brochure</t>
  </si>
  <si>
    <t>https://www.google.com/maps/search/?api=1&amp;query=Pedernales+Falls+SP+Annex%2C+Texas</t>
  </si>
  <si>
    <t>https://tpwd.texas.gov/search/?q=Seminole+Canyon+SP+%2F+HS+public+hunting+brochure</t>
  </si>
  <si>
    <t>https://www.google.com/maps/search/?api=1&amp;query=Seminole+Canyon+SP+%2F+HS%2C+Texas</t>
  </si>
  <si>
    <t>https://tpwd.texas.gov/search/?q=Silver+Lake+State+Park+public+hunting+brochure</t>
  </si>
  <si>
    <t>https://www.google.com/maps/search/?api=1&amp;query=Silver+Lake+State+Park%2C+Texas</t>
  </si>
  <si>
    <t>https://tpwd.texas.gov/search/?q=Stephen+F.+Austin+SP+public+hunting+brochure</t>
  </si>
  <si>
    <t>https://www.google.com/maps/search/?api=1&amp;query=Stephen+F.+Austin+SP%2C+Texas</t>
  </si>
  <si>
    <t>https://tpwd.texas.gov/search/?q=Teacup+Mountain+WMA+public+hunting+brochure</t>
  </si>
  <si>
    <t>https://www.google.com/maps/search/?api=1&amp;query=Teacup+Mountain+WMA%2C+Texas</t>
  </si>
  <si>
    <t>https://tpwd.texas.gov/search/?q=Trinity+River+NWR+-+Boars+Den+public+hunting+brochure</t>
  </si>
  <si>
    <t>https://www.google.com/maps/search/?api=1&amp;query=Trinity+River+NWR+-+Boars+Den%2C+Texas</t>
  </si>
  <si>
    <t>https://tpwd.texas.gov/search/?q=Trinity+River+NWR+-+Butler+public+hunting+brochure</t>
  </si>
  <si>
    <t>https://www.google.com/maps/search/?api=1&amp;query=Trinity+River+NWR+-+Butler%2C+Texas</t>
  </si>
  <si>
    <t>https://tpwd.texas.gov/search/?q=Trinity+River+NWR+-+Mcguire+public+hunting+brochure</t>
  </si>
  <si>
    <t>https://www.google.com/maps/search/?api=1&amp;query=Trinity+River+NWR+-+Mcguire%2C+Texas</t>
  </si>
  <si>
    <t>https://tpwd.texas.gov/search/?q=Trinity+River+NWR+-+Page+public+hunting+brochure</t>
  </si>
  <si>
    <t>https://www.google.com/maps/search/?api=1&amp;query=Trinity+River+NWR+-+Page%2C+Texas</t>
  </si>
  <si>
    <t>Panhandle/Rolling Plains</t>
  </si>
  <si>
    <t>Feb 20-24, 2027</t>
  </si>
  <si>
    <t>Primitive camping nearby</t>
  </si>
  <si>
    <t>Medium</t>
  </si>
  <si>
    <t>TPWD listed 344 applicants, 6 groups, 33% success rate last year.</t>
  </si>
  <si>
    <t>Turkey</t>
  </si>
  <si>
    <t>Spring 2027 varies</t>
  </si>
  <si>
    <t>Good multi-season property to keep in the annual plan.</t>
  </si>
  <si>
    <t>https://tpwd.texas.gov/huntwild/hunt/public/public_hunt_drawing/hunt-area-details.phtml?OArea=GE</t>
  </si>
  <si>
    <t>Rolling Plains</t>
  </si>
  <si>
    <t>Mar 6-7, 2027</t>
  </si>
  <si>
    <t>Primitive camping</t>
  </si>
  <si>
    <t>TPWD youth hog page listed 18% last-year success for Matador.</t>
  </si>
  <si>
    <t>Mar 8-12, 2027</t>
  </si>
  <si>
    <t>Good off-season opportunity; unlimited hogs/coyotes.</t>
  </si>
  <si>
    <t>Keep paired with deer/hog applications.</t>
  </si>
  <si>
    <t>https://tpwd.texas.gov/huntwild/hunt/public/public_hunt_drawing/hunt-area-details.phtml?OArea=MA</t>
  </si>
  <si>
    <t>Mar 13-14, 2027</t>
  </si>
  <si>
    <t>Free youth application; close enough to be worth it.</t>
  </si>
  <si>
    <t>Mar 1-5 / Mar 8-12, 2027</t>
  </si>
  <si>
    <t>Adult permit fee listed as $0 on TPWD hog category page.</t>
  </si>
  <si>
    <t>E-Postcard Turkey</t>
  </si>
  <si>
    <t>E-postcard requires Annual Public Hunting Permit.</t>
  </si>
  <si>
    <t>https://tpwd.texas.gov/huntwild/hunt/public/public_hunt_drawing/hunt-area-details.phtml?OArea=TE</t>
  </si>
  <si>
    <t>Waterfowl/Upland</t>
  </si>
  <si>
    <t>E-Postcard Waterfowl</t>
  </si>
  <si>
    <t>Waterfowl season varies</t>
  </si>
  <si>
    <t>State park camping</t>
  </si>
  <si>
    <t>E-postcard add-on if you have APH.</t>
  </si>
  <si>
    <t>https://tpwd.texas.gov/huntwild/hunt/public/public_hunt_drawing/hunt-area-details.phtml?OArea=CO</t>
  </si>
  <si>
    <t>Dimmitt Playa WMA</t>
  </si>
  <si>
    <t>Panhandle</t>
  </si>
  <si>
    <t>E-Postcard Waterfowl / Waterfowl-Pheasant</t>
  </si>
  <si>
    <t>Waterfowl/pheasant season varies</t>
  </si>
  <si>
    <t>Limited/nearby lodging</t>
  </si>
  <si>
    <t>Close, cheap opportunity if APH is already purchased.</t>
  </si>
  <si>
    <t>https://tpwd.texas.gov/huntwild/hunt/public/public_hunt_drawing/hunt-area-details.phtml?OArea=DP</t>
  </si>
  <si>
    <t>https://tpwd.texas.gov/search/?q=Dimmitt+Playa+WMA+public+hunting+brochure</t>
  </si>
  <si>
    <t>https://www.google.com/maps/search/?api=1&amp;query=Dimmitt+Playa+WMA%2C+Texas</t>
  </si>
  <si>
    <t>Taylor Lakes WMA</t>
  </si>
  <si>
    <t>E-Postcard Waterfowl / Youth-Adult Waterfowl</t>
  </si>
  <si>
    <t>Nearby camping/lodging</t>
  </si>
  <si>
    <t>Useful youth/adult waterfowl option.</t>
  </si>
  <si>
    <t>https://tpwd.texas.gov/huntwild/hunt/public/public_hunt_drawing/hunt-area-details.phtml?OArea=TL</t>
  </si>
  <si>
    <t>https://tpwd.texas.gov/search/?q=Taylor+Lakes+WMA+public+hunting+brochure</t>
  </si>
  <si>
    <t>https://www.google.com/maps/search/?api=1&amp;query=Taylor+Lakes+WMA%2C+Texas</t>
  </si>
  <si>
    <t>Youth Spring Turkey</t>
  </si>
  <si>
    <t>Add to youth spring list.</t>
  </si>
  <si>
    <t>National Refuge Upland Game</t>
  </si>
  <si>
    <t>Upland season varies</t>
  </si>
  <si>
    <t>Quail/upland add-on.</t>
  </si>
  <si>
    <t>https://tpwd.texas.gov/huntwild/hunt/public/public_hunt_drawing/hunt-area-details.phtml?OArea=UN</t>
  </si>
  <si>
    <t>Pronghorn</t>
  </si>
  <si>
    <t>Rita Blanca National Grasslands</t>
  </si>
  <si>
    <t>Oct 3-18, 2026</t>
  </si>
  <si>
    <t>Primitive/nearby camping</t>
  </si>
  <si>
    <t>Always apply for close pronghorn if eligible.</t>
  </si>
  <si>
    <t>https://tpwd.texas.gov/huntwild/hunt/public/public_hunt_drawing/hunt-area-details.phtml?OArea=RB</t>
  </si>
  <si>
    <t>https://tpwd.texas.gov/search/?q=Rita+Blanca+National+Grasslands+public+hunting+brochure</t>
  </si>
  <si>
    <t>https://www.google.com/maps/search/?api=1&amp;query=Rita+Blanca+National+Grasslands%2C+Texas</t>
  </si>
  <si>
    <t>Canadian River Complex</t>
  </si>
  <si>
    <t>Private Lands Pronghorn</t>
  </si>
  <si>
    <t>Oct 2026 varies</t>
  </si>
  <si>
    <t>Varies by property</t>
  </si>
  <si>
    <t>Private lands pronghorn; higher app fee but close.</t>
  </si>
  <si>
    <t>https://tpwd.texas.gov/huntwild/hunt/public/public_hunt_drawing/hunt-area-details.phtml?OArea=CI</t>
  </si>
  <si>
    <t>https://tpwd.texas.gov/search/?q=Canadian+River+Complex+public+hunting+brochure</t>
  </si>
  <si>
    <t>https://www.google.com/maps/search/?api=1&amp;query=Canadian+River+Complex%2C+Texas</t>
  </si>
  <si>
    <t>Lipscomb/Hemphill County Ranch</t>
  </si>
  <si>
    <t>Good Panhandle pronghorn option.</t>
  </si>
  <si>
    <t>https://tpwd.texas.gov/huntwild/hunt/public/public_hunt_drawing/hunt-area-details.phtml?OArea=ZI</t>
  </si>
  <si>
    <t>https://tpwd.texas.gov/search/?q=Lipscomb%2FHemphill+County+Ranch+public+hunting+brochure</t>
  </si>
  <si>
    <t>https://www.google.com/maps/search/?api=1&amp;query=Lipscomb%2FHemphill+County+Ranch%2C+Texas</t>
  </si>
  <si>
    <t>Private Lands Quail</t>
  </si>
  <si>
    <t>Quail season varies</t>
  </si>
  <si>
    <t>Add if quail is in the budget.</t>
  </si>
  <si>
    <t>https://tpwd.texas.gov/huntwild/hunt/public/public_hunt_drawing/hunt-area-details.phtml?OArea=XV</t>
  </si>
  <si>
    <t>DFW/North Texas</t>
  </si>
  <si>
    <t>Feral Hog / E-Postcard Hog if offered</t>
  </si>
  <si>
    <t>Winter 2027 varies</t>
  </si>
  <si>
    <t>DFW</t>
  </si>
  <si>
    <t>Nearby state park/lake camping</t>
  </si>
  <si>
    <t>DFW expansion opportunity; verify exact hunt category before applying.</t>
  </si>
  <si>
    <t>https://tpwd.texas.gov/huntwild/hunt/public/public_hunt_drawing/hunt-area-details.phtml?OArea=CP</t>
  </si>
  <si>
    <t>Lake Tawakoni WMA</t>
  </si>
  <si>
    <t>Waterfowl</t>
  </si>
  <si>
    <t>State park/lake camping nearby</t>
  </si>
  <si>
    <t>APH/e-postcard style opportunity if listed.</t>
  </si>
  <si>
    <t>https://tpwd.texas.gov/huntwild/hunt/public/public_hunt_drawing/hunt-area-details.phtml?OArea=LW</t>
  </si>
  <si>
    <t>https://tpwd.texas.gov/search/?q=Lake+Tawakoni+WMA+public+hunting+brochure</t>
  </si>
  <si>
    <t>https://www.google.com/maps/search/?api=1&amp;query=Lake+Tawakoni+WMA%2C+Texas</t>
  </si>
  <si>
    <t>C</t>
  </si>
  <si>
    <t>East TX Stretch</t>
  </si>
  <si>
    <t>Feral Hog / Deer</t>
  </si>
  <si>
    <t>Stretch</t>
  </si>
  <si>
    <t>Farther stretch; potentially good hog/deer diversity.</t>
  </si>
  <si>
    <t>https://tpwd.texas.gov/huntwild/hunt/public/public_hunt_drawing/hunt-area-details.phtml?OArea=GU</t>
  </si>
  <si>
    <t>Jan 18-22, 2027</t>
  </si>
  <si>
    <t>TPWD listed 296 applicants, 5 permits, 20% success rate last year.</t>
  </si>
  <si>
    <t>Far Stretch</t>
  </si>
  <si>
    <t>Feb 6-7, 2027</t>
  </si>
  <si>
    <t>Dream/Long</t>
  </si>
  <si>
    <t>Primitive/nearby lodging</t>
  </si>
  <si>
    <t>Not near DFW, but high youth hog draw odds from TPWD make it a dream/long option.</t>
  </si>
  <si>
    <t>Exotics</t>
  </si>
  <si>
    <t>Guided Exotic Packages</t>
  </si>
  <si>
    <t>Statewide/Dream</t>
  </si>
  <si>
    <t>Guided Exotic / Gemsbok / Oryx</t>
  </si>
  <si>
    <t>Maybe</t>
  </si>
  <si>
    <t>Varies</t>
  </si>
  <si>
    <t>Dream</t>
  </si>
  <si>
    <t>Long-shot dream tab item only; apply only if budget allows.</t>
  </si>
  <si>
    <t>https://tpwd.texas.gov/huntwild/hunt/public/public_hunt_drawing/hunt-categories.phtml</t>
  </si>
  <si>
    <t>https://tpwd.texas.gov/search/?q=Guided+Exotic+Packages+public+hunting+brochure</t>
  </si>
  <si>
    <t>https://www.google.com/maps/search/?api=1&amp;query=Guided+Exotic+Packages%2C+Texas</t>
  </si>
  <si>
    <t>11</t>
  </si>
  <si>
    <t>09</t>
  </si>
  <si>
    <t>01</t>
  </si>
  <si>
    <t>08</t>
  </si>
  <si>
    <t>10</t>
  </si>
  <si>
    <t>Source / Assumption</t>
  </si>
  <si>
    <t>Details</t>
  </si>
  <si>
    <t>TPWD Drawn Hunt Catalog 2026-2027</t>
  </si>
  <si>
    <t>V4 statewide deer scope</t>
  </si>
  <si>
    <t>All currently listed 2026-2027 TPWD deer category/area combinations were added from 24 active deer category pages. Empty categories were not added.</t>
  </si>
  <si>
    <t>Draw odds caution</t>
  </si>
  <si>
    <t>Blank draw odds mean property-level applicants and permit counts have not yet been entered. Do not interpret a blank as good or poor odds.</t>
  </si>
  <si>
    <t>Distance caution</t>
  </si>
  <si>
    <t>Mileage is a regional planning estimate from Amarillo, not turn-by-turn road mileage. Verify before travel.</t>
  </si>
  <si>
    <t>Permit fee caution</t>
  </si>
  <si>
    <t>Special permit and refuge permit fees vary by property. Blank means verify on the TPWD property/category page before budgeting.</t>
  </si>
  <si>
    <t>V5 Release</t>
  </si>
  <si>
    <t>Statewide hunt links plus Hastings preference-engine update</t>
  </si>
  <si>
    <t>Uses the official TPWD category URL associated with each hunt row.</t>
  </si>
  <si>
    <t>TPWD Area/Brochure Search</t>
  </si>
  <si>
    <t>Official TPWD site search generated from the hunt area name.</t>
  </si>
  <si>
    <t>Convenience only; not a legal hunt-boundary source.</t>
  </si>
  <si>
    <t>Archery whitetail &gt;200 miles</t>
  </si>
  <si>
    <t>Score -1.0; adult priority C; youth priority B.</t>
  </si>
  <si>
    <t>Archery mule deer</t>
  </si>
  <si>
    <t>Score +1.0, minimum 4.5; priority A statewide.</t>
  </si>
  <si>
    <t>Status</t>
  </si>
  <si>
    <t>Not Started</t>
  </si>
  <si>
    <t>Drawn</t>
  </si>
  <si>
    <t>Submitted</t>
  </si>
  <si>
    <t>Not Drawn</t>
  </si>
  <si>
    <t>Hastings Texas Application Dashboard — Statewide V4</t>
  </si>
  <si>
    <t>Use Master Hunt List as the source of truth. Mark Applied = Yes, enter applicant(s), date, confirmation number, and draw status there.</t>
  </si>
  <si>
    <t>Total Texas deer opportunities</t>
  </si>
  <si>
    <t>Youth-eligible deer opportunities</t>
  </si>
  <si>
    <t>Still to apply</t>
  </si>
  <si>
    <t>Application fees submitted</t>
  </si>
  <si>
    <t>THE HASTINGS FAMILY HUNTING SYSTEM</t>
  </si>
  <si>
    <t>A lifetime planning system with a statewide 2026-2027 Texas deer database, multi-state points, applications, field knowledge, and family legacy records.</t>
  </si>
  <si>
    <t>How to use this workbook</t>
  </si>
  <si>
    <t>1</t>
  </si>
  <si>
    <t>Plan the year</t>
  </si>
  <si>
    <t>Use Annual Strategy to identify the primary hunt, backup hunts, applications, budget, and vacation days.</t>
  </si>
  <si>
    <t>2</t>
  </si>
  <si>
    <t>Apply and buy points</t>
  </si>
  <si>
    <t>Track every transaction in State Applications and update State Points after the purchase or draw.</t>
  </si>
  <si>
    <t>3</t>
  </si>
  <si>
    <t>Use the Texas system</t>
  </si>
  <si>
    <t>Continue using Application Dashboard and Master Hunt List for Texas applications and confirmations.</t>
  </si>
  <si>
    <t>4</t>
  </si>
  <si>
    <t>Prepare and scout</t>
  </si>
  <si>
    <t>Use Gear Inventory and Camp &amp; Scouting to retain practical field intelligence.</t>
  </si>
  <si>
    <t>5</t>
  </si>
  <si>
    <t>Record the hunt</t>
  </si>
  <si>
    <t>Add each trip to Hunt Journal, including results, lessons, stories, and photo links.</t>
  </si>
  <si>
    <t>6</t>
  </si>
  <si>
    <t>Build the legacy</t>
  </si>
  <si>
    <t>Update Family Legacy with traditions, values, favorite memories, and guidance for future generations.</t>
  </si>
  <si>
    <t>Current family strategy</t>
  </si>
  <si>
    <t>Master Row</t>
  </si>
  <si>
    <t>Texas</t>
  </si>
  <si>
    <t>Create frequent annual opportunities through a broad, disciplined draw strategy.</t>
  </si>
  <si>
    <t>Wyoming</t>
  </si>
  <si>
    <t>Category</t>
  </si>
  <si>
    <t>Build to 5 preference points in 2026 for adult and youth elk, deer, and antelope; choose a future burn strategy.</t>
  </si>
  <si>
    <t>Montana</t>
  </si>
  <si>
    <t>Fee</t>
  </si>
  <si>
    <t>Research and begin the correct point/application track without buying points blindly.</t>
  </si>
  <si>
    <t>Confirmation #</t>
  </si>
  <si>
    <t>Idaho</t>
  </si>
  <si>
    <t>Treat as an annual opportunity state; track deadlines, tag-sale rules, and backup plans rather than preference points.</t>
  </si>
  <si>
    <t>Alaska</t>
  </si>
  <si>
    <t>Build long-range plans and dedicated funds for caribou, interior grizzly, and moose.</t>
  </si>
  <si>
    <t>Important annual rule</t>
  </si>
  <si>
    <t>State regulations, point systems, deadlines, fees, and tag-sale procedures change. Verify every entry against the current official state agency rules before applying or purchasing.</t>
  </si>
  <si>
    <t>V5 — Links &amp; Preference Engine</t>
  </si>
  <si>
    <t>Columns AM–AP</t>
  </si>
  <si>
    <t>Official category, TPWD area/brochure search, application portal and maps</t>
  </si>
  <si>
    <t>Archery Whitetail &gt;200 mi</t>
  </si>
  <si>
    <t>Lower priority</t>
  </si>
  <si>
    <t>Adult C; Youth B; Hastings Score reduced by 1.0</t>
  </si>
  <si>
    <t>High priority</t>
  </si>
  <si>
    <t>Priority A; Hastings Score raised and held at 4.5–5.0</t>
  </si>
  <si>
    <t>Boundary reminder</t>
  </si>
  <si>
    <t>Maps are approximate</t>
  </si>
  <si>
    <t>Use official TPWD brochure for legal boundaries and instructions</t>
  </si>
  <si>
    <t>HASTINGS FAMILY — LIFETIME HUNT DASHBOARD</t>
  </si>
  <si>
    <t>Current position</t>
  </si>
  <si>
    <t>Current</t>
  </si>
  <si>
    <t>Wyoming points to add in 2026</t>
  </si>
  <si>
    <t>Planned hunts</t>
  </si>
  <si>
    <t>States actively tracked</t>
  </si>
  <si>
    <t>Applications submitted</t>
  </si>
  <si>
    <t>Dream hunts</t>
  </si>
  <si>
    <t>Points purchased</t>
  </si>
  <si>
    <t>Dream hunt fund saved</t>
  </si>
  <si>
    <t>Estimated annual spend</t>
  </si>
  <si>
    <t>ANNUAL HUNT PORTFOLIO &amp; STRATEGY</t>
  </si>
  <si>
    <t>State</t>
  </si>
  <si>
    <t>Hunts logged</t>
  </si>
  <si>
    <t>Hunter</t>
  </si>
  <si>
    <t>Opportunity / Unit</t>
  </si>
  <si>
    <t>Role</t>
  </si>
  <si>
    <t>Application Type</t>
  </si>
  <si>
    <t>Target Dates</t>
  </si>
  <si>
    <t>Vacation Days</t>
  </si>
  <si>
    <t>Actual annual spend</t>
  </si>
  <si>
    <t>Estimated Cost</t>
  </si>
  <si>
    <t>Actual Cost</t>
  </si>
  <si>
    <t>Draw / Result</t>
  </si>
  <si>
    <t>Backup Plan</t>
  </si>
  <si>
    <t>Applications logged</t>
  </si>
  <si>
    <t>Vacation days planned</t>
  </si>
  <si>
    <t>Deer</t>
  </si>
  <si>
    <t>Family</t>
  </si>
  <si>
    <t>Statewide TPWD drawn hunts</t>
  </si>
  <si>
    <t>Annual opportunity</t>
  </si>
  <si>
    <t>Draw</t>
  </si>
  <si>
    <t>Lifetime milestones</t>
  </si>
  <si>
    <t>Milestone</t>
  </si>
  <si>
    <t>Target</t>
  </si>
  <si>
    <t>Planning</t>
  </si>
  <si>
    <t>Pending</t>
  </si>
  <si>
    <t>Texas public / local hunt</t>
  </si>
  <si>
    <t>Apply broadly using Texas Command Center.</t>
  </si>
  <si>
    <t>Annual Texas opportunity</t>
  </si>
  <si>
    <t>Every year</t>
  </si>
  <si>
    <t>Build</t>
  </si>
  <si>
    <t>In progress</t>
  </si>
  <si>
    <t>Elk</t>
  </si>
  <si>
    <t>Use broad statewide draw applications.</t>
  </si>
  <si>
    <t>Preference point</t>
  </si>
  <si>
    <t>First western family hunt from points</t>
  </si>
  <si>
    <t>Long-term investment</t>
  </si>
  <si>
    <t>2027–2029</t>
  </si>
  <si>
    <t>Point purchase</t>
  </si>
  <si>
    <t>Point window</t>
  </si>
  <si>
    <t>Wyoming points expected to reach 5 in 2026.</t>
  </si>
  <si>
    <t>Planned</t>
  </si>
  <si>
    <t>Begin Montana / Idaho strategy</t>
  </si>
  <si>
    <t>N/A</t>
  </si>
  <si>
    <t>2026–2027</t>
  </si>
  <si>
    <t>Continue building</t>
  </si>
  <si>
    <t>Expected to move from 4 to 5 points.</t>
  </si>
  <si>
    <t>Verify current systems and fees before purchase.</t>
  </si>
  <si>
    <t>Alaska caribou expedition</t>
  </si>
  <si>
    <t>Long term</t>
  </si>
  <si>
    <t>Primary Alaska dream hunt.</t>
  </si>
  <si>
    <t>Antelope</t>
  </si>
  <si>
    <t>Research</t>
  </si>
  <si>
    <t>Deer / Elk</t>
  </si>
  <si>
    <t>State system research</t>
  </si>
  <si>
    <t>New state</t>
  </si>
  <si>
    <t>2026</t>
  </si>
  <si>
    <t>Researching</t>
  </si>
  <si>
    <t>Do not purchase until strategy is chosen</t>
  </si>
  <si>
    <t>Track preference/bonus point distinctions and license structure.</t>
  </si>
  <si>
    <t>General / controlled opportunity research</t>
  </si>
  <si>
    <t>Texas / Wyoming</t>
  </si>
  <si>
    <t>Track tag-sale timing, controlled hunts, and current nonresident rules.</t>
  </si>
  <si>
    <t>Caribou</t>
  </si>
  <si>
    <t>Remote Alaska caribou hunt</t>
  </si>
  <si>
    <t>Dream expedition</t>
  </si>
  <si>
    <t>Savings / research</t>
  </si>
  <si>
    <t>TBD</t>
  </si>
  <si>
    <t>Shift year as needed</t>
  </si>
  <si>
    <t>Placeholder estimate only; obtain current outfitter/transport quotes.</t>
  </si>
  <si>
    <t>STATE POINTS, CREDITS &amp; LONG-TERM INVESTMENTS</t>
  </si>
  <si>
    <t>Point Type</t>
  </si>
  <si>
    <t>Current Points</t>
  </si>
  <si>
    <t>Next Action Year</t>
  </si>
  <si>
    <t>Next Action</t>
  </si>
  <si>
    <t>Target / Burn Range</t>
  </si>
  <si>
    <t>Last Updated</t>
  </si>
  <si>
    <t>Official Agency URL</t>
  </si>
  <si>
    <t>Strategy Notes</t>
  </si>
  <si>
    <t>Preference</t>
  </si>
  <si>
    <t>Buy point</t>
  </si>
  <si>
    <t>Reach 5; evaluate burn plan</t>
  </si>
  <si>
    <t>https://wgfd.wyo.gov/</t>
  </si>
  <si>
    <t>User reports 4 current points and plans to add a fifth in 2026.</t>
  </si>
  <si>
    <t>TBD after research</t>
  </si>
  <si>
    <t>Research system</t>
  </si>
  <si>
    <t>Set strategy before purchase</t>
  </si>
  <si>
    <t>https://fwp.mt.gov/</t>
  </si>
  <si>
    <t>Stub only; distinguish preference points, bonus points, and license requirements.</t>
  </si>
  <si>
    <t>Confirm youth eligibility and current rules.</t>
  </si>
  <si>
    <t>No traditional preference-point plan</t>
  </si>
  <si>
    <t>Research annual opportunity</t>
  </si>
  <si>
    <t>Annual decision</t>
  </si>
  <si>
    <t>https://idfg.idaho.gov/</t>
  </si>
  <si>
    <t>Track current nonresident tag-sale and controlled-hunt procedures annually.</t>
  </si>
  <si>
    <t>MULTI-STATE APPLICATION &amp; LICENSE TRACKER</t>
  </si>
  <si>
    <t>Transaction</t>
  </si>
  <si>
    <t>Hunt / Unit / Product</t>
  </si>
  <si>
    <t>Submitted Date</t>
  </si>
  <si>
    <t>License / Tag Cost</t>
  </si>
  <si>
    <t>Draw Result</t>
  </si>
  <si>
    <t>Points Before</t>
  </si>
  <si>
    <t>Points After</t>
  </si>
  <si>
    <t>Official Source URL</t>
  </si>
  <si>
    <t>DREAM HUNT ROADMAP</t>
  </si>
  <si>
    <t>Dream Hunt</t>
  </si>
  <si>
    <t>Location</t>
  </si>
  <si>
    <t>Hunter(s)</t>
  </si>
  <si>
    <t>Target Year</t>
  </si>
  <si>
    <t>Planning Horizon</t>
  </si>
  <si>
    <t>Estimated Total Cost</t>
  </si>
  <si>
    <t>Funding Status</t>
  </si>
  <si>
    <t>Physical Prep</t>
  </si>
  <si>
    <t>Point / Draw Requirement</t>
  </si>
  <si>
    <t>Major Logistics</t>
  </si>
  <si>
    <t>Next Research Step</t>
  </si>
  <si>
    <t>Alaska Caribou</t>
  </si>
  <si>
    <t>Start dedicated fund</t>
  </si>
  <si>
    <t>Backpack/endurance</t>
  </si>
  <si>
    <t>Varies by hunt and land status</t>
  </si>
  <si>
    <t>Air transport, meat care, weather, gear</t>
  </si>
  <si>
    <t>Compare guided vs transporter-supported options</t>
  </si>
  <si>
    <t>Cost is a placeholder; verify current quotes.</t>
  </si>
  <si>
    <t>Alaska Interior Grizzly</t>
  </si>
  <si>
    <t>Interior Alaska</t>
  </si>
  <si>
    <t>Grizzly</t>
  </si>
  <si>
    <t>Future</t>
  </si>
  <si>
    <t>High fitness</t>
  </si>
  <si>
    <t>Confirm guide requirement and current law</t>
  </si>
  <si>
    <t>Guide/outfitter, travel, trophy/meat rules</t>
  </si>
  <si>
    <t>Research reputable interior outfitters</t>
  </si>
  <si>
    <t>User's stated dream hunt.</t>
  </si>
  <si>
    <t>Alaska Moose</t>
  </si>
  <si>
    <t>Moose</t>
  </si>
  <si>
    <t>High fitness / pack-out</t>
  </si>
  <si>
    <t>Air transport, meat logistics, extended trip</t>
  </si>
  <si>
    <t>Compare guided, transporter, and legal requirements</t>
  </si>
  <si>
    <t>Corrected from 'mouse' based on context; revise if needed.</t>
  </si>
  <si>
    <t>DREAM HUNT SAVINGS &amp; COST PLAN</t>
  </si>
  <si>
    <t>Target Cost</t>
  </si>
  <si>
    <t>Saved to Date</t>
  </si>
  <si>
    <t>Remaining</t>
  </si>
  <si>
    <t>Years Remaining</t>
  </si>
  <si>
    <t>Required per Year</t>
  </si>
  <si>
    <t>Required per Month</t>
  </si>
  <si>
    <t>Primary near-term Alaska dream.</t>
  </si>
  <si>
    <t>Long-range goal.</t>
  </si>
  <si>
    <t>FAMILY HUNT JOURNAL &amp; HARVEST LOG</t>
  </si>
  <si>
    <t>Hunt ID</t>
  </si>
  <si>
    <t>Area / Unit</t>
  </si>
  <si>
    <t>Start Date</t>
  </si>
  <si>
    <t>End Date</t>
  </si>
  <si>
    <t>Drawn / OTC</t>
  </si>
  <si>
    <t>Harvest</t>
  </si>
  <si>
    <t>Animal / Details</t>
  </si>
  <si>
    <t>Miles Hiked</t>
  </si>
  <si>
    <t>Days Afield</t>
  </si>
  <si>
    <t>Weather</t>
  </si>
  <si>
    <t>Camp</t>
  </si>
  <si>
    <t>Favorite Memory</t>
  </si>
  <si>
    <t>What We Learned</t>
  </si>
  <si>
    <t>What to Change</t>
  </si>
  <si>
    <t>Photo / Folder Link</t>
  </si>
  <si>
    <t>Would Apply Again?</t>
  </si>
  <si>
    <t>Legacy Story</t>
  </si>
  <si>
    <t>CAMP, ACCESS &amp; SCOUTING INTELLIGENCE</t>
  </si>
  <si>
    <t>Hunt / Species</t>
  </si>
  <si>
    <t>Access Date</t>
  </si>
  <si>
    <t>Parking / Trailhead</t>
  </si>
  <si>
    <t>Camp Name / Location</t>
  </si>
  <si>
    <t>GPS / Map Link</t>
  </si>
  <si>
    <t>Water</t>
  </si>
  <si>
    <t>Road / Vehicle Notes</t>
  </si>
  <si>
    <t>Cell Service</t>
  </si>
  <si>
    <t>Terrain</t>
  </si>
  <si>
    <t>Wind / Thermals</t>
  </si>
  <si>
    <t>Glassing Points</t>
  </si>
  <si>
    <t>Animal Sign / Sightings</t>
  </si>
  <si>
    <t>Hunting Pressure</t>
  </si>
  <si>
    <t>Pack-in Distance</t>
  </si>
  <si>
    <t>Family Rating</t>
  </si>
  <si>
    <t>Would Return?</t>
  </si>
  <si>
    <t>Source / Contact</t>
  </si>
  <si>
    <t>Field Notes</t>
  </si>
  <si>
    <t>FAMILY GEAR INVENTORY &amp; EXPEDITION READINESS</t>
  </si>
  <si>
    <t>Item</t>
  </si>
  <si>
    <t>Owner</t>
  </si>
  <si>
    <t>Make / Model</t>
  </si>
  <si>
    <t>Serial #</t>
  </si>
  <si>
    <t>Purchase Date</t>
  </si>
  <si>
    <t>Purchase Cost</t>
  </si>
  <si>
    <t>Condition</t>
  </si>
  <si>
    <t>Last Service</t>
  </si>
  <si>
    <t>Next Service / Replace</t>
  </si>
  <si>
    <t>Weight</t>
  </si>
  <si>
    <t>Used For</t>
  </si>
  <si>
    <t>Storage Location</t>
  </si>
  <si>
    <t>Loaned To</t>
  </si>
  <si>
    <t>Critical for Dream Hunt?</t>
  </si>
  <si>
    <t>THE HASTINGS FAMILY HUNTING LEGACY</t>
  </si>
  <si>
    <t>Family hunting mission</t>
  </si>
  <si>
    <t>Our goal is not simply to harvest animals. Our goal is to steward God's creation, spend meaningful time together, learn new places, develop perseverance and practical skill, and build a family legacy of faith, hard work, adventure, gratitude, and service. We measure success by the memories, character, and relationships we build together—not only by the tags we fill.</t>
  </si>
  <si>
    <t>Principles to pass on</t>
  </si>
  <si>
    <t>Honor God and care for creation.</t>
  </si>
  <si>
    <t>Respect the animal, the land, landowners, and other hunters.</t>
  </si>
  <si>
    <t>Prepare thoroughly, work hard, and stay humble.</t>
  </si>
  <si>
    <t>Leave every camp and trail better than we found it.</t>
  </si>
  <si>
    <t>Help youth and new hunters grow safely and confidently.</t>
  </si>
  <si>
    <t>Enjoy the sunrise, the campfire, and the people—not just the harvest.</t>
  </si>
  <si>
    <t>7</t>
  </si>
  <si>
    <t>Write down the stories so the next generation knows where it came from.</t>
  </si>
  <si>
    <t>Annual legacy entries</t>
  </si>
  <si>
    <t>Who Was There</t>
  </si>
  <si>
    <t>Hunt / Place</t>
  </si>
  <si>
    <t>What Happened</t>
  </si>
  <si>
    <t>Favorite Story</t>
  </si>
  <si>
    <t>Lesson Passed On</t>
  </si>
  <si>
    <t>Photo / Link</t>
  </si>
  <si>
    <t>Written By</t>
  </si>
  <si>
    <t>Hastings Family Hunt Preferences — V5</t>
  </si>
  <si>
    <t>Rule</t>
  </si>
  <si>
    <t>Applies When</t>
  </si>
  <si>
    <t>Priority Effect</t>
  </si>
  <si>
    <t>Score Adjustment</t>
  </si>
  <si>
    <t>Reason</t>
  </si>
  <si>
    <t>Distant archery whitetail</t>
  </si>
  <si>
    <t>Whitetail + Archery + distance &gt;200 miles</t>
  </si>
  <si>
    <t>Adult C; Youth B</t>
  </si>
  <si>
    <t>Long-distance whitetail archery is less appealing than western spot-and-stalk</t>
  </si>
  <si>
    <t>Active</t>
  </si>
  <si>
    <t>Mule Deer + Archery, statewide</t>
  </si>
  <si>
    <t>Public-land mule deer stalking is a preferred experience</t>
  </si>
  <si>
    <t>Youth protection</t>
  </si>
  <si>
    <t>Distant archery whitetail also eligible for youth</t>
  </si>
  <si>
    <t>Never below B</t>
  </si>
  <si>
    <t>Youth opportunity remains valuable despite lower hunt-style preference</t>
  </si>
  <si>
    <t>V5 Link</t>
  </si>
  <si>
    <t>Purpose</t>
  </si>
  <si>
    <t>Use</t>
  </si>
  <si>
    <t>Official TPWD category page</t>
  </si>
  <si>
    <t>Dates, fees, permits and area listing</t>
  </si>
  <si>
    <t>Official TPWD site search</t>
  </si>
  <si>
    <t>Find property page, area details and brochure PDF</t>
  </si>
  <si>
    <t>Official TPWD application portal</t>
  </si>
  <si>
    <t>Sign in and submit the application</t>
  </si>
  <si>
    <t>Travel orientation</t>
  </si>
  <si>
    <t>Approximate location only; verify official boundaries</t>
  </si>
  <si>
    <t>Shows V5 scoring change</t>
  </si>
  <si>
    <t>+1 mule archery; -1 distant archery whitetail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</si>
</sst>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$0.00"/>
    <numFmt numFmtId="166" formatCode="0.0%"/>
    <numFmt numFmtId="167" formatCode="0.0"/>
    <numFmt numFmtId="168" formatCode="$#,##0.00"/>
    <numFmt numFmtId="169" formatCode="$#,##0"/>
    <numFmt numFmtId="170" formatCode="m/d/yyyy"/>
    <numFmt numFmtId="171" formatCode="$0"/>
  </numFmts>
  <fonts count="15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4.0"/>
      <color rgb="FFFFFFFF"/>
      <name val="Carlito"/>
    </font>
    <font>
      <i/>
      <sz val="11.0"/>
      <color theme="1"/>
      <name val="Carlito"/>
    </font>
    <font>
      <b/>
      <sz val="18.0"/>
      <color rgb="FFFFFFFF"/>
      <name val="Carlito"/>
    </font>
    <font>
      <i/>
      <sz val="12.0"/>
      <color theme="1"/>
      <name val="Carlito"/>
    </font>
    <font>
      <b/>
      <sz val="12.0"/>
      <color rgb="FFFFFFFF"/>
      <name val="Carlito"/>
    </font>
    <font>
      <u/>
      <sz val="11.0"/>
      <color rgb="FF0000FF"/>
      <name val="Carlito"/>
    </font>
    <font>
      <b/>
      <sz val="11.0"/>
      <color rgb="FF1F1F1F"/>
      <name val="Carlito"/>
    </font>
    <font>
      <color theme="1"/>
      <name val="Carlito"/>
      <scheme val="minor"/>
    </font>
    <font>
      <u/>
      <sz val="11.0"/>
      <color rgb="FF0000FF"/>
      <name val="Carlito"/>
    </font>
    <font>
      <i/>
      <sz val="13.0"/>
      <color theme="1"/>
      <name val="Carlito"/>
    </font>
  </fonts>
  <fills count="18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1F4E3D"/>
        <bgColor rgb="FF1F4E3D"/>
      </patternFill>
    </fill>
    <fill>
      <patternFill patternType="solid">
        <fgColor rgb="FF8B5A2B"/>
        <bgColor rgb="FF8B5A2B"/>
      </patternFill>
    </fill>
    <fill>
      <patternFill patternType="solid">
        <fgColor rgb="FF2F5D3A"/>
        <bgColor rgb="FF2F5D3A"/>
      </patternFill>
    </fill>
    <fill>
      <patternFill patternType="solid">
        <fgColor rgb="FFF3F4F6"/>
        <bgColor rgb="FFF3F4F6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3F6F1"/>
        <bgColor rgb="FFF3F6F1"/>
      </patternFill>
    </fill>
    <fill>
      <patternFill patternType="solid">
        <fgColor rgb="FF203864"/>
        <bgColor rgb="FF203864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F9FAFB"/>
        <bgColor rgb="FFF9FAFB"/>
      </patternFill>
    </fill>
    <fill>
      <patternFill patternType="solid">
        <fgColor rgb="FFF4CCCC"/>
        <bgColor rgb="FFF4CCCC"/>
      </patternFill>
    </fill>
    <fill>
      <patternFill patternType="solid">
        <fgColor rgb="FFD6B656"/>
        <bgColor rgb="FFD6B656"/>
      </patternFill>
    </fill>
    <fill>
      <patternFill patternType="solid">
        <fgColor rgb="FF17365D"/>
        <bgColor rgb="FF17365D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5" fontId="2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top" wrapText="1"/>
    </xf>
    <xf borderId="0" fillId="0" fontId="3" numFmtId="9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166" xfId="0" applyAlignment="1" applyFont="1" applyNumberFormat="1">
      <alignment shrinkToFit="0" vertical="top" wrapText="1"/>
    </xf>
    <xf borderId="0" fillId="0" fontId="3" numFmtId="167" xfId="0" applyAlignment="1" applyFont="1" applyNumberFormat="1">
      <alignment shrinkToFit="0" vertical="top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167" xfId="0" applyAlignment="1" applyFont="1" applyNumberFormat="1">
      <alignment shrinkToFit="0" wrapText="1"/>
    </xf>
    <xf borderId="0" fillId="6" fontId="4" numFmtId="0" xfId="0" applyAlignment="1" applyFill="1" applyFont="1">
      <alignment shrinkToFit="0" vertical="top" wrapText="1"/>
    </xf>
    <xf borderId="0" fillId="7" fontId="4" numFmtId="0" xfId="0" applyAlignment="1" applyFill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166" xfId="0" applyAlignment="1" applyFont="1" applyNumberFormat="1">
      <alignment shrinkToFit="0" vertical="top" wrapText="1"/>
    </xf>
    <xf borderId="0" fillId="0" fontId="3" numFmtId="167" xfId="0" applyAlignment="1" applyFont="1" applyNumberFormat="1">
      <alignment shrinkToFit="0" vertical="top" wrapText="1"/>
    </xf>
    <xf borderId="0" fillId="3" fontId="2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3" numFmtId="168" xfId="0" applyAlignment="1" applyFont="1" applyNumberFormat="1">
      <alignment shrinkToFit="0" vertical="top" wrapText="1"/>
    </xf>
    <xf borderId="0" fillId="0" fontId="3" numFmtId="169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8" fontId="4" numFmtId="0" xfId="0" applyAlignment="1" applyFill="1" applyFont="1">
      <alignment shrinkToFit="0" vertical="top" wrapText="1"/>
    </xf>
    <xf borderId="0" fillId="3" fontId="1" numFmtId="0" xfId="0" applyAlignment="1" applyFont="1">
      <alignment horizontal="center"/>
    </xf>
    <xf borderId="0" fillId="9" fontId="6" numFmtId="0" xfId="0" applyAlignment="1" applyFill="1" applyFont="1">
      <alignment shrinkToFit="0" wrapText="1"/>
    </xf>
    <xf borderId="0" fillId="10" fontId="2" numFmtId="0" xfId="0" applyAlignment="1" applyFill="1" applyFont="1">
      <alignment horizontal="center" shrinkToFit="0" wrapText="1"/>
    </xf>
    <xf borderId="0" fillId="3" fontId="2" numFmtId="0" xfId="0" applyAlignment="1" applyFont="1">
      <alignment horizontal="center" shrinkToFit="0" wrapText="1"/>
    </xf>
    <xf borderId="0" fillId="10" fontId="4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0" fillId="10" fontId="4" numFmtId="0" xfId="0" applyAlignment="1" applyFont="1">
      <alignment horizontal="center" shrinkToFit="0" wrapText="1"/>
    </xf>
    <xf borderId="0" fillId="0" fontId="3" numFmtId="170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11" fontId="7" numFmtId="0" xfId="0" applyAlignment="1" applyFill="1" applyFont="1">
      <alignment horizontal="center" vertical="center"/>
    </xf>
    <xf borderId="0" fillId="12" fontId="8" numFmtId="0" xfId="0" applyAlignment="1" applyFill="1" applyFont="1">
      <alignment horizontal="center" shrinkToFit="0" vertical="center" wrapText="1"/>
    </xf>
    <xf borderId="0" fillId="13" fontId="9" numFmtId="0" xfId="0" applyAlignment="1" applyFill="1" applyFont="1">
      <alignment horizontal="left" vertical="center"/>
    </xf>
    <xf borderId="0" fillId="9" fontId="4" numFmtId="0" xfId="0" applyAlignment="1" applyFont="1">
      <alignment horizontal="center"/>
    </xf>
    <xf borderId="0" fillId="10" fontId="4" numFmtId="171" xfId="0" applyAlignment="1" applyFont="1" applyNumberFormat="1">
      <alignment horizontal="center" shrinkToFit="0" wrapText="1"/>
    </xf>
    <xf borderId="0" fillId="0" fontId="4" numFmtId="0" xfId="0" applyFont="1"/>
    <xf borderId="0" fillId="10" fontId="4" numFmtId="165" xfId="0" applyAlignment="1" applyFont="1" applyNumberFormat="1">
      <alignment horizontal="center" shrinkToFit="0" wrapText="1"/>
    </xf>
    <xf borderId="0" fillId="6" fontId="4" numFmtId="0" xfId="0" applyFont="1"/>
    <xf borderId="0" fillId="14" fontId="3" numFmtId="0" xfId="0" applyFill="1" applyFont="1"/>
    <xf borderId="0" fillId="0" fontId="3" numFmtId="171" xfId="0" applyAlignment="1" applyFont="1" applyNumberFormat="1">
      <alignment shrinkToFit="0" wrapText="1"/>
    </xf>
    <xf borderId="0" fillId="5" fontId="2" numFmtId="0" xfId="0" applyAlignment="1" applyFont="1">
      <alignment shrinkToFit="0" wrapText="1"/>
    </xf>
    <xf borderId="0" fillId="8" fontId="4" numFmtId="0" xfId="0" applyFont="1"/>
    <xf borderId="0" fillId="5" fontId="2" numFmtId="170" xfId="0" applyAlignment="1" applyFont="1" applyNumberFormat="1">
      <alignment shrinkToFit="0" wrapText="1"/>
    </xf>
    <xf borderId="0" fillId="5" fontId="2" numFmtId="171" xfId="0" applyAlignment="1" applyFont="1" applyNumberFormat="1">
      <alignment shrinkToFit="0" wrapText="1"/>
    </xf>
    <xf borderId="0" fillId="5" fontId="2" numFmtId="0" xfId="0" applyAlignment="1" applyFont="1">
      <alignment shrinkToFit="0" wrapText="1"/>
    </xf>
    <xf borderId="0" fillId="15" fontId="4" numFmtId="0" xfId="0" applyAlignment="1" applyFill="1" applyFont="1">
      <alignment horizontal="center" shrinkToFit="0" vertical="center" wrapText="1"/>
    </xf>
    <xf borderId="0" fillId="0" fontId="3" numFmtId="16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0" fillId="6" fontId="4" numFmtId="0" xfId="0" applyAlignment="1" applyFont="1">
      <alignment shrinkToFit="0" wrapText="1"/>
    </xf>
    <xf borderId="0" fillId="14" fontId="10" numFmtId="0" xfId="0" applyAlignment="1" applyFont="1">
      <alignment shrinkToFit="0" wrapText="1"/>
    </xf>
    <xf borderId="0" fillId="16" fontId="11" numFmtId="0" xfId="0" applyAlignment="1" applyFill="1" applyFont="1">
      <alignment horizontal="center" shrinkToFit="0" vertical="center" wrapText="1"/>
    </xf>
    <xf borderId="0" fillId="0" fontId="12" numFmtId="0" xfId="0" applyFont="1"/>
    <xf borderId="0" fillId="0" fontId="13" numFmtId="0" xfId="0" applyAlignment="1" applyFont="1">
      <alignment shrinkToFit="0" wrapText="1"/>
    </xf>
    <xf borderId="0" fillId="0" fontId="3" numFmtId="169" xfId="0" applyFont="1" applyNumberFormat="1"/>
    <xf borderId="0" fillId="0" fontId="3" numFmtId="1" xfId="0" applyAlignment="1" applyFont="1" applyNumberFormat="1">
      <alignment shrinkToFit="0" wrapText="1"/>
    </xf>
    <xf borderId="0" fillId="0" fontId="3" numFmtId="169" xfId="0" applyAlignment="1" applyFont="1" applyNumberFormat="1">
      <alignment shrinkToFit="0" wrapText="1"/>
    </xf>
    <xf borderId="0" fillId="0" fontId="3" numFmtId="168" xfId="0" applyAlignment="1" applyFont="1" applyNumberFormat="1">
      <alignment shrinkToFit="0" wrapText="1"/>
    </xf>
    <xf borderId="0" fillId="0" fontId="3" numFmtId="168" xfId="0" applyFont="1" applyNumberFormat="1"/>
    <xf borderId="0" fillId="12" fontId="1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17" fontId="1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</font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BBF7D0"/>
          <bgColor rgb="FFBBF7D0"/>
        </patternFill>
      </fill>
      <border/>
    </dxf>
    <dxf>
      <font/>
      <fill>
        <patternFill patternType="solid">
          <fgColor rgb="FFFCA5A5"/>
          <bgColor rgb="FFFCA5A5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B91C1C"/>
      </font>
      <fill>
        <patternFill patternType="solid">
          <fgColor rgb="FFFCE8E6"/>
          <bgColor rgb="FFFCE8E6"/>
        </patternFill>
      </fill>
      <border/>
    </dxf>
    <dxf>
      <font>
        <b/>
        <color rgb="FF166534"/>
      </font>
      <fill>
        <patternFill patternType="solid">
          <fgColor rgb="FFE6F4EA"/>
          <bgColor rgb="FFE6F4EA"/>
        </patternFill>
      </fill>
      <border/>
    </dxf>
    <dxf>
      <font>
        <b/>
      </font>
      <fill>
        <patternFill patternType="solid">
          <fgColor rgb="FFFDE68A"/>
          <bgColor rgb="FFFDE68A"/>
        </patternFill>
      </fill>
      <border/>
    </dxf>
    <dxf>
      <font>
        <b/>
      </font>
      <fill>
        <patternFill patternType="solid">
          <fgColor rgb="FFFCA5A5"/>
          <bgColor rgb="FFFCA5A5"/>
        </patternFill>
      </fill>
      <border/>
    </dxf>
    <dxf>
      <font/>
      <fill>
        <patternFill patternType="solid">
          <fgColor rgb="FFBBF7D0"/>
          <bgColor rgb="FFBBF7D0"/>
        </patternFill>
      </fill>
      <border/>
    </dxf>
  </dxfs>
  <tableStyles count="13">
    <tableStyle count="3" pivot="0" name="Master Hunt List-style">
      <tableStyleElement dxfId="1" type="headerRow"/>
      <tableStyleElement dxfId="2" type="firstRowStripe"/>
      <tableStyleElement dxfId="3" type="secondRowStripe"/>
    </tableStyle>
    <tableStyle count="3" pivot="0" name="Youth Priority-style">
      <tableStyleElement dxfId="1" type="headerRow"/>
      <tableStyleElement dxfId="2" type="firstRowStripe"/>
      <tableStyleElement dxfId="3" type="secondRowStripe"/>
    </tableStyle>
    <tableStyle count="3" pivot="0" name="Best Bets-style">
      <tableStyleElement dxfId="1" type="headerRow"/>
      <tableStyleElement dxfId="2" type="firstRowStripe"/>
      <tableStyleElement dxfId="3" type="secondRowStripe"/>
    </tableStyle>
    <tableStyle count="3" pivot="0" name="Application Calendar-style">
      <tableStyleElement dxfId="1" type="headerRow"/>
      <tableStyleElement dxfId="2" type="firstRowStripe"/>
      <tableStyleElement dxfId="3" type="secondRowStripe"/>
    </tableStyle>
    <tableStyle count="3" pivot="0" name="Draw Odds-style">
      <tableStyleElement dxfId="1" type="headerRow"/>
      <tableStyleElement dxfId="2" type="firstRowStripe"/>
      <tableStyleElement dxfId="3" type="secondRowStripe"/>
    </tableStyle>
    <tableStyle count="3" pivot="0" name="Hastings Hunt History-style">
      <tableStyleElement dxfId="1" type="headerRow"/>
      <tableStyleElement dxfId="2" type="firstRowStripe"/>
      <tableStyleElement dxfId="3" type="secondRowStripe"/>
    </tableStyle>
    <tableStyle count="3" pivot="0" name="Whitetail Deer-style">
      <tableStyleElement dxfId="1" type="headerRow"/>
      <tableStyleElement dxfId="2" type="firstRowStripe"/>
      <tableStyleElement dxfId="3" type="secondRowStripe"/>
    </tableStyle>
    <tableStyle count="3" pivot="0" name="Mule Deer-style">
      <tableStyleElement dxfId="1" type="headerRow"/>
      <tableStyleElement dxfId="2" type="firstRowStripe"/>
      <tableStyleElement dxfId="3" type="secondRowStripe"/>
    </tableStyle>
    <tableStyle count="3" pivot="0" name="Feral Hog-style">
      <tableStyleElement dxfId="1" type="headerRow"/>
      <tableStyleElement dxfId="2" type="firstRowStripe"/>
      <tableStyleElement dxfId="3" type="secondRowStripe"/>
    </tableStyle>
    <tableStyle count="3" pivot="0" name="Turkey-style">
      <tableStyleElement dxfId="1" type="headerRow"/>
      <tableStyleElement dxfId="2" type="firstRowStripe"/>
      <tableStyleElement dxfId="3" type="secondRowStripe"/>
    </tableStyle>
    <tableStyle count="3" pivot="0" name="Waterfowl Upland-style">
      <tableStyleElement dxfId="1" type="headerRow"/>
      <tableStyleElement dxfId="2" type="firstRowStripe"/>
      <tableStyleElement dxfId="3" type="secondRowStripe"/>
    </tableStyle>
    <tableStyle count="3" pivot="0" name="Pronghorn Exotics-style">
      <tableStyleElement dxfId="1" type="headerRow"/>
      <tableStyleElement dxfId="2" type="firstRowStripe"/>
      <tableStyleElement dxfId="3" type="secondRowStripe"/>
    </tableStyle>
    <tableStyle count="3" pivot="0" name="Application 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Best Bets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'Best Bets'!$E$2:$E$10</c:f>
            </c:strRef>
          </c:cat>
          <c:val>
            <c:numRef>
              <c:f>'Best Bets'!$F$2:$F$10</c:f>
              <c:numCache/>
            </c:numRef>
          </c:val>
        </c:ser>
        <c:axId val="50352166"/>
        <c:axId val="355405325"/>
      </c:barChart>
      <c:catAx>
        <c:axId val="50352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405325"/>
      </c:catAx>
      <c:valAx>
        <c:axId val="3554053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3521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</xdr:row>
      <xdr:rowOff>0</xdr:rowOff>
    </xdr:from>
    <xdr:ext cx="145542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6" displayName="Table_3" name="Table_3" id="3">
  <tableColumns count="14">
    <tableColumn name="Rank" id="1"/>
    <tableColumn name="Apply?" id="2"/>
    <tableColumn name="Hastings Score" id="3"/>
    <tableColumn name="Priority" id="4"/>
    <tableColumn name="Species Group" id="5"/>
    <tableColumn name="Hunt Area" id="6"/>
    <tableColumn name="Region" id="7"/>
    <tableColumn name="Hunt Category" id="8"/>
    <tableColumn name="Adult" id="9"/>
    <tableColumn name="Youth" id="10"/>
    <tableColumn name="Deadline" id="11"/>
    <tableColumn name="Approx Miles" id="12"/>
    <tableColumn name="Draw Odds" id="13"/>
    <tableColumn name="Recommendation" id="14"/>
  </tableColumns>
  <tableStyleInfo name="Best Bets-style" showColumnStripes="0" showFirstColumn="1" showLastColumn="1" showRowStripes="1"/>
</table>
</file>

<file path=xl/tables/table2.xml><?xml version="1.0" encoding="utf-8"?>
<table xmlns="http://schemas.openxmlformats.org/spreadsheetml/2006/main" ref="A1:AE54" displayName="Table_1" name="Table_1" id="1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Master Hunt List-style" showColumnStripes="0" showFirstColumn="1" showLastColumn="1" showRowStripes="1"/>
</table>
</file>

<file path=xl/tables/table3.xml><?xml version="1.0" encoding="utf-8"?>
<table xmlns="http://schemas.openxmlformats.org/spreadsheetml/2006/main" ref="A1:L41" displayName="Table_2" name="Table_2" id="2">
  <tableColumns count="12">
    <tableColumn name="Apply?" id="1"/>
    <tableColumn name="Priority" id="2"/>
    <tableColumn name="Species Group" id="3"/>
    <tableColumn name="Hunt Area" id="4"/>
    <tableColumn name="Hunt Category" id="5"/>
    <tableColumn name="Deadline" id="6"/>
    <tableColumn name="Approx Miles" id="7"/>
    <tableColumn name="Draw Odds" id="8"/>
    <tableColumn name="Permits" id="9"/>
    <tableColumn name="Applicants" id="10"/>
    <tableColumn name="Notes" id="11"/>
    <tableColumn name="Source URL" id="12"/>
  </tableColumns>
  <tableStyleInfo name="Youth Priority-style" showColumnStripes="0" showFirstColumn="1" showLastColumn="1" showRowStripes="1"/>
</table>
</file>

<file path=xl/tables/table4.xml><?xml version="1.0" encoding="utf-8"?>
<table xmlns="http://schemas.openxmlformats.org/spreadsheetml/2006/main" ref="A1:E8" displayName="Table_4" name="Table_4" id="4">
  <tableColumns count="5">
    <tableColumn name="Deadline" id="1"/>
    <tableColumn name="Main Categories to Apply" id="2"/>
    <tableColumn name="Suggested Action" id="3"/>
    <tableColumn name="Estimated App Fees in Master" id="4"/>
    <tableColumn name="Notes" id="5"/>
  </tableColumns>
  <tableStyleInfo name="Application Calendar-style" showColumnStripes="0" showFirstColumn="1" showLastColumn="1" showRowStripes="1"/>
</table>
</file>

<file path=xl/tables/table5.xml><?xml version="1.0" encoding="utf-8"?>
<table xmlns="http://schemas.openxmlformats.org/spreadsheetml/2006/main" ref="A1:H5" displayName="Table_5" name="Table_5" id="5">
  <tableColumns count="8">
    <tableColumn name="Hunt Area" id="1"/>
    <tableColumn name="Hunt Category" id="2"/>
    <tableColumn name="Species" id="3"/>
    <tableColumn name="Applicants Last Year" id="4"/>
    <tableColumn name="Permits/Groups" id="5"/>
    <tableColumn name="Draw Odds" id="6"/>
    <tableColumn name="Odds Tier" id="7"/>
    <tableColumn name="Source URL" id="8"/>
  </tableColumns>
  <tableStyleInfo name="Draw Odds-style" showColumnStripes="0" showFirstColumn="1" showLastColumn="1" showRowStripes="1"/>
</table>
</file>

<file path=xl/tables/table6.xml><?xml version="1.0" encoding="utf-8"?>
<table xmlns="http://schemas.openxmlformats.org/spreadsheetml/2006/main" ref="A1:I4" displayName="Table_6" name="Table_6" id="6">
  <tableColumns count="9">
    <tableColumn name="Year" id="1"/>
    <tableColumn name="Hunt Area" id="2"/>
    <tableColumn name="Species" id="3"/>
    <tableColumn name="Hunt Type" id="4"/>
    <tableColumn name="Drawn?" id="5"/>
    <tableColumn name="Harvest?" id="6"/>
    <tableColumn name="Camped?" id="7"/>
    <tableColumn name="Backpack?" id="8"/>
    <tableColumn name="Notes" id="9"/>
  </tableColumns>
  <tableStyleInfo name="Hastings Hunt History-style" showColumnStripes="0" showFirstColumn="1" showLastColumn="1" showRowStripes="1"/>
</table>
</file>

<file path=xl/tables/table7.xml><?xml version="1.0" encoding="utf-8"?>
<table xmlns="http://schemas.openxmlformats.org/spreadsheetml/2006/main" ref="A1:AE27" displayName="Table_7" name="Table_7" id="7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Whitetail Deer-style" showColumnStripes="0" showFirstColumn="1" showLastColumn="1" showRowStripes="1"/>
</table>
</file>

<file path=xl/tables/table8.xml><?xml version="1.0" encoding="utf-8"?>
<table xmlns="http://schemas.openxmlformats.org/spreadsheetml/2006/main" ref="A1:AE5" displayName="Table_8" name="Table_8" id="8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Mule Deer-style" showColumnStripes="0" showFirstColumn="1" showLastColumn="1" showRowStripes="1"/>
</table>
</file>

<file path=xl/tables/table9.xml><?xml version="1.0" encoding="utf-8"?>
<table xmlns="http://schemas.openxmlformats.org/spreadsheetml/2006/main" ref="A1:AE10" displayName="Table_9" name="Table_9" id="9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Feral Hog-style" showColumnStripes="0" showFirstColumn="1" showLastColumn="1" showRowStripes="1"/>
</table>
</file>

<file path=xl/tables/table10.xml><?xml version="1.0" encoding="utf-8"?>
<table xmlns="http://schemas.openxmlformats.org/spreadsheetml/2006/main" ref="A1:AE5" displayName="Table_10" name="Table_10" id="10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Turkey-style" showColumnStripes="0" showFirstColumn="1" showLastColumn="1" showRowStripes="1"/>
</table>
</file>

<file path=xl/tables/table11.xml><?xml version="1.0" encoding="utf-8"?>
<table xmlns="http://schemas.openxmlformats.org/spreadsheetml/2006/main" ref="A1:AE7" displayName="Table_11" name="Table_11" id="11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Waterfowl Upland-style" showColumnStripes="0" showFirstColumn="1" showLastColumn="1" showRowStripes="1"/>
</table>
</file>

<file path=xl/tables/table12.xml><?xml version="1.0" encoding="utf-8"?>
<table xmlns="http://schemas.openxmlformats.org/spreadsheetml/2006/main" ref="A1:AE5" displayName="Table_12" name="Table_12" id="12">
  <tableColumns count="31">
    <tableColumn name="Applied" id="1"/>
    <tableColumn name="Priority" id="2"/>
    <tableColumn name="Species Group" id="3"/>
    <tableColumn name="Hunt Area" id="4"/>
    <tableColumn name="Region" id="5"/>
    <tableColumn name="Hunt Category" id="6"/>
    <tableColumn name="Adult" id="7"/>
    <tableColumn name="Youth" id="8"/>
    <tableColumn name="Application Deadline" id="9"/>
    <tableColumn name="Hunt Window" id="10"/>
    <tableColumn name="Application Fee" id="11"/>
    <tableColumn name="Estimated Permit Fee" id="12"/>
    <tableColumn name="Permits/Groups" id="13"/>
    <tableColumn name="Applicants Last Year" id="14"/>
    <tableColumn name="Draw Odds" id="15"/>
    <tableColumn name="Approx Miles from Amarillo" id="16"/>
    <tableColumn name="Drive Zone" id="17"/>
    <tableColumn name="Camping Notes" id="18"/>
    <tableColumn name="Backpack Rating" id="19"/>
    <tableColumn name="Past Drawn by Hastings" id="20"/>
    <tableColumn name="Notes" id="21"/>
    <tableColumn name="Source URL" id="22"/>
    <tableColumn name="Odds Score" id="23"/>
    <tableColumn name="Distance Score" id="24"/>
    <tableColumn name="Youth Fit Score" id="25"/>
    <tableColumn name="Camping Score" id="26"/>
    <tableColumn name="Backpack Score" id="27"/>
    <tableColumn name="Past Draw Bonus" id="28"/>
    <tableColumn name="Hastings Score" id="29"/>
    <tableColumn name="Estimated Total If Drawn" id="30"/>
    <tableColumn name="Deadline Month" id="31"/>
  </tableColumns>
  <tableStyleInfo name="Pronghorn Exotics-style" showColumnStripes="0" showFirstColumn="1" showLastColumn="1" showRowStripes="1"/>
</table>
</file>

<file path=xl/tables/table13.xml><?xml version="1.0" encoding="utf-8"?>
<table xmlns="http://schemas.openxmlformats.org/spreadsheetml/2006/main" headerRowCount="0" ref="A4:L57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pplication 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6" width="12.0"/>
  </cols>
  <sheetData>
    <row r="1" ht="27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4</v>
      </c>
      <c r="B3" s="6" t="s">
        <v>13</v>
      </c>
      <c r="C3" s="6" t="s">
        <v>15</v>
      </c>
      <c r="D3" s="6"/>
      <c r="E3" s="6" t="s">
        <v>19</v>
      </c>
      <c r="F3" s="6" t="s">
        <v>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41</v>
      </c>
      <c r="B4" s="3">
        <f>COUNTA('Master Hunt List'!D:D)-1</f>
        <v>294</v>
      </c>
      <c r="C4" s="3"/>
      <c r="D4" s="3"/>
      <c r="E4" s="3" t="s">
        <v>65</v>
      </c>
      <c r="F4" s="3" t="s">
        <v>66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67</v>
      </c>
      <c r="B5" s="3">
        <f>COUNTIF('Master Hunt List'!H:H,"Yes")</f>
        <v>283</v>
      </c>
      <c r="C5" s="3"/>
      <c r="D5" s="3"/>
      <c r="E5" s="3" t="s">
        <v>72</v>
      </c>
      <c r="F5" s="3" t="s">
        <v>73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78</v>
      </c>
      <c r="B6" s="3">
        <f>COUNTIFS('Master Hunt List'!P:P,"&lt;=400")</f>
        <v>78</v>
      </c>
      <c r="C6" s="3"/>
      <c r="D6" s="3"/>
      <c r="E6" s="3" t="s">
        <v>79</v>
      </c>
      <c r="F6" s="3" t="s">
        <v>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82</v>
      </c>
      <c r="B7" s="3">
        <f>COUNTIFS('Master Hunt List'!P:P,"&gt;400")</f>
        <v>215</v>
      </c>
      <c r="C7" s="3"/>
      <c r="D7" s="3"/>
      <c r="E7" s="3" t="s">
        <v>86</v>
      </c>
      <c r="F7" s="3" t="s">
        <v>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91</v>
      </c>
      <c r="B8" s="3">
        <f>COUNTIF('Master Hunt List'!A:A,"Yes")</f>
        <v>0</v>
      </c>
      <c r="C8" s="3"/>
      <c r="D8" s="3"/>
      <c r="E8" s="3" t="s">
        <v>93</v>
      </c>
      <c r="F8" s="3" t="s">
        <v>94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96</v>
      </c>
      <c r="B9" s="3">
        <f>SUMIF('Master Hunt List'!A:A,"Yes",'Master Hunt List'!K:K)</f>
        <v>0</v>
      </c>
      <c r="C9" s="3"/>
      <c r="D9" s="3"/>
      <c r="E9" s="3" t="s">
        <v>100</v>
      </c>
      <c r="F9" s="3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101</v>
      </c>
      <c r="B10" s="3" t="str">
        <f t="array" ref="B10">INDEX('Best Bets'!F:F,2)</f>
        <v>Caprock Canyons SP</v>
      </c>
      <c r="C10" s="3"/>
      <c r="D10" s="3"/>
      <c r="E10" s="3" t="s">
        <v>107</v>
      </c>
      <c r="F10" s="3" t="s">
        <v>109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17" t="s">
        <v>116</v>
      </c>
      <c r="F11" s="17" t="s">
        <v>117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124</v>
      </c>
      <c r="B12" s="18"/>
      <c r="C12" s="18"/>
      <c r="D12" s="18"/>
      <c r="E12" s="18"/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139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144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148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155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158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163</v>
      </c>
      <c r="B23" s="3" t="s">
        <v>117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167</v>
      </c>
      <c r="B24" s="3" t="s">
        <v>168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12.0"/>
    <col customWidth="1" min="4" max="4" width="9.0"/>
    <col customWidth="1" min="5" max="5" width="16.0"/>
    <col customWidth="1" min="6" max="6" width="30.0"/>
    <col customWidth="1" min="7" max="7" width="24.0"/>
    <col customWidth="1" min="8" max="8" width="34.0"/>
    <col customWidth="1" min="9" max="10" width="8.0"/>
    <col customWidth="1" min="11" max="11" width="14.0"/>
    <col customWidth="1" min="12" max="12" width="12.0"/>
    <col customWidth="1" min="13" max="13" width="10.0"/>
    <col customWidth="1" min="14" max="14" width="24.0"/>
    <col customWidth="1" min="15" max="15" width="4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</cols>
  <sheetData>
    <row r="1" ht="27.75" customHeight="1">
      <c r="A1" s="5" t="s">
        <v>92</v>
      </c>
      <c r="B1" s="5" t="s">
        <v>2</v>
      </c>
      <c r="C1" s="5" t="s">
        <v>42</v>
      </c>
      <c r="D1" s="5" t="s">
        <v>5</v>
      </c>
      <c r="E1" s="5" t="s">
        <v>6</v>
      </c>
      <c r="F1" s="5" t="s">
        <v>7</v>
      </c>
      <c r="G1" s="5" t="s">
        <v>17</v>
      </c>
      <c r="H1" s="5" t="s">
        <v>8</v>
      </c>
      <c r="I1" s="5" t="s">
        <v>21</v>
      </c>
      <c r="J1" s="5" t="s">
        <v>22</v>
      </c>
      <c r="K1" s="5" t="s">
        <v>9</v>
      </c>
      <c r="L1" s="5" t="s">
        <v>10</v>
      </c>
      <c r="M1" s="5" t="s">
        <v>11</v>
      </c>
      <c r="N1" s="5" t="s">
        <v>97</v>
      </c>
      <c r="O1" s="8" t="s">
        <v>18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7">
        <v>1.0</v>
      </c>
      <c r="B2" s="7" t="s">
        <v>39</v>
      </c>
      <c r="C2" s="13">
        <v>3.9</v>
      </c>
      <c r="D2" s="7" t="s">
        <v>44</v>
      </c>
      <c r="E2" s="7" t="s">
        <v>46</v>
      </c>
      <c r="F2" s="7" t="s">
        <v>105</v>
      </c>
      <c r="G2" s="7" t="s">
        <v>106</v>
      </c>
      <c r="H2" s="7" t="s">
        <v>108</v>
      </c>
      <c r="I2" s="7" t="s">
        <v>39</v>
      </c>
      <c r="J2" s="7" t="s">
        <v>69</v>
      </c>
      <c r="K2" s="9" t="s">
        <v>110</v>
      </c>
      <c r="L2" s="10">
        <v>130.0</v>
      </c>
      <c r="M2" s="7"/>
      <c r="N2" s="7" t="s">
        <v>113</v>
      </c>
      <c r="O2" s="3" t="s">
        <v>114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7">
        <v>2.0</v>
      </c>
      <c r="B3" s="7" t="s">
        <v>39</v>
      </c>
      <c r="C3" s="13">
        <v>3.9</v>
      </c>
      <c r="D3" s="7" t="s">
        <v>44</v>
      </c>
      <c r="E3" s="7" t="s">
        <v>102</v>
      </c>
      <c r="F3" s="7" t="s">
        <v>119</v>
      </c>
      <c r="G3" s="7" t="s">
        <v>106</v>
      </c>
      <c r="H3" s="7" t="s">
        <v>120</v>
      </c>
      <c r="I3" s="7" t="s">
        <v>39</v>
      </c>
      <c r="J3" s="7" t="s">
        <v>69</v>
      </c>
      <c r="K3" s="9" t="s">
        <v>122</v>
      </c>
      <c r="L3" s="10">
        <v>130.0</v>
      </c>
      <c r="M3" s="7"/>
      <c r="N3" s="7" t="s">
        <v>113</v>
      </c>
      <c r="O3" s="3" t="s">
        <v>125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7">
        <v>3.0</v>
      </c>
      <c r="B4" s="7" t="s">
        <v>39</v>
      </c>
      <c r="C4" s="13">
        <v>3.7</v>
      </c>
      <c r="D4" s="7" t="s">
        <v>44</v>
      </c>
      <c r="E4" s="7" t="s">
        <v>102</v>
      </c>
      <c r="F4" s="7" t="s">
        <v>95</v>
      </c>
      <c r="G4" s="7" t="s">
        <v>106</v>
      </c>
      <c r="H4" s="7" t="s">
        <v>104</v>
      </c>
      <c r="I4" s="7" t="s">
        <v>69</v>
      </c>
      <c r="J4" s="7" t="s">
        <v>69</v>
      </c>
      <c r="K4" s="9" t="s">
        <v>52</v>
      </c>
      <c r="L4" s="10">
        <v>130.0</v>
      </c>
      <c r="M4" s="7"/>
      <c r="N4" s="7" t="s">
        <v>130</v>
      </c>
      <c r="O4" s="3" t="s">
        <v>111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7">
        <v>4.0</v>
      </c>
      <c r="B5" s="7" t="s">
        <v>39</v>
      </c>
      <c r="C5" s="13">
        <v>3.2</v>
      </c>
      <c r="D5" s="7" t="s">
        <v>44</v>
      </c>
      <c r="E5" s="7" t="s">
        <v>102</v>
      </c>
      <c r="F5" s="7" t="s">
        <v>133</v>
      </c>
      <c r="G5" s="7" t="s">
        <v>106</v>
      </c>
      <c r="H5" s="7" t="s">
        <v>108</v>
      </c>
      <c r="I5" s="7" t="s">
        <v>39</v>
      </c>
      <c r="J5" s="7" t="s">
        <v>69</v>
      </c>
      <c r="K5" s="9" t="s">
        <v>110</v>
      </c>
      <c r="L5" s="10">
        <v>130.0</v>
      </c>
      <c r="M5" s="7"/>
      <c r="N5" s="7" t="s">
        <v>113</v>
      </c>
      <c r="O5" s="3" t="s">
        <v>114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7">
        <v>5.0</v>
      </c>
      <c r="B6" s="7" t="s">
        <v>39</v>
      </c>
      <c r="C6" s="13">
        <v>3.2</v>
      </c>
      <c r="D6" s="7" t="s">
        <v>44</v>
      </c>
      <c r="E6" s="7" t="s">
        <v>102</v>
      </c>
      <c r="F6" s="7" t="s">
        <v>119</v>
      </c>
      <c r="G6" s="7" t="s">
        <v>106</v>
      </c>
      <c r="H6" s="7" t="s">
        <v>108</v>
      </c>
      <c r="I6" s="7" t="s">
        <v>39</v>
      </c>
      <c r="J6" s="7" t="s">
        <v>69</v>
      </c>
      <c r="K6" s="9" t="s">
        <v>110</v>
      </c>
      <c r="L6" s="10">
        <v>130.0</v>
      </c>
      <c r="M6" s="7"/>
      <c r="N6" s="7" t="s">
        <v>113</v>
      </c>
      <c r="O6" s="3" t="s">
        <v>114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7">
        <v>6.0</v>
      </c>
      <c r="B7" s="7" t="s">
        <v>39</v>
      </c>
      <c r="C7" s="13">
        <v>3.2</v>
      </c>
      <c r="D7" s="7" t="s">
        <v>44</v>
      </c>
      <c r="E7" s="7" t="s">
        <v>102</v>
      </c>
      <c r="F7" s="7" t="s">
        <v>151</v>
      </c>
      <c r="G7" s="7" t="s">
        <v>106</v>
      </c>
      <c r="H7" s="7" t="s">
        <v>108</v>
      </c>
      <c r="I7" s="7" t="s">
        <v>39</v>
      </c>
      <c r="J7" s="7" t="s">
        <v>69</v>
      </c>
      <c r="K7" s="9" t="s">
        <v>110</v>
      </c>
      <c r="L7" s="10">
        <v>130.0</v>
      </c>
      <c r="M7" s="7"/>
      <c r="N7" s="7" t="s">
        <v>113</v>
      </c>
      <c r="O7" s="3" t="s">
        <v>114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7">
        <v>7.0</v>
      </c>
      <c r="B8" s="7" t="s">
        <v>39</v>
      </c>
      <c r="C8" s="13">
        <v>3.2</v>
      </c>
      <c r="D8" s="7" t="s">
        <v>44</v>
      </c>
      <c r="E8" s="7" t="s">
        <v>102</v>
      </c>
      <c r="F8" s="7" t="s">
        <v>133</v>
      </c>
      <c r="G8" s="7" t="s">
        <v>106</v>
      </c>
      <c r="H8" s="7" t="s">
        <v>120</v>
      </c>
      <c r="I8" s="7" t="s">
        <v>39</v>
      </c>
      <c r="J8" s="7" t="s">
        <v>69</v>
      </c>
      <c r="K8" s="9" t="s">
        <v>122</v>
      </c>
      <c r="L8" s="10">
        <v>130.0</v>
      </c>
      <c r="M8" s="7"/>
      <c r="N8" s="7" t="s">
        <v>113</v>
      </c>
      <c r="O8" s="3" t="s">
        <v>125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7">
        <v>8.0</v>
      </c>
      <c r="B9" s="7" t="s">
        <v>39</v>
      </c>
      <c r="C9" s="13">
        <v>3.2</v>
      </c>
      <c r="D9" s="7" t="s">
        <v>44</v>
      </c>
      <c r="E9" s="7" t="s">
        <v>102</v>
      </c>
      <c r="F9" s="7" t="s">
        <v>160</v>
      </c>
      <c r="G9" s="7" t="s">
        <v>106</v>
      </c>
      <c r="H9" s="7" t="s">
        <v>120</v>
      </c>
      <c r="I9" s="7" t="s">
        <v>39</v>
      </c>
      <c r="J9" s="7" t="s">
        <v>69</v>
      </c>
      <c r="K9" s="9" t="s">
        <v>122</v>
      </c>
      <c r="L9" s="10">
        <v>130.0</v>
      </c>
      <c r="M9" s="7"/>
      <c r="N9" s="7" t="s">
        <v>113</v>
      </c>
      <c r="O9" s="3" t="s">
        <v>125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7">
        <v>9.0</v>
      </c>
      <c r="B10" s="7" t="s">
        <v>39</v>
      </c>
      <c r="C10" s="13">
        <v>3.2</v>
      </c>
      <c r="D10" s="7" t="s">
        <v>44</v>
      </c>
      <c r="E10" s="7" t="s">
        <v>102</v>
      </c>
      <c r="F10" s="7" t="s">
        <v>160</v>
      </c>
      <c r="G10" s="7" t="s">
        <v>106</v>
      </c>
      <c r="H10" s="7" t="s">
        <v>165</v>
      </c>
      <c r="I10" s="7" t="s">
        <v>39</v>
      </c>
      <c r="J10" s="7" t="s">
        <v>69</v>
      </c>
      <c r="K10" s="9" t="s">
        <v>122</v>
      </c>
      <c r="L10" s="10">
        <v>130.0</v>
      </c>
      <c r="M10" s="7"/>
      <c r="N10" s="7" t="s">
        <v>113</v>
      </c>
      <c r="O10" s="3" t="s">
        <v>166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7">
        <v>10.0</v>
      </c>
      <c r="B11" s="7" t="s">
        <v>39</v>
      </c>
      <c r="C11" s="13">
        <v>3.2</v>
      </c>
      <c r="D11" s="7" t="s">
        <v>44</v>
      </c>
      <c r="E11" s="7" t="s">
        <v>46</v>
      </c>
      <c r="F11" s="7" t="s">
        <v>170</v>
      </c>
      <c r="G11" s="7" t="s">
        <v>106</v>
      </c>
      <c r="H11" s="7" t="s">
        <v>165</v>
      </c>
      <c r="I11" s="7" t="s">
        <v>39</v>
      </c>
      <c r="J11" s="7" t="s">
        <v>69</v>
      </c>
      <c r="K11" s="9" t="s">
        <v>122</v>
      </c>
      <c r="L11" s="10">
        <v>130.0</v>
      </c>
      <c r="M11" s="7"/>
      <c r="N11" s="7" t="s">
        <v>113</v>
      </c>
      <c r="O11" s="3" t="s">
        <v>166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7">
        <v>11.0</v>
      </c>
      <c r="B12" s="7" t="s">
        <v>39</v>
      </c>
      <c r="C12" s="13">
        <v>3.2</v>
      </c>
      <c r="D12" s="7" t="s">
        <v>44</v>
      </c>
      <c r="E12" s="7" t="s">
        <v>102</v>
      </c>
      <c r="F12" s="7" t="s">
        <v>174</v>
      </c>
      <c r="G12" s="7" t="s">
        <v>106</v>
      </c>
      <c r="H12" s="7" t="s">
        <v>175</v>
      </c>
      <c r="I12" s="7" t="s">
        <v>39</v>
      </c>
      <c r="J12" s="7" t="s">
        <v>69</v>
      </c>
      <c r="K12" s="9" t="s">
        <v>176</v>
      </c>
      <c r="L12" s="10">
        <v>130.0</v>
      </c>
      <c r="M12" s="7"/>
      <c r="N12" s="7" t="s">
        <v>113</v>
      </c>
      <c r="O12" s="3" t="s">
        <v>177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7">
        <v>12.0</v>
      </c>
      <c r="B13" s="7" t="s">
        <v>39</v>
      </c>
      <c r="C13" s="13">
        <v>2.9</v>
      </c>
      <c r="D13" s="7" t="s">
        <v>44</v>
      </c>
      <c r="E13" s="7" t="s">
        <v>102</v>
      </c>
      <c r="F13" s="7" t="s">
        <v>133</v>
      </c>
      <c r="G13" s="7" t="s">
        <v>106</v>
      </c>
      <c r="H13" s="7" t="s">
        <v>104</v>
      </c>
      <c r="I13" s="7" t="s">
        <v>69</v>
      </c>
      <c r="J13" s="7" t="s">
        <v>69</v>
      </c>
      <c r="K13" s="9" t="s">
        <v>52</v>
      </c>
      <c r="L13" s="10">
        <v>130.0</v>
      </c>
      <c r="M13" s="7"/>
      <c r="N13" s="7" t="s">
        <v>130</v>
      </c>
      <c r="O13" s="3" t="s">
        <v>111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7">
        <v>13.0</v>
      </c>
      <c r="B14" s="7" t="s">
        <v>39</v>
      </c>
      <c r="C14" s="13">
        <v>2.9</v>
      </c>
      <c r="D14" s="7" t="s">
        <v>44</v>
      </c>
      <c r="E14" s="7" t="s">
        <v>102</v>
      </c>
      <c r="F14" s="7" t="s">
        <v>89</v>
      </c>
      <c r="G14" s="7" t="s">
        <v>106</v>
      </c>
      <c r="H14" s="7" t="s">
        <v>104</v>
      </c>
      <c r="I14" s="7" t="s">
        <v>69</v>
      </c>
      <c r="J14" s="7" t="s">
        <v>69</v>
      </c>
      <c r="K14" s="9" t="s">
        <v>52</v>
      </c>
      <c r="L14" s="10">
        <v>130.0</v>
      </c>
      <c r="M14" s="7"/>
      <c r="N14" s="7" t="s">
        <v>130</v>
      </c>
      <c r="O14" s="3" t="s">
        <v>111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7">
        <v>14.0</v>
      </c>
      <c r="B15" s="7" t="s">
        <v>39</v>
      </c>
      <c r="C15" s="13">
        <v>2.9</v>
      </c>
      <c r="D15" s="7" t="s">
        <v>44</v>
      </c>
      <c r="E15" s="7" t="s">
        <v>46</v>
      </c>
      <c r="F15" s="7" t="s">
        <v>89</v>
      </c>
      <c r="G15" s="7" t="s">
        <v>106</v>
      </c>
      <c r="H15" s="7" t="s">
        <v>50</v>
      </c>
      <c r="I15" s="7" t="s">
        <v>69</v>
      </c>
      <c r="J15" s="7" t="s">
        <v>69</v>
      </c>
      <c r="K15" s="9" t="s">
        <v>52</v>
      </c>
      <c r="L15" s="10">
        <v>130.0</v>
      </c>
      <c r="M15" s="7"/>
      <c r="N15" s="7" t="s">
        <v>130</v>
      </c>
      <c r="O15" s="3" t="s">
        <v>61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7">
        <v>15.0</v>
      </c>
      <c r="B16" s="7" t="s">
        <v>39</v>
      </c>
      <c r="C16" s="13">
        <v>2.9</v>
      </c>
      <c r="D16" s="7" t="s">
        <v>44</v>
      </c>
      <c r="E16" s="7" t="s">
        <v>102</v>
      </c>
      <c r="F16" s="7" t="s">
        <v>160</v>
      </c>
      <c r="G16" s="7" t="s">
        <v>106</v>
      </c>
      <c r="H16" s="7" t="s">
        <v>104</v>
      </c>
      <c r="I16" s="7" t="s">
        <v>69</v>
      </c>
      <c r="J16" s="7" t="s">
        <v>69</v>
      </c>
      <c r="K16" s="9" t="s">
        <v>52</v>
      </c>
      <c r="L16" s="10">
        <v>130.0</v>
      </c>
      <c r="M16" s="7"/>
      <c r="N16" s="7" t="s">
        <v>130</v>
      </c>
      <c r="O16" s="3" t="s">
        <v>111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7">
        <v>16.0</v>
      </c>
      <c r="B17" s="7" t="s">
        <v>39</v>
      </c>
      <c r="C17" s="13">
        <v>2.9</v>
      </c>
      <c r="D17" s="7" t="s">
        <v>44</v>
      </c>
      <c r="E17" s="7" t="s">
        <v>46</v>
      </c>
      <c r="F17" s="7" t="s">
        <v>95</v>
      </c>
      <c r="G17" s="7" t="s">
        <v>106</v>
      </c>
      <c r="H17" s="7" t="s">
        <v>50</v>
      </c>
      <c r="I17" s="7" t="s">
        <v>69</v>
      </c>
      <c r="J17" s="7" t="s">
        <v>69</v>
      </c>
      <c r="K17" s="9" t="s">
        <v>52</v>
      </c>
      <c r="L17" s="10">
        <v>130.0</v>
      </c>
      <c r="M17" s="7"/>
      <c r="N17" s="7" t="s">
        <v>130</v>
      </c>
      <c r="O17" s="3" t="s">
        <v>61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7">
        <v>17.0</v>
      </c>
      <c r="B18" s="7" t="s">
        <v>39</v>
      </c>
      <c r="C18" s="13">
        <v>2.9</v>
      </c>
      <c r="D18" s="7" t="s">
        <v>44</v>
      </c>
      <c r="E18" s="7" t="s">
        <v>102</v>
      </c>
      <c r="F18" s="7" t="s">
        <v>103</v>
      </c>
      <c r="G18" s="7" t="s">
        <v>138</v>
      </c>
      <c r="H18" s="7" t="s">
        <v>108</v>
      </c>
      <c r="I18" s="7" t="s">
        <v>39</v>
      </c>
      <c r="J18" s="7" t="s">
        <v>69</v>
      </c>
      <c r="K18" s="9" t="s">
        <v>110</v>
      </c>
      <c r="L18" s="10">
        <v>300.0</v>
      </c>
      <c r="M18" s="7"/>
      <c r="N18" s="7" t="s">
        <v>113</v>
      </c>
      <c r="O18" s="3" t="s">
        <v>114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7">
        <v>18.0</v>
      </c>
      <c r="B19" s="7" t="s">
        <v>39</v>
      </c>
      <c r="C19" s="13">
        <v>2.9</v>
      </c>
      <c r="D19" s="7" t="s">
        <v>44</v>
      </c>
      <c r="E19" s="7" t="s">
        <v>102</v>
      </c>
      <c r="F19" s="7" t="s">
        <v>174</v>
      </c>
      <c r="G19" s="7" t="s">
        <v>106</v>
      </c>
      <c r="H19" s="7" t="s">
        <v>198</v>
      </c>
      <c r="I19" s="7" t="s">
        <v>69</v>
      </c>
      <c r="J19" s="7" t="s">
        <v>69</v>
      </c>
      <c r="K19" s="9" t="s">
        <v>110</v>
      </c>
      <c r="L19" s="10">
        <v>130.0</v>
      </c>
      <c r="M19" s="7"/>
      <c r="N19" s="7" t="s">
        <v>130</v>
      </c>
      <c r="O19" s="3" t="s">
        <v>201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7">
        <v>19.0</v>
      </c>
      <c r="B20" s="7" t="s">
        <v>39</v>
      </c>
      <c r="C20" s="13">
        <v>2.9</v>
      </c>
      <c r="D20" s="7" t="s">
        <v>44</v>
      </c>
      <c r="E20" s="7" t="s">
        <v>102</v>
      </c>
      <c r="F20" s="7" t="s">
        <v>182</v>
      </c>
      <c r="G20" s="7" t="s">
        <v>138</v>
      </c>
      <c r="H20" s="7" t="s">
        <v>108</v>
      </c>
      <c r="I20" s="7" t="s">
        <v>39</v>
      </c>
      <c r="J20" s="7" t="s">
        <v>69</v>
      </c>
      <c r="K20" s="9" t="s">
        <v>110</v>
      </c>
      <c r="L20" s="10">
        <v>300.0</v>
      </c>
      <c r="M20" s="7"/>
      <c r="N20" s="7" t="s">
        <v>113</v>
      </c>
      <c r="O20" s="3" t="s">
        <v>114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7">
        <v>20.0</v>
      </c>
      <c r="B21" s="7" t="s">
        <v>39</v>
      </c>
      <c r="C21" s="13">
        <v>2.9</v>
      </c>
      <c r="D21" s="7" t="s">
        <v>44</v>
      </c>
      <c r="E21" s="7" t="s">
        <v>102</v>
      </c>
      <c r="F21" s="7" t="s">
        <v>206</v>
      </c>
      <c r="G21" s="7" t="s">
        <v>106</v>
      </c>
      <c r="H21" s="7" t="s">
        <v>207</v>
      </c>
      <c r="I21" s="7" t="s">
        <v>69</v>
      </c>
      <c r="J21" s="7" t="s">
        <v>69</v>
      </c>
      <c r="K21" s="9" t="s">
        <v>110</v>
      </c>
      <c r="L21" s="10">
        <v>130.0</v>
      </c>
      <c r="M21" s="7"/>
      <c r="N21" s="7" t="s">
        <v>130</v>
      </c>
      <c r="O21" s="3" t="s">
        <v>208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7">
        <v>21.0</v>
      </c>
      <c r="B22" s="7" t="s">
        <v>39</v>
      </c>
      <c r="C22" s="13">
        <v>2.9</v>
      </c>
      <c r="D22" s="7" t="s">
        <v>44</v>
      </c>
      <c r="E22" s="7" t="s">
        <v>102</v>
      </c>
      <c r="F22" s="7" t="s">
        <v>210</v>
      </c>
      <c r="G22" s="7" t="s">
        <v>106</v>
      </c>
      <c r="H22" s="7" t="s">
        <v>198</v>
      </c>
      <c r="I22" s="7" t="s">
        <v>69</v>
      </c>
      <c r="J22" s="7" t="s">
        <v>69</v>
      </c>
      <c r="K22" s="9" t="s">
        <v>110</v>
      </c>
      <c r="L22" s="10">
        <v>130.0</v>
      </c>
      <c r="M22" s="7"/>
      <c r="N22" s="7" t="s">
        <v>130</v>
      </c>
      <c r="O22" s="3" t="s">
        <v>201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7">
        <v>22.0</v>
      </c>
      <c r="B23" s="7" t="s">
        <v>39</v>
      </c>
      <c r="C23" s="13">
        <v>2.9</v>
      </c>
      <c r="D23" s="7" t="s">
        <v>44</v>
      </c>
      <c r="E23" s="7" t="s">
        <v>102</v>
      </c>
      <c r="F23" s="7" t="s">
        <v>213</v>
      </c>
      <c r="G23" s="7" t="s">
        <v>138</v>
      </c>
      <c r="H23" s="7" t="s">
        <v>108</v>
      </c>
      <c r="I23" s="7" t="s">
        <v>39</v>
      </c>
      <c r="J23" s="7" t="s">
        <v>69</v>
      </c>
      <c r="K23" s="9" t="s">
        <v>110</v>
      </c>
      <c r="L23" s="10">
        <v>300.0</v>
      </c>
      <c r="M23" s="7"/>
      <c r="N23" s="7" t="s">
        <v>113</v>
      </c>
      <c r="O23" s="3" t="s">
        <v>114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7">
        <v>23.0</v>
      </c>
      <c r="B24" s="7" t="s">
        <v>39</v>
      </c>
      <c r="C24" s="13">
        <v>2.9</v>
      </c>
      <c r="D24" s="7" t="s">
        <v>44</v>
      </c>
      <c r="E24" s="7" t="s">
        <v>102</v>
      </c>
      <c r="F24" s="7" t="s">
        <v>105</v>
      </c>
      <c r="G24" s="7" t="s">
        <v>106</v>
      </c>
      <c r="H24" s="7" t="s">
        <v>216</v>
      </c>
      <c r="I24" s="7" t="s">
        <v>69</v>
      </c>
      <c r="J24" s="7" t="s">
        <v>69</v>
      </c>
      <c r="K24" s="9" t="s">
        <v>122</v>
      </c>
      <c r="L24" s="10">
        <v>130.0</v>
      </c>
      <c r="M24" s="7"/>
      <c r="N24" s="7" t="s">
        <v>130</v>
      </c>
      <c r="O24" s="3" t="s">
        <v>217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7">
        <v>24.0</v>
      </c>
      <c r="B25" s="7" t="s">
        <v>39</v>
      </c>
      <c r="C25" s="13">
        <v>2.9</v>
      </c>
      <c r="D25" s="7" t="s">
        <v>44</v>
      </c>
      <c r="E25" s="7" t="s">
        <v>102</v>
      </c>
      <c r="F25" s="7" t="s">
        <v>133</v>
      </c>
      <c r="G25" s="7" t="s">
        <v>106</v>
      </c>
      <c r="H25" s="7" t="s">
        <v>219</v>
      </c>
      <c r="I25" s="7" t="s">
        <v>69</v>
      </c>
      <c r="J25" s="7" t="s">
        <v>69</v>
      </c>
      <c r="K25" s="9" t="s">
        <v>122</v>
      </c>
      <c r="L25" s="10">
        <v>130.0</v>
      </c>
      <c r="M25" s="7"/>
      <c r="N25" s="7" t="s">
        <v>130</v>
      </c>
      <c r="O25" s="3" t="s">
        <v>220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7">
        <v>25.0</v>
      </c>
      <c r="B26" s="7" t="s">
        <v>39</v>
      </c>
      <c r="C26" s="13">
        <v>2.9</v>
      </c>
      <c r="D26" s="7" t="s">
        <v>44</v>
      </c>
      <c r="E26" s="7" t="s">
        <v>102</v>
      </c>
      <c r="F26" s="7" t="s">
        <v>133</v>
      </c>
      <c r="G26" s="7" t="s">
        <v>106</v>
      </c>
      <c r="H26" s="7" t="s">
        <v>224</v>
      </c>
      <c r="I26" s="7" t="s">
        <v>69</v>
      </c>
      <c r="J26" s="7" t="s">
        <v>69</v>
      </c>
      <c r="K26" s="9" t="s">
        <v>122</v>
      </c>
      <c r="L26" s="10">
        <v>130.0</v>
      </c>
      <c r="M26" s="7"/>
      <c r="N26" s="7" t="s">
        <v>130</v>
      </c>
      <c r="O26" s="3" t="s">
        <v>225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>
        <v>26.0</v>
      </c>
      <c r="B27" s="3" t="s">
        <v>39</v>
      </c>
      <c r="C27" s="3">
        <v>2.9</v>
      </c>
      <c r="D27" s="3" t="s">
        <v>44</v>
      </c>
      <c r="E27" s="3" t="s">
        <v>102</v>
      </c>
      <c r="F27" s="3" t="s">
        <v>89</v>
      </c>
      <c r="G27" s="3" t="s">
        <v>106</v>
      </c>
      <c r="H27" s="3" t="s">
        <v>224</v>
      </c>
      <c r="I27" s="3" t="s">
        <v>69</v>
      </c>
      <c r="J27" s="3" t="s">
        <v>69</v>
      </c>
      <c r="K27" s="19" t="s">
        <v>122</v>
      </c>
      <c r="L27" s="3">
        <v>130.0</v>
      </c>
      <c r="M27" s="3"/>
      <c r="N27" s="3" t="s">
        <v>130</v>
      </c>
      <c r="O27" s="3" t="s">
        <v>225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>
        <v>27.0</v>
      </c>
      <c r="B28" s="3" t="s">
        <v>39</v>
      </c>
      <c r="C28" s="3">
        <v>2.9</v>
      </c>
      <c r="D28" s="3" t="s">
        <v>44</v>
      </c>
      <c r="E28" s="3" t="s">
        <v>102</v>
      </c>
      <c r="F28" s="3" t="s">
        <v>209</v>
      </c>
      <c r="G28" s="3" t="s">
        <v>138</v>
      </c>
      <c r="H28" s="3" t="s">
        <v>120</v>
      </c>
      <c r="I28" s="3" t="s">
        <v>39</v>
      </c>
      <c r="J28" s="3" t="s">
        <v>69</v>
      </c>
      <c r="K28" s="19" t="s">
        <v>122</v>
      </c>
      <c r="L28" s="3">
        <v>300.0</v>
      </c>
      <c r="M28" s="3"/>
      <c r="N28" s="3" t="s">
        <v>113</v>
      </c>
      <c r="O28" s="3" t="s">
        <v>125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>
        <v>28.0</v>
      </c>
      <c r="B29" s="3" t="s">
        <v>39</v>
      </c>
      <c r="C29" s="3">
        <v>2.9</v>
      </c>
      <c r="D29" s="3" t="s">
        <v>44</v>
      </c>
      <c r="E29" s="3" t="s">
        <v>102</v>
      </c>
      <c r="F29" s="3" t="s">
        <v>213</v>
      </c>
      <c r="G29" s="3" t="s">
        <v>138</v>
      </c>
      <c r="H29" s="3" t="s">
        <v>120</v>
      </c>
      <c r="I29" s="3" t="s">
        <v>39</v>
      </c>
      <c r="J29" s="3" t="s">
        <v>69</v>
      </c>
      <c r="K29" s="19" t="s">
        <v>122</v>
      </c>
      <c r="L29" s="3">
        <v>300.0</v>
      </c>
      <c r="M29" s="3"/>
      <c r="N29" s="3" t="s">
        <v>113</v>
      </c>
      <c r="O29" s="3" t="s">
        <v>125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>
        <v>29.0</v>
      </c>
      <c r="B30" s="3" t="s">
        <v>39</v>
      </c>
      <c r="C30" s="3">
        <v>2.9</v>
      </c>
      <c r="D30" s="3" t="s">
        <v>44</v>
      </c>
      <c r="E30" s="3" t="s">
        <v>102</v>
      </c>
      <c r="F30" s="3" t="s">
        <v>237</v>
      </c>
      <c r="G30" s="3" t="s">
        <v>106</v>
      </c>
      <c r="H30" s="3" t="s">
        <v>224</v>
      </c>
      <c r="I30" s="3" t="s">
        <v>69</v>
      </c>
      <c r="J30" s="3" t="s">
        <v>69</v>
      </c>
      <c r="K30" s="19" t="s">
        <v>122</v>
      </c>
      <c r="L30" s="3">
        <v>130.0</v>
      </c>
      <c r="M30" s="3"/>
      <c r="N30" s="3" t="s">
        <v>130</v>
      </c>
      <c r="O30" s="3" t="s">
        <v>225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>
        <v>30.0</v>
      </c>
      <c r="B31" s="3" t="s">
        <v>39</v>
      </c>
      <c r="C31" s="3">
        <v>2.9</v>
      </c>
      <c r="D31" s="3" t="s">
        <v>44</v>
      </c>
      <c r="E31" s="3" t="s">
        <v>46</v>
      </c>
      <c r="F31" s="3" t="s">
        <v>105</v>
      </c>
      <c r="G31" s="3" t="s">
        <v>106</v>
      </c>
      <c r="H31" s="3" t="s">
        <v>242</v>
      </c>
      <c r="I31" s="3" t="s">
        <v>69</v>
      </c>
      <c r="J31" s="3" t="s">
        <v>69</v>
      </c>
      <c r="K31" s="19" t="s">
        <v>176</v>
      </c>
      <c r="L31" s="3">
        <v>130.0</v>
      </c>
      <c r="M31" s="3"/>
      <c r="N31" s="3" t="s">
        <v>130</v>
      </c>
      <c r="O31" s="3" t="s">
        <v>243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>
        <v>31.0</v>
      </c>
      <c r="B32" s="3" t="s">
        <v>39</v>
      </c>
      <c r="C32" s="3">
        <v>2.9</v>
      </c>
      <c r="D32" s="3" t="s">
        <v>44</v>
      </c>
      <c r="E32" s="3" t="s">
        <v>46</v>
      </c>
      <c r="F32" s="3" t="s">
        <v>133</v>
      </c>
      <c r="G32" s="3" t="s">
        <v>106</v>
      </c>
      <c r="H32" s="3" t="s">
        <v>242</v>
      </c>
      <c r="I32" s="3" t="s">
        <v>69</v>
      </c>
      <c r="J32" s="3" t="s">
        <v>69</v>
      </c>
      <c r="K32" s="19" t="s">
        <v>176</v>
      </c>
      <c r="L32" s="3">
        <v>130.0</v>
      </c>
      <c r="M32" s="3"/>
      <c r="N32" s="3" t="s">
        <v>130</v>
      </c>
      <c r="O32" s="3" t="s">
        <v>243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>
        <v>32.0</v>
      </c>
      <c r="B33" s="3" t="s">
        <v>39</v>
      </c>
      <c r="C33" s="3">
        <v>2.9</v>
      </c>
      <c r="D33" s="3" t="s">
        <v>44</v>
      </c>
      <c r="E33" s="3" t="s">
        <v>46</v>
      </c>
      <c r="F33" s="3" t="s">
        <v>89</v>
      </c>
      <c r="G33" s="3" t="s">
        <v>106</v>
      </c>
      <c r="H33" s="3" t="s">
        <v>242</v>
      </c>
      <c r="I33" s="3" t="s">
        <v>69</v>
      </c>
      <c r="J33" s="3" t="s">
        <v>69</v>
      </c>
      <c r="K33" s="19" t="s">
        <v>176</v>
      </c>
      <c r="L33" s="3">
        <v>130.0</v>
      </c>
      <c r="M33" s="3"/>
      <c r="N33" s="3" t="s">
        <v>130</v>
      </c>
      <c r="O33" s="3" t="s">
        <v>243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>
        <v>33.0</v>
      </c>
      <c r="B34" s="3" t="s">
        <v>39</v>
      </c>
      <c r="C34" s="3">
        <v>2.9</v>
      </c>
      <c r="D34" s="3" t="s">
        <v>44</v>
      </c>
      <c r="E34" s="3" t="s">
        <v>46</v>
      </c>
      <c r="F34" s="3" t="s">
        <v>170</v>
      </c>
      <c r="G34" s="3" t="s">
        <v>106</v>
      </c>
      <c r="H34" s="3" t="s">
        <v>242</v>
      </c>
      <c r="I34" s="3" t="s">
        <v>69</v>
      </c>
      <c r="J34" s="3" t="s">
        <v>69</v>
      </c>
      <c r="K34" s="19" t="s">
        <v>176</v>
      </c>
      <c r="L34" s="3">
        <v>130.0</v>
      </c>
      <c r="M34" s="3"/>
      <c r="N34" s="3" t="s">
        <v>130</v>
      </c>
      <c r="O34" s="3" t="s">
        <v>243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>
        <v>34.0</v>
      </c>
      <c r="B35" s="3" t="s">
        <v>39</v>
      </c>
      <c r="C35" s="3">
        <v>2.7</v>
      </c>
      <c r="D35" s="3" t="s">
        <v>44</v>
      </c>
      <c r="E35" s="3" t="s">
        <v>46</v>
      </c>
      <c r="F35" s="3" t="s">
        <v>48</v>
      </c>
      <c r="G35" s="3" t="s">
        <v>68</v>
      </c>
      <c r="H35" s="3" t="s">
        <v>108</v>
      </c>
      <c r="I35" s="3" t="s">
        <v>39</v>
      </c>
      <c r="J35" s="3" t="s">
        <v>69</v>
      </c>
      <c r="K35" s="19" t="s">
        <v>110</v>
      </c>
      <c r="L35" s="3">
        <v>520.0</v>
      </c>
      <c r="M35" s="3"/>
      <c r="N35" s="3" t="s">
        <v>113</v>
      </c>
      <c r="O35" s="3" t="s">
        <v>114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>
        <v>35.0</v>
      </c>
      <c r="B36" s="3" t="s">
        <v>39</v>
      </c>
      <c r="C36" s="3">
        <v>2.7</v>
      </c>
      <c r="D36" s="3" t="s">
        <v>44</v>
      </c>
      <c r="E36" s="3" t="s">
        <v>102</v>
      </c>
      <c r="F36" s="3" t="s">
        <v>251</v>
      </c>
      <c r="G36" s="3" t="s">
        <v>186</v>
      </c>
      <c r="H36" s="3" t="s">
        <v>108</v>
      </c>
      <c r="I36" s="3" t="s">
        <v>39</v>
      </c>
      <c r="J36" s="3" t="s">
        <v>69</v>
      </c>
      <c r="K36" s="19" t="s">
        <v>110</v>
      </c>
      <c r="L36" s="3">
        <v>360.0</v>
      </c>
      <c r="M36" s="3"/>
      <c r="N36" s="3" t="s">
        <v>113</v>
      </c>
      <c r="O36" s="3" t="s">
        <v>114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>
        <v>36.0</v>
      </c>
      <c r="B37" s="3" t="s">
        <v>39</v>
      </c>
      <c r="C37" s="3">
        <v>2.7</v>
      </c>
      <c r="D37" s="3" t="s">
        <v>44</v>
      </c>
      <c r="E37" s="3" t="s">
        <v>102</v>
      </c>
      <c r="F37" s="3" t="s">
        <v>253</v>
      </c>
      <c r="G37" s="3" t="s">
        <v>68</v>
      </c>
      <c r="H37" s="3" t="s">
        <v>108</v>
      </c>
      <c r="I37" s="3" t="s">
        <v>39</v>
      </c>
      <c r="J37" s="3" t="s">
        <v>69</v>
      </c>
      <c r="K37" s="19" t="s">
        <v>110</v>
      </c>
      <c r="L37" s="3">
        <v>520.0</v>
      </c>
      <c r="M37" s="3"/>
      <c r="N37" s="3" t="s">
        <v>113</v>
      </c>
      <c r="O37" s="3" t="s">
        <v>114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>
        <v>37.0</v>
      </c>
      <c r="B38" s="3" t="s">
        <v>39</v>
      </c>
      <c r="C38" s="3">
        <v>2.7</v>
      </c>
      <c r="D38" s="3" t="s">
        <v>44</v>
      </c>
      <c r="E38" s="3" t="s">
        <v>102</v>
      </c>
      <c r="F38" s="3" t="s">
        <v>184</v>
      </c>
      <c r="G38" s="3" t="s">
        <v>186</v>
      </c>
      <c r="H38" s="3" t="s">
        <v>108</v>
      </c>
      <c r="I38" s="3" t="s">
        <v>39</v>
      </c>
      <c r="J38" s="3" t="s">
        <v>69</v>
      </c>
      <c r="K38" s="19" t="s">
        <v>110</v>
      </c>
      <c r="L38" s="3">
        <v>360.0</v>
      </c>
      <c r="M38" s="3"/>
      <c r="N38" s="3" t="s">
        <v>113</v>
      </c>
      <c r="O38" s="3" t="s">
        <v>114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>
        <v>38.0</v>
      </c>
      <c r="B39" s="3" t="s">
        <v>39</v>
      </c>
      <c r="C39" s="3">
        <v>2.7</v>
      </c>
      <c r="D39" s="3" t="s">
        <v>44</v>
      </c>
      <c r="E39" s="3" t="s">
        <v>102</v>
      </c>
      <c r="F39" s="3" t="s">
        <v>256</v>
      </c>
      <c r="G39" s="3" t="s">
        <v>186</v>
      </c>
      <c r="H39" s="3" t="s">
        <v>257</v>
      </c>
      <c r="I39" s="3" t="s">
        <v>39</v>
      </c>
      <c r="J39" s="3" t="s">
        <v>69</v>
      </c>
      <c r="K39" s="19" t="s">
        <v>122</v>
      </c>
      <c r="L39" s="3">
        <v>360.0</v>
      </c>
      <c r="M39" s="3"/>
      <c r="N39" s="3" t="s">
        <v>113</v>
      </c>
      <c r="O39" s="3" t="s">
        <v>258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>
        <v>39.0</v>
      </c>
      <c r="B40" s="3" t="s">
        <v>39</v>
      </c>
      <c r="C40" s="3">
        <v>2.7</v>
      </c>
      <c r="D40" s="3" t="s">
        <v>44</v>
      </c>
      <c r="E40" s="3" t="s">
        <v>102</v>
      </c>
      <c r="F40" s="3" t="s">
        <v>262</v>
      </c>
      <c r="G40" s="3" t="s">
        <v>186</v>
      </c>
      <c r="H40" s="3" t="s">
        <v>257</v>
      </c>
      <c r="I40" s="3" t="s">
        <v>39</v>
      </c>
      <c r="J40" s="3" t="s">
        <v>69</v>
      </c>
      <c r="K40" s="19" t="s">
        <v>122</v>
      </c>
      <c r="L40" s="3">
        <v>360.0</v>
      </c>
      <c r="M40" s="3"/>
      <c r="N40" s="3" t="s">
        <v>113</v>
      </c>
      <c r="O40" s="3" t="s">
        <v>258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>
        <v>40.0</v>
      </c>
      <c r="B41" s="3" t="s">
        <v>39</v>
      </c>
      <c r="C41" s="3">
        <v>2.7</v>
      </c>
      <c r="D41" s="3" t="s">
        <v>44</v>
      </c>
      <c r="E41" s="3" t="s">
        <v>102</v>
      </c>
      <c r="F41" s="3" t="s">
        <v>263</v>
      </c>
      <c r="G41" s="3" t="s">
        <v>186</v>
      </c>
      <c r="H41" s="3" t="s">
        <v>120</v>
      </c>
      <c r="I41" s="3" t="s">
        <v>39</v>
      </c>
      <c r="J41" s="3" t="s">
        <v>69</v>
      </c>
      <c r="K41" s="19" t="s">
        <v>122</v>
      </c>
      <c r="L41" s="3">
        <v>360.0</v>
      </c>
      <c r="M41" s="3"/>
      <c r="N41" s="3" t="s">
        <v>113</v>
      </c>
      <c r="O41" s="3" t="s">
        <v>125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>
        <v>41.0</v>
      </c>
      <c r="B42" s="3" t="s">
        <v>39</v>
      </c>
      <c r="C42" s="3">
        <v>2.7</v>
      </c>
      <c r="D42" s="3" t="s">
        <v>44</v>
      </c>
      <c r="E42" s="3" t="s">
        <v>46</v>
      </c>
      <c r="F42" s="3" t="s">
        <v>80</v>
      </c>
      <c r="G42" s="3" t="s">
        <v>68</v>
      </c>
      <c r="H42" s="3" t="s">
        <v>165</v>
      </c>
      <c r="I42" s="3" t="s">
        <v>39</v>
      </c>
      <c r="J42" s="3" t="s">
        <v>69</v>
      </c>
      <c r="K42" s="19" t="s">
        <v>122</v>
      </c>
      <c r="L42" s="3">
        <v>520.0</v>
      </c>
      <c r="M42" s="3"/>
      <c r="N42" s="3" t="s">
        <v>113</v>
      </c>
      <c r="O42" s="3" t="s">
        <v>166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>
        <v>42.0</v>
      </c>
      <c r="B43" s="3" t="s">
        <v>39</v>
      </c>
      <c r="C43" s="3">
        <v>2.7</v>
      </c>
      <c r="D43" s="3" t="s">
        <v>44</v>
      </c>
      <c r="E43" s="3" t="s">
        <v>102</v>
      </c>
      <c r="F43" s="3" t="s">
        <v>265</v>
      </c>
      <c r="G43" s="3" t="s">
        <v>186</v>
      </c>
      <c r="H43" s="3" t="s">
        <v>120</v>
      </c>
      <c r="I43" s="3" t="s">
        <v>39</v>
      </c>
      <c r="J43" s="3" t="s">
        <v>69</v>
      </c>
      <c r="K43" s="19" t="s">
        <v>122</v>
      </c>
      <c r="L43" s="3">
        <v>360.0</v>
      </c>
      <c r="M43" s="3"/>
      <c r="N43" s="3" t="s">
        <v>113</v>
      </c>
      <c r="O43" s="3" t="s">
        <v>125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>
        <v>43.0</v>
      </c>
      <c r="B44" s="3" t="s">
        <v>39</v>
      </c>
      <c r="C44" s="3">
        <v>2.7</v>
      </c>
      <c r="D44" s="3" t="s">
        <v>44</v>
      </c>
      <c r="E44" s="3" t="s">
        <v>102</v>
      </c>
      <c r="F44" s="3" t="s">
        <v>269</v>
      </c>
      <c r="G44" s="3" t="s">
        <v>186</v>
      </c>
      <c r="H44" s="3" t="s">
        <v>120</v>
      </c>
      <c r="I44" s="3" t="s">
        <v>39</v>
      </c>
      <c r="J44" s="3" t="s">
        <v>69</v>
      </c>
      <c r="K44" s="19" t="s">
        <v>122</v>
      </c>
      <c r="L44" s="3">
        <v>360.0</v>
      </c>
      <c r="M44" s="3"/>
      <c r="N44" s="3" t="s">
        <v>113</v>
      </c>
      <c r="O44" s="3" t="s">
        <v>125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>
        <v>44.0</v>
      </c>
      <c r="B45" s="3" t="s">
        <v>39</v>
      </c>
      <c r="C45" s="3">
        <v>2.7</v>
      </c>
      <c r="D45" s="3" t="s">
        <v>44</v>
      </c>
      <c r="E45" s="3" t="s">
        <v>46</v>
      </c>
      <c r="F45" s="3" t="s">
        <v>270</v>
      </c>
      <c r="G45" s="3" t="s">
        <v>68</v>
      </c>
      <c r="H45" s="3" t="s">
        <v>165</v>
      </c>
      <c r="I45" s="3" t="s">
        <v>39</v>
      </c>
      <c r="J45" s="3" t="s">
        <v>69</v>
      </c>
      <c r="K45" s="19" t="s">
        <v>122</v>
      </c>
      <c r="L45" s="3">
        <v>520.0</v>
      </c>
      <c r="M45" s="3"/>
      <c r="N45" s="3" t="s">
        <v>113</v>
      </c>
      <c r="O45" s="3" t="s">
        <v>166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>
        <v>45.0</v>
      </c>
      <c r="B46" s="3" t="s">
        <v>39</v>
      </c>
      <c r="C46" s="3">
        <v>2.6</v>
      </c>
      <c r="D46" s="3" t="s">
        <v>44</v>
      </c>
      <c r="E46" s="3" t="s">
        <v>102</v>
      </c>
      <c r="F46" s="3" t="s">
        <v>103</v>
      </c>
      <c r="G46" s="3" t="s">
        <v>138</v>
      </c>
      <c r="H46" s="3" t="s">
        <v>104</v>
      </c>
      <c r="I46" s="3" t="s">
        <v>69</v>
      </c>
      <c r="J46" s="3" t="s">
        <v>69</v>
      </c>
      <c r="K46" s="19" t="s">
        <v>52</v>
      </c>
      <c r="L46" s="3">
        <v>300.0</v>
      </c>
      <c r="M46" s="3"/>
      <c r="N46" s="3" t="s">
        <v>130</v>
      </c>
      <c r="O46" s="3" t="s">
        <v>111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>
        <v>46.0</v>
      </c>
      <c r="B47" s="3" t="s">
        <v>39</v>
      </c>
      <c r="C47" s="3">
        <v>2.6</v>
      </c>
      <c r="D47" s="3" t="s">
        <v>44</v>
      </c>
      <c r="E47" s="3" t="s">
        <v>102</v>
      </c>
      <c r="F47" s="3" t="s">
        <v>141</v>
      </c>
      <c r="G47" s="3" t="s">
        <v>138</v>
      </c>
      <c r="H47" s="3" t="s">
        <v>104</v>
      </c>
      <c r="I47" s="3" t="s">
        <v>69</v>
      </c>
      <c r="J47" s="3" t="s">
        <v>69</v>
      </c>
      <c r="K47" s="19" t="s">
        <v>52</v>
      </c>
      <c r="L47" s="3">
        <v>300.0</v>
      </c>
      <c r="M47" s="3"/>
      <c r="N47" s="3" t="s">
        <v>130</v>
      </c>
      <c r="O47" s="3" t="s">
        <v>111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>
        <v>47.0</v>
      </c>
      <c r="B48" s="3" t="s">
        <v>39</v>
      </c>
      <c r="C48" s="3">
        <v>2.6</v>
      </c>
      <c r="D48" s="3" t="s">
        <v>44</v>
      </c>
      <c r="E48" s="3" t="s">
        <v>102</v>
      </c>
      <c r="F48" s="3" t="s">
        <v>182</v>
      </c>
      <c r="G48" s="3" t="s">
        <v>138</v>
      </c>
      <c r="H48" s="3" t="s">
        <v>104</v>
      </c>
      <c r="I48" s="3" t="s">
        <v>69</v>
      </c>
      <c r="J48" s="3" t="s">
        <v>69</v>
      </c>
      <c r="K48" s="19" t="s">
        <v>52</v>
      </c>
      <c r="L48" s="3">
        <v>300.0</v>
      </c>
      <c r="M48" s="3"/>
      <c r="N48" s="3" t="s">
        <v>130</v>
      </c>
      <c r="O48" s="3" t="s">
        <v>111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>
        <v>48.0</v>
      </c>
      <c r="B49" s="3" t="s">
        <v>39</v>
      </c>
      <c r="C49" s="3">
        <v>2.6</v>
      </c>
      <c r="D49" s="3" t="s">
        <v>44</v>
      </c>
      <c r="E49" s="3" t="s">
        <v>102</v>
      </c>
      <c r="F49" s="3" t="s">
        <v>209</v>
      </c>
      <c r="G49" s="3" t="s">
        <v>138</v>
      </c>
      <c r="H49" s="3" t="s">
        <v>104</v>
      </c>
      <c r="I49" s="3" t="s">
        <v>69</v>
      </c>
      <c r="J49" s="3" t="s">
        <v>69</v>
      </c>
      <c r="K49" s="19" t="s">
        <v>52</v>
      </c>
      <c r="L49" s="3">
        <v>300.0</v>
      </c>
      <c r="M49" s="3"/>
      <c r="N49" s="3" t="s">
        <v>130</v>
      </c>
      <c r="O49" s="3" t="s">
        <v>111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>
        <v>49.0</v>
      </c>
      <c r="B50" s="3" t="s">
        <v>39</v>
      </c>
      <c r="C50" s="3">
        <v>2.6</v>
      </c>
      <c r="D50" s="3" t="s">
        <v>44</v>
      </c>
      <c r="E50" s="3" t="s">
        <v>102</v>
      </c>
      <c r="F50" s="3" t="s">
        <v>103</v>
      </c>
      <c r="G50" s="3" t="s">
        <v>138</v>
      </c>
      <c r="H50" s="3" t="s">
        <v>224</v>
      </c>
      <c r="I50" s="3" t="s">
        <v>69</v>
      </c>
      <c r="J50" s="3" t="s">
        <v>69</v>
      </c>
      <c r="K50" s="19" t="s">
        <v>122</v>
      </c>
      <c r="L50" s="3">
        <v>300.0</v>
      </c>
      <c r="M50" s="3"/>
      <c r="N50" s="3" t="s">
        <v>130</v>
      </c>
      <c r="O50" s="3" t="s">
        <v>225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>
        <v>50.0</v>
      </c>
      <c r="B51" s="3" t="s">
        <v>39</v>
      </c>
      <c r="C51" s="3">
        <v>2.6</v>
      </c>
      <c r="D51" s="3" t="s">
        <v>44</v>
      </c>
      <c r="E51" s="3" t="s">
        <v>102</v>
      </c>
      <c r="F51" s="3" t="s">
        <v>141</v>
      </c>
      <c r="G51" s="3" t="s">
        <v>138</v>
      </c>
      <c r="H51" s="3" t="s">
        <v>219</v>
      </c>
      <c r="I51" s="3" t="s">
        <v>69</v>
      </c>
      <c r="J51" s="3" t="s">
        <v>69</v>
      </c>
      <c r="K51" s="19" t="s">
        <v>122</v>
      </c>
      <c r="L51" s="3">
        <v>300.0</v>
      </c>
      <c r="M51" s="3"/>
      <c r="N51" s="3" t="s">
        <v>130</v>
      </c>
      <c r="O51" s="3" t="s">
        <v>220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>
        <v>51.0</v>
      </c>
      <c r="B52" s="3" t="s">
        <v>39</v>
      </c>
      <c r="C52" s="3">
        <v>2.6</v>
      </c>
      <c r="D52" s="3" t="s">
        <v>44</v>
      </c>
      <c r="E52" s="3" t="s">
        <v>102</v>
      </c>
      <c r="F52" s="3" t="s">
        <v>182</v>
      </c>
      <c r="G52" s="3" t="s">
        <v>138</v>
      </c>
      <c r="H52" s="3" t="s">
        <v>219</v>
      </c>
      <c r="I52" s="3" t="s">
        <v>69</v>
      </c>
      <c r="J52" s="3" t="s">
        <v>69</v>
      </c>
      <c r="K52" s="19" t="s">
        <v>122</v>
      </c>
      <c r="L52" s="3">
        <v>300.0</v>
      </c>
      <c r="M52" s="3"/>
      <c r="N52" s="3" t="s">
        <v>130</v>
      </c>
      <c r="O52" s="3" t="s">
        <v>220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>
        <v>52.0</v>
      </c>
      <c r="B53" s="3" t="s">
        <v>39</v>
      </c>
      <c r="C53" s="3">
        <v>2.6</v>
      </c>
      <c r="D53" s="3" t="s">
        <v>44</v>
      </c>
      <c r="E53" s="3" t="s">
        <v>102</v>
      </c>
      <c r="F53" s="3" t="s">
        <v>209</v>
      </c>
      <c r="G53" s="3" t="s">
        <v>138</v>
      </c>
      <c r="H53" s="3" t="s">
        <v>224</v>
      </c>
      <c r="I53" s="3" t="s">
        <v>69</v>
      </c>
      <c r="J53" s="3" t="s">
        <v>69</v>
      </c>
      <c r="K53" s="19" t="s">
        <v>122</v>
      </c>
      <c r="L53" s="3">
        <v>300.0</v>
      </c>
      <c r="M53" s="3"/>
      <c r="N53" s="3" t="s">
        <v>130</v>
      </c>
      <c r="O53" s="3" t="s">
        <v>225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>
        <v>53.0</v>
      </c>
      <c r="B54" s="3" t="s">
        <v>39</v>
      </c>
      <c r="C54" s="3">
        <v>2.6</v>
      </c>
      <c r="D54" s="3" t="s">
        <v>44</v>
      </c>
      <c r="E54" s="3" t="s">
        <v>102</v>
      </c>
      <c r="F54" s="3" t="s">
        <v>213</v>
      </c>
      <c r="G54" s="3" t="s">
        <v>138</v>
      </c>
      <c r="H54" s="3" t="s">
        <v>219</v>
      </c>
      <c r="I54" s="3" t="s">
        <v>69</v>
      </c>
      <c r="J54" s="3" t="s">
        <v>69</v>
      </c>
      <c r="K54" s="19" t="s">
        <v>122</v>
      </c>
      <c r="L54" s="3">
        <v>300.0</v>
      </c>
      <c r="M54" s="3"/>
      <c r="N54" s="3" t="s">
        <v>130</v>
      </c>
      <c r="O54" s="3" t="s">
        <v>220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>
        <v>54.0</v>
      </c>
      <c r="B55" s="3" t="s">
        <v>39</v>
      </c>
      <c r="C55" s="3">
        <v>2.6</v>
      </c>
      <c r="D55" s="3" t="s">
        <v>44</v>
      </c>
      <c r="E55" s="3" t="s">
        <v>102</v>
      </c>
      <c r="F55" s="3" t="s">
        <v>213</v>
      </c>
      <c r="G55" s="3" t="s">
        <v>138</v>
      </c>
      <c r="H55" s="3" t="s">
        <v>224</v>
      </c>
      <c r="I55" s="3" t="s">
        <v>69</v>
      </c>
      <c r="J55" s="3" t="s">
        <v>69</v>
      </c>
      <c r="K55" s="19" t="s">
        <v>122</v>
      </c>
      <c r="L55" s="3">
        <v>300.0</v>
      </c>
      <c r="M55" s="3"/>
      <c r="N55" s="3" t="s">
        <v>130</v>
      </c>
      <c r="O55" s="3" t="s">
        <v>225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>
        <v>55.0</v>
      </c>
      <c r="B56" s="3" t="s">
        <v>39</v>
      </c>
      <c r="C56" s="3">
        <v>2.5</v>
      </c>
      <c r="D56" s="3" t="s">
        <v>44</v>
      </c>
      <c r="E56" s="3" t="s">
        <v>46</v>
      </c>
      <c r="F56" s="3" t="s">
        <v>48</v>
      </c>
      <c r="G56" s="3" t="s">
        <v>68</v>
      </c>
      <c r="H56" s="3" t="s">
        <v>50</v>
      </c>
      <c r="I56" s="3" t="s">
        <v>69</v>
      </c>
      <c r="J56" s="3" t="s">
        <v>69</v>
      </c>
      <c r="K56" s="19" t="s">
        <v>52</v>
      </c>
      <c r="L56" s="3">
        <v>520.0</v>
      </c>
      <c r="M56" s="3"/>
      <c r="N56" s="3" t="s">
        <v>285</v>
      </c>
      <c r="O56" s="3" t="s">
        <v>61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>
        <v>56.0</v>
      </c>
      <c r="B57" s="3" t="s">
        <v>39</v>
      </c>
      <c r="C57" s="3">
        <v>2.5</v>
      </c>
      <c r="D57" s="3" t="s">
        <v>44</v>
      </c>
      <c r="E57" s="3" t="s">
        <v>46</v>
      </c>
      <c r="F57" s="3" t="s">
        <v>70</v>
      </c>
      <c r="G57" s="3" t="s">
        <v>68</v>
      </c>
      <c r="H57" s="3" t="s">
        <v>50</v>
      </c>
      <c r="I57" s="3" t="s">
        <v>69</v>
      </c>
      <c r="J57" s="3" t="s">
        <v>69</v>
      </c>
      <c r="K57" s="19" t="s">
        <v>52</v>
      </c>
      <c r="L57" s="3">
        <v>520.0</v>
      </c>
      <c r="M57" s="3"/>
      <c r="N57" s="3" t="s">
        <v>285</v>
      </c>
      <c r="O57" s="3" t="s">
        <v>61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>
        <v>57.0</v>
      </c>
      <c r="B58" s="3" t="s">
        <v>39</v>
      </c>
      <c r="C58" s="3">
        <v>2.5</v>
      </c>
      <c r="D58" s="3" t="s">
        <v>44</v>
      </c>
      <c r="E58" s="3" t="s">
        <v>46</v>
      </c>
      <c r="F58" s="3" t="s">
        <v>80</v>
      </c>
      <c r="G58" s="3" t="s">
        <v>68</v>
      </c>
      <c r="H58" s="3" t="s">
        <v>50</v>
      </c>
      <c r="I58" s="3" t="s">
        <v>69</v>
      </c>
      <c r="J58" s="3" t="s">
        <v>69</v>
      </c>
      <c r="K58" s="19" t="s">
        <v>52</v>
      </c>
      <c r="L58" s="3">
        <v>520.0</v>
      </c>
      <c r="M58" s="3"/>
      <c r="N58" s="3" t="s">
        <v>285</v>
      </c>
      <c r="O58" s="3" t="s">
        <v>61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>
        <v>58.0</v>
      </c>
      <c r="B59" s="3" t="s">
        <v>39</v>
      </c>
      <c r="C59" s="3">
        <v>2.5</v>
      </c>
      <c r="D59" s="3" t="s">
        <v>44</v>
      </c>
      <c r="E59" s="3" t="s">
        <v>102</v>
      </c>
      <c r="F59" s="3" t="s">
        <v>154</v>
      </c>
      <c r="G59" s="3" t="s">
        <v>186</v>
      </c>
      <c r="H59" s="3" t="s">
        <v>104</v>
      </c>
      <c r="I59" s="3" t="s">
        <v>69</v>
      </c>
      <c r="J59" s="3" t="s">
        <v>69</v>
      </c>
      <c r="K59" s="19" t="s">
        <v>52</v>
      </c>
      <c r="L59" s="3">
        <v>360.0</v>
      </c>
      <c r="M59" s="3"/>
      <c r="N59" s="3" t="s">
        <v>130</v>
      </c>
      <c r="O59" s="3" t="s">
        <v>111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>
        <v>59.0</v>
      </c>
      <c r="B60" s="3" t="s">
        <v>39</v>
      </c>
      <c r="C60" s="3">
        <v>2.5</v>
      </c>
      <c r="D60" s="3" t="s">
        <v>44</v>
      </c>
      <c r="E60" s="3" t="s">
        <v>102</v>
      </c>
      <c r="F60" s="3" t="s">
        <v>184</v>
      </c>
      <c r="G60" s="3" t="s">
        <v>186</v>
      </c>
      <c r="H60" s="3" t="s">
        <v>104</v>
      </c>
      <c r="I60" s="3" t="s">
        <v>69</v>
      </c>
      <c r="J60" s="3" t="s">
        <v>69</v>
      </c>
      <c r="K60" s="19" t="s">
        <v>52</v>
      </c>
      <c r="L60" s="3">
        <v>360.0</v>
      </c>
      <c r="M60" s="3"/>
      <c r="N60" s="3" t="s">
        <v>130</v>
      </c>
      <c r="O60" s="3" t="s">
        <v>111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>
        <v>60.0</v>
      </c>
      <c r="B61" s="3" t="s">
        <v>39</v>
      </c>
      <c r="C61" s="3">
        <v>2.5</v>
      </c>
      <c r="D61" s="3" t="s">
        <v>44</v>
      </c>
      <c r="E61" s="3" t="s">
        <v>102</v>
      </c>
      <c r="F61" s="3" t="s">
        <v>218</v>
      </c>
      <c r="G61" s="3" t="s">
        <v>271</v>
      </c>
      <c r="H61" s="3" t="s">
        <v>108</v>
      </c>
      <c r="I61" s="3" t="s">
        <v>39</v>
      </c>
      <c r="J61" s="3" t="s">
        <v>69</v>
      </c>
      <c r="K61" s="19" t="s">
        <v>110</v>
      </c>
      <c r="L61" s="3">
        <v>570.0</v>
      </c>
      <c r="M61" s="3"/>
      <c r="N61" s="3" t="s">
        <v>113</v>
      </c>
      <c r="O61" s="3" t="s">
        <v>114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2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C2:C6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>
    <dataValidation type="list" allowBlank="1" sqref="A2:A200">
      <formula1>"No,Yes,Maybe,Submitted"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0"/>
    <col customWidth="1" min="3" max="3" width="16.0"/>
    <col customWidth="1" min="4" max="4" width="32.0"/>
    <col customWidth="1" min="5" max="5" width="24.0"/>
    <col customWidth="1" min="6" max="6" width="34.0"/>
    <col customWidth="1" min="7" max="8" width="9.0"/>
    <col customWidth="1" min="9" max="9" width="14.0"/>
    <col customWidth="1" min="10" max="10" width="20.0"/>
    <col customWidth="1" min="11" max="11" width="12.0"/>
    <col customWidth="1" min="12" max="12" width="14.0"/>
    <col customWidth="1" min="13" max="13" width="13.0"/>
    <col customWidth="1" min="14" max="14" width="15.0"/>
    <col customWidth="1" min="15" max="15" width="11.0"/>
    <col customWidth="1" min="16" max="16" width="14.0"/>
    <col customWidth="1" min="17" max="17" width="12.0"/>
    <col customWidth="1" min="18" max="18" width="28.0"/>
    <col customWidth="1" min="19" max="19" width="12.0"/>
    <col customWidth="1" min="20" max="20" width="13.0"/>
    <col customWidth="1" min="21" max="21" width="45.0"/>
    <col customWidth="1" min="22" max="22" width="42.0"/>
    <col customWidth="1" min="23" max="23" width="10.0"/>
    <col customWidth="1" min="24" max="24" width="11.0"/>
    <col customWidth="1" min="25" max="25" width="12.0"/>
    <col customWidth="1" min="26" max="26" width="11.0"/>
    <col customWidth="1" min="27" max="28" width="12.0"/>
    <col customWidth="1" min="29" max="29" width="13.0"/>
    <col customWidth="1" min="30" max="30" width="16.0"/>
    <col customWidth="1" min="31" max="31" width="14.0"/>
    <col customWidth="1" min="32" max="32" width="18.0"/>
    <col customWidth="1" min="33" max="33" width="13.0"/>
    <col customWidth="1" min="34" max="34" width="20.0"/>
    <col customWidth="1" min="35" max="36" width="14.0"/>
    <col customWidth="1" min="37" max="37" width="18.0"/>
    <col customWidth="1" min="38" max="38" width="30.0"/>
    <col customWidth="1" min="39" max="42" width="27.0"/>
    <col customWidth="1" min="43" max="43" width="14.0"/>
    <col customWidth="1" min="44" max="44" width="42.0"/>
  </cols>
  <sheetData>
    <row r="1" ht="27.75" customHeight="1">
      <c r="A1" s="5" t="s">
        <v>3</v>
      </c>
      <c r="B1" s="5" t="s">
        <v>5</v>
      </c>
      <c r="C1" s="5" t="s">
        <v>6</v>
      </c>
      <c r="D1" s="5" t="s">
        <v>7</v>
      </c>
      <c r="E1" s="5" t="s">
        <v>17</v>
      </c>
      <c r="F1" s="5" t="s">
        <v>8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11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16</v>
      </c>
      <c r="V1" s="5" t="s">
        <v>18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40</v>
      </c>
      <c r="AC1" s="5" t="s">
        <v>42</v>
      </c>
      <c r="AD1" s="5" t="s">
        <v>43</v>
      </c>
      <c r="AE1" s="5" t="s">
        <v>45</v>
      </c>
      <c r="AF1" s="8" t="s">
        <v>47</v>
      </c>
      <c r="AG1" s="8" t="s">
        <v>49</v>
      </c>
      <c r="AH1" s="8" t="s">
        <v>51</v>
      </c>
      <c r="AI1" s="8" t="s">
        <v>53</v>
      </c>
      <c r="AJ1" s="8" t="s">
        <v>54</v>
      </c>
      <c r="AK1" s="8" t="s">
        <v>55</v>
      </c>
      <c r="AL1" s="8" t="s">
        <v>56</v>
      </c>
      <c r="AM1" s="2" t="s">
        <v>57</v>
      </c>
      <c r="AN1" s="2" t="s">
        <v>58</v>
      </c>
      <c r="AO1" s="2" t="s">
        <v>60</v>
      </c>
      <c r="AP1" s="2" t="s">
        <v>62</v>
      </c>
      <c r="AQ1" s="2" t="s">
        <v>63</v>
      </c>
      <c r="AR1" s="2" t="s">
        <v>64</v>
      </c>
    </row>
    <row r="2">
      <c r="A2" s="7" t="s">
        <v>39</v>
      </c>
      <c r="B2" s="7" t="s">
        <v>44</v>
      </c>
      <c r="C2" s="7" t="s">
        <v>46</v>
      </c>
      <c r="D2" s="7" t="s">
        <v>48</v>
      </c>
      <c r="E2" s="7" t="s">
        <v>68</v>
      </c>
      <c r="F2" s="7" t="s">
        <v>50</v>
      </c>
      <c r="G2" s="7" t="s">
        <v>69</v>
      </c>
      <c r="H2" s="7" t="s">
        <v>69</v>
      </c>
      <c r="I2" s="9" t="s">
        <v>52</v>
      </c>
      <c r="J2" s="7" t="s">
        <v>71</v>
      </c>
      <c r="K2" s="11">
        <v>3.0</v>
      </c>
      <c r="L2" s="11"/>
      <c r="M2" s="7"/>
      <c r="N2" s="7"/>
      <c r="O2" s="12"/>
      <c r="P2" s="7">
        <v>520.0</v>
      </c>
      <c r="Q2" s="7" t="s">
        <v>74</v>
      </c>
      <c r="R2" s="7" t="s">
        <v>75</v>
      </c>
      <c r="S2" s="7" t="s">
        <v>76</v>
      </c>
      <c r="T2" s="7" t="s">
        <v>39</v>
      </c>
      <c r="U2" s="7" t="s">
        <v>77</v>
      </c>
      <c r="V2" s="7" t="s">
        <v>61</v>
      </c>
      <c r="W2" s="7">
        <v>2.0</v>
      </c>
      <c r="X2" s="7">
        <v>2.0</v>
      </c>
      <c r="Y2" s="7">
        <v>4.0</v>
      </c>
      <c r="Z2" s="7">
        <v>3.0</v>
      </c>
      <c r="AA2" s="7">
        <v>4.0</v>
      </c>
      <c r="AB2" s="7">
        <v>0.0</v>
      </c>
      <c r="AC2" s="13">
        <v>4.5</v>
      </c>
      <c r="AD2" s="7"/>
      <c r="AE2" s="7" t="s">
        <v>52</v>
      </c>
      <c r="AF2" s="14"/>
      <c r="AG2" s="15"/>
      <c r="AH2" s="14"/>
      <c r="AI2" s="14"/>
      <c r="AJ2" s="15"/>
      <c r="AK2" s="14"/>
      <c r="AL2" s="14"/>
      <c r="AM2" s="14" t="s">
        <v>61</v>
      </c>
      <c r="AN2" s="14" t="s">
        <v>83</v>
      </c>
      <c r="AO2" s="14" t="s">
        <v>84</v>
      </c>
      <c r="AP2" s="14" t="s">
        <v>85</v>
      </c>
      <c r="AQ2" s="16">
        <v>1.0</v>
      </c>
      <c r="AR2" s="14" t="s">
        <v>88</v>
      </c>
    </row>
    <row r="3">
      <c r="A3" s="7" t="s">
        <v>39</v>
      </c>
      <c r="B3" s="7" t="s">
        <v>44</v>
      </c>
      <c r="C3" s="7" t="s">
        <v>46</v>
      </c>
      <c r="D3" s="7" t="s">
        <v>70</v>
      </c>
      <c r="E3" s="7" t="s">
        <v>68</v>
      </c>
      <c r="F3" s="7" t="s">
        <v>50</v>
      </c>
      <c r="G3" s="7" t="s">
        <v>69</v>
      </c>
      <c r="H3" s="7" t="s">
        <v>69</v>
      </c>
      <c r="I3" s="9" t="s">
        <v>52</v>
      </c>
      <c r="J3" s="7" t="s">
        <v>71</v>
      </c>
      <c r="K3" s="11">
        <v>3.0</v>
      </c>
      <c r="L3" s="11"/>
      <c r="M3" s="7"/>
      <c r="N3" s="7"/>
      <c r="O3" s="12"/>
      <c r="P3" s="7">
        <v>520.0</v>
      </c>
      <c r="Q3" s="7" t="s">
        <v>74</v>
      </c>
      <c r="R3" s="7" t="s">
        <v>75</v>
      </c>
      <c r="S3" s="7" t="s">
        <v>76</v>
      </c>
      <c r="T3" s="7" t="s">
        <v>39</v>
      </c>
      <c r="U3" s="7" t="s">
        <v>77</v>
      </c>
      <c r="V3" s="7" t="s">
        <v>61</v>
      </c>
      <c r="W3" s="7">
        <v>2.0</v>
      </c>
      <c r="X3" s="7">
        <v>2.0</v>
      </c>
      <c r="Y3" s="7">
        <v>4.0</v>
      </c>
      <c r="Z3" s="7">
        <v>3.0</v>
      </c>
      <c r="AA3" s="7">
        <v>4.0</v>
      </c>
      <c r="AB3" s="7">
        <v>0.0</v>
      </c>
      <c r="AC3" s="13">
        <v>4.5</v>
      </c>
      <c r="AD3" s="7"/>
      <c r="AE3" s="7" t="s">
        <v>52</v>
      </c>
      <c r="AF3" s="14"/>
      <c r="AG3" s="15"/>
      <c r="AH3" s="14"/>
      <c r="AI3" s="14"/>
      <c r="AJ3" s="15"/>
      <c r="AK3" s="14"/>
      <c r="AL3" s="14"/>
      <c r="AM3" s="14" t="s">
        <v>61</v>
      </c>
      <c r="AN3" s="14" t="s">
        <v>98</v>
      </c>
      <c r="AO3" s="14" t="s">
        <v>84</v>
      </c>
      <c r="AP3" s="14" t="s">
        <v>99</v>
      </c>
      <c r="AQ3" s="16">
        <v>1.0</v>
      </c>
      <c r="AR3" s="14" t="s">
        <v>88</v>
      </c>
    </row>
    <row r="4">
      <c r="A4" s="7" t="s">
        <v>39</v>
      </c>
      <c r="B4" s="7" t="s">
        <v>44</v>
      </c>
      <c r="C4" s="7" t="s">
        <v>46</v>
      </c>
      <c r="D4" s="7" t="s">
        <v>80</v>
      </c>
      <c r="E4" s="7" t="s">
        <v>68</v>
      </c>
      <c r="F4" s="7" t="s">
        <v>50</v>
      </c>
      <c r="G4" s="7" t="s">
        <v>69</v>
      </c>
      <c r="H4" s="7" t="s">
        <v>69</v>
      </c>
      <c r="I4" s="9" t="s">
        <v>52</v>
      </c>
      <c r="J4" s="7" t="s">
        <v>71</v>
      </c>
      <c r="K4" s="11">
        <v>3.0</v>
      </c>
      <c r="L4" s="11"/>
      <c r="M4" s="7"/>
      <c r="N4" s="7"/>
      <c r="O4" s="12"/>
      <c r="P4" s="7">
        <v>520.0</v>
      </c>
      <c r="Q4" s="7" t="s">
        <v>74</v>
      </c>
      <c r="R4" s="7" t="s">
        <v>75</v>
      </c>
      <c r="S4" s="7" t="s">
        <v>76</v>
      </c>
      <c r="T4" s="7" t="s">
        <v>39</v>
      </c>
      <c r="U4" s="7" t="s">
        <v>77</v>
      </c>
      <c r="V4" s="7" t="s">
        <v>61</v>
      </c>
      <c r="W4" s="7">
        <v>2.0</v>
      </c>
      <c r="X4" s="7">
        <v>2.0</v>
      </c>
      <c r="Y4" s="7">
        <v>4.0</v>
      </c>
      <c r="Z4" s="7">
        <v>3.0</v>
      </c>
      <c r="AA4" s="7">
        <v>4.0</v>
      </c>
      <c r="AB4" s="7">
        <v>0.0</v>
      </c>
      <c r="AC4" s="13">
        <v>4.5</v>
      </c>
      <c r="AD4" s="7"/>
      <c r="AE4" s="7" t="s">
        <v>52</v>
      </c>
      <c r="AF4" s="14"/>
      <c r="AG4" s="15"/>
      <c r="AH4" s="14"/>
      <c r="AI4" s="14"/>
      <c r="AJ4" s="15"/>
      <c r="AK4" s="14"/>
      <c r="AL4" s="14"/>
      <c r="AM4" s="14" t="s">
        <v>61</v>
      </c>
      <c r="AN4" s="14" t="s">
        <v>112</v>
      </c>
      <c r="AO4" s="14" t="s">
        <v>84</v>
      </c>
      <c r="AP4" s="14" t="s">
        <v>115</v>
      </c>
      <c r="AQ4" s="16">
        <v>1.0</v>
      </c>
      <c r="AR4" s="14" t="s">
        <v>88</v>
      </c>
    </row>
    <row r="5">
      <c r="A5" s="7" t="s">
        <v>39</v>
      </c>
      <c r="B5" s="7" t="s">
        <v>44</v>
      </c>
      <c r="C5" s="7" t="s">
        <v>46</v>
      </c>
      <c r="D5" s="7" t="s">
        <v>89</v>
      </c>
      <c r="E5" s="7" t="s">
        <v>106</v>
      </c>
      <c r="F5" s="7" t="s">
        <v>50</v>
      </c>
      <c r="G5" s="7" t="s">
        <v>69</v>
      </c>
      <c r="H5" s="7" t="s">
        <v>69</v>
      </c>
      <c r="I5" s="9" t="s">
        <v>52</v>
      </c>
      <c r="J5" s="7" t="s">
        <v>71</v>
      </c>
      <c r="K5" s="11">
        <v>3.0</v>
      </c>
      <c r="L5" s="11"/>
      <c r="M5" s="7"/>
      <c r="N5" s="7"/>
      <c r="O5" s="12"/>
      <c r="P5" s="7">
        <v>130.0</v>
      </c>
      <c r="Q5" s="7" t="s">
        <v>121</v>
      </c>
      <c r="R5" s="7" t="s">
        <v>75</v>
      </c>
      <c r="S5" s="7" t="s">
        <v>76</v>
      </c>
      <c r="T5" s="7" t="s">
        <v>39</v>
      </c>
      <c r="U5" s="7" t="s">
        <v>123</v>
      </c>
      <c r="V5" s="7" t="s">
        <v>61</v>
      </c>
      <c r="W5" s="7">
        <v>2.0</v>
      </c>
      <c r="X5" s="7">
        <v>5.0</v>
      </c>
      <c r="Y5" s="7">
        <v>4.0</v>
      </c>
      <c r="Z5" s="7">
        <v>3.0</v>
      </c>
      <c r="AA5" s="7">
        <v>4.0</v>
      </c>
      <c r="AB5" s="7">
        <v>0.0</v>
      </c>
      <c r="AC5" s="13">
        <v>4.5</v>
      </c>
      <c r="AD5" s="7"/>
      <c r="AE5" s="7" t="s">
        <v>52</v>
      </c>
      <c r="AF5" s="14"/>
      <c r="AG5" s="15"/>
      <c r="AH5" s="14"/>
      <c r="AI5" s="14"/>
      <c r="AJ5" s="15"/>
      <c r="AK5" s="14"/>
      <c r="AL5" s="14"/>
      <c r="AM5" s="14" t="s">
        <v>61</v>
      </c>
      <c r="AN5" s="14" t="s">
        <v>127</v>
      </c>
      <c r="AO5" s="14" t="s">
        <v>84</v>
      </c>
      <c r="AP5" s="14" t="s">
        <v>128</v>
      </c>
      <c r="AQ5" s="16">
        <v>1.0</v>
      </c>
      <c r="AR5" s="14" t="s">
        <v>88</v>
      </c>
    </row>
    <row r="6">
      <c r="A6" s="7" t="s">
        <v>39</v>
      </c>
      <c r="B6" s="7" t="s">
        <v>44</v>
      </c>
      <c r="C6" s="7" t="s">
        <v>46</v>
      </c>
      <c r="D6" s="7" t="s">
        <v>95</v>
      </c>
      <c r="E6" s="7" t="s">
        <v>106</v>
      </c>
      <c r="F6" s="7" t="s">
        <v>50</v>
      </c>
      <c r="G6" s="7" t="s">
        <v>69</v>
      </c>
      <c r="H6" s="7" t="s">
        <v>69</v>
      </c>
      <c r="I6" s="9" t="s">
        <v>52</v>
      </c>
      <c r="J6" s="7" t="s">
        <v>71</v>
      </c>
      <c r="K6" s="11">
        <v>3.0</v>
      </c>
      <c r="L6" s="11"/>
      <c r="M6" s="7"/>
      <c r="N6" s="7"/>
      <c r="O6" s="12"/>
      <c r="P6" s="7">
        <v>130.0</v>
      </c>
      <c r="Q6" s="7" t="s">
        <v>121</v>
      </c>
      <c r="R6" s="7" t="s">
        <v>75</v>
      </c>
      <c r="S6" s="7" t="s">
        <v>76</v>
      </c>
      <c r="T6" s="7" t="s">
        <v>39</v>
      </c>
      <c r="U6" s="7" t="s">
        <v>123</v>
      </c>
      <c r="V6" s="7" t="s">
        <v>61</v>
      </c>
      <c r="W6" s="7">
        <v>2.0</v>
      </c>
      <c r="X6" s="7">
        <v>5.0</v>
      </c>
      <c r="Y6" s="7">
        <v>4.0</v>
      </c>
      <c r="Z6" s="7">
        <v>3.0</v>
      </c>
      <c r="AA6" s="7">
        <v>4.0</v>
      </c>
      <c r="AB6" s="7">
        <v>0.0</v>
      </c>
      <c r="AC6" s="13">
        <v>4.5</v>
      </c>
      <c r="AD6" s="7"/>
      <c r="AE6" s="7" t="s">
        <v>52</v>
      </c>
      <c r="AF6" s="14"/>
      <c r="AG6" s="15"/>
      <c r="AH6" s="14"/>
      <c r="AI6" s="14"/>
      <c r="AJ6" s="15"/>
      <c r="AK6" s="14"/>
      <c r="AL6" s="14"/>
      <c r="AM6" s="14" t="s">
        <v>61</v>
      </c>
      <c r="AN6" s="14" t="s">
        <v>135</v>
      </c>
      <c r="AO6" s="14" t="s">
        <v>84</v>
      </c>
      <c r="AP6" s="14" t="s">
        <v>136</v>
      </c>
      <c r="AQ6" s="16">
        <v>1.0</v>
      </c>
      <c r="AR6" s="14" t="s">
        <v>88</v>
      </c>
    </row>
    <row r="7">
      <c r="A7" s="7" t="s">
        <v>39</v>
      </c>
      <c r="B7" s="7" t="s">
        <v>137</v>
      </c>
      <c r="C7" s="7" t="s">
        <v>102</v>
      </c>
      <c r="D7" s="7" t="s">
        <v>103</v>
      </c>
      <c r="E7" s="7" t="s">
        <v>138</v>
      </c>
      <c r="F7" s="7" t="s">
        <v>104</v>
      </c>
      <c r="G7" s="7" t="s">
        <v>69</v>
      </c>
      <c r="H7" s="7" t="s">
        <v>69</v>
      </c>
      <c r="I7" s="9" t="s">
        <v>52</v>
      </c>
      <c r="J7" s="7" t="s">
        <v>71</v>
      </c>
      <c r="K7" s="11">
        <v>3.0</v>
      </c>
      <c r="L7" s="11"/>
      <c r="M7" s="7"/>
      <c r="N7" s="7"/>
      <c r="O7" s="12"/>
      <c r="P7" s="7">
        <v>300.0</v>
      </c>
      <c r="Q7" s="7" t="s">
        <v>140</v>
      </c>
      <c r="R7" s="7" t="s">
        <v>75</v>
      </c>
      <c r="S7" s="7" t="s">
        <v>142</v>
      </c>
      <c r="T7" s="7" t="s">
        <v>39</v>
      </c>
      <c r="U7" s="7" t="s">
        <v>143</v>
      </c>
      <c r="V7" s="7" t="s">
        <v>111</v>
      </c>
      <c r="W7" s="7">
        <v>2.0</v>
      </c>
      <c r="X7" s="7">
        <v>4.0</v>
      </c>
      <c r="Y7" s="7">
        <v>4.0</v>
      </c>
      <c r="Z7" s="7">
        <v>3.0</v>
      </c>
      <c r="AA7" s="7">
        <v>2.0</v>
      </c>
      <c r="AB7" s="7">
        <v>0.0</v>
      </c>
      <c r="AC7" s="13">
        <v>1.6</v>
      </c>
      <c r="AD7" s="7"/>
      <c r="AE7" s="7" t="s">
        <v>52</v>
      </c>
      <c r="AF7" s="14"/>
      <c r="AG7" s="15"/>
      <c r="AH7" s="14"/>
      <c r="AI7" s="14"/>
      <c r="AJ7" s="15"/>
      <c r="AK7" s="14"/>
      <c r="AL7" s="14"/>
      <c r="AM7" s="14" t="s">
        <v>111</v>
      </c>
      <c r="AN7" s="14" t="s">
        <v>145</v>
      </c>
      <c r="AO7" s="14" t="s">
        <v>84</v>
      </c>
      <c r="AP7" s="14" t="s">
        <v>146</v>
      </c>
      <c r="AQ7" s="16">
        <v>-1.0</v>
      </c>
      <c r="AR7" s="14" t="s">
        <v>147</v>
      </c>
    </row>
    <row r="8">
      <c r="A8" s="7" t="s">
        <v>39</v>
      </c>
      <c r="B8" s="7" t="s">
        <v>137</v>
      </c>
      <c r="C8" s="7" t="s">
        <v>102</v>
      </c>
      <c r="D8" s="7" t="s">
        <v>118</v>
      </c>
      <c r="E8" s="7" t="s">
        <v>150</v>
      </c>
      <c r="F8" s="7" t="s">
        <v>104</v>
      </c>
      <c r="G8" s="7" t="s">
        <v>69</v>
      </c>
      <c r="H8" s="7" t="s">
        <v>69</v>
      </c>
      <c r="I8" s="9" t="s">
        <v>52</v>
      </c>
      <c r="J8" s="7" t="s">
        <v>71</v>
      </c>
      <c r="K8" s="11">
        <v>3.0</v>
      </c>
      <c r="L8" s="11"/>
      <c r="M8" s="7"/>
      <c r="N8" s="7"/>
      <c r="O8" s="12"/>
      <c r="P8" s="7">
        <v>700.0</v>
      </c>
      <c r="Q8" s="7" t="s">
        <v>153</v>
      </c>
      <c r="R8" s="7" t="s">
        <v>75</v>
      </c>
      <c r="S8" s="7" t="s">
        <v>142</v>
      </c>
      <c r="T8" s="7" t="s">
        <v>39</v>
      </c>
      <c r="U8" s="7" t="s">
        <v>143</v>
      </c>
      <c r="V8" s="7" t="s">
        <v>111</v>
      </c>
      <c r="W8" s="7">
        <v>2.0</v>
      </c>
      <c r="X8" s="7">
        <v>1.0</v>
      </c>
      <c r="Y8" s="7">
        <v>4.0</v>
      </c>
      <c r="Z8" s="7">
        <v>3.0</v>
      </c>
      <c r="AA8" s="7">
        <v>2.0</v>
      </c>
      <c r="AB8" s="7">
        <v>0.0</v>
      </c>
      <c r="AC8" s="13">
        <v>1.1</v>
      </c>
      <c r="AD8" s="7"/>
      <c r="AE8" s="7" t="s">
        <v>52</v>
      </c>
      <c r="AF8" s="14"/>
      <c r="AG8" s="15"/>
      <c r="AH8" s="14"/>
      <c r="AI8" s="14"/>
      <c r="AJ8" s="15"/>
      <c r="AK8" s="14"/>
      <c r="AL8" s="14"/>
      <c r="AM8" s="14" t="s">
        <v>111</v>
      </c>
      <c r="AN8" s="14" t="s">
        <v>156</v>
      </c>
      <c r="AO8" s="14" t="s">
        <v>84</v>
      </c>
      <c r="AP8" s="14" t="s">
        <v>157</v>
      </c>
      <c r="AQ8" s="16">
        <v>-1.0</v>
      </c>
      <c r="AR8" s="14" t="s">
        <v>147</v>
      </c>
    </row>
    <row r="9">
      <c r="A9" s="7" t="s">
        <v>39</v>
      </c>
      <c r="B9" s="7" t="s">
        <v>137</v>
      </c>
      <c r="C9" s="7" t="s">
        <v>102</v>
      </c>
      <c r="D9" s="7" t="s">
        <v>126</v>
      </c>
      <c r="E9" s="7" t="s">
        <v>150</v>
      </c>
      <c r="F9" s="7" t="s">
        <v>104</v>
      </c>
      <c r="G9" s="7" t="s">
        <v>69</v>
      </c>
      <c r="H9" s="7" t="s">
        <v>69</v>
      </c>
      <c r="I9" s="9" t="s">
        <v>52</v>
      </c>
      <c r="J9" s="7" t="s">
        <v>71</v>
      </c>
      <c r="K9" s="11">
        <v>3.0</v>
      </c>
      <c r="L9" s="11"/>
      <c r="M9" s="7"/>
      <c r="N9" s="7"/>
      <c r="O9" s="12"/>
      <c r="P9" s="7">
        <v>700.0</v>
      </c>
      <c r="Q9" s="7" t="s">
        <v>153</v>
      </c>
      <c r="R9" s="7" t="s">
        <v>75</v>
      </c>
      <c r="S9" s="7" t="s">
        <v>142</v>
      </c>
      <c r="T9" s="7" t="s">
        <v>39</v>
      </c>
      <c r="U9" s="7" t="s">
        <v>143</v>
      </c>
      <c r="V9" s="7" t="s">
        <v>111</v>
      </c>
      <c r="W9" s="7">
        <v>2.0</v>
      </c>
      <c r="X9" s="7">
        <v>1.0</v>
      </c>
      <c r="Y9" s="7">
        <v>4.0</v>
      </c>
      <c r="Z9" s="7">
        <v>3.0</v>
      </c>
      <c r="AA9" s="7">
        <v>2.0</v>
      </c>
      <c r="AB9" s="7">
        <v>0.0</v>
      </c>
      <c r="AC9" s="13">
        <v>1.1</v>
      </c>
      <c r="AD9" s="7"/>
      <c r="AE9" s="7" t="s">
        <v>52</v>
      </c>
      <c r="AF9" s="14"/>
      <c r="AG9" s="15"/>
      <c r="AH9" s="14"/>
      <c r="AI9" s="14"/>
      <c r="AJ9" s="15"/>
      <c r="AK9" s="14"/>
      <c r="AL9" s="14"/>
      <c r="AM9" s="14" t="s">
        <v>111</v>
      </c>
      <c r="AN9" s="14" t="s">
        <v>161</v>
      </c>
      <c r="AO9" s="14" t="s">
        <v>84</v>
      </c>
      <c r="AP9" s="14" t="s">
        <v>162</v>
      </c>
      <c r="AQ9" s="16">
        <v>-1.0</v>
      </c>
      <c r="AR9" s="14" t="s">
        <v>147</v>
      </c>
    </row>
    <row r="10">
      <c r="A10" s="7" t="s">
        <v>39</v>
      </c>
      <c r="B10" s="7" t="s">
        <v>137</v>
      </c>
      <c r="C10" s="7" t="s">
        <v>102</v>
      </c>
      <c r="D10" s="7" t="s">
        <v>132</v>
      </c>
      <c r="E10" s="7" t="s">
        <v>164</v>
      </c>
      <c r="F10" s="7" t="s">
        <v>104</v>
      </c>
      <c r="G10" s="7" t="s">
        <v>69</v>
      </c>
      <c r="H10" s="7" t="s">
        <v>69</v>
      </c>
      <c r="I10" s="9" t="s">
        <v>52</v>
      </c>
      <c r="J10" s="7" t="s">
        <v>71</v>
      </c>
      <c r="K10" s="11">
        <v>3.0</v>
      </c>
      <c r="L10" s="11"/>
      <c r="M10" s="7"/>
      <c r="N10" s="7"/>
      <c r="O10" s="12"/>
      <c r="P10" s="7">
        <v>490.0</v>
      </c>
      <c r="Q10" s="7" t="s">
        <v>74</v>
      </c>
      <c r="R10" s="7" t="s">
        <v>75</v>
      </c>
      <c r="S10" s="7" t="s">
        <v>142</v>
      </c>
      <c r="T10" s="7" t="s">
        <v>39</v>
      </c>
      <c r="U10" s="7" t="s">
        <v>143</v>
      </c>
      <c r="V10" s="7" t="s">
        <v>111</v>
      </c>
      <c r="W10" s="7">
        <v>2.0</v>
      </c>
      <c r="X10" s="7">
        <v>2.0</v>
      </c>
      <c r="Y10" s="7">
        <v>4.0</v>
      </c>
      <c r="Z10" s="7">
        <v>3.0</v>
      </c>
      <c r="AA10" s="7">
        <v>2.0</v>
      </c>
      <c r="AB10" s="7">
        <v>0.0</v>
      </c>
      <c r="AC10" s="13">
        <v>1.3</v>
      </c>
      <c r="AD10" s="7"/>
      <c r="AE10" s="7" t="s">
        <v>52</v>
      </c>
      <c r="AF10" s="14"/>
      <c r="AG10" s="15"/>
      <c r="AH10" s="14"/>
      <c r="AI10" s="14"/>
      <c r="AJ10" s="15"/>
      <c r="AK10" s="14"/>
      <c r="AL10" s="14"/>
      <c r="AM10" s="14" t="s">
        <v>111</v>
      </c>
      <c r="AN10" s="14" t="s">
        <v>171</v>
      </c>
      <c r="AO10" s="14" t="s">
        <v>84</v>
      </c>
      <c r="AP10" s="14" t="s">
        <v>172</v>
      </c>
      <c r="AQ10" s="16">
        <v>-1.0</v>
      </c>
      <c r="AR10" s="14" t="s">
        <v>147</v>
      </c>
    </row>
    <row r="11">
      <c r="A11" s="7" t="s">
        <v>39</v>
      </c>
      <c r="B11" s="7" t="s">
        <v>137</v>
      </c>
      <c r="C11" s="7" t="s">
        <v>102</v>
      </c>
      <c r="D11" s="7" t="s">
        <v>141</v>
      </c>
      <c r="E11" s="7" t="s">
        <v>138</v>
      </c>
      <c r="F11" s="7" t="s">
        <v>104</v>
      </c>
      <c r="G11" s="7" t="s">
        <v>69</v>
      </c>
      <c r="H11" s="7" t="s">
        <v>69</v>
      </c>
      <c r="I11" s="9" t="s">
        <v>52</v>
      </c>
      <c r="J11" s="7" t="s">
        <v>71</v>
      </c>
      <c r="K11" s="11">
        <v>3.0</v>
      </c>
      <c r="L11" s="11"/>
      <c r="M11" s="7"/>
      <c r="N11" s="7"/>
      <c r="O11" s="12"/>
      <c r="P11" s="7">
        <v>300.0</v>
      </c>
      <c r="Q11" s="7" t="s">
        <v>140</v>
      </c>
      <c r="R11" s="7" t="s">
        <v>75</v>
      </c>
      <c r="S11" s="7" t="s">
        <v>142</v>
      </c>
      <c r="T11" s="7" t="s">
        <v>39</v>
      </c>
      <c r="U11" s="7" t="s">
        <v>143</v>
      </c>
      <c r="V11" s="7" t="s">
        <v>111</v>
      </c>
      <c r="W11" s="7">
        <v>2.0</v>
      </c>
      <c r="X11" s="7">
        <v>4.0</v>
      </c>
      <c r="Y11" s="7">
        <v>4.0</v>
      </c>
      <c r="Z11" s="7">
        <v>3.0</v>
      </c>
      <c r="AA11" s="7">
        <v>2.0</v>
      </c>
      <c r="AB11" s="7">
        <v>0.0</v>
      </c>
      <c r="AC11" s="13">
        <v>1.6</v>
      </c>
      <c r="AD11" s="7"/>
      <c r="AE11" s="7" t="s">
        <v>52</v>
      </c>
      <c r="AF11" s="14"/>
      <c r="AG11" s="15"/>
      <c r="AH11" s="14"/>
      <c r="AI11" s="14"/>
      <c r="AJ11" s="15"/>
      <c r="AK11" s="14"/>
      <c r="AL11" s="14"/>
      <c r="AM11" s="14" t="s">
        <v>111</v>
      </c>
      <c r="AN11" s="14" t="s">
        <v>179</v>
      </c>
      <c r="AO11" s="14" t="s">
        <v>84</v>
      </c>
      <c r="AP11" s="14" t="s">
        <v>180</v>
      </c>
      <c r="AQ11" s="16">
        <v>-1.0</v>
      </c>
      <c r="AR11" s="14" t="s">
        <v>147</v>
      </c>
    </row>
    <row r="12">
      <c r="A12" s="7" t="s">
        <v>39</v>
      </c>
      <c r="B12" s="7" t="s">
        <v>137</v>
      </c>
      <c r="C12" s="7" t="s">
        <v>102</v>
      </c>
      <c r="D12" s="7" t="s">
        <v>149</v>
      </c>
      <c r="E12" s="7" t="s">
        <v>181</v>
      </c>
      <c r="F12" s="7" t="s">
        <v>104</v>
      </c>
      <c r="G12" s="7" t="s">
        <v>69</v>
      </c>
      <c r="H12" s="7" t="s">
        <v>69</v>
      </c>
      <c r="I12" s="9" t="s">
        <v>52</v>
      </c>
      <c r="J12" s="7" t="s">
        <v>71</v>
      </c>
      <c r="K12" s="11">
        <v>3.0</v>
      </c>
      <c r="L12" s="11"/>
      <c r="M12" s="7"/>
      <c r="N12" s="7"/>
      <c r="O12" s="12"/>
      <c r="P12" s="7">
        <v>520.0</v>
      </c>
      <c r="Q12" s="7" t="s">
        <v>74</v>
      </c>
      <c r="R12" s="7" t="s">
        <v>75</v>
      </c>
      <c r="S12" s="7" t="s">
        <v>142</v>
      </c>
      <c r="T12" s="7" t="s">
        <v>39</v>
      </c>
      <c r="U12" s="7" t="s">
        <v>143</v>
      </c>
      <c r="V12" s="7" t="s">
        <v>111</v>
      </c>
      <c r="W12" s="7">
        <v>2.0</v>
      </c>
      <c r="X12" s="7">
        <v>2.0</v>
      </c>
      <c r="Y12" s="7">
        <v>4.0</v>
      </c>
      <c r="Z12" s="7">
        <v>3.0</v>
      </c>
      <c r="AA12" s="7">
        <v>2.0</v>
      </c>
      <c r="AB12" s="7">
        <v>0.0</v>
      </c>
      <c r="AC12" s="13">
        <v>1.3</v>
      </c>
      <c r="AD12" s="7"/>
      <c r="AE12" s="7" t="s">
        <v>52</v>
      </c>
      <c r="AF12" s="14"/>
      <c r="AG12" s="15"/>
      <c r="AH12" s="14"/>
      <c r="AI12" s="14"/>
      <c r="AJ12" s="15"/>
      <c r="AK12" s="14"/>
      <c r="AL12" s="14"/>
      <c r="AM12" s="14" t="s">
        <v>111</v>
      </c>
      <c r="AN12" s="14" t="s">
        <v>183</v>
      </c>
      <c r="AO12" s="14" t="s">
        <v>84</v>
      </c>
      <c r="AP12" s="14" t="s">
        <v>185</v>
      </c>
      <c r="AQ12" s="16">
        <v>-1.0</v>
      </c>
      <c r="AR12" s="14" t="s">
        <v>147</v>
      </c>
    </row>
    <row r="13">
      <c r="A13" s="7" t="s">
        <v>39</v>
      </c>
      <c r="B13" s="7" t="s">
        <v>137</v>
      </c>
      <c r="C13" s="7" t="s">
        <v>102</v>
      </c>
      <c r="D13" s="7" t="s">
        <v>154</v>
      </c>
      <c r="E13" s="7" t="s">
        <v>186</v>
      </c>
      <c r="F13" s="7" t="s">
        <v>104</v>
      </c>
      <c r="G13" s="7" t="s">
        <v>69</v>
      </c>
      <c r="H13" s="7" t="s">
        <v>69</v>
      </c>
      <c r="I13" s="9" t="s">
        <v>52</v>
      </c>
      <c r="J13" s="7" t="s">
        <v>71</v>
      </c>
      <c r="K13" s="11">
        <v>3.0</v>
      </c>
      <c r="L13" s="11"/>
      <c r="M13" s="7"/>
      <c r="N13" s="7"/>
      <c r="O13" s="12"/>
      <c r="P13" s="7">
        <v>360.0</v>
      </c>
      <c r="Q13" s="7" t="s">
        <v>140</v>
      </c>
      <c r="R13" s="7" t="s">
        <v>75</v>
      </c>
      <c r="S13" s="7" t="s">
        <v>142</v>
      </c>
      <c r="T13" s="7" t="s">
        <v>39</v>
      </c>
      <c r="U13" s="7" t="s">
        <v>143</v>
      </c>
      <c r="V13" s="7" t="s">
        <v>111</v>
      </c>
      <c r="W13" s="7">
        <v>2.0</v>
      </c>
      <c r="X13" s="7">
        <v>3.0</v>
      </c>
      <c r="Y13" s="7">
        <v>4.0</v>
      </c>
      <c r="Z13" s="7">
        <v>3.0</v>
      </c>
      <c r="AA13" s="7">
        <v>2.0</v>
      </c>
      <c r="AB13" s="7">
        <v>0.0</v>
      </c>
      <c r="AC13" s="13">
        <v>1.5</v>
      </c>
      <c r="AD13" s="7"/>
      <c r="AE13" s="7" t="s">
        <v>52</v>
      </c>
      <c r="AF13" s="14"/>
      <c r="AG13" s="15"/>
      <c r="AH13" s="14"/>
      <c r="AI13" s="14"/>
      <c r="AJ13" s="15"/>
      <c r="AK13" s="14"/>
      <c r="AL13" s="14"/>
      <c r="AM13" s="14" t="s">
        <v>111</v>
      </c>
      <c r="AN13" s="14" t="s">
        <v>188</v>
      </c>
      <c r="AO13" s="14" t="s">
        <v>84</v>
      </c>
      <c r="AP13" s="14" t="s">
        <v>189</v>
      </c>
      <c r="AQ13" s="16">
        <v>-1.0</v>
      </c>
      <c r="AR13" s="14" t="s">
        <v>147</v>
      </c>
    </row>
    <row r="14">
      <c r="A14" s="7" t="s">
        <v>39</v>
      </c>
      <c r="B14" s="7" t="s">
        <v>137</v>
      </c>
      <c r="C14" s="7" t="s">
        <v>102</v>
      </c>
      <c r="D14" s="7" t="s">
        <v>159</v>
      </c>
      <c r="E14" s="7" t="s">
        <v>181</v>
      </c>
      <c r="F14" s="7" t="s">
        <v>104</v>
      </c>
      <c r="G14" s="7" t="s">
        <v>69</v>
      </c>
      <c r="H14" s="7" t="s">
        <v>69</v>
      </c>
      <c r="I14" s="9" t="s">
        <v>52</v>
      </c>
      <c r="J14" s="7" t="s">
        <v>71</v>
      </c>
      <c r="K14" s="11">
        <v>3.0</v>
      </c>
      <c r="L14" s="11"/>
      <c r="M14" s="7"/>
      <c r="N14" s="7"/>
      <c r="O14" s="12"/>
      <c r="P14" s="7">
        <v>520.0</v>
      </c>
      <c r="Q14" s="7" t="s">
        <v>74</v>
      </c>
      <c r="R14" s="7" t="s">
        <v>75</v>
      </c>
      <c r="S14" s="7" t="s">
        <v>142</v>
      </c>
      <c r="T14" s="7" t="s">
        <v>39</v>
      </c>
      <c r="U14" s="7" t="s">
        <v>143</v>
      </c>
      <c r="V14" s="7" t="s">
        <v>111</v>
      </c>
      <c r="W14" s="7">
        <v>2.0</v>
      </c>
      <c r="X14" s="7">
        <v>2.0</v>
      </c>
      <c r="Y14" s="7">
        <v>4.0</v>
      </c>
      <c r="Z14" s="7">
        <v>3.0</v>
      </c>
      <c r="AA14" s="7">
        <v>2.0</v>
      </c>
      <c r="AB14" s="7">
        <v>0.0</v>
      </c>
      <c r="AC14" s="13">
        <v>1.3</v>
      </c>
      <c r="AD14" s="7"/>
      <c r="AE14" s="7" t="s">
        <v>52</v>
      </c>
      <c r="AF14" s="14"/>
      <c r="AG14" s="15"/>
      <c r="AH14" s="14"/>
      <c r="AI14" s="14"/>
      <c r="AJ14" s="15"/>
      <c r="AK14" s="14"/>
      <c r="AL14" s="14"/>
      <c r="AM14" s="14" t="s">
        <v>111</v>
      </c>
      <c r="AN14" s="14" t="s">
        <v>191</v>
      </c>
      <c r="AO14" s="14" t="s">
        <v>84</v>
      </c>
      <c r="AP14" s="14" t="s">
        <v>192</v>
      </c>
      <c r="AQ14" s="16">
        <v>-1.0</v>
      </c>
      <c r="AR14" s="14" t="s">
        <v>147</v>
      </c>
    </row>
    <row r="15">
      <c r="A15" s="7" t="s">
        <v>39</v>
      </c>
      <c r="B15" s="7" t="s">
        <v>44</v>
      </c>
      <c r="C15" s="7" t="s">
        <v>102</v>
      </c>
      <c r="D15" s="7" t="s">
        <v>133</v>
      </c>
      <c r="E15" s="7" t="s">
        <v>106</v>
      </c>
      <c r="F15" s="7" t="s">
        <v>104</v>
      </c>
      <c r="G15" s="7" t="s">
        <v>69</v>
      </c>
      <c r="H15" s="7" t="s">
        <v>69</v>
      </c>
      <c r="I15" s="9" t="s">
        <v>52</v>
      </c>
      <c r="J15" s="7" t="s">
        <v>71</v>
      </c>
      <c r="K15" s="11">
        <v>3.0</v>
      </c>
      <c r="L15" s="11"/>
      <c r="M15" s="7"/>
      <c r="N15" s="7"/>
      <c r="O15" s="12"/>
      <c r="P15" s="7">
        <v>130.0</v>
      </c>
      <c r="Q15" s="7" t="s">
        <v>121</v>
      </c>
      <c r="R15" s="7" t="s">
        <v>75</v>
      </c>
      <c r="S15" s="7" t="s">
        <v>76</v>
      </c>
      <c r="T15" s="7" t="s">
        <v>39</v>
      </c>
      <c r="U15" s="7" t="s">
        <v>90</v>
      </c>
      <c r="V15" s="7" t="s">
        <v>111</v>
      </c>
      <c r="W15" s="7">
        <v>2.0</v>
      </c>
      <c r="X15" s="7">
        <v>5.0</v>
      </c>
      <c r="Y15" s="7">
        <v>4.0</v>
      </c>
      <c r="Z15" s="7">
        <v>3.0</v>
      </c>
      <c r="AA15" s="7">
        <v>4.0</v>
      </c>
      <c r="AB15" s="7">
        <v>0.0</v>
      </c>
      <c r="AC15" s="13">
        <v>2.9</v>
      </c>
      <c r="AD15" s="7"/>
      <c r="AE15" s="7" t="s">
        <v>52</v>
      </c>
      <c r="AF15" s="14"/>
      <c r="AG15" s="15"/>
      <c r="AH15" s="14"/>
      <c r="AI15" s="14"/>
      <c r="AJ15" s="15"/>
      <c r="AK15" s="14"/>
      <c r="AL15" s="14"/>
      <c r="AM15" s="14" t="s">
        <v>111</v>
      </c>
      <c r="AN15" s="14" t="s">
        <v>194</v>
      </c>
      <c r="AO15" s="14" t="s">
        <v>84</v>
      </c>
      <c r="AP15" s="14" t="s">
        <v>195</v>
      </c>
      <c r="AQ15" s="16">
        <v>0.0</v>
      </c>
      <c r="AR15" s="14" t="s">
        <v>196</v>
      </c>
    </row>
    <row r="16">
      <c r="A16" s="7" t="s">
        <v>39</v>
      </c>
      <c r="B16" s="7" t="s">
        <v>137</v>
      </c>
      <c r="C16" s="7" t="s">
        <v>102</v>
      </c>
      <c r="D16" s="7" t="s">
        <v>169</v>
      </c>
      <c r="E16" s="7" t="s">
        <v>181</v>
      </c>
      <c r="F16" s="7" t="s">
        <v>104</v>
      </c>
      <c r="G16" s="7" t="s">
        <v>69</v>
      </c>
      <c r="H16" s="7" t="s">
        <v>69</v>
      </c>
      <c r="I16" s="9" t="s">
        <v>52</v>
      </c>
      <c r="J16" s="7" t="s">
        <v>71</v>
      </c>
      <c r="K16" s="11">
        <v>3.0</v>
      </c>
      <c r="L16" s="11"/>
      <c r="M16" s="7"/>
      <c r="N16" s="7"/>
      <c r="O16" s="12"/>
      <c r="P16" s="7">
        <v>520.0</v>
      </c>
      <c r="Q16" s="7" t="s">
        <v>74</v>
      </c>
      <c r="R16" s="7" t="s">
        <v>75</v>
      </c>
      <c r="S16" s="7" t="s">
        <v>142</v>
      </c>
      <c r="T16" s="7" t="s">
        <v>39</v>
      </c>
      <c r="U16" s="7" t="s">
        <v>143</v>
      </c>
      <c r="V16" s="7" t="s">
        <v>111</v>
      </c>
      <c r="W16" s="7">
        <v>2.0</v>
      </c>
      <c r="X16" s="7">
        <v>2.0</v>
      </c>
      <c r="Y16" s="7">
        <v>4.0</v>
      </c>
      <c r="Z16" s="7">
        <v>3.0</v>
      </c>
      <c r="AA16" s="7">
        <v>2.0</v>
      </c>
      <c r="AB16" s="7">
        <v>0.0</v>
      </c>
      <c r="AC16" s="13">
        <v>1.3</v>
      </c>
      <c r="AD16" s="7"/>
      <c r="AE16" s="7" t="s">
        <v>52</v>
      </c>
      <c r="AF16" s="14"/>
      <c r="AG16" s="15"/>
      <c r="AH16" s="14"/>
      <c r="AI16" s="14"/>
      <c r="AJ16" s="15"/>
      <c r="AK16" s="14"/>
      <c r="AL16" s="14"/>
      <c r="AM16" s="14" t="s">
        <v>111</v>
      </c>
      <c r="AN16" s="14" t="s">
        <v>199</v>
      </c>
      <c r="AO16" s="14" t="s">
        <v>84</v>
      </c>
      <c r="AP16" s="14" t="s">
        <v>200</v>
      </c>
      <c r="AQ16" s="16">
        <v>-1.0</v>
      </c>
      <c r="AR16" s="14" t="s">
        <v>147</v>
      </c>
    </row>
    <row r="17">
      <c r="A17" s="7" t="s">
        <v>39</v>
      </c>
      <c r="B17" s="7" t="s">
        <v>137</v>
      </c>
      <c r="C17" s="7" t="s">
        <v>102</v>
      </c>
      <c r="D17" s="7" t="s">
        <v>173</v>
      </c>
      <c r="E17" s="7" t="s">
        <v>202</v>
      </c>
      <c r="F17" s="7" t="s">
        <v>104</v>
      </c>
      <c r="G17" s="7" t="s">
        <v>69</v>
      </c>
      <c r="H17" s="7" t="s">
        <v>69</v>
      </c>
      <c r="I17" s="9" t="s">
        <v>52</v>
      </c>
      <c r="J17" s="7" t="s">
        <v>71</v>
      </c>
      <c r="K17" s="11">
        <v>3.0</v>
      </c>
      <c r="L17" s="11"/>
      <c r="M17" s="7"/>
      <c r="N17" s="7"/>
      <c r="O17" s="12"/>
      <c r="P17" s="7">
        <v>500.0</v>
      </c>
      <c r="Q17" s="7" t="s">
        <v>74</v>
      </c>
      <c r="R17" s="7" t="s">
        <v>75</v>
      </c>
      <c r="S17" s="7" t="s">
        <v>142</v>
      </c>
      <c r="T17" s="7" t="s">
        <v>39</v>
      </c>
      <c r="U17" s="7" t="s">
        <v>143</v>
      </c>
      <c r="V17" s="7" t="s">
        <v>111</v>
      </c>
      <c r="W17" s="7">
        <v>2.0</v>
      </c>
      <c r="X17" s="7">
        <v>2.0</v>
      </c>
      <c r="Y17" s="7">
        <v>4.0</v>
      </c>
      <c r="Z17" s="7">
        <v>3.0</v>
      </c>
      <c r="AA17" s="7">
        <v>2.0</v>
      </c>
      <c r="AB17" s="7">
        <v>0.0</v>
      </c>
      <c r="AC17" s="13">
        <v>1.3</v>
      </c>
      <c r="AD17" s="7"/>
      <c r="AE17" s="7" t="s">
        <v>52</v>
      </c>
      <c r="AF17" s="14"/>
      <c r="AG17" s="15"/>
      <c r="AH17" s="14"/>
      <c r="AI17" s="14"/>
      <c r="AJ17" s="15"/>
      <c r="AK17" s="14"/>
      <c r="AL17" s="14"/>
      <c r="AM17" s="14" t="s">
        <v>111</v>
      </c>
      <c r="AN17" s="14" t="s">
        <v>204</v>
      </c>
      <c r="AO17" s="14" t="s">
        <v>84</v>
      </c>
      <c r="AP17" s="14" t="s">
        <v>205</v>
      </c>
      <c r="AQ17" s="16">
        <v>-1.0</v>
      </c>
      <c r="AR17" s="14" t="s">
        <v>147</v>
      </c>
    </row>
    <row r="18">
      <c r="A18" s="7" t="s">
        <v>39</v>
      </c>
      <c r="B18" s="7" t="s">
        <v>137</v>
      </c>
      <c r="C18" s="7" t="s">
        <v>102</v>
      </c>
      <c r="D18" s="7" t="s">
        <v>178</v>
      </c>
      <c r="E18" s="7" t="s">
        <v>150</v>
      </c>
      <c r="F18" s="7" t="s">
        <v>104</v>
      </c>
      <c r="G18" s="7" t="s">
        <v>69</v>
      </c>
      <c r="H18" s="7" t="s">
        <v>69</v>
      </c>
      <c r="I18" s="9" t="s">
        <v>52</v>
      </c>
      <c r="J18" s="7" t="s">
        <v>71</v>
      </c>
      <c r="K18" s="11">
        <v>3.0</v>
      </c>
      <c r="L18" s="11"/>
      <c r="M18" s="7"/>
      <c r="N18" s="7"/>
      <c r="O18" s="12"/>
      <c r="P18" s="7">
        <v>700.0</v>
      </c>
      <c r="Q18" s="7" t="s">
        <v>153</v>
      </c>
      <c r="R18" s="7" t="s">
        <v>75</v>
      </c>
      <c r="S18" s="7" t="s">
        <v>142</v>
      </c>
      <c r="T18" s="7" t="s">
        <v>39</v>
      </c>
      <c r="U18" s="7" t="s">
        <v>143</v>
      </c>
      <c r="V18" s="7" t="s">
        <v>111</v>
      </c>
      <c r="W18" s="7">
        <v>2.0</v>
      </c>
      <c r="X18" s="7">
        <v>1.0</v>
      </c>
      <c r="Y18" s="7">
        <v>4.0</v>
      </c>
      <c r="Z18" s="7">
        <v>3.0</v>
      </c>
      <c r="AA18" s="7">
        <v>2.0</v>
      </c>
      <c r="AB18" s="7">
        <v>0.0</v>
      </c>
      <c r="AC18" s="13">
        <v>1.1</v>
      </c>
      <c r="AD18" s="7"/>
      <c r="AE18" s="7" t="s">
        <v>52</v>
      </c>
      <c r="AF18" s="14"/>
      <c r="AG18" s="15"/>
      <c r="AH18" s="14"/>
      <c r="AI18" s="14"/>
      <c r="AJ18" s="15"/>
      <c r="AK18" s="14"/>
      <c r="AL18" s="14"/>
      <c r="AM18" s="14" t="s">
        <v>111</v>
      </c>
      <c r="AN18" s="14" t="s">
        <v>211</v>
      </c>
      <c r="AO18" s="14" t="s">
        <v>84</v>
      </c>
      <c r="AP18" s="14" t="s">
        <v>212</v>
      </c>
      <c r="AQ18" s="16">
        <v>-1.0</v>
      </c>
      <c r="AR18" s="14" t="s">
        <v>147</v>
      </c>
    </row>
    <row r="19">
      <c r="A19" s="7" t="s">
        <v>39</v>
      </c>
      <c r="B19" s="7" t="s">
        <v>137</v>
      </c>
      <c r="C19" s="7" t="s">
        <v>102</v>
      </c>
      <c r="D19" s="7" t="s">
        <v>182</v>
      </c>
      <c r="E19" s="7" t="s">
        <v>138</v>
      </c>
      <c r="F19" s="7" t="s">
        <v>104</v>
      </c>
      <c r="G19" s="7" t="s">
        <v>69</v>
      </c>
      <c r="H19" s="7" t="s">
        <v>69</v>
      </c>
      <c r="I19" s="9" t="s">
        <v>52</v>
      </c>
      <c r="J19" s="7" t="s">
        <v>71</v>
      </c>
      <c r="K19" s="11">
        <v>3.0</v>
      </c>
      <c r="L19" s="11"/>
      <c r="M19" s="7"/>
      <c r="N19" s="7"/>
      <c r="O19" s="12"/>
      <c r="P19" s="7">
        <v>300.0</v>
      </c>
      <c r="Q19" s="7" t="s">
        <v>140</v>
      </c>
      <c r="R19" s="7" t="s">
        <v>75</v>
      </c>
      <c r="S19" s="7" t="s">
        <v>142</v>
      </c>
      <c r="T19" s="7" t="s">
        <v>39</v>
      </c>
      <c r="U19" s="7" t="s">
        <v>143</v>
      </c>
      <c r="V19" s="7" t="s">
        <v>111</v>
      </c>
      <c r="W19" s="7">
        <v>2.0</v>
      </c>
      <c r="X19" s="7">
        <v>4.0</v>
      </c>
      <c r="Y19" s="7">
        <v>4.0</v>
      </c>
      <c r="Z19" s="7">
        <v>3.0</v>
      </c>
      <c r="AA19" s="7">
        <v>2.0</v>
      </c>
      <c r="AB19" s="7">
        <v>0.0</v>
      </c>
      <c r="AC19" s="13">
        <v>1.6</v>
      </c>
      <c r="AD19" s="7"/>
      <c r="AE19" s="7" t="s">
        <v>52</v>
      </c>
      <c r="AF19" s="14"/>
      <c r="AG19" s="15"/>
      <c r="AH19" s="14"/>
      <c r="AI19" s="14"/>
      <c r="AJ19" s="15"/>
      <c r="AK19" s="14"/>
      <c r="AL19" s="14"/>
      <c r="AM19" s="14" t="s">
        <v>111</v>
      </c>
      <c r="AN19" s="14" t="s">
        <v>214</v>
      </c>
      <c r="AO19" s="14" t="s">
        <v>84</v>
      </c>
      <c r="AP19" s="14" t="s">
        <v>215</v>
      </c>
      <c r="AQ19" s="16">
        <v>-1.0</v>
      </c>
      <c r="AR19" s="14" t="s">
        <v>147</v>
      </c>
    </row>
    <row r="20">
      <c r="A20" s="7" t="s">
        <v>39</v>
      </c>
      <c r="B20" s="7" t="s">
        <v>137</v>
      </c>
      <c r="C20" s="7" t="s">
        <v>102</v>
      </c>
      <c r="D20" s="7" t="s">
        <v>184</v>
      </c>
      <c r="E20" s="7" t="s">
        <v>186</v>
      </c>
      <c r="F20" s="7" t="s">
        <v>104</v>
      </c>
      <c r="G20" s="7" t="s">
        <v>69</v>
      </c>
      <c r="H20" s="7" t="s">
        <v>69</v>
      </c>
      <c r="I20" s="9" t="s">
        <v>52</v>
      </c>
      <c r="J20" s="7" t="s">
        <v>71</v>
      </c>
      <c r="K20" s="11">
        <v>3.0</v>
      </c>
      <c r="L20" s="11"/>
      <c r="M20" s="7"/>
      <c r="N20" s="7"/>
      <c r="O20" s="12"/>
      <c r="P20" s="7">
        <v>360.0</v>
      </c>
      <c r="Q20" s="7" t="s">
        <v>140</v>
      </c>
      <c r="R20" s="7" t="s">
        <v>75</v>
      </c>
      <c r="S20" s="7" t="s">
        <v>142</v>
      </c>
      <c r="T20" s="7" t="s">
        <v>39</v>
      </c>
      <c r="U20" s="7" t="s">
        <v>143</v>
      </c>
      <c r="V20" s="7" t="s">
        <v>111</v>
      </c>
      <c r="W20" s="7">
        <v>2.0</v>
      </c>
      <c r="X20" s="7">
        <v>3.0</v>
      </c>
      <c r="Y20" s="7">
        <v>4.0</v>
      </c>
      <c r="Z20" s="7">
        <v>3.0</v>
      </c>
      <c r="AA20" s="7">
        <v>2.0</v>
      </c>
      <c r="AB20" s="7">
        <v>0.0</v>
      </c>
      <c r="AC20" s="13">
        <v>1.5</v>
      </c>
      <c r="AD20" s="7"/>
      <c r="AE20" s="7" t="s">
        <v>52</v>
      </c>
      <c r="AF20" s="14"/>
      <c r="AG20" s="15"/>
      <c r="AH20" s="14"/>
      <c r="AI20" s="14"/>
      <c r="AJ20" s="15"/>
      <c r="AK20" s="14"/>
      <c r="AL20" s="14"/>
      <c r="AM20" s="14" t="s">
        <v>111</v>
      </c>
      <c r="AN20" s="14" t="s">
        <v>221</v>
      </c>
      <c r="AO20" s="14" t="s">
        <v>84</v>
      </c>
      <c r="AP20" s="14" t="s">
        <v>222</v>
      </c>
      <c r="AQ20" s="16">
        <v>-1.0</v>
      </c>
      <c r="AR20" s="14" t="s">
        <v>147</v>
      </c>
    </row>
    <row r="21" ht="15.75" customHeight="1">
      <c r="A21" s="7" t="s">
        <v>39</v>
      </c>
      <c r="B21" s="7" t="s">
        <v>137</v>
      </c>
      <c r="C21" s="7" t="s">
        <v>102</v>
      </c>
      <c r="D21" s="7" t="s">
        <v>187</v>
      </c>
      <c r="E21" s="7" t="s">
        <v>150</v>
      </c>
      <c r="F21" s="7" t="s">
        <v>104</v>
      </c>
      <c r="G21" s="7" t="s">
        <v>69</v>
      </c>
      <c r="H21" s="7" t="s">
        <v>69</v>
      </c>
      <c r="I21" s="9" t="s">
        <v>52</v>
      </c>
      <c r="J21" s="7" t="s">
        <v>71</v>
      </c>
      <c r="K21" s="11">
        <v>3.0</v>
      </c>
      <c r="L21" s="11"/>
      <c r="M21" s="7"/>
      <c r="N21" s="7"/>
      <c r="O21" s="12"/>
      <c r="P21" s="7">
        <v>700.0</v>
      </c>
      <c r="Q21" s="7" t="s">
        <v>153</v>
      </c>
      <c r="R21" s="7" t="s">
        <v>75</v>
      </c>
      <c r="S21" s="7" t="s">
        <v>142</v>
      </c>
      <c r="T21" s="7" t="s">
        <v>39</v>
      </c>
      <c r="U21" s="7" t="s">
        <v>143</v>
      </c>
      <c r="V21" s="7" t="s">
        <v>111</v>
      </c>
      <c r="W21" s="7">
        <v>2.0</v>
      </c>
      <c r="X21" s="7">
        <v>1.0</v>
      </c>
      <c r="Y21" s="7">
        <v>4.0</v>
      </c>
      <c r="Z21" s="7">
        <v>3.0</v>
      </c>
      <c r="AA21" s="7">
        <v>2.0</v>
      </c>
      <c r="AB21" s="7">
        <v>0.0</v>
      </c>
      <c r="AC21" s="13">
        <v>1.1</v>
      </c>
      <c r="AD21" s="7"/>
      <c r="AE21" s="7" t="s">
        <v>52</v>
      </c>
      <c r="AF21" s="14"/>
      <c r="AG21" s="15"/>
      <c r="AH21" s="14"/>
      <c r="AI21" s="14"/>
      <c r="AJ21" s="15"/>
      <c r="AK21" s="14"/>
      <c r="AL21" s="14"/>
      <c r="AM21" s="14" t="s">
        <v>111</v>
      </c>
      <c r="AN21" s="14" t="s">
        <v>227</v>
      </c>
      <c r="AO21" s="14" t="s">
        <v>84</v>
      </c>
      <c r="AP21" s="14" t="s">
        <v>229</v>
      </c>
      <c r="AQ21" s="16">
        <v>-1.0</v>
      </c>
      <c r="AR21" s="14" t="s">
        <v>147</v>
      </c>
    </row>
    <row r="22" ht="15.75" customHeight="1">
      <c r="A22" s="7" t="s">
        <v>39</v>
      </c>
      <c r="B22" s="7" t="s">
        <v>44</v>
      </c>
      <c r="C22" s="7" t="s">
        <v>102</v>
      </c>
      <c r="D22" s="7" t="s">
        <v>89</v>
      </c>
      <c r="E22" s="7" t="s">
        <v>106</v>
      </c>
      <c r="F22" s="7" t="s">
        <v>104</v>
      </c>
      <c r="G22" s="7" t="s">
        <v>69</v>
      </c>
      <c r="H22" s="7" t="s">
        <v>69</v>
      </c>
      <c r="I22" s="9" t="s">
        <v>52</v>
      </c>
      <c r="J22" s="7" t="s">
        <v>71</v>
      </c>
      <c r="K22" s="11">
        <v>3.0</v>
      </c>
      <c r="L22" s="11"/>
      <c r="M22" s="7"/>
      <c r="N22" s="7"/>
      <c r="O22" s="12"/>
      <c r="P22" s="7">
        <v>130.0</v>
      </c>
      <c r="Q22" s="7" t="s">
        <v>121</v>
      </c>
      <c r="R22" s="7" t="s">
        <v>75</v>
      </c>
      <c r="S22" s="7" t="s">
        <v>76</v>
      </c>
      <c r="T22" s="7" t="s">
        <v>39</v>
      </c>
      <c r="U22" s="7" t="s">
        <v>90</v>
      </c>
      <c r="V22" s="7" t="s">
        <v>111</v>
      </c>
      <c r="W22" s="7">
        <v>2.0</v>
      </c>
      <c r="X22" s="7">
        <v>5.0</v>
      </c>
      <c r="Y22" s="7">
        <v>4.0</v>
      </c>
      <c r="Z22" s="7">
        <v>3.0</v>
      </c>
      <c r="AA22" s="7">
        <v>4.0</v>
      </c>
      <c r="AB22" s="7">
        <v>0.0</v>
      </c>
      <c r="AC22" s="13">
        <v>2.9</v>
      </c>
      <c r="AD22" s="7"/>
      <c r="AE22" s="7" t="s">
        <v>52</v>
      </c>
      <c r="AF22" s="14"/>
      <c r="AG22" s="15"/>
      <c r="AH22" s="14"/>
      <c r="AI22" s="14"/>
      <c r="AJ22" s="15"/>
      <c r="AK22" s="14"/>
      <c r="AL22" s="14"/>
      <c r="AM22" s="14" t="s">
        <v>111</v>
      </c>
      <c r="AN22" s="14" t="s">
        <v>127</v>
      </c>
      <c r="AO22" s="14" t="s">
        <v>84</v>
      </c>
      <c r="AP22" s="14" t="s">
        <v>128</v>
      </c>
      <c r="AQ22" s="16">
        <v>0.0</v>
      </c>
      <c r="AR22" s="14" t="s">
        <v>196</v>
      </c>
    </row>
    <row r="23" ht="15.75" customHeight="1">
      <c r="A23" s="7" t="s">
        <v>39</v>
      </c>
      <c r="B23" s="7" t="s">
        <v>137</v>
      </c>
      <c r="C23" s="7" t="s">
        <v>102</v>
      </c>
      <c r="D23" s="7" t="s">
        <v>190</v>
      </c>
      <c r="E23" s="7" t="s">
        <v>202</v>
      </c>
      <c r="F23" s="7" t="s">
        <v>104</v>
      </c>
      <c r="G23" s="7" t="s">
        <v>69</v>
      </c>
      <c r="H23" s="7" t="s">
        <v>69</v>
      </c>
      <c r="I23" s="9" t="s">
        <v>52</v>
      </c>
      <c r="J23" s="7" t="s">
        <v>71</v>
      </c>
      <c r="K23" s="11">
        <v>3.0</v>
      </c>
      <c r="L23" s="11"/>
      <c r="M23" s="7"/>
      <c r="N23" s="7"/>
      <c r="O23" s="12"/>
      <c r="P23" s="7">
        <v>500.0</v>
      </c>
      <c r="Q23" s="7" t="s">
        <v>74</v>
      </c>
      <c r="R23" s="7" t="s">
        <v>75</v>
      </c>
      <c r="S23" s="7" t="s">
        <v>142</v>
      </c>
      <c r="T23" s="7" t="s">
        <v>39</v>
      </c>
      <c r="U23" s="7" t="s">
        <v>143</v>
      </c>
      <c r="V23" s="7" t="s">
        <v>111</v>
      </c>
      <c r="W23" s="7">
        <v>2.0</v>
      </c>
      <c r="X23" s="7">
        <v>2.0</v>
      </c>
      <c r="Y23" s="7">
        <v>4.0</v>
      </c>
      <c r="Z23" s="7">
        <v>3.0</v>
      </c>
      <c r="AA23" s="7">
        <v>2.0</v>
      </c>
      <c r="AB23" s="7">
        <v>0.0</v>
      </c>
      <c r="AC23" s="13">
        <v>1.3</v>
      </c>
      <c r="AD23" s="7"/>
      <c r="AE23" s="7" t="s">
        <v>52</v>
      </c>
      <c r="AF23" s="14"/>
      <c r="AG23" s="15"/>
      <c r="AH23" s="14"/>
      <c r="AI23" s="14"/>
      <c r="AJ23" s="15"/>
      <c r="AK23" s="14"/>
      <c r="AL23" s="14"/>
      <c r="AM23" s="14" t="s">
        <v>111</v>
      </c>
      <c r="AN23" s="14" t="s">
        <v>238</v>
      </c>
      <c r="AO23" s="14" t="s">
        <v>84</v>
      </c>
      <c r="AP23" s="14" t="s">
        <v>239</v>
      </c>
      <c r="AQ23" s="16">
        <v>-1.0</v>
      </c>
      <c r="AR23" s="14" t="s">
        <v>147</v>
      </c>
    </row>
    <row r="24" ht="15.75" customHeight="1">
      <c r="A24" s="7" t="s">
        <v>39</v>
      </c>
      <c r="B24" s="7" t="s">
        <v>137</v>
      </c>
      <c r="C24" s="7" t="s">
        <v>102</v>
      </c>
      <c r="D24" s="7" t="s">
        <v>193</v>
      </c>
      <c r="E24" s="7" t="s">
        <v>240</v>
      </c>
      <c r="F24" s="7" t="s">
        <v>104</v>
      </c>
      <c r="G24" s="7" t="s">
        <v>69</v>
      </c>
      <c r="H24" s="7" t="s">
        <v>69</v>
      </c>
      <c r="I24" s="9" t="s">
        <v>52</v>
      </c>
      <c r="J24" s="7" t="s">
        <v>71</v>
      </c>
      <c r="K24" s="11">
        <v>3.0</v>
      </c>
      <c r="L24" s="11"/>
      <c r="M24" s="7"/>
      <c r="N24" s="7"/>
      <c r="O24" s="12"/>
      <c r="P24" s="7">
        <v>610.0</v>
      </c>
      <c r="Q24" s="7" t="s">
        <v>153</v>
      </c>
      <c r="R24" s="7" t="s">
        <v>75</v>
      </c>
      <c r="S24" s="7" t="s">
        <v>142</v>
      </c>
      <c r="T24" s="7" t="s">
        <v>39</v>
      </c>
      <c r="U24" s="7" t="s">
        <v>143</v>
      </c>
      <c r="V24" s="7" t="s">
        <v>111</v>
      </c>
      <c r="W24" s="7">
        <v>2.0</v>
      </c>
      <c r="X24" s="7">
        <v>1.0</v>
      </c>
      <c r="Y24" s="7">
        <v>4.0</v>
      </c>
      <c r="Z24" s="7">
        <v>3.0</v>
      </c>
      <c r="AA24" s="7">
        <v>2.0</v>
      </c>
      <c r="AB24" s="7">
        <v>0.0</v>
      </c>
      <c r="AC24" s="13">
        <v>1.1</v>
      </c>
      <c r="AD24" s="7"/>
      <c r="AE24" s="7" t="s">
        <v>52</v>
      </c>
      <c r="AF24" s="14"/>
      <c r="AG24" s="15"/>
      <c r="AH24" s="14"/>
      <c r="AI24" s="14"/>
      <c r="AJ24" s="15"/>
      <c r="AK24" s="14"/>
      <c r="AL24" s="14"/>
      <c r="AM24" s="14" t="s">
        <v>111</v>
      </c>
      <c r="AN24" s="14" t="s">
        <v>244</v>
      </c>
      <c r="AO24" s="14" t="s">
        <v>84</v>
      </c>
      <c r="AP24" s="14" t="s">
        <v>245</v>
      </c>
      <c r="AQ24" s="16">
        <v>-1.0</v>
      </c>
      <c r="AR24" s="14" t="s">
        <v>147</v>
      </c>
    </row>
    <row r="25" ht="15.75" customHeight="1">
      <c r="A25" s="7" t="s">
        <v>39</v>
      </c>
      <c r="B25" s="7" t="s">
        <v>44</v>
      </c>
      <c r="C25" s="7" t="s">
        <v>102</v>
      </c>
      <c r="D25" s="7" t="s">
        <v>160</v>
      </c>
      <c r="E25" s="7" t="s">
        <v>106</v>
      </c>
      <c r="F25" s="7" t="s">
        <v>104</v>
      </c>
      <c r="G25" s="7" t="s">
        <v>69</v>
      </c>
      <c r="H25" s="7" t="s">
        <v>69</v>
      </c>
      <c r="I25" s="9" t="s">
        <v>52</v>
      </c>
      <c r="J25" s="7" t="s">
        <v>71</v>
      </c>
      <c r="K25" s="11">
        <v>3.0</v>
      </c>
      <c r="L25" s="11"/>
      <c r="M25" s="7"/>
      <c r="N25" s="7"/>
      <c r="O25" s="12"/>
      <c r="P25" s="7">
        <v>130.0</v>
      </c>
      <c r="Q25" s="7" t="s">
        <v>121</v>
      </c>
      <c r="R25" s="7" t="s">
        <v>75</v>
      </c>
      <c r="S25" s="7" t="s">
        <v>76</v>
      </c>
      <c r="T25" s="7" t="s">
        <v>39</v>
      </c>
      <c r="U25" s="7" t="s">
        <v>90</v>
      </c>
      <c r="V25" s="7" t="s">
        <v>111</v>
      </c>
      <c r="W25" s="7">
        <v>2.0</v>
      </c>
      <c r="X25" s="7">
        <v>5.0</v>
      </c>
      <c r="Y25" s="7">
        <v>4.0</v>
      </c>
      <c r="Z25" s="7">
        <v>3.0</v>
      </c>
      <c r="AA25" s="7">
        <v>4.0</v>
      </c>
      <c r="AB25" s="7">
        <v>0.0</v>
      </c>
      <c r="AC25" s="13">
        <v>2.9</v>
      </c>
      <c r="AD25" s="7"/>
      <c r="AE25" s="7" t="s">
        <v>52</v>
      </c>
      <c r="AF25" s="14"/>
      <c r="AG25" s="15"/>
      <c r="AH25" s="14"/>
      <c r="AI25" s="14"/>
      <c r="AJ25" s="15"/>
      <c r="AK25" s="14"/>
      <c r="AL25" s="14"/>
      <c r="AM25" s="14" t="s">
        <v>111</v>
      </c>
      <c r="AN25" s="14" t="s">
        <v>247</v>
      </c>
      <c r="AO25" s="14" t="s">
        <v>84</v>
      </c>
      <c r="AP25" s="14" t="s">
        <v>248</v>
      </c>
      <c r="AQ25" s="16">
        <v>0.0</v>
      </c>
      <c r="AR25" s="14" t="s">
        <v>196</v>
      </c>
    </row>
    <row r="26" ht="15.75" customHeight="1">
      <c r="A26" s="7" t="s">
        <v>39</v>
      </c>
      <c r="B26" s="7" t="s">
        <v>137</v>
      </c>
      <c r="C26" s="7" t="s">
        <v>102</v>
      </c>
      <c r="D26" s="7" t="s">
        <v>197</v>
      </c>
      <c r="E26" s="7" t="s">
        <v>202</v>
      </c>
      <c r="F26" s="7" t="s">
        <v>104</v>
      </c>
      <c r="G26" s="7" t="s">
        <v>69</v>
      </c>
      <c r="H26" s="7" t="s">
        <v>69</v>
      </c>
      <c r="I26" s="9" t="s">
        <v>52</v>
      </c>
      <c r="J26" s="7" t="s">
        <v>71</v>
      </c>
      <c r="K26" s="11">
        <v>3.0</v>
      </c>
      <c r="L26" s="11"/>
      <c r="M26" s="7"/>
      <c r="N26" s="7"/>
      <c r="O26" s="12"/>
      <c r="P26" s="7">
        <v>500.0</v>
      </c>
      <c r="Q26" s="7" t="s">
        <v>74</v>
      </c>
      <c r="R26" s="7" t="s">
        <v>75</v>
      </c>
      <c r="S26" s="7" t="s">
        <v>142</v>
      </c>
      <c r="T26" s="7" t="s">
        <v>39</v>
      </c>
      <c r="U26" s="7" t="s">
        <v>143</v>
      </c>
      <c r="V26" s="7" t="s">
        <v>111</v>
      </c>
      <c r="W26" s="7">
        <v>2.0</v>
      </c>
      <c r="X26" s="7">
        <v>2.0</v>
      </c>
      <c r="Y26" s="7">
        <v>4.0</v>
      </c>
      <c r="Z26" s="7">
        <v>3.0</v>
      </c>
      <c r="AA26" s="7">
        <v>2.0</v>
      </c>
      <c r="AB26" s="7">
        <v>0.0</v>
      </c>
      <c r="AC26" s="13">
        <v>1.3</v>
      </c>
      <c r="AD26" s="7"/>
      <c r="AE26" s="7" t="s">
        <v>52</v>
      </c>
      <c r="AF26" s="14"/>
      <c r="AG26" s="15"/>
      <c r="AH26" s="14"/>
      <c r="AI26" s="14"/>
      <c r="AJ26" s="15"/>
      <c r="AK26" s="14"/>
      <c r="AL26" s="14"/>
      <c r="AM26" s="14" t="s">
        <v>111</v>
      </c>
      <c r="AN26" s="14" t="s">
        <v>249</v>
      </c>
      <c r="AO26" s="14" t="s">
        <v>84</v>
      </c>
      <c r="AP26" s="14" t="s">
        <v>250</v>
      </c>
      <c r="AQ26" s="16">
        <v>-1.0</v>
      </c>
      <c r="AR26" s="14" t="s">
        <v>147</v>
      </c>
    </row>
    <row r="27" ht="15.75" customHeight="1">
      <c r="A27" s="7" t="s">
        <v>39</v>
      </c>
      <c r="B27" s="7" t="s">
        <v>44</v>
      </c>
      <c r="C27" s="7" t="s">
        <v>102</v>
      </c>
      <c r="D27" s="7" t="s">
        <v>95</v>
      </c>
      <c r="E27" s="7" t="s">
        <v>106</v>
      </c>
      <c r="F27" s="7" t="s">
        <v>104</v>
      </c>
      <c r="G27" s="7" t="s">
        <v>69</v>
      </c>
      <c r="H27" s="7" t="s">
        <v>69</v>
      </c>
      <c r="I27" s="9" t="s">
        <v>52</v>
      </c>
      <c r="J27" s="7" t="s">
        <v>71</v>
      </c>
      <c r="K27" s="11">
        <v>3.0</v>
      </c>
      <c r="L27" s="11"/>
      <c r="M27" s="7"/>
      <c r="N27" s="7"/>
      <c r="O27" s="12"/>
      <c r="P27" s="7">
        <v>130.0</v>
      </c>
      <c r="Q27" s="7" t="s">
        <v>121</v>
      </c>
      <c r="R27" s="7" t="s">
        <v>75</v>
      </c>
      <c r="S27" s="7" t="s">
        <v>76</v>
      </c>
      <c r="T27" s="7" t="s">
        <v>69</v>
      </c>
      <c r="U27" s="7" t="s">
        <v>90</v>
      </c>
      <c r="V27" s="7" t="s">
        <v>111</v>
      </c>
      <c r="W27" s="7">
        <v>2.0</v>
      </c>
      <c r="X27" s="7">
        <v>5.0</v>
      </c>
      <c r="Y27" s="7">
        <v>4.0</v>
      </c>
      <c r="Z27" s="7">
        <v>3.0</v>
      </c>
      <c r="AA27" s="7">
        <v>4.0</v>
      </c>
      <c r="AB27" s="7">
        <v>5.0</v>
      </c>
      <c r="AC27" s="13">
        <v>3.7</v>
      </c>
      <c r="AD27" s="7"/>
      <c r="AE27" s="7" t="s">
        <v>52</v>
      </c>
      <c r="AF27" s="14"/>
      <c r="AG27" s="15"/>
      <c r="AH27" s="14"/>
      <c r="AI27" s="14"/>
      <c r="AJ27" s="15"/>
      <c r="AK27" s="14"/>
      <c r="AL27" s="14"/>
      <c r="AM27" s="14" t="s">
        <v>111</v>
      </c>
      <c r="AN27" s="14" t="s">
        <v>135</v>
      </c>
      <c r="AO27" s="14" t="s">
        <v>84</v>
      </c>
      <c r="AP27" s="14" t="s">
        <v>136</v>
      </c>
      <c r="AQ27" s="16">
        <v>0.0</v>
      </c>
      <c r="AR27" s="14" t="s">
        <v>196</v>
      </c>
    </row>
    <row r="28" ht="15.75" customHeight="1">
      <c r="A28" s="7" t="s">
        <v>39</v>
      </c>
      <c r="B28" s="7" t="s">
        <v>137</v>
      </c>
      <c r="C28" s="7" t="s">
        <v>102</v>
      </c>
      <c r="D28" s="7" t="s">
        <v>203</v>
      </c>
      <c r="E28" s="7" t="s">
        <v>202</v>
      </c>
      <c r="F28" s="7" t="s">
        <v>104</v>
      </c>
      <c r="G28" s="7" t="s">
        <v>69</v>
      </c>
      <c r="H28" s="7" t="s">
        <v>69</v>
      </c>
      <c r="I28" s="9" t="s">
        <v>52</v>
      </c>
      <c r="J28" s="7" t="s">
        <v>71</v>
      </c>
      <c r="K28" s="11">
        <v>3.0</v>
      </c>
      <c r="L28" s="11"/>
      <c r="M28" s="7"/>
      <c r="N28" s="7"/>
      <c r="O28" s="12"/>
      <c r="P28" s="7">
        <v>500.0</v>
      </c>
      <c r="Q28" s="7" t="s">
        <v>74</v>
      </c>
      <c r="R28" s="7" t="s">
        <v>75</v>
      </c>
      <c r="S28" s="7" t="s">
        <v>142</v>
      </c>
      <c r="T28" s="7" t="s">
        <v>39</v>
      </c>
      <c r="U28" s="7" t="s">
        <v>143</v>
      </c>
      <c r="V28" s="7" t="s">
        <v>111</v>
      </c>
      <c r="W28" s="7">
        <v>2.0</v>
      </c>
      <c r="X28" s="7">
        <v>2.0</v>
      </c>
      <c r="Y28" s="7">
        <v>4.0</v>
      </c>
      <c r="Z28" s="7">
        <v>3.0</v>
      </c>
      <c r="AA28" s="7">
        <v>2.0</v>
      </c>
      <c r="AB28" s="7">
        <v>0.0</v>
      </c>
      <c r="AC28" s="13">
        <v>1.3</v>
      </c>
      <c r="AD28" s="7"/>
      <c r="AE28" s="7" t="s">
        <v>52</v>
      </c>
      <c r="AF28" s="14"/>
      <c r="AG28" s="15"/>
      <c r="AH28" s="14"/>
      <c r="AI28" s="14"/>
      <c r="AJ28" s="15"/>
      <c r="AK28" s="14"/>
      <c r="AL28" s="14"/>
      <c r="AM28" s="14" t="s">
        <v>111</v>
      </c>
      <c r="AN28" s="14" t="s">
        <v>254</v>
      </c>
      <c r="AO28" s="14" t="s">
        <v>84</v>
      </c>
      <c r="AP28" s="14" t="s">
        <v>255</v>
      </c>
      <c r="AQ28" s="16">
        <v>-1.0</v>
      </c>
      <c r="AR28" s="14" t="s">
        <v>147</v>
      </c>
    </row>
    <row r="29" ht="15.75" customHeight="1">
      <c r="A29" s="7" t="s">
        <v>39</v>
      </c>
      <c r="B29" s="7" t="s">
        <v>137</v>
      </c>
      <c r="C29" s="7" t="s">
        <v>102</v>
      </c>
      <c r="D29" s="7" t="s">
        <v>209</v>
      </c>
      <c r="E29" s="7" t="s">
        <v>138</v>
      </c>
      <c r="F29" s="7" t="s">
        <v>104</v>
      </c>
      <c r="G29" s="7" t="s">
        <v>69</v>
      </c>
      <c r="H29" s="7" t="s">
        <v>69</v>
      </c>
      <c r="I29" s="9" t="s">
        <v>52</v>
      </c>
      <c r="J29" s="7" t="s">
        <v>71</v>
      </c>
      <c r="K29" s="11">
        <v>3.0</v>
      </c>
      <c r="L29" s="11"/>
      <c r="M29" s="7"/>
      <c r="N29" s="7"/>
      <c r="O29" s="12"/>
      <c r="P29" s="7">
        <v>300.0</v>
      </c>
      <c r="Q29" s="7" t="s">
        <v>140</v>
      </c>
      <c r="R29" s="7" t="s">
        <v>75</v>
      </c>
      <c r="S29" s="7" t="s">
        <v>142</v>
      </c>
      <c r="T29" s="7" t="s">
        <v>39</v>
      </c>
      <c r="U29" s="7" t="s">
        <v>143</v>
      </c>
      <c r="V29" s="7" t="s">
        <v>111</v>
      </c>
      <c r="W29" s="7">
        <v>2.0</v>
      </c>
      <c r="X29" s="7">
        <v>4.0</v>
      </c>
      <c r="Y29" s="7">
        <v>4.0</v>
      </c>
      <c r="Z29" s="7">
        <v>3.0</v>
      </c>
      <c r="AA29" s="7">
        <v>2.0</v>
      </c>
      <c r="AB29" s="7">
        <v>0.0</v>
      </c>
      <c r="AC29" s="13">
        <v>1.6</v>
      </c>
      <c r="AD29" s="7"/>
      <c r="AE29" s="7" t="s">
        <v>52</v>
      </c>
      <c r="AF29" s="14"/>
      <c r="AG29" s="15"/>
      <c r="AH29" s="14"/>
      <c r="AI29" s="14"/>
      <c r="AJ29" s="15"/>
      <c r="AK29" s="14"/>
      <c r="AL29" s="14"/>
      <c r="AM29" s="14" t="s">
        <v>111</v>
      </c>
      <c r="AN29" s="14" t="s">
        <v>259</v>
      </c>
      <c r="AO29" s="14" t="s">
        <v>84</v>
      </c>
      <c r="AP29" s="14" t="s">
        <v>261</v>
      </c>
      <c r="AQ29" s="16">
        <v>-1.0</v>
      </c>
      <c r="AR29" s="14" t="s">
        <v>147</v>
      </c>
    </row>
    <row r="30" ht="15.75" customHeight="1">
      <c r="A30" s="7" t="s">
        <v>39</v>
      </c>
      <c r="B30" s="7" t="s">
        <v>44</v>
      </c>
      <c r="C30" s="7" t="s">
        <v>46</v>
      </c>
      <c r="D30" s="7" t="s">
        <v>48</v>
      </c>
      <c r="E30" s="7" t="s">
        <v>68</v>
      </c>
      <c r="F30" s="7" t="s">
        <v>108</v>
      </c>
      <c r="G30" s="7" t="s">
        <v>39</v>
      </c>
      <c r="H30" s="7" t="s">
        <v>69</v>
      </c>
      <c r="I30" s="9" t="s">
        <v>110</v>
      </c>
      <c r="J30" s="7" t="s">
        <v>71</v>
      </c>
      <c r="K30" s="11">
        <v>0.0</v>
      </c>
      <c r="L30" s="11">
        <v>0.0</v>
      </c>
      <c r="M30" s="7"/>
      <c r="N30" s="7"/>
      <c r="O30" s="12"/>
      <c r="P30" s="7">
        <v>520.0</v>
      </c>
      <c r="Q30" s="7" t="s">
        <v>74</v>
      </c>
      <c r="R30" s="7" t="s">
        <v>75</v>
      </c>
      <c r="S30" s="7" t="s">
        <v>76</v>
      </c>
      <c r="T30" s="7" t="s">
        <v>39</v>
      </c>
      <c r="U30" s="7" t="s">
        <v>59</v>
      </c>
      <c r="V30" s="7" t="s">
        <v>114</v>
      </c>
      <c r="W30" s="7">
        <v>2.0</v>
      </c>
      <c r="X30" s="7">
        <v>2.0</v>
      </c>
      <c r="Y30" s="7">
        <v>5.0</v>
      </c>
      <c r="Z30" s="7">
        <v>3.0</v>
      </c>
      <c r="AA30" s="7">
        <v>4.0</v>
      </c>
      <c r="AB30" s="7">
        <v>0.0</v>
      </c>
      <c r="AC30" s="13">
        <v>2.7</v>
      </c>
      <c r="AD30" s="7">
        <v>0.0</v>
      </c>
      <c r="AE30" s="7" t="s">
        <v>110</v>
      </c>
      <c r="AF30" s="14"/>
      <c r="AG30" s="15"/>
      <c r="AH30" s="14"/>
      <c r="AI30" s="14"/>
      <c r="AJ30" s="15"/>
      <c r="AK30" s="14"/>
      <c r="AL30" s="14"/>
      <c r="AM30" s="14" t="s">
        <v>114</v>
      </c>
      <c r="AN30" s="14" t="s">
        <v>83</v>
      </c>
      <c r="AO30" s="14" t="s">
        <v>84</v>
      </c>
      <c r="AP30" s="14" t="s">
        <v>85</v>
      </c>
      <c r="AQ30" s="16">
        <v>0.0</v>
      </c>
      <c r="AR30" s="14" t="s">
        <v>196</v>
      </c>
    </row>
    <row r="31" ht="15.75" customHeight="1">
      <c r="A31" s="7" t="s">
        <v>39</v>
      </c>
      <c r="B31" s="7" t="s">
        <v>44</v>
      </c>
      <c r="C31" s="7" t="s">
        <v>46</v>
      </c>
      <c r="D31" s="7" t="s">
        <v>105</v>
      </c>
      <c r="E31" s="7" t="s">
        <v>106</v>
      </c>
      <c r="F31" s="7" t="s">
        <v>108</v>
      </c>
      <c r="G31" s="7" t="s">
        <v>39</v>
      </c>
      <c r="H31" s="7" t="s">
        <v>69</v>
      </c>
      <c r="I31" s="9" t="s">
        <v>110</v>
      </c>
      <c r="J31" s="7" t="s">
        <v>71</v>
      </c>
      <c r="K31" s="11">
        <v>0.0</v>
      </c>
      <c r="L31" s="11">
        <v>0.0</v>
      </c>
      <c r="M31" s="7"/>
      <c r="N31" s="7"/>
      <c r="O31" s="12"/>
      <c r="P31" s="7">
        <v>130.0</v>
      </c>
      <c r="Q31" s="7" t="s">
        <v>121</v>
      </c>
      <c r="R31" s="7" t="s">
        <v>75</v>
      </c>
      <c r="S31" s="7" t="s">
        <v>76</v>
      </c>
      <c r="T31" s="7" t="s">
        <v>69</v>
      </c>
      <c r="U31" s="7" t="s">
        <v>90</v>
      </c>
      <c r="V31" s="7" t="s">
        <v>114</v>
      </c>
      <c r="W31" s="7">
        <v>2.0</v>
      </c>
      <c r="X31" s="7">
        <v>5.0</v>
      </c>
      <c r="Y31" s="7">
        <v>5.0</v>
      </c>
      <c r="Z31" s="7">
        <v>3.0</v>
      </c>
      <c r="AA31" s="7">
        <v>4.0</v>
      </c>
      <c r="AB31" s="7">
        <v>5.0</v>
      </c>
      <c r="AC31" s="13">
        <v>3.9</v>
      </c>
      <c r="AD31" s="7">
        <v>0.0</v>
      </c>
      <c r="AE31" s="7" t="s">
        <v>110</v>
      </c>
      <c r="AF31" s="14"/>
      <c r="AG31" s="15"/>
      <c r="AH31" s="14"/>
      <c r="AI31" s="14"/>
      <c r="AJ31" s="15"/>
      <c r="AK31" s="14"/>
      <c r="AL31" s="14"/>
      <c r="AM31" s="14" t="s">
        <v>114</v>
      </c>
      <c r="AN31" s="14" t="s">
        <v>266</v>
      </c>
      <c r="AO31" s="14" t="s">
        <v>84</v>
      </c>
      <c r="AP31" s="14" t="s">
        <v>267</v>
      </c>
      <c r="AQ31" s="16">
        <v>0.0</v>
      </c>
      <c r="AR31" s="14" t="s">
        <v>196</v>
      </c>
    </row>
    <row r="32" ht="15.75" customHeight="1">
      <c r="A32" s="7" t="s">
        <v>39</v>
      </c>
      <c r="B32" s="7" t="s">
        <v>44</v>
      </c>
      <c r="C32" s="7" t="s">
        <v>102</v>
      </c>
      <c r="D32" s="7" t="s">
        <v>103</v>
      </c>
      <c r="E32" s="7" t="s">
        <v>138</v>
      </c>
      <c r="F32" s="7" t="s">
        <v>108</v>
      </c>
      <c r="G32" s="7" t="s">
        <v>39</v>
      </c>
      <c r="H32" s="7" t="s">
        <v>69</v>
      </c>
      <c r="I32" s="9" t="s">
        <v>110</v>
      </c>
      <c r="J32" s="7" t="s">
        <v>71</v>
      </c>
      <c r="K32" s="11">
        <v>0.0</v>
      </c>
      <c r="L32" s="11">
        <v>0.0</v>
      </c>
      <c r="M32" s="7"/>
      <c r="N32" s="7"/>
      <c r="O32" s="12"/>
      <c r="P32" s="7">
        <v>300.0</v>
      </c>
      <c r="Q32" s="7" t="s">
        <v>140</v>
      </c>
      <c r="R32" s="7" t="s">
        <v>75</v>
      </c>
      <c r="S32" s="7" t="s">
        <v>142</v>
      </c>
      <c r="T32" s="7" t="s">
        <v>39</v>
      </c>
      <c r="U32" s="7" t="s">
        <v>90</v>
      </c>
      <c r="V32" s="7" t="s">
        <v>114</v>
      </c>
      <c r="W32" s="7">
        <v>2.0</v>
      </c>
      <c r="X32" s="7">
        <v>4.0</v>
      </c>
      <c r="Y32" s="7">
        <v>5.0</v>
      </c>
      <c r="Z32" s="7">
        <v>3.0</v>
      </c>
      <c r="AA32" s="7">
        <v>2.0</v>
      </c>
      <c r="AB32" s="7">
        <v>0.0</v>
      </c>
      <c r="AC32" s="13">
        <v>2.9</v>
      </c>
      <c r="AD32" s="7">
        <v>0.0</v>
      </c>
      <c r="AE32" s="7" t="s">
        <v>110</v>
      </c>
      <c r="AF32" s="14"/>
      <c r="AG32" s="15"/>
      <c r="AH32" s="14"/>
      <c r="AI32" s="14"/>
      <c r="AJ32" s="15"/>
      <c r="AK32" s="14"/>
      <c r="AL32" s="14"/>
      <c r="AM32" s="14" t="s">
        <v>114</v>
      </c>
      <c r="AN32" s="14" t="s">
        <v>145</v>
      </c>
      <c r="AO32" s="14" t="s">
        <v>84</v>
      </c>
      <c r="AP32" s="14" t="s">
        <v>146</v>
      </c>
      <c r="AQ32" s="16">
        <v>0.0</v>
      </c>
      <c r="AR32" s="14" t="s">
        <v>196</v>
      </c>
    </row>
    <row r="33" ht="15.75" customHeight="1">
      <c r="A33" s="7" t="s">
        <v>39</v>
      </c>
      <c r="B33" s="7" t="s">
        <v>44</v>
      </c>
      <c r="C33" s="7" t="s">
        <v>102</v>
      </c>
      <c r="D33" s="7" t="s">
        <v>218</v>
      </c>
      <c r="E33" s="7" t="s">
        <v>271</v>
      </c>
      <c r="F33" s="7" t="s">
        <v>108</v>
      </c>
      <c r="G33" s="7" t="s">
        <v>39</v>
      </c>
      <c r="H33" s="7" t="s">
        <v>69</v>
      </c>
      <c r="I33" s="9" t="s">
        <v>110</v>
      </c>
      <c r="J33" s="7" t="s">
        <v>71</v>
      </c>
      <c r="K33" s="11">
        <v>0.0</v>
      </c>
      <c r="L33" s="11">
        <v>0.0</v>
      </c>
      <c r="M33" s="7"/>
      <c r="N33" s="7"/>
      <c r="O33" s="12"/>
      <c r="P33" s="7">
        <v>570.0</v>
      </c>
      <c r="Q33" s="7" t="s">
        <v>74</v>
      </c>
      <c r="R33" s="7" t="s">
        <v>75</v>
      </c>
      <c r="S33" s="7" t="s">
        <v>142</v>
      </c>
      <c r="T33" s="7" t="s">
        <v>39</v>
      </c>
      <c r="U33" s="7" t="s">
        <v>90</v>
      </c>
      <c r="V33" s="7" t="s">
        <v>114</v>
      </c>
      <c r="W33" s="7">
        <v>2.0</v>
      </c>
      <c r="X33" s="7">
        <v>2.0</v>
      </c>
      <c r="Y33" s="7">
        <v>5.0</v>
      </c>
      <c r="Z33" s="7">
        <v>3.0</v>
      </c>
      <c r="AA33" s="7">
        <v>2.0</v>
      </c>
      <c r="AB33" s="7">
        <v>0.0</v>
      </c>
      <c r="AC33" s="13">
        <v>2.5</v>
      </c>
      <c r="AD33" s="7">
        <v>0.0</v>
      </c>
      <c r="AE33" s="7" t="s">
        <v>110</v>
      </c>
      <c r="AF33" s="14"/>
      <c r="AG33" s="15"/>
      <c r="AH33" s="14"/>
      <c r="AI33" s="14"/>
      <c r="AJ33" s="15"/>
      <c r="AK33" s="14"/>
      <c r="AL33" s="14"/>
      <c r="AM33" s="14" t="s">
        <v>114</v>
      </c>
      <c r="AN33" s="14" t="s">
        <v>272</v>
      </c>
      <c r="AO33" s="14" t="s">
        <v>84</v>
      </c>
      <c r="AP33" s="14" t="s">
        <v>273</v>
      </c>
      <c r="AQ33" s="16">
        <v>0.0</v>
      </c>
      <c r="AR33" s="14" t="s">
        <v>196</v>
      </c>
    </row>
    <row r="34" ht="15.75" customHeight="1">
      <c r="A34" s="7" t="s">
        <v>39</v>
      </c>
      <c r="B34" s="7" t="s">
        <v>44</v>
      </c>
      <c r="C34" s="7" t="s">
        <v>102</v>
      </c>
      <c r="D34" s="7" t="s">
        <v>228</v>
      </c>
      <c r="E34" s="7" t="s">
        <v>271</v>
      </c>
      <c r="F34" s="7" t="s">
        <v>108</v>
      </c>
      <c r="G34" s="7" t="s">
        <v>39</v>
      </c>
      <c r="H34" s="7" t="s">
        <v>69</v>
      </c>
      <c r="I34" s="9" t="s">
        <v>110</v>
      </c>
      <c r="J34" s="7" t="s">
        <v>71</v>
      </c>
      <c r="K34" s="11">
        <v>0.0</v>
      </c>
      <c r="L34" s="11">
        <v>0.0</v>
      </c>
      <c r="M34" s="7"/>
      <c r="N34" s="7"/>
      <c r="O34" s="12"/>
      <c r="P34" s="7">
        <v>570.0</v>
      </c>
      <c r="Q34" s="7" t="s">
        <v>74</v>
      </c>
      <c r="R34" s="7" t="s">
        <v>75</v>
      </c>
      <c r="S34" s="7" t="s">
        <v>142</v>
      </c>
      <c r="T34" s="7" t="s">
        <v>39</v>
      </c>
      <c r="U34" s="7" t="s">
        <v>90</v>
      </c>
      <c r="V34" s="7" t="s">
        <v>114</v>
      </c>
      <c r="W34" s="7">
        <v>2.0</v>
      </c>
      <c r="X34" s="7">
        <v>2.0</v>
      </c>
      <c r="Y34" s="7">
        <v>5.0</v>
      </c>
      <c r="Z34" s="7">
        <v>3.0</v>
      </c>
      <c r="AA34" s="7">
        <v>2.0</v>
      </c>
      <c r="AB34" s="7">
        <v>0.0</v>
      </c>
      <c r="AC34" s="13">
        <v>2.5</v>
      </c>
      <c r="AD34" s="7">
        <v>0.0</v>
      </c>
      <c r="AE34" s="7" t="s">
        <v>110</v>
      </c>
      <c r="AF34" s="14"/>
      <c r="AG34" s="15"/>
      <c r="AH34" s="14"/>
      <c r="AI34" s="14"/>
      <c r="AJ34" s="15"/>
      <c r="AK34" s="14"/>
      <c r="AL34" s="14"/>
      <c r="AM34" s="14" t="s">
        <v>114</v>
      </c>
      <c r="AN34" s="14" t="s">
        <v>274</v>
      </c>
      <c r="AO34" s="14" t="s">
        <v>84</v>
      </c>
      <c r="AP34" s="14" t="s">
        <v>275</v>
      </c>
      <c r="AQ34" s="16">
        <v>0.0</v>
      </c>
      <c r="AR34" s="14" t="s">
        <v>196</v>
      </c>
    </row>
    <row r="35" ht="15.75" customHeight="1">
      <c r="A35" s="7" t="s">
        <v>39</v>
      </c>
      <c r="B35" s="7" t="s">
        <v>44</v>
      </c>
      <c r="C35" s="7" t="s">
        <v>102</v>
      </c>
      <c r="D35" s="7" t="s">
        <v>241</v>
      </c>
      <c r="E35" s="7" t="s">
        <v>164</v>
      </c>
      <c r="F35" s="7" t="s">
        <v>108</v>
      </c>
      <c r="G35" s="7" t="s">
        <v>39</v>
      </c>
      <c r="H35" s="7" t="s">
        <v>69</v>
      </c>
      <c r="I35" s="9" t="s">
        <v>110</v>
      </c>
      <c r="J35" s="7" t="s">
        <v>71</v>
      </c>
      <c r="K35" s="11">
        <v>0.0</v>
      </c>
      <c r="L35" s="11">
        <v>0.0</v>
      </c>
      <c r="M35" s="7"/>
      <c r="N35" s="7"/>
      <c r="O35" s="12"/>
      <c r="P35" s="7">
        <v>490.0</v>
      </c>
      <c r="Q35" s="7" t="s">
        <v>74</v>
      </c>
      <c r="R35" s="7" t="s">
        <v>75</v>
      </c>
      <c r="S35" s="7" t="s">
        <v>142</v>
      </c>
      <c r="T35" s="7" t="s">
        <v>39</v>
      </c>
      <c r="U35" s="7" t="s">
        <v>90</v>
      </c>
      <c r="V35" s="7" t="s">
        <v>114</v>
      </c>
      <c r="W35" s="7">
        <v>2.0</v>
      </c>
      <c r="X35" s="7">
        <v>2.0</v>
      </c>
      <c r="Y35" s="7">
        <v>5.0</v>
      </c>
      <c r="Z35" s="7">
        <v>3.0</v>
      </c>
      <c r="AA35" s="7">
        <v>2.0</v>
      </c>
      <c r="AB35" s="7">
        <v>0.0</v>
      </c>
      <c r="AC35" s="13">
        <v>2.5</v>
      </c>
      <c r="AD35" s="7">
        <v>0.0</v>
      </c>
      <c r="AE35" s="7" t="s">
        <v>110</v>
      </c>
      <c r="AF35" s="14"/>
      <c r="AG35" s="15"/>
      <c r="AH35" s="14"/>
      <c r="AI35" s="14"/>
      <c r="AJ35" s="15"/>
      <c r="AK35" s="14"/>
      <c r="AL35" s="14"/>
      <c r="AM35" s="14" t="s">
        <v>114</v>
      </c>
      <c r="AN35" s="14" t="s">
        <v>278</v>
      </c>
      <c r="AO35" s="14" t="s">
        <v>84</v>
      </c>
      <c r="AP35" s="14" t="s">
        <v>279</v>
      </c>
      <c r="AQ35" s="16">
        <v>0.0</v>
      </c>
      <c r="AR35" s="14" t="s">
        <v>196</v>
      </c>
    </row>
    <row r="36" ht="15.75" customHeight="1">
      <c r="A36" s="7" t="s">
        <v>39</v>
      </c>
      <c r="B36" s="7" t="s">
        <v>44</v>
      </c>
      <c r="C36" s="7" t="s">
        <v>102</v>
      </c>
      <c r="D36" s="7" t="s">
        <v>118</v>
      </c>
      <c r="E36" s="7" t="s">
        <v>150</v>
      </c>
      <c r="F36" s="7" t="s">
        <v>108</v>
      </c>
      <c r="G36" s="7" t="s">
        <v>39</v>
      </c>
      <c r="H36" s="7" t="s">
        <v>69</v>
      </c>
      <c r="I36" s="9" t="s">
        <v>110</v>
      </c>
      <c r="J36" s="7" t="s">
        <v>71</v>
      </c>
      <c r="K36" s="11">
        <v>0.0</v>
      </c>
      <c r="L36" s="11">
        <v>0.0</v>
      </c>
      <c r="M36" s="7"/>
      <c r="N36" s="7"/>
      <c r="O36" s="12"/>
      <c r="P36" s="7">
        <v>700.0</v>
      </c>
      <c r="Q36" s="7" t="s">
        <v>153</v>
      </c>
      <c r="R36" s="7" t="s">
        <v>75</v>
      </c>
      <c r="S36" s="7" t="s">
        <v>142</v>
      </c>
      <c r="T36" s="7" t="s">
        <v>39</v>
      </c>
      <c r="U36" s="7" t="s">
        <v>90</v>
      </c>
      <c r="V36" s="7" t="s">
        <v>114</v>
      </c>
      <c r="W36" s="7">
        <v>2.0</v>
      </c>
      <c r="X36" s="7">
        <v>1.0</v>
      </c>
      <c r="Y36" s="7">
        <v>5.0</v>
      </c>
      <c r="Z36" s="7">
        <v>3.0</v>
      </c>
      <c r="AA36" s="7">
        <v>2.0</v>
      </c>
      <c r="AB36" s="7">
        <v>0.0</v>
      </c>
      <c r="AC36" s="13">
        <v>2.4</v>
      </c>
      <c r="AD36" s="7">
        <v>0.0</v>
      </c>
      <c r="AE36" s="7" t="s">
        <v>110</v>
      </c>
      <c r="AF36" s="14"/>
      <c r="AG36" s="15"/>
      <c r="AH36" s="14"/>
      <c r="AI36" s="14"/>
      <c r="AJ36" s="15"/>
      <c r="AK36" s="14"/>
      <c r="AL36" s="14"/>
      <c r="AM36" s="14" t="s">
        <v>114</v>
      </c>
      <c r="AN36" s="14" t="s">
        <v>156</v>
      </c>
      <c r="AO36" s="14" t="s">
        <v>84</v>
      </c>
      <c r="AP36" s="14" t="s">
        <v>157</v>
      </c>
      <c r="AQ36" s="16">
        <v>0.0</v>
      </c>
      <c r="AR36" s="14" t="s">
        <v>196</v>
      </c>
    </row>
    <row r="37" ht="15.75" customHeight="1">
      <c r="A37" s="7" t="s">
        <v>39</v>
      </c>
      <c r="B37" s="7" t="s">
        <v>44</v>
      </c>
      <c r="C37" s="7" t="s">
        <v>102</v>
      </c>
      <c r="D37" s="7" t="s">
        <v>126</v>
      </c>
      <c r="E37" s="7" t="s">
        <v>150</v>
      </c>
      <c r="F37" s="7" t="s">
        <v>108</v>
      </c>
      <c r="G37" s="7" t="s">
        <v>39</v>
      </c>
      <c r="H37" s="7" t="s">
        <v>69</v>
      </c>
      <c r="I37" s="9" t="s">
        <v>110</v>
      </c>
      <c r="J37" s="7" t="s">
        <v>71</v>
      </c>
      <c r="K37" s="11">
        <v>0.0</v>
      </c>
      <c r="L37" s="11">
        <v>0.0</v>
      </c>
      <c r="M37" s="7"/>
      <c r="N37" s="7"/>
      <c r="O37" s="12"/>
      <c r="P37" s="7">
        <v>700.0</v>
      </c>
      <c r="Q37" s="7" t="s">
        <v>153</v>
      </c>
      <c r="R37" s="7" t="s">
        <v>75</v>
      </c>
      <c r="S37" s="7" t="s">
        <v>142</v>
      </c>
      <c r="T37" s="7" t="s">
        <v>39</v>
      </c>
      <c r="U37" s="7" t="s">
        <v>90</v>
      </c>
      <c r="V37" s="7" t="s">
        <v>114</v>
      </c>
      <c r="W37" s="7">
        <v>2.0</v>
      </c>
      <c r="X37" s="7">
        <v>1.0</v>
      </c>
      <c r="Y37" s="7">
        <v>5.0</v>
      </c>
      <c r="Z37" s="7">
        <v>3.0</v>
      </c>
      <c r="AA37" s="7">
        <v>2.0</v>
      </c>
      <c r="AB37" s="7">
        <v>0.0</v>
      </c>
      <c r="AC37" s="13">
        <v>2.4</v>
      </c>
      <c r="AD37" s="7">
        <v>0.0</v>
      </c>
      <c r="AE37" s="7" t="s">
        <v>110</v>
      </c>
      <c r="AF37" s="14"/>
      <c r="AG37" s="15"/>
      <c r="AH37" s="14"/>
      <c r="AI37" s="14"/>
      <c r="AJ37" s="15"/>
      <c r="AK37" s="14"/>
      <c r="AL37" s="14"/>
      <c r="AM37" s="14" t="s">
        <v>114</v>
      </c>
      <c r="AN37" s="14" t="s">
        <v>161</v>
      </c>
      <c r="AO37" s="14" t="s">
        <v>84</v>
      </c>
      <c r="AP37" s="14" t="s">
        <v>162</v>
      </c>
      <c r="AQ37" s="16">
        <v>0.0</v>
      </c>
      <c r="AR37" s="14" t="s">
        <v>196</v>
      </c>
    </row>
    <row r="38" ht="15.75" customHeight="1">
      <c r="A38" s="7" t="s">
        <v>39</v>
      </c>
      <c r="B38" s="7" t="s">
        <v>44</v>
      </c>
      <c r="C38" s="7" t="s">
        <v>102</v>
      </c>
      <c r="D38" s="7" t="s">
        <v>132</v>
      </c>
      <c r="E38" s="7" t="s">
        <v>164</v>
      </c>
      <c r="F38" s="7" t="s">
        <v>108</v>
      </c>
      <c r="G38" s="7" t="s">
        <v>39</v>
      </c>
      <c r="H38" s="7" t="s">
        <v>69</v>
      </c>
      <c r="I38" s="9" t="s">
        <v>110</v>
      </c>
      <c r="J38" s="7" t="s">
        <v>71</v>
      </c>
      <c r="K38" s="11">
        <v>0.0</v>
      </c>
      <c r="L38" s="11">
        <v>0.0</v>
      </c>
      <c r="M38" s="7"/>
      <c r="N38" s="7"/>
      <c r="O38" s="12"/>
      <c r="P38" s="7">
        <v>490.0</v>
      </c>
      <c r="Q38" s="7" t="s">
        <v>74</v>
      </c>
      <c r="R38" s="7" t="s">
        <v>75</v>
      </c>
      <c r="S38" s="7" t="s">
        <v>142</v>
      </c>
      <c r="T38" s="7" t="s">
        <v>39</v>
      </c>
      <c r="U38" s="7" t="s">
        <v>90</v>
      </c>
      <c r="V38" s="7" t="s">
        <v>114</v>
      </c>
      <c r="W38" s="7">
        <v>2.0</v>
      </c>
      <c r="X38" s="7">
        <v>2.0</v>
      </c>
      <c r="Y38" s="7">
        <v>5.0</v>
      </c>
      <c r="Z38" s="7">
        <v>3.0</v>
      </c>
      <c r="AA38" s="7">
        <v>2.0</v>
      </c>
      <c r="AB38" s="7">
        <v>0.0</v>
      </c>
      <c r="AC38" s="13">
        <v>2.5</v>
      </c>
      <c r="AD38" s="7">
        <v>0.0</v>
      </c>
      <c r="AE38" s="7" t="s">
        <v>110</v>
      </c>
      <c r="AF38" s="14"/>
      <c r="AG38" s="15"/>
      <c r="AH38" s="14"/>
      <c r="AI38" s="14"/>
      <c r="AJ38" s="15"/>
      <c r="AK38" s="14"/>
      <c r="AL38" s="14"/>
      <c r="AM38" s="14" t="s">
        <v>114</v>
      </c>
      <c r="AN38" s="14" t="s">
        <v>171</v>
      </c>
      <c r="AO38" s="14" t="s">
        <v>84</v>
      </c>
      <c r="AP38" s="14" t="s">
        <v>172</v>
      </c>
      <c r="AQ38" s="16">
        <v>0.0</v>
      </c>
      <c r="AR38" s="14" t="s">
        <v>196</v>
      </c>
    </row>
    <row r="39" ht="15.75" customHeight="1">
      <c r="A39" s="7" t="s">
        <v>39</v>
      </c>
      <c r="B39" s="7" t="s">
        <v>44</v>
      </c>
      <c r="C39" s="7" t="s">
        <v>102</v>
      </c>
      <c r="D39" s="7" t="s">
        <v>251</v>
      </c>
      <c r="E39" s="7" t="s">
        <v>186</v>
      </c>
      <c r="F39" s="7" t="s">
        <v>108</v>
      </c>
      <c r="G39" s="7" t="s">
        <v>39</v>
      </c>
      <c r="H39" s="7" t="s">
        <v>69</v>
      </c>
      <c r="I39" s="9" t="s">
        <v>110</v>
      </c>
      <c r="J39" s="7" t="s">
        <v>71</v>
      </c>
      <c r="K39" s="11">
        <v>0.0</v>
      </c>
      <c r="L39" s="11">
        <v>0.0</v>
      </c>
      <c r="M39" s="7"/>
      <c r="N39" s="7"/>
      <c r="O39" s="12"/>
      <c r="P39" s="7">
        <v>360.0</v>
      </c>
      <c r="Q39" s="7" t="s">
        <v>140</v>
      </c>
      <c r="R39" s="7" t="s">
        <v>75</v>
      </c>
      <c r="S39" s="7" t="s">
        <v>142</v>
      </c>
      <c r="T39" s="7" t="s">
        <v>39</v>
      </c>
      <c r="U39" s="7" t="s">
        <v>90</v>
      </c>
      <c r="V39" s="7" t="s">
        <v>114</v>
      </c>
      <c r="W39" s="7">
        <v>2.0</v>
      </c>
      <c r="X39" s="7">
        <v>3.0</v>
      </c>
      <c r="Y39" s="7">
        <v>5.0</v>
      </c>
      <c r="Z39" s="7">
        <v>3.0</v>
      </c>
      <c r="AA39" s="7">
        <v>2.0</v>
      </c>
      <c r="AB39" s="7">
        <v>0.0</v>
      </c>
      <c r="AC39" s="13">
        <v>2.7</v>
      </c>
      <c r="AD39" s="7">
        <v>0.0</v>
      </c>
      <c r="AE39" s="7" t="s">
        <v>110</v>
      </c>
      <c r="AF39" s="14"/>
      <c r="AG39" s="15"/>
      <c r="AH39" s="14"/>
      <c r="AI39" s="14"/>
      <c r="AJ39" s="15"/>
      <c r="AK39" s="14"/>
      <c r="AL39" s="14"/>
      <c r="AM39" s="14" t="s">
        <v>114</v>
      </c>
      <c r="AN39" s="14" t="s">
        <v>287</v>
      </c>
      <c r="AO39" s="14" t="s">
        <v>84</v>
      </c>
      <c r="AP39" s="14" t="s">
        <v>288</v>
      </c>
      <c r="AQ39" s="16">
        <v>0.0</v>
      </c>
      <c r="AR39" s="14" t="s">
        <v>196</v>
      </c>
    </row>
    <row r="40" ht="15.75" customHeight="1">
      <c r="A40" s="7" t="s">
        <v>39</v>
      </c>
      <c r="B40" s="7" t="s">
        <v>44</v>
      </c>
      <c r="C40" s="7" t="s">
        <v>102</v>
      </c>
      <c r="D40" s="7" t="s">
        <v>264</v>
      </c>
      <c r="E40" s="7" t="s">
        <v>181</v>
      </c>
      <c r="F40" s="7" t="s">
        <v>108</v>
      </c>
      <c r="G40" s="7" t="s">
        <v>39</v>
      </c>
      <c r="H40" s="7" t="s">
        <v>69</v>
      </c>
      <c r="I40" s="9" t="s">
        <v>110</v>
      </c>
      <c r="J40" s="7" t="s">
        <v>71</v>
      </c>
      <c r="K40" s="11">
        <v>0.0</v>
      </c>
      <c r="L40" s="11">
        <v>0.0</v>
      </c>
      <c r="M40" s="7"/>
      <c r="N40" s="7"/>
      <c r="O40" s="12"/>
      <c r="P40" s="7">
        <v>520.0</v>
      </c>
      <c r="Q40" s="7" t="s">
        <v>74</v>
      </c>
      <c r="R40" s="7" t="s">
        <v>75</v>
      </c>
      <c r="S40" s="7" t="s">
        <v>142</v>
      </c>
      <c r="T40" s="7" t="s">
        <v>39</v>
      </c>
      <c r="U40" s="7" t="s">
        <v>90</v>
      </c>
      <c r="V40" s="7" t="s">
        <v>114</v>
      </c>
      <c r="W40" s="7">
        <v>2.0</v>
      </c>
      <c r="X40" s="7">
        <v>2.0</v>
      </c>
      <c r="Y40" s="7">
        <v>5.0</v>
      </c>
      <c r="Z40" s="7">
        <v>3.0</v>
      </c>
      <c r="AA40" s="7">
        <v>2.0</v>
      </c>
      <c r="AB40" s="7">
        <v>0.0</v>
      </c>
      <c r="AC40" s="13">
        <v>2.5</v>
      </c>
      <c r="AD40" s="7">
        <v>0.0</v>
      </c>
      <c r="AE40" s="7" t="s">
        <v>110</v>
      </c>
      <c r="AF40" s="14"/>
      <c r="AG40" s="15"/>
      <c r="AH40" s="14"/>
      <c r="AI40" s="14"/>
      <c r="AJ40" s="15"/>
      <c r="AK40" s="14"/>
      <c r="AL40" s="14"/>
      <c r="AM40" s="14" t="s">
        <v>114</v>
      </c>
      <c r="AN40" s="14" t="s">
        <v>290</v>
      </c>
      <c r="AO40" s="14" t="s">
        <v>84</v>
      </c>
      <c r="AP40" s="14" t="s">
        <v>291</v>
      </c>
      <c r="AQ40" s="16">
        <v>0.0</v>
      </c>
      <c r="AR40" s="14" t="s">
        <v>196</v>
      </c>
    </row>
    <row r="41" ht="15.75" customHeight="1">
      <c r="A41" s="7" t="s">
        <v>39</v>
      </c>
      <c r="B41" s="7" t="s">
        <v>44</v>
      </c>
      <c r="C41" s="7" t="s">
        <v>102</v>
      </c>
      <c r="D41" s="7" t="s">
        <v>253</v>
      </c>
      <c r="E41" s="7" t="s">
        <v>68</v>
      </c>
      <c r="F41" s="7" t="s">
        <v>108</v>
      </c>
      <c r="G41" s="7" t="s">
        <v>39</v>
      </c>
      <c r="H41" s="7" t="s">
        <v>69</v>
      </c>
      <c r="I41" s="9" t="s">
        <v>110</v>
      </c>
      <c r="J41" s="7" t="s">
        <v>71</v>
      </c>
      <c r="K41" s="11">
        <v>0.0</v>
      </c>
      <c r="L41" s="11">
        <v>0.0</v>
      </c>
      <c r="M41" s="7"/>
      <c r="N41" s="7"/>
      <c r="O41" s="12"/>
      <c r="P41" s="7">
        <v>520.0</v>
      </c>
      <c r="Q41" s="7" t="s">
        <v>74</v>
      </c>
      <c r="R41" s="7" t="s">
        <v>75</v>
      </c>
      <c r="S41" s="7" t="s">
        <v>76</v>
      </c>
      <c r="T41" s="7" t="s">
        <v>39</v>
      </c>
      <c r="U41" s="7" t="s">
        <v>59</v>
      </c>
      <c r="V41" s="7" t="s">
        <v>114</v>
      </c>
      <c r="W41" s="7">
        <v>2.0</v>
      </c>
      <c r="X41" s="7">
        <v>2.0</v>
      </c>
      <c r="Y41" s="7">
        <v>5.0</v>
      </c>
      <c r="Z41" s="7">
        <v>3.0</v>
      </c>
      <c r="AA41" s="7">
        <v>4.0</v>
      </c>
      <c r="AB41" s="7">
        <v>0.0</v>
      </c>
      <c r="AC41" s="13">
        <v>2.7</v>
      </c>
      <c r="AD41" s="7">
        <v>0.0</v>
      </c>
      <c r="AE41" s="7" t="s">
        <v>110</v>
      </c>
      <c r="AF41" s="14"/>
      <c r="AG41" s="15"/>
      <c r="AH41" s="14"/>
      <c r="AI41" s="14"/>
      <c r="AJ41" s="15"/>
      <c r="AK41" s="14"/>
      <c r="AL41" s="14"/>
      <c r="AM41" s="14" t="s">
        <v>114</v>
      </c>
      <c r="AN41" s="14" t="s">
        <v>294</v>
      </c>
      <c r="AO41" s="14" t="s">
        <v>84</v>
      </c>
      <c r="AP41" s="14" t="s">
        <v>295</v>
      </c>
      <c r="AQ41" s="16">
        <v>0.0</v>
      </c>
      <c r="AR41" s="14" t="s">
        <v>196</v>
      </c>
    </row>
    <row r="42" ht="15.75" customHeight="1">
      <c r="A42" s="7" t="s">
        <v>39</v>
      </c>
      <c r="B42" s="7" t="s">
        <v>44</v>
      </c>
      <c r="C42" s="7" t="s">
        <v>102</v>
      </c>
      <c r="D42" s="7" t="s">
        <v>268</v>
      </c>
      <c r="E42" s="7" t="s">
        <v>271</v>
      </c>
      <c r="F42" s="7" t="s">
        <v>108</v>
      </c>
      <c r="G42" s="7" t="s">
        <v>39</v>
      </c>
      <c r="H42" s="7" t="s">
        <v>69</v>
      </c>
      <c r="I42" s="9" t="s">
        <v>110</v>
      </c>
      <c r="J42" s="7" t="s">
        <v>71</v>
      </c>
      <c r="K42" s="11">
        <v>0.0</v>
      </c>
      <c r="L42" s="11">
        <v>0.0</v>
      </c>
      <c r="M42" s="7"/>
      <c r="N42" s="7"/>
      <c r="O42" s="12"/>
      <c r="P42" s="7">
        <v>570.0</v>
      </c>
      <c r="Q42" s="7" t="s">
        <v>74</v>
      </c>
      <c r="R42" s="7" t="s">
        <v>75</v>
      </c>
      <c r="S42" s="7" t="s">
        <v>142</v>
      </c>
      <c r="T42" s="7" t="s">
        <v>39</v>
      </c>
      <c r="U42" s="7" t="s">
        <v>90</v>
      </c>
      <c r="V42" s="7" t="s">
        <v>114</v>
      </c>
      <c r="W42" s="7">
        <v>2.0</v>
      </c>
      <c r="X42" s="7">
        <v>2.0</v>
      </c>
      <c r="Y42" s="7">
        <v>5.0</v>
      </c>
      <c r="Z42" s="7">
        <v>3.0</v>
      </c>
      <c r="AA42" s="7">
        <v>2.0</v>
      </c>
      <c r="AB42" s="7">
        <v>0.0</v>
      </c>
      <c r="AC42" s="13">
        <v>2.5</v>
      </c>
      <c r="AD42" s="7">
        <v>0.0</v>
      </c>
      <c r="AE42" s="7" t="s">
        <v>110</v>
      </c>
      <c r="AF42" s="14"/>
      <c r="AG42" s="15"/>
      <c r="AH42" s="14"/>
      <c r="AI42" s="14"/>
      <c r="AJ42" s="15"/>
      <c r="AK42" s="14"/>
      <c r="AL42" s="14"/>
      <c r="AM42" s="14" t="s">
        <v>114</v>
      </c>
      <c r="AN42" s="14" t="s">
        <v>298</v>
      </c>
      <c r="AO42" s="14" t="s">
        <v>84</v>
      </c>
      <c r="AP42" s="14" t="s">
        <v>299</v>
      </c>
      <c r="AQ42" s="16">
        <v>0.0</v>
      </c>
      <c r="AR42" s="14" t="s">
        <v>196</v>
      </c>
    </row>
    <row r="43" ht="15.75" customHeight="1">
      <c r="A43" s="7" t="s">
        <v>39</v>
      </c>
      <c r="B43" s="7" t="s">
        <v>44</v>
      </c>
      <c r="C43" s="7" t="s">
        <v>102</v>
      </c>
      <c r="D43" s="7" t="s">
        <v>149</v>
      </c>
      <c r="E43" s="7" t="s">
        <v>181</v>
      </c>
      <c r="F43" s="7" t="s">
        <v>108</v>
      </c>
      <c r="G43" s="7" t="s">
        <v>39</v>
      </c>
      <c r="H43" s="7" t="s">
        <v>69</v>
      </c>
      <c r="I43" s="9" t="s">
        <v>110</v>
      </c>
      <c r="J43" s="7" t="s">
        <v>71</v>
      </c>
      <c r="K43" s="11">
        <v>0.0</v>
      </c>
      <c r="L43" s="11">
        <v>0.0</v>
      </c>
      <c r="M43" s="7"/>
      <c r="N43" s="7"/>
      <c r="O43" s="12"/>
      <c r="P43" s="7">
        <v>520.0</v>
      </c>
      <c r="Q43" s="7" t="s">
        <v>74</v>
      </c>
      <c r="R43" s="7" t="s">
        <v>75</v>
      </c>
      <c r="S43" s="7" t="s">
        <v>142</v>
      </c>
      <c r="T43" s="7" t="s">
        <v>39</v>
      </c>
      <c r="U43" s="7" t="s">
        <v>90</v>
      </c>
      <c r="V43" s="7" t="s">
        <v>114</v>
      </c>
      <c r="W43" s="7">
        <v>2.0</v>
      </c>
      <c r="X43" s="7">
        <v>2.0</v>
      </c>
      <c r="Y43" s="7">
        <v>5.0</v>
      </c>
      <c r="Z43" s="7">
        <v>3.0</v>
      </c>
      <c r="AA43" s="7">
        <v>2.0</v>
      </c>
      <c r="AB43" s="7">
        <v>0.0</v>
      </c>
      <c r="AC43" s="13">
        <v>2.5</v>
      </c>
      <c r="AD43" s="7">
        <v>0.0</v>
      </c>
      <c r="AE43" s="7" t="s">
        <v>110</v>
      </c>
      <c r="AF43" s="14"/>
      <c r="AG43" s="15"/>
      <c r="AH43" s="14"/>
      <c r="AI43" s="14"/>
      <c r="AJ43" s="15"/>
      <c r="AK43" s="14"/>
      <c r="AL43" s="14"/>
      <c r="AM43" s="14" t="s">
        <v>114</v>
      </c>
      <c r="AN43" s="14" t="s">
        <v>183</v>
      </c>
      <c r="AO43" s="14" t="s">
        <v>84</v>
      </c>
      <c r="AP43" s="14" t="s">
        <v>185</v>
      </c>
      <c r="AQ43" s="16">
        <v>0.0</v>
      </c>
      <c r="AR43" s="14" t="s">
        <v>196</v>
      </c>
    </row>
    <row r="44" ht="15.75" customHeight="1">
      <c r="A44" s="7" t="s">
        <v>39</v>
      </c>
      <c r="B44" s="7" t="s">
        <v>44</v>
      </c>
      <c r="C44" s="7" t="s">
        <v>102</v>
      </c>
      <c r="D44" s="7" t="s">
        <v>159</v>
      </c>
      <c r="E44" s="7" t="s">
        <v>181</v>
      </c>
      <c r="F44" s="7" t="s">
        <v>108</v>
      </c>
      <c r="G44" s="7" t="s">
        <v>39</v>
      </c>
      <c r="H44" s="7" t="s">
        <v>69</v>
      </c>
      <c r="I44" s="9" t="s">
        <v>110</v>
      </c>
      <c r="J44" s="7" t="s">
        <v>71</v>
      </c>
      <c r="K44" s="11">
        <v>0.0</v>
      </c>
      <c r="L44" s="11">
        <v>0.0</v>
      </c>
      <c r="M44" s="7"/>
      <c r="N44" s="7"/>
      <c r="O44" s="12"/>
      <c r="P44" s="7">
        <v>520.0</v>
      </c>
      <c r="Q44" s="7" t="s">
        <v>74</v>
      </c>
      <c r="R44" s="7" t="s">
        <v>75</v>
      </c>
      <c r="S44" s="7" t="s">
        <v>142</v>
      </c>
      <c r="T44" s="7" t="s">
        <v>39</v>
      </c>
      <c r="U44" s="7" t="s">
        <v>90</v>
      </c>
      <c r="V44" s="7" t="s">
        <v>114</v>
      </c>
      <c r="W44" s="7">
        <v>2.0</v>
      </c>
      <c r="X44" s="7">
        <v>2.0</v>
      </c>
      <c r="Y44" s="7">
        <v>5.0</v>
      </c>
      <c r="Z44" s="7">
        <v>3.0</v>
      </c>
      <c r="AA44" s="7">
        <v>2.0</v>
      </c>
      <c r="AB44" s="7">
        <v>0.0</v>
      </c>
      <c r="AC44" s="13">
        <v>2.5</v>
      </c>
      <c r="AD44" s="7">
        <v>0.0</v>
      </c>
      <c r="AE44" s="7" t="s">
        <v>110</v>
      </c>
      <c r="AF44" s="14"/>
      <c r="AG44" s="15"/>
      <c r="AH44" s="14"/>
      <c r="AI44" s="14"/>
      <c r="AJ44" s="15"/>
      <c r="AK44" s="14"/>
      <c r="AL44" s="14"/>
      <c r="AM44" s="14" t="s">
        <v>114</v>
      </c>
      <c r="AN44" s="14" t="s">
        <v>191</v>
      </c>
      <c r="AO44" s="14" t="s">
        <v>84</v>
      </c>
      <c r="AP44" s="14" t="s">
        <v>192</v>
      </c>
      <c r="AQ44" s="16">
        <v>0.0</v>
      </c>
      <c r="AR44" s="14" t="s">
        <v>196</v>
      </c>
    </row>
    <row r="45" ht="15.75" customHeight="1">
      <c r="A45" s="7" t="s">
        <v>39</v>
      </c>
      <c r="B45" s="7" t="s">
        <v>44</v>
      </c>
      <c r="C45" s="7" t="s">
        <v>102</v>
      </c>
      <c r="D45" s="7" t="s">
        <v>133</v>
      </c>
      <c r="E45" s="7" t="s">
        <v>106</v>
      </c>
      <c r="F45" s="7" t="s">
        <v>108</v>
      </c>
      <c r="G45" s="7" t="s">
        <v>39</v>
      </c>
      <c r="H45" s="7" t="s">
        <v>69</v>
      </c>
      <c r="I45" s="9" t="s">
        <v>110</v>
      </c>
      <c r="J45" s="7" t="s">
        <v>71</v>
      </c>
      <c r="K45" s="11">
        <v>0.0</v>
      </c>
      <c r="L45" s="11">
        <v>0.0</v>
      </c>
      <c r="M45" s="7"/>
      <c r="N45" s="7"/>
      <c r="O45" s="12"/>
      <c r="P45" s="7">
        <v>130.0</v>
      </c>
      <c r="Q45" s="7" t="s">
        <v>121</v>
      </c>
      <c r="R45" s="7" t="s">
        <v>75</v>
      </c>
      <c r="S45" s="7" t="s">
        <v>76</v>
      </c>
      <c r="T45" s="7" t="s">
        <v>39</v>
      </c>
      <c r="U45" s="7" t="s">
        <v>90</v>
      </c>
      <c r="V45" s="7" t="s">
        <v>114</v>
      </c>
      <c r="W45" s="7">
        <v>2.0</v>
      </c>
      <c r="X45" s="7">
        <v>5.0</v>
      </c>
      <c r="Y45" s="7">
        <v>5.0</v>
      </c>
      <c r="Z45" s="7">
        <v>3.0</v>
      </c>
      <c r="AA45" s="7">
        <v>4.0</v>
      </c>
      <c r="AB45" s="7">
        <v>0.0</v>
      </c>
      <c r="AC45" s="13">
        <v>3.2</v>
      </c>
      <c r="AD45" s="7">
        <v>0.0</v>
      </c>
      <c r="AE45" s="7" t="s">
        <v>110</v>
      </c>
      <c r="AF45" s="14"/>
      <c r="AG45" s="15"/>
      <c r="AH45" s="14"/>
      <c r="AI45" s="14"/>
      <c r="AJ45" s="15"/>
      <c r="AK45" s="14"/>
      <c r="AL45" s="14"/>
      <c r="AM45" s="14" t="s">
        <v>114</v>
      </c>
      <c r="AN45" s="14" t="s">
        <v>194</v>
      </c>
      <c r="AO45" s="14" t="s">
        <v>84</v>
      </c>
      <c r="AP45" s="14" t="s">
        <v>195</v>
      </c>
      <c r="AQ45" s="16">
        <v>0.0</v>
      </c>
      <c r="AR45" s="14" t="s">
        <v>196</v>
      </c>
    </row>
    <row r="46" ht="15.75" customHeight="1">
      <c r="A46" s="7" t="s">
        <v>39</v>
      </c>
      <c r="B46" s="7" t="s">
        <v>44</v>
      </c>
      <c r="C46" s="7" t="s">
        <v>102</v>
      </c>
      <c r="D46" s="7" t="s">
        <v>169</v>
      </c>
      <c r="E46" s="7" t="s">
        <v>181</v>
      </c>
      <c r="F46" s="7" t="s">
        <v>108</v>
      </c>
      <c r="G46" s="7" t="s">
        <v>39</v>
      </c>
      <c r="H46" s="7" t="s">
        <v>69</v>
      </c>
      <c r="I46" s="9" t="s">
        <v>110</v>
      </c>
      <c r="J46" s="7" t="s">
        <v>71</v>
      </c>
      <c r="K46" s="11">
        <v>0.0</v>
      </c>
      <c r="L46" s="11">
        <v>0.0</v>
      </c>
      <c r="M46" s="7"/>
      <c r="N46" s="7"/>
      <c r="O46" s="12"/>
      <c r="P46" s="7">
        <v>520.0</v>
      </c>
      <c r="Q46" s="7" t="s">
        <v>74</v>
      </c>
      <c r="R46" s="7" t="s">
        <v>75</v>
      </c>
      <c r="S46" s="7" t="s">
        <v>142</v>
      </c>
      <c r="T46" s="7" t="s">
        <v>39</v>
      </c>
      <c r="U46" s="7" t="s">
        <v>90</v>
      </c>
      <c r="V46" s="7" t="s">
        <v>114</v>
      </c>
      <c r="W46" s="7">
        <v>2.0</v>
      </c>
      <c r="X46" s="7">
        <v>2.0</v>
      </c>
      <c r="Y46" s="7">
        <v>5.0</v>
      </c>
      <c r="Z46" s="7">
        <v>3.0</v>
      </c>
      <c r="AA46" s="7">
        <v>2.0</v>
      </c>
      <c r="AB46" s="7">
        <v>0.0</v>
      </c>
      <c r="AC46" s="13">
        <v>2.5</v>
      </c>
      <c r="AD46" s="7">
        <v>0.0</v>
      </c>
      <c r="AE46" s="7" t="s">
        <v>110</v>
      </c>
      <c r="AF46" s="14"/>
      <c r="AG46" s="15"/>
      <c r="AH46" s="14"/>
      <c r="AI46" s="14"/>
      <c r="AJ46" s="15"/>
      <c r="AK46" s="14"/>
      <c r="AL46" s="14"/>
      <c r="AM46" s="14" t="s">
        <v>114</v>
      </c>
      <c r="AN46" s="14" t="s">
        <v>199</v>
      </c>
      <c r="AO46" s="14" t="s">
        <v>84</v>
      </c>
      <c r="AP46" s="14" t="s">
        <v>200</v>
      </c>
      <c r="AQ46" s="16">
        <v>0.0</v>
      </c>
      <c r="AR46" s="14" t="s">
        <v>196</v>
      </c>
    </row>
    <row r="47" ht="15.75" customHeight="1">
      <c r="A47" s="7" t="s">
        <v>39</v>
      </c>
      <c r="B47" s="7" t="s">
        <v>44</v>
      </c>
      <c r="C47" s="7" t="s">
        <v>102</v>
      </c>
      <c r="D47" s="7" t="s">
        <v>277</v>
      </c>
      <c r="E47" s="7" t="s">
        <v>181</v>
      </c>
      <c r="F47" s="7" t="s">
        <v>108</v>
      </c>
      <c r="G47" s="7" t="s">
        <v>39</v>
      </c>
      <c r="H47" s="7" t="s">
        <v>69</v>
      </c>
      <c r="I47" s="9" t="s">
        <v>110</v>
      </c>
      <c r="J47" s="7" t="s">
        <v>71</v>
      </c>
      <c r="K47" s="11">
        <v>0.0</v>
      </c>
      <c r="L47" s="11">
        <v>0.0</v>
      </c>
      <c r="M47" s="7"/>
      <c r="N47" s="7"/>
      <c r="O47" s="12"/>
      <c r="P47" s="7">
        <v>520.0</v>
      </c>
      <c r="Q47" s="7" t="s">
        <v>74</v>
      </c>
      <c r="R47" s="7" t="s">
        <v>75</v>
      </c>
      <c r="S47" s="7" t="s">
        <v>142</v>
      </c>
      <c r="T47" s="7" t="s">
        <v>39</v>
      </c>
      <c r="U47" s="7" t="s">
        <v>90</v>
      </c>
      <c r="V47" s="7" t="s">
        <v>114</v>
      </c>
      <c r="W47" s="7">
        <v>2.0</v>
      </c>
      <c r="X47" s="7">
        <v>2.0</v>
      </c>
      <c r="Y47" s="7">
        <v>5.0</v>
      </c>
      <c r="Z47" s="7">
        <v>3.0</v>
      </c>
      <c r="AA47" s="7">
        <v>2.0</v>
      </c>
      <c r="AB47" s="7">
        <v>0.0</v>
      </c>
      <c r="AC47" s="13">
        <v>2.5</v>
      </c>
      <c r="AD47" s="7">
        <v>0.0</v>
      </c>
      <c r="AE47" s="7" t="s">
        <v>110</v>
      </c>
      <c r="AF47" s="14"/>
      <c r="AG47" s="15"/>
      <c r="AH47" s="14"/>
      <c r="AI47" s="14"/>
      <c r="AJ47" s="15"/>
      <c r="AK47" s="14"/>
      <c r="AL47" s="14"/>
      <c r="AM47" s="14" t="s">
        <v>114</v>
      </c>
      <c r="AN47" s="14" t="s">
        <v>305</v>
      </c>
      <c r="AO47" s="14" t="s">
        <v>84</v>
      </c>
      <c r="AP47" s="14" t="s">
        <v>306</v>
      </c>
      <c r="AQ47" s="16">
        <v>0.0</v>
      </c>
      <c r="AR47" s="14" t="s">
        <v>196</v>
      </c>
    </row>
    <row r="48" ht="15.75" customHeight="1">
      <c r="A48" s="7" t="s">
        <v>39</v>
      </c>
      <c r="B48" s="7" t="s">
        <v>44</v>
      </c>
      <c r="C48" s="7" t="s">
        <v>102</v>
      </c>
      <c r="D48" s="7" t="s">
        <v>173</v>
      </c>
      <c r="E48" s="7" t="s">
        <v>202</v>
      </c>
      <c r="F48" s="7" t="s">
        <v>108</v>
      </c>
      <c r="G48" s="7" t="s">
        <v>39</v>
      </c>
      <c r="H48" s="7" t="s">
        <v>69</v>
      </c>
      <c r="I48" s="9" t="s">
        <v>110</v>
      </c>
      <c r="J48" s="7" t="s">
        <v>71</v>
      </c>
      <c r="K48" s="11">
        <v>0.0</v>
      </c>
      <c r="L48" s="11">
        <v>0.0</v>
      </c>
      <c r="M48" s="7"/>
      <c r="N48" s="7"/>
      <c r="O48" s="12"/>
      <c r="P48" s="7">
        <v>500.0</v>
      </c>
      <c r="Q48" s="7" t="s">
        <v>74</v>
      </c>
      <c r="R48" s="7" t="s">
        <v>75</v>
      </c>
      <c r="S48" s="7" t="s">
        <v>142</v>
      </c>
      <c r="T48" s="7" t="s">
        <v>39</v>
      </c>
      <c r="U48" s="7" t="s">
        <v>90</v>
      </c>
      <c r="V48" s="7" t="s">
        <v>114</v>
      </c>
      <c r="W48" s="7">
        <v>2.0</v>
      </c>
      <c r="X48" s="7">
        <v>2.0</v>
      </c>
      <c r="Y48" s="7">
        <v>5.0</v>
      </c>
      <c r="Z48" s="7">
        <v>3.0</v>
      </c>
      <c r="AA48" s="7">
        <v>2.0</v>
      </c>
      <c r="AB48" s="7">
        <v>0.0</v>
      </c>
      <c r="AC48" s="13">
        <v>2.5</v>
      </c>
      <c r="AD48" s="7">
        <v>0.0</v>
      </c>
      <c r="AE48" s="7" t="s">
        <v>110</v>
      </c>
      <c r="AF48" s="14"/>
      <c r="AG48" s="15"/>
      <c r="AH48" s="14"/>
      <c r="AI48" s="14"/>
      <c r="AJ48" s="15"/>
      <c r="AK48" s="14"/>
      <c r="AL48" s="14"/>
      <c r="AM48" s="14" t="s">
        <v>114</v>
      </c>
      <c r="AN48" s="14" t="s">
        <v>204</v>
      </c>
      <c r="AO48" s="14" t="s">
        <v>84</v>
      </c>
      <c r="AP48" s="14" t="s">
        <v>205</v>
      </c>
      <c r="AQ48" s="16">
        <v>0.0</v>
      </c>
      <c r="AR48" s="14" t="s">
        <v>196</v>
      </c>
    </row>
    <row r="49" ht="15.75" customHeight="1">
      <c r="A49" s="7" t="s">
        <v>39</v>
      </c>
      <c r="B49" s="7" t="s">
        <v>44</v>
      </c>
      <c r="C49" s="7" t="s">
        <v>102</v>
      </c>
      <c r="D49" s="7" t="s">
        <v>281</v>
      </c>
      <c r="E49" s="7" t="s">
        <v>181</v>
      </c>
      <c r="F49" s="7" t="s">
        <v>108</v>
      </c>
      <c r="G49" s="7" t="s">
        <v>39</v>
      </c>
      <c r="H49" s="7" t="s">
        <v>69</v>
      </c>
      <c r="I49" s="9" t="s">
        <v>110</v>
      </c>
      <c r="J49" s="7" t="s">
        <v>71</v>
      </c>
      <c r="K49" s="11">
        <v>0.0</v>
      </c>
      <c r="L49" s="11">
        <v>0.0</v>
      </c>
      <c r="M49" s="7"/>
      <c r="N49" s="7"/>
      <c r="O49" s="12"/>
      <c r="P49" s="7">
        <v>520.0</v>
      </c>
      <c r="Q49" s="7" t="s">
        <v>74</v>
      </c>
      <c r="R49" s="7" t="s">
        <v>75</v>
      </c>
      <c r="S49" s="7" t="s">
        <v>142</v>
      </c>
      <c r="T49" s="7" t="s">
        <v>39</v>
      </c>
      <c r="U49" s="7" t="s">
        <v>90</v>
      </c>
      <c r="V49" s="7" t="s">
        <v>114</v>
      </c>
      <c r="W49" s="7">
        <v>2.0</v>
      </c>
      <c r="X49" s="7">
        <v>2.0</v>
      </c>
      <c r="Y49" s="7">
        <v>5.0</v>
      </c>
      <c r="Z49" s="7">
        <v>3.0</v>
      </c>
      <c r="AA49" s="7">
        <v>2.0</v>
      </c>
      <c r="AB49" s="7">
        <v>0.0</v>
      </c>
      <c r="AC49" s="13">
        <v>2.5</v>
      </c>
      <c r="AD49" s="7">
        <v>0.0</v>
      </c>
      <c r="AE49" s="7" t="s">
        <v>110</v>
      </c>
      <c r="AF49" s="14"/>
      <c r="AG49" s="15"/>
      <c r="AH49" s="14"/>
      <c r="AI49" s="14"/>
      <c r="AJ49" s="15"/>
      <c r="AK49" s="14"/>
      <c r="AL49" s="14"/>
      <c r="AM49" s="14" t="s">
        <v>114</v>
      </c>
      <c r="AN49" s="14" t="s">
        <v>309</v>
      </c>
      <c r="AO49" s="14" t="s">
        <v>84</v>
      </c>
      <c r="AP49" s="14" t="s">
        <v>310</v>
      </c>
      <c r="AQ49" s="16">
        <v>0.0</v>
      </c>
      <c r="AR49" s="14" t="s">
        <v>196</v>
      </c>
    </row>
    <row r="50" ht="15.75" customHeight="1">
      <c r="A50" s="7" t="s">
        <v>39</v>
      </c>
      <c r="B50" s="7" t="s">
        <v>44</v>
      </c>
      <c r="C50" s="7" t="s">
        <v>102</v>
      </c>
      <c r="D50" s="7" t="s">
        <v>282</v>
      </c>
      <c r="E50" s="7" t="s">
        <v>181</v>
      </c>
      <c r="F50" s="7" t="s">
        <v>108</v>
      </c>
      <c r="G50" s="7" t="s">
        <v>39</v>
      </c>
      <c r="H50" s="7" t="s">
        <v>69</v>
      </c>
      <c r="I50" s="9" t="s">
        <v>110</v>
      </c>
      <c r="J50" s="7" t="s">
        <v>71</v>
      </c>
      <c r="K50" s="11">
        <v>0.0</v>
      </c>
      <c r="L50" s="11">
        <v>0.0</v>
      </c>
      <c r="M50" s="7"/>
      <c r="N50" s="7"/>
      <c r="O50" s="12"/>
      <c r="P50" s="7">
        <v>520.0</v>
      </c>
      <c r="Q50" s="7" t="s">
        <v>74</v>
      </c>
      <c r="R50" s="7" t="s">
        <v>75</v>
      </c>
      <c r="S50" s="7" t="s">
        <v>142</v>
      </c>
      <c r="T50" s="7" t="s">
        <v>39</v>
      </c>
      <c r="U50" s="7" t="s">
        <v>90</v>
      </c>
      <c r="V50" s="7" t="s">
        <v>114</v>
      </c>
      <c r="W50" s="7">
        <v>2.0</v>
      </c>
      <c r="X50" s="7">
        <v>2.0</v>
      </c>
      <c r="Y50" s="7">
        <v>5.0</v>
      </c>
      <c r="Z50" s="7">
        <v>3.0</v>
      </c>
      <c r="AA50" s="7">
        <v>2.0</v>
      </c>
      <c r="AB50" s="7">
        <v>0.0</v>
      </c>
      <c r="AC50" s="13">
        <v>2.5</v>
      </c>
      <c r="AD50" s="7">
        <v>0.0</v>
      </c>
      <c r="AE50" s="7" t="s">
        <v>110</v>
      </c>
      <c r="AF50" s="14"/>
      <c r="AG50" s="15"/>
      <c r="AH50" s="14"/>
      <c r="AI50" s="14"/>
      <c r="AJ50" s="15"/>
      <c r="AK50" s="14"/>
      <c r="AL50" s="14"/>
      <c r="AM50" s="14" t="s">
        <v>114</v>
      </c>
      <c r="AN50" s="14" t="s">
        <v>312</v>
      </c>
      <c r="AO50" s="14" t="s">
        <v>84</v>
      </c>
      <c r="AP50" s="14" t="s">
        <v>313</v>
      </c>
      <c r="AQ50" s="16">
        <v>0.0</v>
      </c>
      <c r="AR50" s="14" t="s">
        <v>196</v>
      </c>
    </row>
    <row r="51" ht="15.75" customHeight="1">
      <c r="A51" s="7" t="s">
        <v>39</v>
      </c>
      <c r="B51" s="7" t="s">
        <v>44</v>
      </c>
      <c r="C51" s="7" t="s">
        <v>102</v>
      </c>
      <c r="D51" s="7" t="s">
        <v>283</v>
      </c>
      <c r="E51" s="7" t="s">
        <v>271</v>
      </c>
      <c r="F51" s="7" t="s">
        <v>108</v>
      </c>
      <c r="G51" s="7" t="s">
        <v>39</v>
      </c>
      <c r="H51" s="7" t="s">
        <v>69</v>
      </c>
      <c r="I51" s="9" t="s">
        <v>110</v>
      </c>
      <c r="J51" s="7" t="s">
        <v>71</v>
      </c>
      <c r="K51" s="11">
        <v>0.0</v>
      </c>
      <c r="L51" s="11">
        <v>0.0</v>
      </c>
      <c r="M51" s="7"/>
      <c r="N51" s="7"/>
      <c r="O51" s="12"/>
      <c r="P51" s="7">
        <v>570.0</v>
      </c>
      <c r="Q51" s="7" t="s">
        <v>74</v>
      </c>
      <c r="R51" s="7" t="s">
        <v>75</v>
      </c>
      <c r="S51" s="7" t="s">
        <v>142</v>
      </c>
      <c r="T51" s="7" t="s">
        <v>39</v>
      </c>
      <c r="U51" s="7" t="s">
        <v>90</v>
      </c>
      <c r="V51" s="7" t="s">
        <v>114</v>
      </c>
      <c r="W51" s="7">
        <v>2.0</v>
      </c>
      <c r="X51" s="7">
        <v>2.0</v>
      </c>
      <c r="Y51" s="7">
        <v>5.0</v>
      </c>
      <c r="Z51" s="7">
        <v>3.0</v>
      </c>
      <c r="AA51" s="7">
        <v>2.0</v>
      </c>
      <c r="AB51" s="7">
        <v>0.0</v>
      </c>
      <c r="AC51" s="13">
        <v>2.5</v>
      </c>
      <c r="AD51" s="7">
        <v>0.0</v>
      </c>
      <c r="AE51" s="7" t="s">
        <v>110</v>
      </c>
      <c r="AF51" s="14"/>
      <c r="AG51" s="15"/>
      <c r="AH51" s="14"/>
      <c r="AI51" s="14"/>
      <c r="AJ51" s="15"/>
      <c r="AK51" s="14"/>
      <c r="AL51" s="14"/>
      <c r="AM51" s="14" t="s">
        <v>114</v>
      </c>
      <c r="AN51" s="14" t="s">
        <v>316</v>
      </c>
      <c r="AO51" s="14" t="s">
        <v>84</v>
      </c>
      <c r="AP51" s="14" t="s">
        <v>317</v>
      </c>
      <c r="AQ51" s="16">
        <v>0.0</v>
      </c>
      <c r="AR51" s="14" t="s">
        <v>196</v>
      </c>
    </row>
    <row r="52" ht="15.75" customHeight="1">
      <c r="A52" s="7" t="s">
        <v>39</v>
      </c>
      <c r="B52" s="7" t="s">
        <v>44</v>
      </c>
      <c r="C52" s="7" t="s">
        <v>102</v>
      </c>
      <c r="D52" s="7" t="s">
        <v>284</v>
      </c>
      <c r="E52" s="7" t="s">
        <v>271</v>
      </c>
      <c r="F52" s="7" t="s">
        <v>108</v>
      </c>
      <c r="G52" s="7" t="s">
        <v>39</v>
      </c>
      <c r="H52" s="7" t="s">
        <v>69</v>
      </c>
      <c r="I52" s="9" t="s">
        <v>110</v>
      </c>
      <c r="J52" s="7" t="s">
        <v>71</v>
      </c>
      <c r="K52" s="11">
        <v>0.0</v>
      </c>
      <c r="L52" s="11">
        <v>0.0</v>
      </c>
      <c r="M52" s="7"/>
      <c r="N52" s="7"/>
      <c r="O52" s="12"/>
      <c r="P52" s="7">
        <v>570.0</v>
      </c>
      <c r="Q52" s="7" t="s">
        <v>74</v>
      </c>
      <c r="R52" s="7" t="s">
        <v>75</v>
      </c>
      <c r="S52" s="7" t="s">
        <v>142</v>
      </c>
      <c r="T52" s="7" t="s">
        <v>39</v>
      </c>
      <c r="U52" s="7" t="s">
        <v>90</v>
      </c>
      <c r="V52" s="7" t="s">
        <v>114</v>
      </c>
      <c r="W52" s="7">
        <v>2.0</v>
      </c>
      <c r="X52" s="7">
        <v>2.0</v>
      </c>
      <c r="Y52" s="7">
        <v>5.0</v>
      </c>
      <c r="Z52" s="7">
        <v>3.0</v>
      </c>
      <c r="AA52" s="7">
        <v>2.0</v>
      </c>
      <c r="AB52" s="7">
        <v>0.0</v>
      </c>
      <c r="AC52" s="13">
        <v>2.5</v>
      </c>
      <c r="AD52" s="7">
        <v>0.0</v>
      </c>
      <c r="AE52" s="7" t="s">
        <v>110</v>
      </c>
      <c r="AF52" s="14"/>
      <c r="AG52" s="15"/>
      <c r="AH52" s="14"/>
      <c r="AI52" s="14"/>
      <c r="AJ52" s="15"/>
      <c r="AK52" s="14"/>
      <c r="AL52" s="14"/>
      <c r="AM52" s="14" t="s">
        <v>114</v>
      </c>
      <c r="AN52" s="14" t="s">
        <v>318</v>
      </c>
      <c r="AO52" s="14" t="s">
        <v>84</v>
      </c>
      <c r="AP52" s="14" t="s">
        <v>319</v>
      </c>
      <c r="AQ52" s="16">
        <v>0.0</v>
      </c>
      <c r="AR52" s="14" t="s">
        <v>196</v>
      </c>
    </row>
    <row r="53" ht="15.75" customHeight="1">
      <c r="A53" s="7" t="s">
        <v>39</v>
      </c>
      <c r="B53" s="7" t="s">
        <v>44</v>
      </c>
      <c r="C53" s="7" t="s">
        <v>102</v>
      </c>
      <c r="D53" s="7" t="s">
        <v>286</v>
      </c>
      <c r="E53" s="7" t="s">
        <v>164</v>
      </c>
      <c r="F53" s="7" t="s">
        <v>108</v>
      </c>
      <c r="G53" s="7" t="s">
        <v>39</v>
      </c>
      <c r="H53" s="7" t="s">
        <v>69</v>
      </c>
      <c r="I53" s="9" t="s">
        <v>110</v>
      </c>
      <c r="J53" s="7" t="s">
        <v>71</v>
      </c>
      <c r="K53" s="11">
        <v>0.0</v>
      </c>
      <c r="L53" s="11">
        <v>0.0</v>
      </c>
      <c r="M53" s="7"/>
      <c r="N53" s="7"/>
      <c r="O53" s="12"/>
      <c r="P53" s="7">
        <v>490.0</v>
      </c>
      <c r="Q53" s="7" t="s">
        <v>74</v>
      </c>
      <c r="R53" s="7" t="s">
        <v>75</v>
      </c>
      <c r="S53" s="7" t="s">
        <v>142</v>
      </c>
      <c r="T53" s="7" t="s">
        <v>39</v>
      </c>
      <c r="U53" s="7" t="s">
        <v>90</v>
      </c>
      <c r="V53" s="7" t="s">
        <v>114</v>
      </c>
      <c r="W53" s="7">
        <v>2.0</v>
      </c>
      <c r="X53" s="7">
        <v>2.0</v>
      </c>
      <c r="Y53" s="7">
        <v>5.0</v>
      </c>
      <c r="Z53" s="7">
        <v>3.0</v>
      </c>
      <c r="AA53" s="7">
        <v>2.0</v>
      </c>
      <c r="AB53" s="7">
        <v>0.0</v>
      </c>
      <c r="AC53" s="13">
        <v>2.5</v>
      </c>
      <c r="AD53" s="7">
        <v>0.0</v>
      </c>
      <c r="AE53" s="7" t="s">
        <v>110</v>
      </c>
      <c r="AF53" s="14"/>
      <c r="AG53" s="15"/>
      <c r="AH53" s="14"/>
      <c r="AI53" s="14"/>
      <c r="AJ53" s="15"/>
      <c r="AK53" s="14"/>
      <c r="AL53" s="14"/>
      <c r="AM53" s="14" t="s">
        <v>114</v>
      </c>
      <c r="AN53" s="14" t="s">
        <v>321</v>
      </c>
      <c r="AO53" s="14" t="s">
        <v>84</v>
      </c>
      <c r="AP53" s="14" t="s">
        <v>322</v>
      </c>
      <c r="AQ53" s="16">
        <v>0.0</v>
      </c>
      <c r="AR53" s="14" t="s">
        <v>196</v>
      </c>
    </row>
    <row r="54" ht="15.75" customHeight="1">
      <c r="A54" s="7" t="s">
        <v>39</v>
      </c>
      <c r="B54" s="7" t="s">
        <v>44</v>
      </c>
      <c r="C54" s="7" t="s">
        <v>102</v>
      </c>
      <c r="D54" s="7" t="s">
        <v>178</v>
      </c>
      <c r="E54" s="7" t="s">
        <v>150</v>
      </c>
      <c r="F54" s="7" t="s">
        <v>108</v>
      </c>
      <c r="G54" s="7" t="s">
        <v>39</v>
      </c>
      <c r="H54" s="7" t="s">
        <v>69</v>
      </c>
      <c r="I54" s="9" t="s">
        <v>110</v>
      </c>
      <c r="J54" s="7" t="s">
        <v>71</v>
      </c>
      <c r="K54" s="11">
        <v>0.0</v>
      </c>
      <c r="L54" s="11">
        <v>0.0</v>
      </c>
      <c r="M54" s="7"/>
      <c r="N54" s="7"/>
      <c r="O54" s="12"/>
      <c r="P54" s="7">
        <v>700.0</v>
      </c>
      <c r="Q54" s="7" t="s">
        <v>153</v>
      </c>
      <c r="R54" s="7" t="s">
        <v>75</v>
      </c>
      <c r="S54" s="7" t="s">
        <v>142</v>
      </c>
      <c r="T54" s="7" t="s">
        <v>39</v>
      </c>
      <c r="U54" s="7" t="s">
        <v>90</v>
      </c>
      <c r="V54" s="7" t="s">
        <v>114</v>
      </c>
      <c r="W54" s="7">
        <v>2.0</v>
      </c>
      <c r="X54" s="7">
        <v>1.0</v>
      </c>
      <c r="Y54" s="7">
        <v>5.0</v>
      </c>
      <c r="Z54" s="7">
        <v>3.0</v>
      </c>
      <c r="AA54" s="7">
        <v>2.0</v>
      </c>
      <c r="AB54" s="7">
        <v>0.0</v>
      </c>
      <c r="AC54" s="13">
        <v>2.4</v>
      </c>
      <c r="AD54" s="7">
        <v>0.0</v>
      </c>
      <c r="AE54" s="7" t="s">
        <v>110</v>
      </c>
      <c r="AF54" s="14"/>
      <c r="AG54" s="15"/>
      <c r="AH54" s="14"/>
      <c r="AI54" s="14"/>
      <c r="AJ54" s="15"/>
      <c r="AK54" s="14"/>
      <c r="AL54" s="14"/>
      <c r="AM54" s="14" t="s">
        <v>114</v>
      </c>
      <c r="AN54" s="14" t="s">
        <v>211</v>
      </c>
      <c r="AO54" s="14" t="s">
        <v>84</v>
      </c>
      <c r="AP54" s="14" t="s">
        <v>212</v>
      </c>
      <c r="AQ54" s="16">
        <v>0.0</v>
      </c>
      <c r="AR54" s="14" t="s">
        <v>196</v>
      </c>
    </row>
    <row r="55" ht="15.75" customHeight="1">
      <c r="A55" s="3" t="s">
        <v>39</v>
      </c>
      <c r="B55" s="3" t="s">
        <v>44</v>
      </c>
      <c r="C55" s="3" t="s">
        <v>102</v>
      </c>
      <c r="D55" s="3" t="s">
        <v>289</v>
      </c>
      <c r="E55" s="3" t="s">
        <v>271</v>
      </c>
      <c r="F55" s="3" t="s">
        <v>108</v>
      </c>
      <c r="G55" s="3" t="s">
        <v>39</v>
      </c>
      <c r="H55" s="3" t="s">
        <v>69</v>
      </c>
      <c r="I55" s="19" t="s">
        <v>110</v>
      </c>
      <c r="J55" s="3" t="s">
        <v>71</v>
      </c>
      <c r="K55" s="20">
        <v>0.0</v>
      </c>
      <c r="L55" s="20">
        <v>0.0</v>
      </c>
      <c r="M55" s="3"/>
      <c r="N55" s="3"/>
      <c r="O55" s="21"/>
      <c r="P55" s="3">
        <v>570.0</v>
      </c>
      <c r="Q55" s="3" t="s">
        <v>74</v>
      </c>
      <c r="R55" s="3" t="s">
        <v>75</v>
      </c>
      <c r="S55" s="3" t="s">
        <v>142</v>
      </c>
      <c r="T55" s="3" t="s">
        <v>39</v>
      </c>
      <c r="U55" s="3" t="s">
        <v>90</v>
      </c>
      <c r="V55" s="3" t="s">
        <v>114</v>
      </c>
      <c r="W55" s="3">
        <v>2.0</v>
      </c>
      <c r="X55" s="3">
        <v>2.0</v>
      </c>
      <c r="Y55" s="3">
        <v>5.0</v>
      </c>
      <c r="Z55" s="3">
        <v>3.0</v>
      </c>
      <c r="AA55" s="3">
        <v>2.0</v>
      </c>
      <c r="AB55" s="3">
        <v>0.0</v>
      </c>
      <c r="AC55" s="22">
        <v>2.5</v>
      </c>
      <c r="AD55" s="3">
        <v>0.0</v>
      </c>
      <c r="AE55" s="3" t="s">
        <v>110</v>
      </c>
      <c r="AF55" s="14"/>
      <c r="AG55" s="15"/>
      <c r="AH55" s="14"/>
      <c r="AI55" s="14"/>
      <c r="AJ55" s="15"/>
      <c r="AK55" s="14"/>
      <c r="AL55" s="14"/>
      <c r="AM55" s="14" t="s">
        <v>114</v>
      </c>
      <c r="AN55" s="14" t="s">
        <v>327</v>
      </c>
      <c r="AO55" s="14" t="s">
        <v>84</v>
      </c>
      <c r="AP55" s="14" t="s">
        <v>328</v>
      </c>
      <c r="AQ55" s="16">
        <v>0.0</v>
      </c>
      <c r="AR55" s="14" t="s">
        <v>196</v>
      </c>
    </row>
    <row r="56" ht="15.75" customHeight="1">
      <c r="A56" s="3" t="s">
        <v>39</v>
      </c>
      <c r="B56" s="3" t="s">
        <v>44</v>
      </c>
      <c r="C56" s="3" t="s">
        <v>102</v>
      </c>
      <c r="D56" s="3" t="s">
        <v>292</v>
      </c>
      <c r="E56" s="3" t="s">
        <v>240</v>
      </c>
      <c r="F56" s="3" t="s">
        <v>108</v>
      </c>
      <c r="G56" s="3" t="s">
        <v>39</v>
      </c>
      <c r="H56" s="3" t="s">
        <v>69</v>
      </c>
      <c r="I56" s="19" t="s">
        <v>110</v>
      </c>
      <c r="J56" s="3" t="s">
        <v>71</v>
      </c>
      <c r="K56" s="20">
        <v>0.0</v>
      </c>
      <c r="L56" s="20">
        <v>0.0</v>
      </c>
      <c r="M56" s="3"/>
      <c r="N56" s="3"/>
      <c r="O56" s="21"/>
      <c r="P56" s="3">
        <v>610.0</v>
      </c>
      <c r="Q56" s="3" t="s">
        <v>153</v>
      </c>
      <c r="R56" s="3" t="s">
        <v>75</v>
      </c>
      <c r="S56" s="3" t="s">
        <v>142</v>
      </c>
      <c r="T56" s="3" t="s">
        <v>39</v>
      </c>
      <c r="U56" s="3" t="s">
        <v>90</v>
      </c>
      <c r="V56" s="3" t="s">
        <v>114</v>
      </c>
      <c r="W56" s="3">
        <v>2.0</v>
      </c>
      <c r="X56" s="3">
        <v>1.0</v>
      </c>
      <c r="Y56" s="3">
        <v>5.0</v>
      </c>
      <c r="Z56" s="3">
        <v>3.0</v>
      </c>
      <c r="AA56" s="3">
        <v>2.0</v>
      </c>
      <c r="AB56" s="3">
        <v>0.0</v>
      </c>
      <c r="AC56" s="22">
        <v>2.4</v>
      </c>
      <c r="AD56" s="3">
        <v>0.0</v>
      </c>
      <c r="AE56" s="3" t="s">
        <v>110</v>
      </c>
      <c r="AF56" s="14"/>
      <c r="AG56" s="15"/>
      <c r="AH56" s="14"/>
      <c r="AI56" s="14"/>
      <c r="AJ56" s="15"/>
      <c r="AK56" s="14"/>
      <c r="AL56" s="14"/>
      <c r="AM56" s="14" t="s">
        <v>114</v>
      </c>
      <c r="AN56" s="14" t="s">
        <v>330</v>
      </c>
      <c r="AO56" s="14" t="s">
        <v>84</v>
      </c>
      <c r="AP56" s="14" t="s">
        <v>332</v>
      </c>
      <c r="AQ56" s="16">
        <v>0.0</v>
      </c>
      <c r="AR56" s="14" t="s">
        <v>196</v>
      </c>
    </row>
    <row r="57" ht="15.75" customHeight="1">
      <c r="A57" s="3" t="s">
        <v>39</v>
      </c>
      <c r="B57" s="3" t="s">
        <v>44</v>
      </c>
      <c r="C57" s="3" t="s">
        <v>102</v>
      </c>
      <c r="D57" s="3" t="s">
        <v>296</v>
      </c>
      <c r="E57" s="3" t="s">
        <v>181</v>
      </c>
      <c r="F57" s="3" t="s">
        <v>108</v>
      </c>
      <c r="G57" s="3" t="s">
        <v>39</v>
      </c>
      <c r="H57" s="3" t="s">
        <v>69</v>
      </c>
      <c r="I57" s="19" t="s">
        <v>110</v>
      </c>
      <c r="J57" s="3" t="s">
        <v>71</v>
      </c>
      <c r="K57" s="20">
        <v>0.0</v>
      </c>
      <c r="L57" s="20">
        <v>0.0</v>
      </c>
      <c r="M57" s="3"/>
      <c r="N57" s="3"/>
      <c r="O57" s="21"/>
      <c r="P57" s="3">
        <v>520.0</v>
      </c>
      <c r="Q57" s="3" t="s">
        <v>74</v>
      </c>
      <c r="R57" s="3" t="s">
        <v>75</v>
      </c>
      <c r="S57" s="3" t="s">
        <v>142</v>
      </c>
      <c r="T57" s="3" t="s">
        <v>39</v>
      </c>
      <c r="U57" s="3" t="s">
        <v>90</v>
      </c>
      <c r="V57" s="3" t="s">
        <v>114</v>
      </c>
      <c r="W57" s="3">
        <v>2.0</v>
      </c>
      <c r="X57" s="3">
        <v>2.0</v>
      </c>
      <c r="Y57" s="3">
        <v>5.0</v>
      </c>
      <c r="Z57" s="3">
        <v>3.0</v>
      </c>
      <c r="AA57" s="3">
        <v>2.0</v>
      </c>
      <c r="AB57" s="3">
        <v>0.0</v>
      </c>
      <c r="AC57" s="22">
        <v>2.5</v>
      </c>
      <c r="AD57" s="3">
        <v>0.0</v>
      </c>
      <c r="AE57" s="3" t="s">
        <v>110</v>
      </c>
      <c r="AF57" s="14"/>
      <c r="AG57" s="15"/>
      <c r="AH57" s="14"/>
      <c r="AI57" s="14"/>
      <c r="AJ57" s="15"/>
      <c r="AK57" s="14"/>
      <c r="AL57" s="14"/>
      <c r="AM57" s="14" t="s">
        <v>114</v>
      </c>
      <c r="AN57" s="14" t="s">
        <v>333</v>
      </c>
      <c r="AO57" s="14" t="s">
        <v>84</v>
      </c>
      <c r="AP57" s="14" t="s">
        <v>334</v>
      </c>
      <c r="AQ57" s="16">
        <v>0.0</v>
      </c>
      <c r="AR57" s="14" t="s">
        <v>196</v>
      </c>
    </row>
    <row r="58" ht="15.75" customHeight="1">
      <c r="A58" s="3" t="s">
        <v>39</v>
      </c>
      <c r="B58" s="3" t="s">
        <v>44</v>
      </c>
      <c r="C58" s="3" t="s">
        <v>102</v>
      </c>
      <c r="D58" s="3" t="s">
        <v>182</v>
      </c>
      <c r="E58" s="3" t="s">
        <v>138</v>
      </c>
      <c r="F58" s="3" t="s">
        <v>108</v>
      </c>
      <c r="G58" s="3" t="s">
        <v>39</v>
      </c>
      <c r="H58" s="3" t="s">
        <v>69</v>
      </c>
      <c r="I58" s="19" t="s">
        <v>110</v>
      </c>
      <c r="J58" s="3" t="s">
        <v>71</v>
      </c>
      <c r="K58" s="20">
        <v>0.0</v>
      </c>
      <c r="L58" s="20">
        <v>0.0</v>
      </c>
      <c r="M58" s="3"/>
      <c r="N58" s="3"/>
      <c r="O58" s="21"/>
      <c r="P58" s="3">
        <v>300.0</v>
      </c>
      <c r="Q58" s="3" t="s">
        <v>140</v>
      </c>
      <c r="R58" s="3" t="s">
        <v>75</v>
      </c>
      <c r="S58" s="3" t="s">
        <v>142</v>
      </c>
      <c r="T58" s="3" t="s">
        <v>39</v>
      </c>
      <c r="U58" s="3" t="s">
        <v>90</v>
      </c>
      <c r="V58" s="3" t="s">
        <v>114</v>
      </c>
      <c r="W58" s="3">
        <v>2.0</v>
      </c>
      <c r="X58" s="3">
        <v>4.0</v>
      </c>
      <c r="Y58" s="3">
        <v>5.0</v>
      </c>
      <c r="Z58" s="3">
        <v>3.0</v>
      </c>
      <c r="AA58" s="3">
        <v>2.0</v>
      </c>
      <c r="AB58" s="3">
        <v>0.0</v>
      </c>
      <c r="AC58" s="22">
        <v>2.9</v>
      </c>
      <c r="AD58" s="3">
        <v>0.0</v>
      </c>
      <c r="AE58" s="3" t="s">
        <v>110</v>
      </c>
      <c r="AF58" s="14"/>
      <c r="AG58" s="15"/>
      <c r="AH58" s="14"/>
      <c r="AI58" s="14"/>
      <c r="AJ58" s="15"/>
      <c r="AK58" s="14"/>
      <c r="AL58" s="14"/>
      <c r="AM58" s="14" t="s">
        <v>114</v>
      </c>
      <c r="AN58" s="14" t="s">
        <v>214</v>
      </c>
      <c r="AO58" s="14" t="s">
        <v>84</v>
      </c>
      <c r="AP58" s="14" t="s">
        <v>215</v>
      </c>
      <c r="AQ58" s="16">
        <v>0.0</v>
      </c>
      <c r="AR58" s="14" t="s">
        <v>196</v>
      </c>
    </row>
    <row r="59" ht="15.75" customHeight="1">
      <c r="A59" s="3" t="s">
        <v>39</v>
      </c>
      <c r="B59" s="3" t="s">
        <v>44</v>
      </c>
      <c r="C59" s="3" t="s">
        <v>102</v>
      </c>
      <c r="D59" s="3" t="s">
        <v>119</v>
      </c>
      <c r="E59" s="3" t="s">
        <v>106</v>
      </c>
      <c r="F59" s="3" t="s">
        <v>108</v>
      </c>
      <c r="G59" s="3" t="s">
        <v>39</v>
      </c>
      <c r="H59" s="3" t="s">
        <v>69</v>
      </c>
      <c r="I59" s="19" t="s">
        <v>110</v>
      </c>
      <c r="J59" s="3" t="s">
        <v>71</v>
      </c>
      <c r="K59" s="20">
        <v>0.0</v>
      </c>
      <c r="L59" s="20">
        <v>0.0</v>
      </c>
      <c r="M59" s="3"/>
      <c r="N59" s="3"/>
      <c r="O59" s="21"/>
      <c r="P59" s="3">
        <v>130.0</v>
      </c>
      <c r="Q59" s="3" t="s">
        <v>121</v>
      </c>
      <c r="R59" s="3" t="s">
        <v>75</v>
      </c>
      <c r="S59" s="3" t="s">
        <v>76</v>
      </c>
      <c r="T59" s="3" t="s">
        <v>39</v>
      </c>
      <c r="U59" s="3" t="s">
        <v>90</v>
      </c>
      <c r="V59" s="3" t="s">
        <v>114</v>
      </c>
      <c r="W59" s="3">
        <v>2.0</v>
      </c>
      <c r="X59" s="3">
        <v>5.0</v>
      </c>
      <c r="Y59" s="3">
        <v>5.0</v>
      </c>
      <c r="Z59" s="3">
        <v>3.0</v>
      </c>
      <c r="AA59" s="3">
        <v>4.0</v>
      </c>
      <c r="AB59" s="3">
        <v>0.0</v>
      </c>
      <c r="AC59" s="22">
        <v>3.2</v>
      </c>
      <c r="AD59" s="3">
        <v>0.0</v>
      </c>
      <c r="AE59" s="3" t="s">
        <v>110</v>
      </c>
      <c r="AF59" s="14"/>
      <c r="AG59" s="15"/>
      <c r="AH59" s="14"/>
      <c r="AI59" s="14"/>
      <c r="AJ59" s="15"/>
      <c r="AK59" s="14"/>
      <c r="AL59" s="14"/>
      <c r="AM59" s="14" t="s">
        <v>114</v>
      </c>
      <c r="AN59" s="14" t="s">
        <v>337</v>
      </c>
      <c r="AO59" s="14" t="s">
        <v>84</v>
      </c>
      <c r="AP59" s="14" t="s">
        <v>338</v>
      </c>
      <c r="AQ59" s="16">
        <v>0.0</v>
      </c>
      <c r="AR59" s="14" t="s">
        <v>196</v>
      </c>
    </row>
    <row r="60" ht="15.75" customHeight="1">
      <c r="A60" s="3" t="s">
        <v>39</v>
      </c>
      <c r="B60" s="3" t="s">
        <v>44</v>
      </c>
      <c r="C60" s="3" t="s">
        <v>102</v>
      </c>
      <c r="D60" s="3" t="s">
        <v>184</v>
      </c>
      <c r="E60" s="3" t="s">
        <v>186</v>
      </c>
      <c r="F60" s="3" t="s">
        <v>108</v>
      </c>
      <c r="G60" s="3" t="s">
        <v>39</v>
      </c>
      <c r="H60" s="3" t="s">
        <v>69</v>
      </c>
      <c r="I60" s="19" t="s">
        <v>110</v>
      </c>
      <c r="J60" s="3" t="s">
        <v>71</v>
      </c>
      <c r="K60" s="20">
        <v>0.0</v>
      </c>
      <c r="L60" s="20">
        <v>0.0</v>
      </c>
      <c r="M60" s="3"/>
      <c r="N60" s="3"/>
      <c r="O60" s="21"/>
      <c r="P60" s="3">
        <v>360.0</v>
      </c>
      <c r="Q60" s="3" t="s">
        <v>140</v>
      </c>
      <c r="R60" s="3" t="s">
        <v>75</v>
      </c>
      <c r="S60" s="3" t="s">
        <v>142</v>
      </c>
      <c r="T60" s="3" t="s">
        <v>39</v>
      </c>
      <c r="U60" s="3" t="s">
        <v>90</v>
      </c>
      <c r="V60" s="3" t="s">
        <v>114</v>
      </c>
      <c r="W60" s="3">
        <v>2.0</v>
      </c>
      <c r="X60" s="3">
        <v>3.0</v>
      </c>
      <c r="Y60" s="3">
        <v>5.0</v>
      </c>
      <c r="Z60" s="3">
        <v>3.0</v>
      </c>
      <c r="AA60" s="3">
        <v>2.0</v>
      </c>
      <c r="AB60" s="3">
        <v>0.0</v>
      </c>
      <c r="AC60" s="22">
        <v>2.7</v>
      </c>
      <c r="AD60" s="3">
        <v>0.0</v>
      </c>
      <c r="AE60" s="3" t="s">
        <v>110</v>
      </c>
      <c r="AF60" s="14"/>
      <c r="AG60" s="15"/>
      <c r="AH60" s="14"/>
      <c r="AI60" s="14"/>
      <c r="AJ60" s="15"/>
      <c r="AK60" s="14"/>
      <c r="AL60" s="14"/>
      <c r="AM60" s="14" t="s">
        <v>114</v>
      </c>
      <c r="AN60" s="14" t="s">
        <v>221</v>
      </c>
      <c r="AO60" s="14" t="s">
        <v>84</v>
      </c>
      <c r="AP60" s="14" t="s">
        <v>222</v>
      </c>
      <c r="AQ60" s="16">
        <v>0.0</v>
      </c>
      <c r="AR60" s="14" t="s">
        <v>196</v>
      </c>
    </row>
    <row r="61" ht="15.75" customHeight="1">
      <c r="A61" s="3" t="s">
        <v>39</v>
      </c>
      <c r="B61" s="3" t="s">
        <v>44</v>
      </c>
      <c r="C61" s="3" t="s">
        <v>102</v>
      </c>
      <c r="D61" s="3" t="s">
        <v>301</v>
      </c>
      <c r="E61" s="3" t="s">
        <v>164</v>
      </c>
      <c r="F61" s="3" t="s">
        <v>108</v>
      </c>
      <c r="G61" s="3" t="s">
        <v>39</v>
      </c>
      <c r="H61" s="3" t="s">
        <v>69</v>
      </c>
      <c r="I61" s="19" t="s">
        <v>110</v>
      </c>
      <c r="J61" s="3" t="s">
        <v>71</v>
      </c>
      <c r="K61" s="20">
        <v>0.0</v>
      </c>
      <c r="L61" s="20">
        <v>0.0</v>
      </c>
      <c r="M61" s="3"/>
      <c r="N61" s="3"/>
      <c r="O61" s="21"/>
      <c r="P61" s="3">
        <v>490.0</v>
      </c>
      <c r="Q61" s="3" t="s">
        <v>74</v>
      </c>
      <c r="R61" s="3" t="s">
        <v>75</v>
      </c>
      <c r="S61" s="3" t="s">
        <v>142</v>
      </c>
      <c r="T61" s="3" t="s">
        <v>39</v>
      </c>
      <c r="U61" s="3" t="s">
        <v>90</v>
      </c>
      <c r="V61" s="3" t="s">
        <v>114</v>
      </c>
      <c r="W61" s="3">
        <v>2.0</v>
      </c>
      <c r="X61" s="3">
        <v>2.0</v>
      </c>
      <c r="Y61" s="3">
        <v>5.0</v>
      </c>
      <c r="Z61" s="3">
        <v>3.0</v>
      </c>
      <c r="AA61" s="3">
        <v>2.0</v>
      </c>
      <c r="AB61" s="3">
        <v>0.0</v>
      </c>
      <c r="AC61" s="22">
        <v>2.5</v>
      </c>
      <c r="AD61" s="3">
        <v>0.0</v>
      </c>
      <c r="AE61" s="3" t="s">
        <v>110</v>
      </c>
      <c r="AF61" s="14"/>
      <c r="AG61" s="15"/>
      <c r="AH61" s="14"/>
      <c r="AI61" s="14"/>
      <c r="AJ61" s="15"/>
      <c r="AK61" s="14"/>
      <c r="AL61" s="14"/>
      <c r="AM61" s="14" t="s">
        <v>114</v>
      </c>
      <c r="AN61" s="14" t="s">
        <v>341</v>
      </c>
      <c r="AO61" s="14" t="s">
        <v>84</v>
      </c>
      <c r="AP61" s="14" t="s">
        <v>342</v>
      </c>
      <c r="AQ61" s="16">
        <v>0.0</v>
      </c>
      <c r="AR61" s="14" t="s">
        <v>196</v>
      </c>
    </row>
    <row r="62" ht="15.75" customHeight="1">
      <c r="A62" s="3" t="s">
        <v>39</v>
      </c>
      <c r="B62" s="3" t="s">
        <v>137</v>
      </c>
      <c r="C62" s="3" t="s">
        <v>102</v>
      </c>
      <c r="D62" s="3" t="s">
        <v>302</v>
      </c>
      <c r="E62" s="3" t="s">
        <v>164</v>
      </c>
      <c r="F62" s="3" t="s">
        <v>303</v>
      </c>
      <c r="G62" s="3" t="s">
        <v>39</v>
      </c>
      <c r="H62" s="3" t="s">
        <v>69</v>
      </c>
      <c r="I62" s="19" t="s">
        <v>110</v>
      </c>
      <c r="J62" s="3" t="s">
        <v>71</v>
      </c>
      <c r="K62" s="20">
        <v>0.0</v>
      </c>
      <c r="L62" s="20">
        <v>0.0</v>
      </c>
      <c r="M62" s="3"/>
      <c r="N62" s="3"/>
      <c r="O62" s="21"/>
      <c r="P62" s="3">
        <v>490.0</v>
      </c>
      <c r="Q62" s="3" t="s">
        <v>74</v>
      </c>
      <c r="R62" s="3" t="s">
        <v>75</v>
      </c>
      <c r="S62" s="3" t="s">
        <v>142</v>
      </c>
      <c r="T62" s="3" t="s">
        <v>39</v>
      </c>
      <c r="U62" s="3" t="s">
        <v>344</v>
      </c>
      <c r="V62" s="3" t="s">
        <v>304</v>
      </c>
      <c r="W62" s="3">
        <v>2.0</v>
      </c>
      <c r="X62" s="3">
        <v>2.0</v>
      </c>
      <c r="Y62" s="3">
        <v>5.0</v>
      </c>
      <c r="Z62" s="3">
        <v>3.0</v>
      </c>
      <c r="AA62" s="3">
        <v>2.0</v>
      </c>
      <c r="AB62" s="3">
        <v>0.0</v>
      </c>
      <c r="AC62" s="22">
        <v>1.5</v>
      </c>
      <c r="AD62" s="3">
        <v>0.0</v>
      </c>
      <c r="AE62" s="3" t="s">
        <v>110</v>
      </c>
      <c r="AF62" s="14"/>
      <c r="AG62" s="15"/>
      <c r="AH62" s="14"/>
      <c r="AI62" s="14"/>
      <c r="AJ62" s="15"/>
      <c r="AK62" s="14"/>
      <c r="AL62" s="14"/>
      <c r="AM62" s="14" t="s">
        <v>304</v>
      </c>
      <c r="AN62" s="14" t="s">
        <v>345</v>
      </c>
      <c r="AO62" s="14" t="s">
        <v>84</v>
      </c>
      <c r="AP62" s="14" t="s">
        <v>346</v>
      </c>
      <c r="AQ62" s="16">
        <v>-1.0</v>
      </c>
      <c r="AR62" s="14" t="s">
        <v>147</v>
      </c>
    </row>
    <row r="63" ht="15.75" customHeight="1">
      <c r="A63" s="3" t="s">
        <v>39</v>
      </c>
      <c r="B63" s="3" t="s">
        <v>137</v>
      </c>
      <c r="C63" s="3" t="s">
        <v>102</v>
      </c>
      <c r="D63" s="3" t="s">
        <v>311</v>
      </c>
      <c r="E63" s="3" t="s">
        <v>240</v>
      </c>
      <c r="F63" s="3" t="s">
        <v>303</v>
      </c>
      <c r="G63" s="3" t="s">
        <v>39</v>
      </c>
      <c r="H63" s="3" t="s">
        <v>69</v>
      </c>
      <c r="I63" s="19" t="s">
        <v>110</v>
      </c>
      <c r="J63" s="3" t="s">
        <v>71</v>
      </c>
      <c r="K63" s="20">
        <v>0.0</v>
      </c>
      <c r="L63" s="20">
        <v>0.0</v>
      </c>
      <c r="M63" s="3"/>
      <c r="N63" s="3"/>
      <c r="O63" s="21"/>
      <c r="P63" s="3">
        <v>610.0</v>
      </c>
      <c r="Q63" s="3" t="s">
        <v>153</v>
      </c>
      <c r="R63" s="3" t="s">
        <v>75</v>
      </c>
      <c r="S63" s="3" t="s">
        <v>142</v>
      </c>
      <c r="T63" s="3" t="s">
        <v>39</v>
      </c>
      <c r="U63" s="3" t="s">
        <v>344</v>
      </c>
      <c r="V63" s="3" t="s">
        <v>304</v>
      </c>
      <c r="W63" s="3">
        <v>2.0</v>
      </c>
      <c r="X63" s="3">
        <v>1.0</v>
      </c>
      <c r="Y63" s="3">
        <v>5.0</v>
      </c>
      <c r="Z63" s="3">
        <v>3.0</v>
      </c>
      <c r="AA63" s="3">
        <v>2.0</v>
      </c>
      <c r="AB63" s="3">
        <v>0.0</v>
      </c>
      <c r="AC63" s="22">
        <v>1.4</v>
      </c>
      <c r="AD63" s="3">
        <v>0.0</v>
      </c>
      <c r="AE63" s="3" t="s">
        <v>110</v>
      </c>
      <c r="AF63" s="14"/>
      <c r="AG63" s="15"/>
      <c r="AH63" s="14"/>
      <c r="AI63" s="14"/>
      <c r="AJ63" s="15"/>
      <c r="AK63" s="14"/>
      <c r="AL63" s="14"/>
      <c r="AM63" s="14" t="s">
        <v>304</v>
      </c>
      <c r="AN63" s="14" t="s">
        <v>349</v>
      </c>
      <c r="AO63" s="14" t="s">
        <v>84</v>
      </c>
      <c r="AP63" s="14" t="s">
        <v>350</v>
      </c>
      <c r="AQ63" s="16">
        <v>-1.0</v>
      </c>
      <c r="AR63" s="14" t="s">
        <v>147</v>
      </c>
    </row>
    <row r="64" ht="15.75" customHeight="1">
      <c r="A64" s="3" t="s">
        <v>39</v>
      </c>
      <c r="B64" s="3" t="s">
        <v>44</v>
      </c>
      <c r="C64" s="3" t="s">
        <v>102</v>
      </c>
      <c r="D64" s="3" t="s">
        <v>314</v>
      </c>
      <c r="E64" s="3" t="s">
        <v>271</v>
      </c>
      <c r="F64" s="3" t="s">
        <v>108</v>
      </c>
      <c r="G64" s="3" t="s">
        <v>39</v>
      </c>
      <c r="H64" s="3" t="s">
        <v>69</v>
      </c>
      <c r="I64" s="19" t="s">
        <v>110</v>
      </c>
      <c r="J64" s="3" t="s">
        <v>71</v>
      </c>
      <c r="K64" s="20">
        <v>0.0</v>
      </c>
      <c r="L64" s="20">
        <v>0.0</v>
      </c>
      <c r="M64" s="3"/>
      <c r="N64" s="3"/>
      <c r="O64" s="21"/>
      <c r="P64" s="3">
        <v>570.0</v>
      </c>
      <c r="Q64" s="3" t="s">
        <v>74</v>
      </c>
      <c r="R64" s="3" t="s">
        <v>75</v>
      </c>
      <c r="S64" s="3" t="s">
        <v>142</v>
      </c>
      <c r="T64" s="3" t="s">
        <v>39</v>
      </c>
      <c r="U64" s="3" t="s">
        <v>90</v>
      </c>
      <c r="V64" s="3" t="s">
        <v>114</v>
      </c>
      <c r="W64" s="3">
        <v>2.0</v>
      </c>
      <c r="X64" s="3">
        <v>2.0</v>
      </c>
      <c r="Y64" s="3">
        <v>5.0</v>
      </c>
      <c r="Z64" s="3">
        <v>3.0</v>
      </c>
      <c r="AA64" s="3">
        <v>2.0</v>
      </c>
      <c r="AB64" s="3">
        <v>0.0</v>
      </c>
      <c r="AC64" s="22">
        <v>2.5</v>
      </c>
      <c r="AD64" s="3">
        <v>0.0</v>
      </c>
      <c r="AE64" s="3" t="s">
        <v>110</v>
      </c>
      <c r="AF64" s="14"/>
      <c r="AG64" s="15"/>
      <c r="AH64" s="14"/>
      <c r="AI64" s="14"/>
      <c r="AJ64" s="15"/>
      <c r="AK64" s="14"/>
      <c r="AL64" s="14"/>
      <c r="AM64" s="14" t="s">
        <v>114</v>
      </c>
      <c r="AN64" s="14" t="s">
        <v>353</v>
      </c>
      <c r="AO64" s="14" t="s">
        <v>84</v>
      </c>
      <c r="AP64" s="14" t="s">
        <v>354</v>
      </c>
      <c r="AQ64" s="16">
        <v>0.0</v>
      </c>
      <c r="AR64" s="14" t="s">
        <v>196</v>
      </c>
    </row>
    <row r="65" ht="15.75" customHeight="1">
      <c r="A65" s="3" t="s">
        <v>39</v>
      </c>
      <c r="B65" s="3" t="s">
        <v>44</v>
      </c>
      <c r="C65" s="3" t="s">
        <v>102</v>
      </c>
      <c r="D65" s="3" t="s">
        <v>315</v>
      </c>
      <c r="E65" s="3" t="s">
        <v>240</v>
      </c>
      <c r="F65" s="3" t="s">
        <v>108</v>
      </c>
      <c r="G65" s="3" t="s">
        <v>39</v>
      </c>
      <c r="H65" s="3" t="s">
        <v>69</v>
      </c>
      <c r="I65" s="19" t="s">
        <v>110</v>
      </c>
      <c r="J65" s="3" t="s">
        <v>71</v>
      </c>
      <c r="K65" s="20">
        <v>0.0</v>
      </c>
      <c r="L65" s="20">
        <v>0.0</v>
      </c>
      <c r="M65" s="3"/>
      <c r="N65" s="3"/>
      <c r="O65" s="21"/>
      <c r="P65" s="3">
        <v>610.0</v>
      </c>
      <c r="Q65" s="3" t="s">
        <v>153</v>
      </c>
      <c r="R65" s="3" t="s">
        <v>75</v>
      </c>
      <c r="S65" s="3" t="s">
        <v>142</v>
      </c>
      <c r="T65" s="3" t="s">
        <v>39</v>
      </c>
      <c r="U65" s="3" t="s">
        <v>90</v>
      </c>
      <c r="V65" s="3" t="s">
        <v>114</v>
      </c>
      <c r="W65" s="3">
        <v>2.0</v>
      </c>
      <c r="X65" s="3">
        <v>1.0</v>
      </c>
      <c r="Y65" s="3">
        <v>5.0</v>
      </c>
      <c r="Z65" s="3">
        <v>3.0</v>
      </c>
      <c r="AA65" s="3">
        <v>2.0</v>
      </c>
      <c r="AB65" s="3">
        <v>0.0</v>
      </c>
      <c r="AC65" s="22">
        <v>2.4</v>
      </c>
      <c r="AD65" s="3">
        <v>0.0</v>
      </c>
      <c r="AE65" s="3" t="s">
        <v>110</v>
      </c>
      <c r="AF65" s="14"/>
      <c r="AG65" s="15"/>
      <c r="AH65" s="14"/>
      <c r="AI65" s="14"/>
      <c r="AJ65" s="15"/>
      <c r="AK65" s="14"/>
      <c r="AL65" s="14"/>
      <c r="AM65" s="14" t="s">
        <v>114</v>
      </c>
      <c r="AN65" s="14" t="s">
        <v>356</v>
      </c>
      <c r="AO65" s="14" t="s">
        <v>84</v>
      </c>
      <c r="AP65" s="14" t="s">
        <v>357</v>
      </c>
      <c r="AQ65" s="16">
        <v>0.0</v>
      </c>
      <c r="AR65" s="14" t="s">
        <v>196</v>
      </c>
    </row>
    <row r="66" ht="15.75" customHeight="1">
      <c r="A66" s="3" t="s">
        <v>39</v>
      </c>
      <c r="B66" s="3" t="s">
        <v>44</v>
      </c>
      <c r="C66" s="3" t="s">
        <v>102</v>
      </c>
      <c r="D66" s="3" t="s">
        <v>193</v>
      </c>
      <c r="E66" s="3" t="s">
        <v>240</v>
      </c>
      <c r="F66" s="3" t="s">
        <v>108</v>
      </c>
      <c r="G66" s="3" t="s">
        <v>39</v>
      </c>
      <c r="H66" s="3" t="s">
        <v>69</v>
      </c>
      <c r="I66" s="19" t="s">
        <v>110</v>
      </c>
      <c r="J66" s="3" t="s">
        <v>71</v>
      </c>
      <c r="K66" s="20">
        <v>0.0</v>
      </c>
      <c r="L66" s="20">
        <v>0.0</v>
      </c>
      <c r="M66" s="3"/>
      <c r="N66" s="3"/>
      <c r="O66" s="21"/>
      <c r="P66" s="3">
        <v>610.0</v>
      </c>
      <c r="Q66" s="3" t="s">
        <v>153</v>
      </c>
      <c r="R66" s="3" t="s">
        <v>75</v>
      </c>
      <c r="S66" s="3" t="s">
        <v>142</v>
      </c>
      <c r="T66" s="3" t="s">
        <v>39</v>
      </c>
      <c r="U66" s="3" t="s">
        <v>90</v>
      </c>
      <c r="V66" s="3" t="s">
        <v>114</v>
      </c>
      <c r="W66" s="3">
        <v>2.0</v>
      </c>
      <c r="X66" s="3">
        <v>1.0</v>
      </c>
      <c r="Y66" s="3">
        <v>5.0</v>
      </c>
      <c r="Z66" s="3">
        <v>3.0</v>
      </c>
      <c r="AA66" s="3">
        <v>2.0</v>
      </c>
      <c r="AB66" s="3">
        <v>0.0</v>
      </c>
      <c r="AC66" s="22">
        <v>2.4</v>
      </c>
      <c r="AD66" s="3">
        <v>0.0</v>
      </c>
      <c r="AE66" s="3" t="s">
        <v>110</v>
      </c>
      <c r="AF66" s="14"/>
      <c r="AG66" s="15"/>
      <c r="AH66" s="14"/>
      <c r="AI66" s="14"/>
      <c r="AJ66" s="15"/>
      <c r="AK66" s="14"/>
      <c r="AL66" s="14"/>
      <c r="AM66" s="14" t="s">
        <v>114</v>
      </c>
      <c r="AN66" s="14" t="s">
        <v>244</v>
      </c>
      <c r="AO66" s="14" t="s">
        <v>84</v>
      </c>
      <c r="AP66" s="14" t="s">
        <v>245</v>
      </c>
      <c r="AQ66" s="16">
        <v>0.0</v>
      </c>
      <c r="AR66" s="14" t="s">
        <v>196</v>
      </c>
    </row>
    <row r="67" ht="15.75" customHeight="1">
      <c r="A67" s="3" t="s">
        <v>39</v>
      </c>
      <c r="B67" s="3" t="s">
        <v>44</v>
      </c>
      <c r="C67" s="3" t="s">
        <v>102</v>
      </c>
      <c r="D67" s="3" t="s">
        <v>326</v>
      </c>
      <c r="E67" s="3" t="s">
        <v>271</v>
      </c>
      <c r="F67" s="3" t="s">
        <v>108</v>
      </c>
      <c r="G67" s="3" t="s">
        <v>39</v>
      </c>
      <c r="H67" s="3" t="s">
        <v>69</v>
      </c>
      <c r="I67" s="19" t="s">
        <v>110</v>
      </c>
      <c r="J67" s="3" t="s">
        <v>71</v>
      </c>
      <c r="K67" s="20">
        <v>0.0</v>
      </c>
      <c r="L67" s="20">
        <v>0.0</v>
      </c>
      <c r="M67" s="3"/>
      <c r="N67" s="3"/>
      <c r="O67" s="21"/>
      <c r="P67" s="3">
        <v>570.0</v>
      </c>
      <c r="Q67" s="3" t="s">
        <v>74</v>
      </c>
      <c r="R67" s="3" t="s">
        <v>75</v>
      </c>
      <c r="S67" s="3" t="s">
        <v>142</v>
      </c>
      <c r="T67" s="3" t="s">
        <v>39</v>
      </c>
      <c r="U67" s="3" t="s">
        <v>90</v>
      </c>
      <c r="V67" s="3" t="s">
        <v>114</v>
      </c>
      <c r="W67" s="3">
        <v>2.0</v>
      </c>
      <c r="X67" s="3">
        <v>2.0</v>
      </c>
      <c r="Y67" s="3">
        <v>5.0</v>
      </c>
      <c r="Z67" s="3">
        <v>3.0</v>
      </c>
      <c r="AA67" s="3">
        <v>2.0</v>
      </c>
      <c r="AB67" s="3">
        <v>0.0</v>
      </c>
      <c r="AC67" s="22">
        <v>2.5</v>
      </c>
      <c r="AD67" s="3">
        <v>0.0</v>
      </c>
      <c r="AE67" s="3" t="s">
        <v>110</v>
      </c>
      <c r="AF67" s="14"/>
      <c r="AG67" s="15"/>
      <c r="AH67" s="14"/>
      <c r="AI67" s="14"/>
      <c r="AJ67" s="15"/>
      <c r="AK67" s="14"/>
      <c r="AL67" s="14"/>
      <c r="AM67" s="14" t="s">
        <v>114</v>
      </c>
      <c r="AN67" s="14" t="s">
        <v>358</v>
      </c>
      <c r="AO67" s="14" t="s">
        <v>84</v>
      </c>
      <c r="AP67" s="14" t="s">
        <v>359</v>
      </c>
      <c r="AQ67" s="16">
        <v>0.0</v>
      </c>
      <c r="AR67" s="14" t="s">
        <v>196</v>
      </c>
    </row>
    <row r="68" ht="15.75" customHeight="1">
      <c r="A68" s="3" t="s">
        <v>39</v>
      </c>
      <c r="B68" s="3" t="s">
        <v>44</v>
      </c>
      <c r="C68" s="3" t="s">
        <v>102</v>
      </c>
      <c r="D68" s="3" t="s">
        <v>331</v>
      </c>
      <c r="E68" s="3" t="s">
        <v>181</v>
      </c>
      <c r="F68" s="3" t="s">
        <v>108</v>
      </c>
      <c r="G68" s="3" t="s">
        <v>39</v>
      </c>
      <c r="H68" s="3" t="s">
        <v>69</v>
      </c>
      <c r="I68" s="19" t="s">
        <v>110</v>
      </c>
      <c r="J68" s="3" t="s">
        <v>71</v>
      </c>
      <c r="K68" s="20">
        <v>0.0</v>
      </c>
      <c r="L68" s="20">
        <v>0.0</v>
      </c>
      <c r="M68" s="3"/>
      <c r="N68" s="3"/>
      <c r="O68" s="21"/>
      <c r="P68" s="3">
        <v>520.0</v>
      </c>
      <c r="Q68" s="3" t="s">
        <v>74</v>
      </c>
      <c r="R68" s="3" t="s">
        <v>75</v>
      </c>
      <c r="S68" s="3" t="s">
        <v>142</v>
      </c>
      <c r="T68" s="3" t="s">
        <v>39</v>
      </c>
      <c r="U68" s="3" t="s">
        <v>90</v>
      </c>
      <c r="V68" s="3" t="s">
        <v>114</v>
      </c>
      <c r="W68" s="3">
        <v>2.0</v>
      </c>
      <c r="X68" s="3">
        <v>2.0</v>
      </c>
      <c r="Y68" s="3">
        <v>5.0</v>
      </c>
      <c r="Z68" s="3">
        <v>3.0</v>
      </c>
      <c r="AA68" s="3">
        <v>2.0</v>
      </c>
      <c r="AB68" s="3">
        <v>0.0</v>
      </c>
      <c r="AC68" s="22">
        <v>2.5</v>
      </c>
      <c r="AD68" s="3">
        <v>0.0</v>
      </c>
      <c r="AE68" s="3" t="s">
        <v>110</v>
      </c>
      <c r="AF68" s="14"/>
      <c r="AG68" s="15"/>
      <c r="AH68" s="14"/>
      <c r="AI68" s="14"/>
      <c r="AJ68" s="15"/>
      <c r="AK68" s="14"/>
      <c r="AL68" s="14"/>
      <c r="AM68" s="14" t="s">
        <v>114</v>
      </c>
      <c r="AN68" s="14" t="s">
        <v>360</v>
      </c>
      <c r="AO68" s="14" t="s">
        <v>84</v>
      </c>
      <c r="AP68" s="14" t="s">
        <v>361</v>
      </c>
      <c r="AQ68" s="16">
        <v>0.0</v>
      </c>
      <c r="AR68" s="14" t="s">
        <v>196</v>
      </c>
    </row>
    <row r="69" ht="15.75" customHeight="1">
      <c r="A69" s="3" t="s">
        <v>39</v>
      </c>
      <c r="B69" s="3" t="s">
        <v>44</v>
      </c>
      <c r="C69" s="3" t="s">
        <v>102</v>
      </c>
      <c r="D69" s="3" t="s">
        <v>197</v>
      </c>
      <c r="E69" s="3" t="s">
        <v>202</v>
      </c>
      <c r="F69" s="3" t="s">
        <v>108</v>
      </c>
      <c r="G69" s="3" t="s">
        <v>39</v>
      </c>
      <c r="H69" s="3" t="s">
        <v>69</v>
      </c>
      <c r="I69" s="19" t="s">
        <v>110</v>
      </c>
      <c r="J69" s="3" t="s">
        <v>71</v>
      </c>
      <c r="K69" s="20">
        <v>0.0</v>
      </c>
      <c r="L69" s="20">
        <v>0.0</v>
      </c>
      <c r="M69" s="3"/>
      <c r="N69" s="3"/>
      <c r="O69" s="21"/>
      <c r="P69" s="3">
        <v>500.0</v>
      </c>
      <c r="Q69" s="3" t="s">
        <v>74</v>
      </c>
      <c r="R69" s="3" t="s">
        <v>75</v>
      </c>
      <c r="S69" s="3" t="s">
        <v>142</v>
      </c>
      <c r="T69" s="3" t="s">
        <v>39</v>
      </c>
      <c r="U69" s="3" t="s">
        <v>90</v>
      </c>
      <c r="V69" s="3" t="s">
        <v>114</v>
      </c>
      <c r="W69" s="3">
        <v>2.0</v>
      </c>
      <c r="X69" s="3">
        <v>2.0</v>
      </c>
      <c r="Y69" s="3">
        <v>5.0</v>
      </c>
      <c r="Z69" s="3">
        <v>3.0</v>
      </c>
      <c r="AA69" s="3">
        <v>2.0</v>
      </c>
      <c r="AB69" s="3">
        <v>0.0</v>
      </c>
      <c r="AC69" s="22">
        <v>2.5</v>
      </c>
      <c r="AD69" s="3">
        <v>0.0</v>
      </c>
      <c r="AE69" s="3" t="s">
        <v>110</v>
      </c>
      <c r="AF69" s="14"/>
      <c r="AG69" s="15"/>
      <c r="AH69" s="14"/>
      <c r="AI69" s="14"/>
      <c r="AJ69" s="15"/>
      <c r="AK69" s="14"/>
      <c r="AL69" s="14"/>
      <c r="AM69" s="14" t="s">
        <v>114</v>
      </c>
      <c r="AN69" s="14" t="s">
        <v>249</v>
      </c>
      <c r="AO69" s="14" t="s">
        <v>84</v>
      </c>
      <c r="AP69" s="14" t="s">
        <v>250</v>
      </c>
      <c r="AQ69" s="16">
        <v>0.0</v>
      </c>
      <c r="AR69" s="14" t="s">
        <v>196</v>
      </c>
    </row>
    <row r="70" ht="15.75" customHeight="1">
      <c r="A70" s="3" t="s">
        <v>39</v>
      </c>
      <c r="B70" s="3" t="s">
        <v>44</v>
      </c>
      <c r="C70" s="3" t="s">
        <v>102</v>
      </c>
      <c r="D70" s="3" t="s">
        <v>335</v>
      </c>
      <c r="E70" s="3" t="s">
        <v>240</v>
      </c>
      <c r="F70" s="3" t="s">
        <v>108</v>
      </c>
      <c r="G70" s="3" t="s">
        <v>39</v>
      </c>
      <c r="H70" s="3" t="s">
        <v>69</v>
      </c>
      <c r="I70" s="19" t="s">
        <v>110</v>
      </c>
      <c r="J70" s="3" t="s">
        <v>71</v>
      </c>
      <c r="K70" s="20">
        <v>0.0</v>
      </c>
      <c r="L70" s="20">
        <v>0.0</v>
      </c>
      <c r="M70" s="3"/>
      <c r="N70" s="3"/>
      <c r="O70" s="21"/>
      <c r="P70" s="3">
        <v>610.0</v>
      </c>
      <c r="Q70" s="3" t="s">
        <v>153</v>
      </c>
      <c r="R70" s="3" t="s">
        <v>75</v>
      </c>
      <c r="S70" s="3" t="s">
        <v>142</v>
      </c>
      <c r="T70" s="3" t="s">
        <v>39</v>
      </c>
      <c r="U70" s="3" t="s">
        <v>90</v>
      </c>
      <c r="V70" s="3" t="s">
        <v>114</v>
      </c>
      <c r="W70" s="3">
        <v>2.0</v>
      </c>
      <c r="X70" s="3">
        <v>1.0</v>
      </c>
      <c r="Y70" s="3">
        <v>5.0</v>
      </c>
      <c r="Z70" s="3">
        <v>3.0</v>
      </c>
      <c r="AA70" s="3">
        <v>2.0</v>
      </c>
      <c r="AB70" s="3">
        <v>0.0</v>
      </c>
      <c r="AC70" s="22">
        <v>2.4</v>
      </c>
      <c r="AD70" s="3">
        <v>0.0</v>
      </c>
      <c r="AE70" s="3" t="s">
        <v>110</v>
      </c>
      <c r="AF70" s="14"/>
      <c r="AG70" s="15"/>
      <c r="AH70" s="14"/>
      <c r="AI70" s="14"/>
      <c r="AJ70" s="15"/>
      <c r="AK70" s="14"/>
      <c r="AL70" s="14"/>
      <c r="AM70" s="14" t="s">
        <v>114</v>
      </c>
      <c r="AN70" s="14" t="s">
        <v>365</v>
      </c>
      <c r="AO70" s="14" t="s">
        <v>84</v>
      </c>
      <c r="AP70" s="14" t="s">
        <v>366</v>
      </c>
      <c r="AQ70" s="16">
        <v>0.0</v>
      </c>
      <c r="AR70" s="14" t="s">
        <v>196</v>
      </c>
    </row>
    <row r="71" ht="15.75" customHeight="1">
      <c r="A71" s="3" t="s">
        <v>39</v>
      </c>
      <c r="B71" s="3" t="s">
        <v>44</v>
      </c>
      <c r="C71" s="3" t="s">
        <v>102</v>
      </c>
      <c r="D71" s="3" t="s">
        <v>336</v>
      </c>
      <c r="E71" s="3" t="s">
        <v>240</v>
      </c>
      <c r="F71" s="3" t="s">
        <v>108</v>
      </c>
      <c r="G71" s="3" t="s">
        <v>39</v>
      </c>
      <c r="H71" s="3" t="s">
        <v>69</v>
      </c>
      <c r="I71" s="19" t="s">
        <v>110</v>
      </c>
      <c r="J71" s="3" t="s">
        <v>71</v>
      </c>
      <c r="K71" s="20">
        <v>0.0</v>
      </c>
      <c r="L71" s="20">
        <v>0.0</v>
      </c>
      <c r="M71" s="3"/>
      <c r="N71" s="3"/>
      <c r="O71" s="21"/>
      <c r="P71" s="3">
        <v>610.0</v>
      </c>
      <c r="Q71" s="3" t="s">
        <v>153</v>
      </c>
      <c r="R71" s="3" t="s">
        <v>75</v>
      </c>
      <c r="S71" s="3" t="s">
        <v>142</v>
      </c>
      <c r="T71" s="3" t="s">
        <v>39</v>
      </c>
      <c r="U71" s="3" t="s">
        <v>90</v>
      </c>
      <c r="V71" s="3" t="s">
        <v>114</v>
      </c>
      <c r="W71" s="3">
        <v>2.0</v>
      </c>
      <c r="X71" s="3">
        <v>1.0</v>
      </c>
      <c r="Y71" s="3">
        <v>5.0</v>
      </c>
      <c r="Z71" s="3">
        <v>3.0</v>
      </c>
      <c r="AA71" s="3">
        <v>2.0</v>
      </c>
      <c r="AB71" s="3">
        <v>0.0</v>
      </c>
      <c r="AC71" s="22">
        <v>2.4</v>
      </c>
      <c r="AD71" s="3">
        <v>0.0</v>
      </c>
      <c r="AE71" s="3" t="s">
        <v>110</v>
      </c>
      <c r="AF71" s="14"/>
      <c r="AG71" s="15"/>
      <c r="AH71" s="14"/>
      <c r="AI71" s="14"/>
      <c r="AJ71" s="15"/>
      <c r="AK71" s="14"/>
      <c r="AL71" s="14"/>
      <c r="AM71" s="14" t="s">
        <v>114</v>
      </c>
      <c r="AN71" s="14" t="s">
        <v>369</v>
      </c>
      <c r="AO71" s="14" t="s">
        <v>84</v>
      </c>
      <c r="AP71" s="14" t="s">
        <v>370</v>
      </c>
      <c r="AQ71" s="16">
        <v>0.0</v>
      </c>
      <c r="AR71" s="14" t="s">
        <v>196</v>
      </c>
    </row>
    <row r="72" ht="15.75" customHeight="1">
      <c r="A72" s="3" t="s">
        <v>39</v>
      </c>
      <c r="B72" s="3" t="s">
        <v>44</v>
      </c>
      <c r="C72" s="3" t="s">
        <v>102</v>
      </c>
      <c r="D72" s="3" t="s">
        <v>203</v>
      </c>
      <c r="E72" s="3" t="s">
        <v>202</v>
      </c>
      <c r="F72" s="3" t="s">
        <v>108</v>
      </c>
      <c r="G72" s="3" t="s">
        <v>39</v>
      </c>
      <c r="H72" s="3" t="s">
        <v>69</v>
      </c>
      <c r="I72" s="19" t="s">
        <v>110</v>
      </c>
      <c r="J72" s="3" t="s">
        <v>71</v>
      </c>
      <c r="K72" s="20">
        <v>0.0</v>
      </c>
      <c r="L72" s="20">
        <v>0.0</v>
      </c>
      <c r="M72" s="3"/>
      <c r="N72" s="3"/>
      <c r="O72" s="21"/>
      <c r="P72" s="3">
        <v>500.0</v>
      </c>
      <c r="Q72" s="3" t="s">
        <v>74</v>
      </c>
      <c r="R72" s="3" t="s">
        <v>75</v>
      </c>
      <c r="S72" s="3" t="s">
        <v>142</v>
      </c>
      <c r="T72" s="3" t="s">
        <v>39</v>
      </c>
      <c r="U72" s="3" t="s">
        <v>90</v>
      </c>
      <c r="V72" s="3" t="s">
        <v>114</v>
      </c>
      <c r="W72" s="3">
        <v>2.0</v>
      </c>
      <c r="X72" s="3">
        <v>2.0</v>
      </c>
      <c r="Y72" s="3">
        <v>5.0</v>
      </c>
      <c r="Z72" s="3">
        <v>3.0</v>
      </c>
      <c r="AA72" s="3">
        <v>2.0</v>
      </c>
      <c r="AB72" s="3">
        <v>0.0</v>
      </c>
      <c r="AC72" s="22">
        <v>2.5</v>
      </c>
      <c r="AD72" s="3">
        <v>0.0</v>
      </c>
      <c r="AE72" s="3" t="s">
        <v>110</v>
      </c>
      <c r="AF72" s="14"/>
      <c r="AG72" s="15"/>
      <c r="AH72" s="14"/>
      <c r="AI72" s="14"/>
      <c r="AJ72" s="15"/>
      <c r="AK72" s="14"/>
      <c r="AL72" s="14"/>
      <c r="AM72" s="14" t="s">
        <v>114</v>
      </c>
      <c r="AN72" s="14" t="s">
        <v>254</v>
      </c>
      <c r="AO72" s="14" t="s">
        <v>84</v>
      </c>
      <c r="AP72" s="14" t="s">
        <v>255</v>
      </c>
      <c r="AQ72" s="16">
        <v>0.0</v>
      </c>
      <c r="AR72" s="14" t="s">
        <v>196</v>
      </c>
    </row>
    <row r="73" ht="15.75" customHeight="1">
      <c r="A73" s="3" t="s">
        <v>39</v>
      </c>
      <c r="B73" s="3" t="s">
        <v>44</v>
      </c>
      <c r="C73" s="3" t="s">
        <v>102</v>
      </c>
      <c r="D73" s="3" t="s">
        <v>339</v>
      </c>
      <c r="E73" s="3" t="s">
        <v>202</v>
      </c>
      <c r="F73" s="3" t="s">
        <v>108</v>
      </c>
      <c r="G73" s="3" t="s">
        <v>39</v>
      </c>
      <c r="H73" s="3" t="s">
        <v>69</v>
      </c>
      <c r="I73" s="19" t="s">
        <v>110</v>
      </c>
      <c r="J73" s="3" t="s">
        <v>71</v>
      </c>
      <c r="K73" s="20">
        <v>0.0</v>
      </c>
      <c r="L73" s="20">
        <v>0.0</v>
      </c>
      <c r="M73" s="3"/>
      <c r="N73" s="3"/>
      <c r="O73" s="21"/>
      <c r="P73" s="3">
        <v>500.0</v>
      </c>
      <c r="Q73" s="3" t="s">
        <v>74</v>
      </c>
      <c r="R73" s="3" t="s">
        <v>75</v>
      </c>
      <c r="S73" s="3" t="s">
        <v>142</v>
      </c>
      <c r="T73" s="3" t="s">
        <v>39</v>
      </c>
      <c r="U73" s="3" t="s">
        <v>90</v>
      </c>
      <c r="V73" s="3" t="s">
        <v>114</v>
      </c>
      <c r="W73" s="3">
        <v>2.0</v>
      </c>
      <c r="X73" s="3">
        <v>2.0</v>
      </c>
      <c r="Y73" s="3">
        <v>5.0</v>
      </c>
      <c r="Z73" s="3">
        <v>3.0</v>
      </c>
      <c r="AA73" s="3">
        <v>2.0</v>
      </c>
      <c r="AB73" s="3">
        <v>0.0</v>
      </c>
      <c r="AC73" s="22">
        <v>2.5</v>
      </c>
      <c r="AD73" s="3">
        <v>0.0</v>
      </c>
      <c r="AE73" s="3" t="s">
        <v>110</v>
      </c>
      <c r="AF73" s="14"/>
      <c r="AG73" s="15"/>
      <c r="AH73" s="14"/>
      <c r="AI73" s="14"/>
      <c r="AJ73" s="15"/>
      <c r="AK73" s="14"/>
      <c r="AL73" s="14"/>
      <c r="AM73" s="14" t="s">
        <v>114</v>
      </c>
      <c r="AN73" s="14" t="s">
        <v>372</v>
      </c>
      <c r="AO73" s="14" t="s">
        <v>84</v>
      </c>
      <c r="AP73" s="14" t="s">
        <v>373</v>
      </c>
      <c r="AQ73" s="16">
        <v>0.0</v>
      </c>
      <c r="AR73" s="14" t="s">
        <v>196</v>
      </c>
    </row>
    <row r="74" ht="15.75" customHeight="1">
      <c r="A74" s="3" t="s">
        <v>39</v>
      </c>
      <c r="B74" s="3" t="s">
        <v>44</v>
      </c>
      <c r="C74" s="3" t="s">
        <v>102</v>
      </c>
      <c r="D74" s="3" t="s">
        <v>213</v>
      </c>
      <c r="E74" s="3" t="s">
        <v>138</v>
      </c>
      <c r="F74" s="3" t="s">
        <v>108</v>
      </c>
      <c r="G74" s="3" t="s">
        <v>39</v>
      </c>
      <c r="H74" s="3" t="s">
        <v>69</v>
      </c>
      <c r="I74" s="19" t="s">
        <v>110</v>
      </c>
      <c r="J74" s="3" t="s">
        <v>71</v>
      </c>
      <c r="K74" s="20">
        <v>0.0</v>
      </c>
      <c r="L74" s="20">
        <v>0.0</v>
      </c>
      <c r="M74" s="3"/>
      <c r="N74" s="3"/>
      <c r="O74" s="21"/>
      <c r="P74" s="3">
        <v>300.0</v>
      </c>
      <c r="Q74" s="3" t="s">
        <v>140</v>
      </c>
      <c r="R74" s="3" t="s">
        <v>75</v>
      </c>
      <c r="S74" s="3" t="s">
        <v>142</v>
      </c>
      <c r="T74" s="3" t="s">
        <v>39</v>
      </c>
      <c r="U74" s="3" t="s">
        <v>90</v>
      </c>
      <c r="V74" s="3" t="s">
        <v>114</v>
      </c>
      <c r="W74" s="3">
        <v>2.0</v>
      </c>
      <c r="X74" s="3">
        <v>4.0</v>
      </c>
      <c r="Y74" s="3">
        <v>5.0</v>
      </c>
      <c r="Z74" s="3">
        <v>3.0</v>
      </c>
      <c r="AA74" s="3">
        <v>2.0</v>
      </c>
      <c r="AB74" s="3">
        <v>0.0</v>
      </c>
      <c r="AC74" s="22">
        <v>2.9</v>
      </c>
      <c r="AD74" s="3">
        <v>0.0</v>
      </c>
      <c r="AE74" s="3" t="s">
        <v>110</v>
      </c>
      <c r="AF74" s="14"/>
      <c r="AG74" s="15"/>
      <c r="AH74" s="14"/>
      <c r="AI74" s="14"/>
      <c r="AJ74" s="15"/>
      <c r="AK74" s="14"/>
      <c r="AL74" s="14"/>
      <c r="AM74" s="14" t="s">
        <v>114</v>
      </c>
      <c r="AN74" s="14" t="s">
        <v>374</v>
      </c>
      <c r="AO74" s="14" t="s">
        <v>84</v>
      </c>
      <c r="AP74" s="14" t="s">
        <v>375</v>
      </c>
      <c r="AQ74" s="16">
        <v>0.0</v>
      </c>
      <c r="AR74" s="14" t="s">
        <v>196</v>
      </c>
    </row>
    <row r="75" ht="15.75" customHeight="1">
      <c r="A75" s="3" t="s">
        <v>39</v>
      </c>
      <c r="B75" s="3" t="s">
        <v>44</v>
      </c>
      <c r="C75" s="3" t="s">
        <v>102</v>
      </c>
      <c r="D75" s="3" t="s">
        <v>340</v>
      </c>
      <c r="E75" s="3" t="s">
        <v>181</v>
      </c>
      <c r="F75" s="3" t="s">
        <v>108</v>
      </c>
      <c r="G75" s="3" t="s">
        <v>39</v>
      </c>
      <c r="H75" s="3" t="s">
        <v>69</v>
      </c>
      <c r="I75" s="19" t="s">
        <v>110</v>
      </c>
      <c r="J75" s="3" t="s">
        <v>71</v>
      </c>
      <c r="K75" s="20">
        <v>0.0</v>
      </c>
      <c r="L75" s="20">
        <v>0.0</v>
      </c>
      <c r="M75" s="3"/>
      <c r="N75" s="3"/>
      <c r="O75" s="21"/>
      <c r="P75" s="3">
        <v>520.0</v>
      </c>
      <c r="Q75" s="3" t="s">
        <v>74</v>
      </c>
      <c r="R75" s="3" t="s">
        <v>75</v>
      </c>
      <c r="S75" s="3" t="s">
        <v>142</v>
      </c>
      <c r="T75" s="3" t="s">
        <v>39</v>
      </c>
      <c r="U75" s="3" t="s">
        <v>90</v>
      </c>
      <c r="V75" s="3" t="s">
        <v>114</v>
      </c>
      <c r="W75" s="3">
        <v>2.0</v>
      </c>
      <c r="X75" s="3">
        <v>2.0</v>
      </c>
      <c r="Y75" s="3">
        <v>5.0</v>
      </c>
      <c r="Z75" s="3">
        <v>3.0</v>
      </c>
      <c r="AA75" s="3">
        <v>2.0</v>
      </c>
      <c r="AB75" s="3">
        <v>0.0</v>
      </c>
      <c r="AC75" s="22">
        <v>2.5</v>
      </c>
      <c r="AD75" s="3">
        <v>0.0</v>
      </c>
      <c r="AE75" s="3" t="s">
        <v>110</v>
      </c>
      <c r="AF75" s="14"/>
      <c r="AG75" s="15"/>
      <c r="AH75" s="14"/>
      <c r="AI75" s="14"/>
      <c r="AJ75" s="15"/>
      <c r="AK75" s="14"/>
      <c r="AL75" s="14"/>
      <c r="AM75" s="14" t="s">
        <v>114</v>
      </c>
      <c r="AN75" s="14" t="s">
        <v>377</v>
      </c>
      <c r="AO75" s="14" t="s">
        <v>84</v>
      </c>
      <c r="AP75" s="14" t="s">
        <v>378</v>
      </c>
      <c r="AQ75" s="16">
        <v>0.0</v>
      </c>
      <c r="AR75" s="14" t="s">
        <v>196</v>
      </c>
    </row>
    <row r="76" ht="15.75" customHeight="1">
      <c r="A76" s="3" t="s">
        <v>39</v>
      </c>
      <c r="B76" s="3" t="s">
        <v>44</v>
      </c>
      <c r="C76" s="3" t="s">
        <v>102</v>
      </c>
      <c r="D76" s="3" t="s">
        <v>151</v>
      </c>
      <c r="E76" s="3" t="s">
        <v>106</v>
      </c>
      <c r="F76" s="3" t="s">
        <v>108</v>
      </c>
      <c r="G76" s="3" t="s">
        <v>39</v>
      </c>
      <c r="H76" s="3" t="s">
        <v>69</v>
      </c>
      <c r="I76" s="19" t="s">
        <v>110</v>
      </c>
      <c r="J76" s="3" t="s">
        <v>71</v>
      </c>
      <c r="K76" s="20">
        <v>0.0</v>
      </c>
      <c r="L76" s="20">
        <v>0.0</v>
      </c>
      <c r="M76" s="3"/>
      <c r="N76" s="3"/>
      <c r="O76" s="21"/>
      <c r="P76" s="3">
        <v>130.0</v>
      </c>
      <c r="Q76" s="3" t="s">
        <v>121</v>
      </c>
      <c r="R76" s="3" t="s">
        <v>75</v>
      </c>
      <c r="S76" s="3" t="s">
        <v>76</v>
      </c>
      <c r="T76" s="3" t="s">
        <v>39</v>
      </c>
      <c r="U76" s="3" t="s">
        <v>90</v>
      </c>
      <c r="V76" s="3" t="s">
        <v>114</v>
      </c>
      <c r="W76" s="3">
        <v>2.0</v>
      </c>
      <c r="X76" s="3">
        <v>5.0</v>
      </c>
      <c r="Y76" s="3">
        <v>5.0</v>
      </c>
      <c r="Z76" s="3">
        <v>3.0</v>
      </c>
      <c r="AA76" s="3">
        <v>4.0</v>
      </c>
      <c r="AB76" s="3">
        <v>0.0</v>
      </c>
      <c r="AC76" s="22">
        <v>3.2</v>
      </c>
      <c r="AD76" s="3">
        <v>0.0</v>
      </c>
      <c r="AE76" s="3" t="s">
        <v>110</v>
      </c>
      <c r="AF76" s="14"/>
      <c r="AG76" s="15"/>
      <c r="AH76" s="14"/>
      <c r="AI76" s="14"/>
      <c r="AJ76" s="15"/>
      <c r="AK76" s="14"/>
      <c r="AL76" s="14"/>
      <c r="AM76" s="14" t="s">
        <v>114</v>
      </c>
      <c r="AN76" s="14" t="s">
        <v>380</v>
      </c>
      <c r="AO76" s="14" t="s">
        <v>84</v>
      </c>
      <c r="AP76" s="14" t="s">
        <v>381</v>
      </c>
      <c r="AQ76" s="16">
        <v>0.0</v>
      </c>
      <c r="AR76" s="14" t="s">
        <v>196</v>
      </c>
    </row>
    <row r="77" ht="15.75" customHeight="1">
      <c r="A77" s="3" t="s">
        <v>39</v>
      </c>
      <c r="B77" s="3" t="s">
        <v>44</v>
      </c>
      <c r="C77" s="3" t="s">
        <v>102</v>
      </c>
      <c r="D77" s="3" t="s">
        <v>351</v>
      </c>
      <c r="E77" s="3" t="s">
        <v>271</v>
      </c>
      <c r="F77" s="3" t="s">
        <v>108</v>
      </c>
      <c r="G77" s="3" t="s">
        <v>39</v>
      </c>
      <c r="H77" s="3" t="s">
        <v>69</v>
      </c>
      <c r="I77" s="19" t="s">
        <v>110</v>
      </c>
      <c r="J77" s="3" t="s">
        <v>71</v>
      </c>
      <c r="K77" s="20">
        <v>0.0</v>
      </c>
      <c r="L77" s="20">
        <v>0.0</v>
      </c>
      <c r="M77" s="3"/>
      <c r="N77" s="3"/>
      <c r="O77" s="21"/>
      <c r="P77" s="3">
        <v>570.0</v>
      </c>
      <c r="Q77" s="3" t="s">
        <v>74</v>
      </c>
      <c r="R77" s="3" t="s">
        <v>75</v>
      </c>
      <c r="S77" s="3" t="s">
        <v>142</v>
      </c>
      <c r="T77" s="3" t="s">
        <v>39</v>
      </c>
      <c r="U77" s="3" t="s">
        <v>90</v>
      </c>
      <c r="V77" s="3" t="s">
        <v>114</v>
      </c>
      <c r="W77" s="3">
        <v>2.0</v>
      </c>
      <c r="X77" s="3">
        <v>2.0</v>
      </c>
      <c r="Y77" s="3">
        <v>5.0</v>
      </c>
      <c r="Z77" s="3">
        <v>3.0</v>
      </c>
      <c r="AA77" s="3">
        <v>2.0</v>
      </c>
      <c r="AB77" s="3">
        <v>0.0</v>
      </c>
      <c r="AC77" s="22">
        <v>2.5</v>
      </c>
      <c r="AD77" s="3">
        <v>0.0</v>
      </c>
      <c r="AE77" s="3" t="s">
        <v>110</v>
      </c>
      <c r="AF77" s="14"/>
      <c r="AG77" s="15"/>
      <c r="AH77" s="14"/>
      <c r="AI77" s="14"/>
      <c r="AJ77" s="15"/>
      <c r="AK77" s="14"/>
      <c r="AL77" s="14"/>
      <c r="AM77" s="14" t="s">
        <v>114</v>
      </c>
      <c r="AN77" s="14" t="s">
        <v>384</v>
      </c>
      <c r="AO77" s="14" t="s">
        <v>84</v>
      </c>
      <c r="AP77" s="14" t="s">
        <v>385</v>
      </c>
      <c r="AQ77" s="16">
        <v>0.0</v>
      </c>
      <c r="AR77" s="14" t="s">
        <v>196</v>
      </c>
    </row>
    <row r="78" ht="15.75" customHeight="1">
      <c r="A78" s="3" t="s">
        <v>39</v>
      </c>
      <c r="B78" s="3" t="s">
        <v>44</v>
      </c>
      <c r="C78" s="3" t="s">
        <v>102</v>
      </c>
      <c r="D78" s="3" t="s">
        <v>352</v>
      </c>
      <c r="E78" s="3" t="s">
        <v>271</v>
      </c>
      <c r="F78" s="3" t="s">
        <v>108</v>
      </c>
      <c r="G78" s="3" t="s">
        <v>39</v>
      </c>
      <c r="H78" s="3" t="s">
        <v>69</v>
      </c>
      <c r="I78" s="19" t="s">
        <v>110</v>
      </c>
      <c r="J78" s="3" t="s">
        <v>71</v>
      </c>
      <c r="K78" s="20">
        <v>0.0</v>
      </c>
      <c r="L78" s="20">
        <v>0.0</v>
      </c>
      <c r="M78" s="3"/>
      <c r="N78" s="3"/>
      <c r="O78" s="21"/>
      <c r="P78" s="3">
        <v>570.0</v>
      </c>
      <c r="Q78" s="3" t="s">
        <v>74</v>
      </c>
      <c r="R78" s="3" t="s">
        <v>75</v>
      </c>
      <c r="S78" s="3" t="s">
        <v>142</v>
      </c>
      <c r="T78" s="3" t="s">
        <v>39</v>
      </c>
      <c r="U78" s="3" t="s">
        <v>90</v>
      </c>
      <c r="V78" s="3" t="s">
        <v>114</v>
      </c>
      <c r="W78" s="3">
        <v>2.0</v>
      </c>
      <c r="X78" s="3">
        <v>2.0</v>
      </c>
      <c r="Y78" s="3">
        <v>5.0</v>
      </c>
      <c r="Z78" s="3">
        <v>3.0</v>
      </c>
      <c r="AA78" s="3">
        <v>2.0</v>
      </c>
      <c r="AB78" s="3">
        <v>0.0</v>
      </c>
      <c r="AC78" s="22">
        <v>2.5</v>
      </c>
      <c r="AD78" s="3">
        <v>0.0</v>
      </c>
      <c r="AE78" s="3" t="s">
        <v>110</v>
      </c>
      <c r="AF78" s="14"/>
      <c r="AG78" s="15"/>
      <c r="AH78" s="14"/>
      <c r="AI78" s="14"/>
      <c r="AJ78" s="15"/>
      <c r="AK78" s="14"/>
      <c r="AL78" s="14"/>
      <c r="AM78" s="14" t="s">
        <v>114</v>
      </c>
      <c r="AN78" s="14" t="s">
        <v>386</v>
      </c>
      <c r="AO78" s="14" t="s">
        <v>84</v>
      </c>
      <c r="AP78" s="14" t="s">
        <v>387</v>
      </c>
      <c r="AQ78" s="16">
        <v>0.0</v>
      </c>
      <c r="AR78" s="14" t="s">
        <v>196</v>
      </c>
    </row>
    <row r="79" ht="15.75" customHeight="1">
      <c r="A79" s="3" t="s">
        <v>39</v>
      </c>
      <c r="B79" s="3" t="s">
        <v>44</v>
      </c>
      <c r="C79" s="3" t="s">
        <v>102</v>
      </c>
      <c r="D79" s="3" t="s">
        <v>355</v>
      </c>
      <c r="E79" s="3" t="s">
        <v>271</v>
      </c>
      <c r="F79" s="3" t="s">
        <v>108</v>
      </c>
      <c r="G79" s="3" t="s">
        <v>39</v>
      </c>
      <c r="H79" s="3" t="s">
        <v>69</v>
      </c>
      <c r="I79" s="19" t="s">
        <v>110</v>
      </c>
      <c r="J79" s="3" t="s">
        <v>71</v>
      </c>
      <c r="K79" s="20">
        <v>0.0</v>
      </c>
      <c r="L79" s="20">
        <v>0.0</v>
      </c>
      <c r="M79" s="3"/>
      <c r="N79" s="3"/>
      <c r="O79" s="21"/>
      <c r="P79" s="3">
        <v>570.0</v>
      </c>
      <c r="Q79" s="3" t="s">
        <v>74</v>
      </c>
      <c r="R79" s="3" t="s">
        <v>75</v>
      </c>
      <c r="S79" s="3" t="s">
        <v>142</v>
      </c>
      <c r="T79" s="3" t="s">
        <v>39</v>
      </c>
      <c r="U79" s="3" t="s">
        <v>90</v>
      </c>
      <c r="V79" s="3" t="s">
        <v>114</v>
      </c>
      <c r="W79" s="3">
        <v>2.0</v>
      </c>
      <c r="X79" s="3">
        <v>2.0</v>
      </c>
      <c r="Y79" s="3">
        <v>5.0</v>
      </c>
      <c r="Z79" s="3">
        <v>3.0</v>
      </c>
      <c r="AA79" s="3">
        <v>2.0</v>
      </c>
      <c r="AB79" s="3">
        <v>0.0</v>
      </c>
      <c r="AC79" s="22">
        <v>2.5</v>
      </c>
      <c r="AD79" s="3">
        <v>0.0</v>
      </c>
      <c r="AE79" s="3" t="s">
        <v>110</v>
      </c>
      <c r="AF79" s="14"/>
      <c r="AG79" s="15"/>
      <c r="AH79" s="14"/>
      <c r="AI79" s="14"/>
      <c r="AJ79" s="15"/>
      <c r="AK79" s="14"/>
      <c r="AL79" s="14"/>
      <c r="AM79" s="14" t="s">
        <v>114</v>
      </c>
      <c r="AN79" s="14" t="s">
        <v>389</v>
      </c>
      <c r="AO79" s="14" t="s">
        <v>84</v>
      </c>
      <c r="AP79" s="14" t="s">
        <v>390</v>
      </c>
      <c r="AQ79" s="16">
        <v>0.0</v>
      </c>
      <c r="AR79" s="14" t="s">
        <v>196</v>
      </c>
    </row>
    <row r="80" ht="15.75" customHeight="1">
      <c r="A80" s="3" t="s">
        <v>39</v>
      </c>
      <c r="B80" s="3" t="s">
        <v>137</v>
      </c>
      <c r="C80" s="3" t="s">
        <v>102</v>
      </c>
      <c r="D80" s="3" t="s">
        <v>223</v>
      </c>
      <c r="E80" s="3" t="s">
        <v>240</v>
      </c>
      <c r="F80" s="3" t="s">
        <v>198</v>
      </c>
      <c r="G80" s="3" t="s">
        <v>69</v>
      </c>
      <c r="H80" s="3" t="s">
        <v>69</v>
      </c>
      <c r="I80" s="19" t="s">
        <v>110</v>
      </c>
      <c r="J80" s="3" t="s">
        <v>71</v>
      </c>
      <c r="K80" s="20">
        <v>3.0</v>
      </c>
      <c r="L80" s="20"/>
      <c r="M80" s="3"/>
      <c r="N80" s="3"/>
      <c r="O80" s="21"/>
      <c r="P80" s="3">
        <v>610.0</v>
      </c>
      <c r="Q80" s="3" t="s">
        <v>153</v>
      </c>
      <c r="R80" s="3" t="s">
        <v>75</v>
      </c>
      <c r="S80" s="3" t="s">
        <v>142</v>
      </c>
      <c r="T80" s="3" t="s">
        <v>39</v>
      </c>
      <c r="U80" s="3" t="s">
        <v>392</v>
      </c>
      <c r="V80" s="3" t="s">
        <v>201</v>
      </c>
      <c r="W80" s="3">
        <v>2.0</v>
      </c>
      <c r="X80" s="3">
        <v>1.0</v>
      </c>
      <c r="Y80" s="3">
        <v>4.0</v>
      </c>
      <c r="Z80" s="3">
        <v>3.0</v>
      </c>
      <c r="AA80" s="3">
        <v>2.0</v>
      </c>
      <c r="AB80" s="3">
        <v>0.0</v>
      </c>
      <c r="AC80" s="22">
        <v>1.1</v>
      </c>
      <c r="AD80" s="3"/>
      <c r="AE80" s="3" t="s">
        <v>110</v>
      </c>
      <c r="AF80" s="14"/>
      <c r="AG80" s="15"/>
      <c r="AH80" s="14"/>
      <c r="AI80" s="14"/>
      <c r="AJ80" s="15"/>
      <c r="AK80" s="14"/>
      <c r="AL80" s="14"/>
      <c r="AM80" s="14" t="s">
        <v>201</v>
      </c>
      <c r="AN80" s="14" t="s">
        <v>393</v>
      </c>
      <c r="AO80" s="14" t="s">
        <v>84</v>
      </c>
      <c r="AP80" s="14" t="s">
        <v>394</v>
      </c>
      <c r="AQ80" s="16">
        <v>-1.0</v>
      </c>
      <c r="AR80" s="14" t="s">
        <v>147</v>
      </c>
    </row>
    <row r="81" ht="15.75" customHeight="1">
      <c r="A81" s="3" t="s">
        <v>39</v>
      </c>
      <c r="B81" s="3" t="s">
        <v>137</v>
      </c>
      <c r="C81" s="3" t="s">
        <v>102</v>
      </c>
      <c r="D81" s="3" t="s">
        <v>230</v>
      </c>
      <c r="E81" s="3" t="s">
        <v>202</v>
      </c>
      <c r="F81" s="3" t="s">
        <v>231</v>
      </c>
      <c r="G81" s="3" t="s">
        <v>69</v>
      </c>
      <c r="H81" s="3" t="s">
        <v>69</v>
      </c>
      <c r="I81" s="19" t="s">
        <v>110</v>
      </c>
      <c r="J81" s="3" t="s">
        <v>71</v>
      </c>
      <c r="K81" s="20">
        <v>0.0</v>
      </c>
      <c r="L81" s="20">
        <v>0.0</v>
      </c>
      <c r="M81" s="3"/>
      <c r="N81" s="3"/>
      <c r="O81" s="21"/>
      <c r="P81" s="3">
        <v>500.0</v>
      </c>
      <c r="Q81" s="3" t="s">
        <v>74</v>
      </c>
      <c r="R81" s="3" t="s">
        <v>75</v>
      </c>
      <c r="S81" s="3" t="s">
        <v>142</v>
      </c>
      <c r="T81" s="3" t="s">
        <v>39</v>
      </c>
      <c r="U81" s="3" t="s">
        <v>344</v>
      </c>
      <c r="V81" s="3" t="s">
        <v>233</v>
      </c>
      <c r="W81" s="3">
        <v>2.0</v>
      </c>
      <c r="X81" s="3">
        <v>2.0</v>
      </c>
      <c r="Y81" s="3">
        <v>4.0</v>
      </c>
      <c r="Z81" s="3">
        <v>3.0</v>
      </c>
      <c r="AA81" s="3">
        <v>2.0</v>
      </c>
      <c r="AB81" s="3">
        <v>0.0</v>
      </c>
      <c r="AC81" s="22">
        <v>1.3</v>
      </c>
      <c r="AD81" s="3">
        <v>0.0</v>
      </c>
      <c r="AE81" s="3" t="s">
        <v>110</v>
      </c>
      <c r="AF81" s="14"/>
      <c r="AG81" s="15"/>
      <c r="AH81" s="14"/>
      <c r="AI81" s="14"/>
      <c r="AJ81" s="15"/>
      <c r="AK81" s="14"/>
      <c r="AL81" s="14"/>
      <c r="AM81" s="14" t="s">
        <v>233</v>
      </c>
      <c r="AN81" s="14" t="s">
        <v>395</v>
      </c>
      <c r="AO81" s="14" t="s">
        <v>84</v>
      </c>
      <c r="AP81" s="14" t="s">
        <v>396</v>
      </c>
      <c r="AQ81" s="16">
        <v>-1.0</v>
      </c>
      <c r="AR81" s="14" t="s">
        <v>147</v>
      </c>
    </row>
    <row r="82" ht="15.75" customHeight="1">
      <c r="A82" s="3" t="s">
        <v>39</v>
      </c>
      <c r="B82" s="3" t="s">
        <v>44</v>
      </c>
      <c r="C82" s="3" t="s">
        <v>102</v>
      </c>
      <c r="D82" s="3" t="s">
        <v>234</v>
      </c>
      <c r="E82" s="3" t="s">
        <v>181</v>
      </c>
      <c r="F82" s="3" t="s">
        <v>235</v>
      </c>
      <c r="G82" s="3" t="s">
        <v>69</v>
      </c>
      <c r="H82" s="3" t="s">
        <v>69</v>
      </c>
      <c r="I82" s="19" t="s">
        <v>110</v>
      </c>
      <c r="J82" s="3" t="s">
        <v>71</v>
      </c>
      <c r="K82" s="20">
        <v>10.0</v>
      </c>
      <c r="L82" s="20"/>
      <c r="M82" s="3"/>
      <c r="N82" s="3"/>
      <c r="O82" s="21"/>
      <c r="P82" s="3">
        <v>520.0</v>
      </c>
      <c r="Q82" s="3" t="s">
        <v>74</v>
      </c>
      <c r="R82" s="3" t="s">
        <v>75</v>
      </c>
      <c r="S82" s="3" t="s">
        <v>142</v>
      </c>
      <c r="T82" s="3" t="s">
        <v>39</v>
      </c>
      <c r="U82" s="3" t="s">
        <v>90</v>
      </c>
      <c r="V82" s="3" t="s">
        <v>236</v>
      </c>
      <c r="W82" s="3">
        <v>2.0</v>
      </c>
      <c r="X82" s="3">
        <v>2.0</v>
      </c>
      <c r="Y82" s="3">
        <v>4.0</v>
      </c>
      <c r="Z82" s="3">
        <v>3.0</v>
      </c>
      <c r="AA82" s="3">
        <v>2.0</v>
      </c>
      <c r="AB82" s="3">
        <v>0.0</v>
      </c>
      <c r="AC82" s="22">
        <v>2.3</v>
      </c>
      <c r="AD82" s="3"/>
      <c r="AE82" s="3" t="s">
        <v>110</v>
      </c>
      <c r="AF82" s="14"/>
      <c r="AG82" s="15"/>
      <c r="AH82" s="14"/>
      <c r="AI82" s="14"/>
      <c r="AJ82" s="15"/>
      <c r="AK82" s="14"/>
      <c r="AL82" s="14"/>
      <c r="AM82" s="14" t="s">
        <v>236</v>
      </c>
      <c r="AN82" s="14" t="s">
        <v>397</v>
      </c>
      <c r="AO82" s="14" t="s">
        <v>84</v>
      </c>
      <c r="AP82" s="14" t="s">
        <v>398</v>
      </c>
      <c r="AQ82" s="16">
        <v>0.0</v>
      </c>
      <c r="AR82" s="14" t="s">
        <v>196</v>
      </c>
    </row>
    <row r="83" ht="15.75" customHeight="1">
      <c r="A83" s="3" t="s">
        <v>39</v>
      </c>
      <c r="B83" s="3" t="s">
        <v>44</v>
      </c>
      <c r="C83" s="3" t="s">
        <v>102</v>
      </c>
      <c r="D83" s="3" t="s">
        <v>234</v>
      </c>
      <c r="E83" s="3" t="s">
        <v>181</v>
      </c>
      <c r="F83" s="3" t="s">
        <v>207</v>
      </c>
      <c r="G83" s="3" t="s">
        <v>69</v>
      </c>
      <c r="H83" s="3" t="s">
        <v>69</v>
      </c>
      <c r="I83" s="19" t="s">
        <v>110</v>
      </c>
      <c r="J83" s="3" t="s">
        <v>71</v>
      </c>
      <c r="K83" s="20">
        <v>10.0</v>
      </c>
      <c r="L83" s="20"/>
      <c r="M83" s="3"/>
      <c r="N83" s="3"/>
      <c r="O83" s="21"/>
      <c r="P83" s="3">
        <v>520.0</v>
      </c>
      <c r="Q83" s="3" t="s">
        <v>74</v>
      </c>
      <c r="R83" s="3" t="s">
        <v>75</v>
      </c>
      <c r="S83" s="3" t="s">
        <v>142</v>
      </c>
      <c r="T83" s="3" t="s">
        <v>39</v>
      </c>
      <c r="U83" s="3" t="s">
        <v>90</v>
      </c>
      <c r="V83" s="3" t="s">
        <v>208</v>
      </c>
      <c r="W83" s="3">
        <v>2.0</v>
      </c>
      <c r="X83" s="3">
        <v>2.0</v>
      </c>
      <c r="Y83" s="3">
        <v>4.0</v>
      </c>
      <c r="Z83" s="3">
        <v>3.0</v>
      </c>
      <c r="AA83" s="3">
        <v>2.0</v>
      </c>
      <c r="AB83" s="3">
        <v>0.0</v>
      </c>
      <c r="AC83" s="22">
        <v>2.3</v>
      </c>
      <c r="AD83" s="3"/>
      <c r="AE83" s="3" t="s">
        <v>110</v>
      </c>
      <c r="AF83" s="14"/>
      <c r="AG83" s="15"/>
      <c r="AH83" s="14"/>
      <c r="AI83" s="14"/>
      <c r="AJ83" s="15"/>
      <c r="AK83" s="14"/>
      <c r="AL83" s="14"/>
      <c r="AM83" s="14" t="s">
        <v>208</v>
      </c>
      <c r="AN83" s="14" t="s">
        <v>397</v>
      </c>
      <c r="AO83" s="14" t="s">
        <v>84</v>
      </c>
      <c r="AP83" s="14" t="s">
        <v>398</v>
      </c>
      <c r="AQ83" s="16">
        <v>0.0</v>
      </c>
      <c r="AR83" s="14" t="s">
        <v>196</v>
      </c>
    </row>
    <row r="84" ht="15.75" customHeight="1">
      <c r="A84" s="3" t="s">
        <v>39</v>
      </c>
      <c r="B84" s="3" t="s">
        <v>137</v>
      </c>
      <c r="C84" s="3" t="s">
        <v>102</v>
      </c>
      <c r="D84" s="3" t="s">
        <v>246</v>
      </c>
      <c r="E84" s="3" t="s">
        <v>202</v>
      </c>
      <c r="F84" s="3" t="s">
        <v>231</v>
      </c>
      <c r="G84" s="3" t="s">
        <v>69</v>
      </c>
      <c r="H84" s="3" t="s">
        <v>69</v>
      </c>
      <c r="I84" s="19" t="s">
        <v>110</v>
      </c>
      <c r="J84" s="3" t="s">
        <v>71</v>
      </c>
      <c r="K84" s="20">
        <v>0.0</v>
      </c>
      <c r="L84" s="20">
        <v>0.0</v>
      </c>
      <c r="M84" s="3"/>
      <c r="N84" s="3"/>
      <c r="O84" s="21"/>
      <c r="P84" s="3">
        <v>500.0</v>
      </c>
      <c r="Q84" s="3" t="s">
        <v>74</v>
      </c>
      <c r="R84" s="3" t="s">
        <v>75</v>
      </c>
      <c r="S84" s="3" t="s">
        <v>142</v>
      </c>
      <c r="T84" s="3" t="s">
        <v>39</v>
      </c>
      <c r="U84" s="3" t="s">
        <v>344</v>
      </c>
      <c r="V84" s="3" t="s">
        <v>233</v>
      </c>
      <c r="W84" s="3">
        <v>2.0</v>
      </c>
      <c r="X84" s="3">
        <v>2.0</v>
      </c>
      <c r="Y84" s="3">
        <v>4.0</v>
      </c>
      <c r="Z84" s="3">
        <v>3.0</v>
      </c>
      <c r="AA84" s="3">
        <v>2.0</v>
      </c>
      <c r="AB84" s="3">
        <v>0.0</v>
      </c>
      <c r="AC84" s="22">
        <v>1.3</v>
      </c>
      <c r="AD84" s="3">
        <v>0.0</v>
      </c>
      <c r="AE84" s="3" t="s">
        <v>110</v>
      </c>
      <c r="AF84" s="14"/>
      <c r="AG84" s="15"/>
      <c r="AH84" s="14"/>
      <c r="AI84" s="14"/>
      <c r="AJ84" s="15"/>
      <c r="AK84" s="14"/>
      <c r="AL84" s="14"/>
      <c r="AM84" s="14" t="s">
        <v>233</v>
      </c>
      <c r="AN84" s="14" t="s">
        <v>399</v>
      </c>
      <c r="AO84" s="14" t="s">
        <v>84</v>
      </c>
      <c r="AP84" s="14" t="s">
        <v>401</v>
      </c>
      <c r="AQ84" s="16">
        <v>-1.0</v>
      </c>
      <c r="AR84" s="14" t="s">
        <v>147</v>
      </c>
    </row>
    <row r="85" ht="15.75" customHeight="1">
      <c r="A85" s="3" t="s">
        <v>39</v>
      </c>
      <c r="B85" s="3" t="s">
        <v>44</v>
      </c>
      <c r="C85" s="3" t="s">
        <v>102</v>
      </c>
      <c r="D85" s="3" t="s">
        <v>174</v>
      </c>
      <c r="E85" s="3" t="s">
        <v>106</v>
      </c>
      <c r="F85" s="3" t="s">
        <v>198</v>
      </c>
      <c r="G85" s="3" t="s">
        <v>69</v>
      </c>
      <c r="H85" s="3" t="s">
        <v>69</v>
      </c>
      <c r="I85" s="19" t="s">
        <v>110</v>
      </c>
      <c r="J85" s="3" t="s">
        <v>71</v>
      </c>
      <c r="K85" s="20">
        <v>3.0</v>
      </c>
      <c r="L85" s="20"/>
      <c r="M85" s="3"/>
      <c r="N85" s="3"/>
      <c r="O85" s="21"/>
      <c r="P85" s="3">
        <v>130.0</v>
      </c>
      <c r="Q85" s="3" t="s">
        <v>121</v>
      </c>
      <c r="R85" s="3" t="s">
        <v>75</v>
      </c>
      <c r="S85" s="3" t="s">
        <v>76</v>
      </c>
      <c r="T85" s="3" t="s">
        <v>39</v>
      </c>
      <c r="U85" s="3" t="s">
        <v>226</v>
      </c>
      <c r="V85" s="3" t="s">
        <v>201</v>
      </c>
      <c r="W85" s="3">
        <v>2.0</v>
      </c>
      <c r="X85" s="3">
        <v>5.0</v>
      </c>
      <c r="Y85" s="3">
        <v>4.0</v>
      </c>
      <c r="Z85" s="3">
        <v>3.0</v>
      </c>
      <c r="AA85" s="3">
        <v>4.0</v>
      </c>
      <c r="AB85" s="3">
        <v>0.0</v>
      </c>
      <c r="AC85" s="22">
        <v>2.9</v>
      </c>
      <c r="AD85" s="3"/>
      <c r="AE85" s="3" t="s">
        <v>110</v>
      </c>
      <c r="AF85" s="14"/>
      <c r="AG85" s="15"/>
      <c r="AH85" s="14"/>
      <c r="AI85" s="14"/>
      <c r="AJ85" s="15"/>
      <c r="AK85" s="14"/>
      <c r="AL85" s="14"/>
      <c r="AM85" s="14" t="s">
        <v>201</v>
      </c>
      <c r="AN85" s="14" t="s">
        <v>404</v>
      </c>
      <c r="AO85" s="14" t="s">
        <v>84</v>
      </c>
      <c r="AP85" s="14" t="s">
        <v>405</v>
      </c>
      <c r="AQ85" s="16">
        <v>0.0</v>
      </c>
      <c r="AR85" s="14" t="s">
        <v>196</v>
      </c>
    </row>
    <row r="86" ht="15.75" customHeight="1">
      <c r="A86" s="3" t="s">
        <v>39</v>
      </c>
      <c r="B86" s="3" t="s">
        <v>44</v>
      </c>
      <c r="C86" s="3" t="s">
        <v>102</v>
      </c>
      <c r="D86" s="3" t="s">
        <v>252</v>
      </c>
      <c r="E86" s="3" t="s">
        <v>181</v>
      </c>
      <c r="F86" s="3" t="s">
        <v>235</v>
      </c>
      <c r="G86" s="3" t="s">
        <v>69</v>
      </c>
      <c r="H86" s="3" t="s">
        <v>69</v>
      </c>
      <c r="I86" s="19" t="s">
        <v>110</v>
      </c>
      <c r="J86" s="3" t="s">
        <v>71</v>
      </c>
      <c r="K86" s="20">
        <v>10.0</v>
      </c>
      <c r="L86" s="20"/>
      <c r="M86" s="3"/>
      <c r="N86" s="3"/>
      <c r="O86" s="21"/>
      <c r="P86" s="3">
        <v>520.0</v>
      </c>
      <c r="Q86" s="3" t="s">
        <v>74</v>
      </c>
      <c r="R86" s="3" t="s">
        <v>75</v>
      </c>
      <c r="S86" s="3" t="s">
        <v>142</v>
      </c>
      <c r="T86" s="3" t="s">
        <v>39</v>
      </c>
      <c r="U86" s="3" t="s">
        <v>90</v>
      </c>
      <c r="V86" s="3" t="s">
        <v>236</v>
      </c>
      <c r="W86" s="3">
        <v>2.0</v>
      </c>
      <c r="X86" s="3">
        <v>2.0</v>
      </c>
      <c r="Y86" s="3">
        <v>4.0</v>
      </c>
      <c r="Z86" s="3">
        <v>3.0</v>
      </c>
      <c r="AA86" s="3">
        <v>2.0</v>
      </c>
      <c r="AB86" s="3">
        <v>0.0</v>
      </c>
      <c r="AC86" s="22">
        <v>2.3</v>
      </c>
      <c r="AD86" s="3"/>
      <c r="AE86" s="3" t="s">
        <v>110</v>
      </c>
      <c r="AF86" s="14"/>
      <c r="AG86" s="15"/>
      <c r="AH86" s="14"/>
      <c r="AI86" s="14"/>
      <c r="AJ86" s="15"/>
      <c r="AK86" s="14"/>
      <c r="AL86" s="14"/>
      <c r="AM86" s="14" t="s">
        <v>236</v>
      </c>
      <c r="AN86" s="14" t="s">
        <v>406</v>
      </c>
      <c r="AO86" s="14" t="s">
        <v>84</v>
      </c>
      <c r="AP86" s="14" t="s">
        <v>407</v>
      </c>
      <c r="AQ86" s="16">
        <v>0.0</v>
      </c>
      <c r="AR86" s="14" t="s">
        <v>196</v>
      </c>
    </row>
    <row r="87" ht="15.75" customHeight="1">
      <c r="A87" s="3" t="s">
        <v>39</v>
      </c>
      <c r="B87" s="3" t="s">
        <v>44</v>
      </c>
      <c r="C87" s="3" t="s">
        <v>102</v>
      </c>
      <c r="D87" s="3" t="s">
        <v>252</v>
      </c>
      <c r="E87" s="3" t="s">
        <v>181</v>
      </c>
      <c r="F87" s="3" t="s">
        <v>207</v>
      </c>
      <c r="G87" s="3" t="s">
        <v>69</v>
      </c>
      <c r="H87" s="3" t="s">
        <v>69</v>
      </c>
      <c r="I87" s="19" t="s">
        <v>110</v>
      </c>
      <c r="J87" s="3" t="s">
        <v>71</v>
      </c>
      <c r="K87" s="20">
        <v>10.0</v>
      </c>
      <c r="L87" s="20"/>
      <c r="M87" s="3"/>
      <c r="N87" s="3"/>
      <c r="O87" s="21"/>
      <c r="P87" s="3">
        <v>520.0</v>
      </c>
      <c r="Q87" s="3" t="s">
        <v>74</v>
      </c>
      <c r="R87" s="3" t="s">
        <v>75</v>
      </c>
      <c r="S87" s="3" t="s">
        <v>142</v>
      </c>
      <c r="T87" s="3" t="s">
        <v>39</v>
      </c>
      <c r="U87" s="3" t="s">
        <v>90</v>
      </c>
      <c r="V87" s="3" t="s">
        <v>208</v>
      </c>
      <c r="W87" s="3">
        <v>2.0</v>
      </c>
      <c r="X87" s="3">
        <v>2.0</v>
      </c>
      <c r="Y87" s="3">
        <v>4.0</v>
      </c>
      <c r="Z87" s="3">
        <v>3.0</v>
      </c>
      <c r="AA87" s="3">
        <v>2.0</v>
      </c>
      <c r="AB87" s="3">
        <v>0.0</v>
      </c>
      <c r="AC87" s="22">
        <v>2.3</v>
      </c>
      <c r="AD87" s="3"/>
      <c r="AE87" s="3" t="s">
        <v>110</v>
      </c>
      <c r="AF87" s="14"/>
      <c r="AG87" s="15"/>
      <c r="AH87" s="14"/>
      <c r="AI87" s="14"/>
      <c r="AJ87" s="15"/>
      <c r="AK87" s="14"/>
      <c r="AL87" s="14"/>
      <c r="AM87" s="14" t="s">
        <v>208</v>
      </c>
      <c r="AN87" s="14" t="s">
        <v>406</v>
      </c>
      <c r="AO87" s="14" t="s">
        <v>84</v>
      </c>
      <c r="AP87" s="14" t="s">
        <v>407</v>
      </c>
      <c r="AQ87" s="16">
        <v>0.0</v>
      </c>
      <c r="AR87" s="14" t="s">
        <v>196</v>
      </c>
    </row>
    <row r="88" ht="15.75" customHeight="1">
      <c r="A88" s="3" t="s">
        <v>39</v>
      </c>
      <c r="B88" s="3" t="s">
        <v>44</v>
      </c>
      <c r="C88" s="3" t="s">
        <v>102</v>
      </c>
      <c r="D88" s="3" t="s">
        <v>260</v>
      </c>
      <c r="E88" s="3" t="s">
        <v>240</v>
      </c>
      <c r="F88" s="3" t="s">
        <v>235</v>
      </c>
      <c r="G88" s="3" t="s">
        <v>69</v>
      </c>
      <c r="H88" s="3" t="s">
        <v>69</v>
      </c>
      <c r="I88" s="19" t="s">
        <v>110</v>
      </c>
      <c r="J88" s="3" t="s">
        <v>71</v>
      </c>
      <c r="K88" s="20">
        <v>10.0</v>
      </c>
      <c r="L88" s="20"/>
      <c r="M88" s="3"/>
      <c r="N88" s="3"/>
      <c r="O88" s="21"/>
      <c r="P88" s="3">
        <v>610.0</v>
      </c>
      <c r="Q88" s="3" t="s">
        <v>153</v>
      </c>
      <c r="R88" s="3" t="s">
        <v>75</v>
      </c>
      <c r="S88" s="3" t="s">
        <v>142</v>
      </c>
      <c r="T88" s="3" t="s">
        <v>39</v>
      </c>
      <c r="U88" s="3" t="s">
        <v>90</v>
      </c>
      <c r="V88" s="3" t="s">
        <v>236</v>
      </c>
      <c r="W88" s="3">
        <v>2.0</v>
      </c>
      <c r="X88" s="3">
        <v>1.0</v>
      </c>
      <c r="Y88" s="3">
        <v>4.0</v>
      </c>
      <c r="Z88" s="3">
        <v>3.0</v>
      </c>
      <c r="AA88" s="3">
        <v>2.0</v>
      </c>
      <c r="AB88" s="3">
        <v>0.0</v>
      </c>
      <c r="AC88" s="22">
        <v>2.1</v>
      </c>
      <c r="AD88" s="3"/>
      <c r="AE88" s="3" t="s">
        <v>110</v>
      </c>
      <c r="AF88" s="14"/>
      <c r="AG88" s="15"/>
      <c r="AH88" s="14"/>
      <c r="AI88" s="14"/>
      <c r="AJ88" s="15"/>
      <c r="AK88" s="14"/>
      <c r="AL88" s="14"/>
      <c r="AM88" s="14" t="s">
        <v>236</v>
      </c>
      <c r="AN88" s="14" t="s">
        <v>409</v>
      </c>
      <c r="AO88" s="14" t="s">
        <v>84</v>
      </c>
      <c r="AP88" s="14" t="s">
        <v>410</v>
      </c>
      <c r="AQ88" s="16">
        <v>0.0</v>
      </c>
      <c r="AR88" s="14" t="s">
        <v>196</v>
      </c>
    </row>
    <row r="89" ht="15.75" customHeight="1">
      <c r="A89" s="3" t="s">
        <v>39</v>
      </c>
      <c r="B89" s="3" t="s">
        <v>44</v>
      </c>
      <c r="C89" s="3" t="s">
        <v>102</v>
      </c>
      <c r="D89" s="3" t="s">
        <v>260</v>
      </c>
      <c r="E89" s="3" t="s">
        <v>240</v>
      </c>
      <c r="F89" s="3" t="s">
        <v>207</v>
      </c>
      <c r="G89" s="3" t="s">
        <v>69</v>
      </c>
      <c r="H89" s="3" t="s">
        <v>69</v>
      </c>
      <c r="I89" s="19" t="s">
        <v>110</v>
      </c>
      <c r="J89" s="3" t="s">
        <v>71</v>
      </c>
      <c r="K89" s="20">
        <v>10.0</v>
      </c>
      <c r="L89" s="20"/>
      <c r="M89" s="3"/>
      <c r="N89" s="3"/>
      <c r="O89" s="21"/>
      <c r="P89" s="3">
        <v>610.0</v>
      </c>
      <c r="Q89" s="3" t="s">
        <v>153</v>
      </c>
      <c r="R89" s="3" t="s">
        <v>75</v>
      </c>
      <c r="S89" s="3" t="s">
        <v>142</v>
      </c>
      <c r="T89" s="3" t="s">
        <v>39</v>
      </c>
      <c r="U89" s="3" t="s">
        <v>90</v>
      </c>
      <c r="V89" s="3" t="s">
        <v>208</v>
      </c>
      <c r="W89" s="3">
        <v>2.0</v>
      </c>
      <c r="X89" s="3">
        <v>1.0</v>
      </c>
      <c r="Y89" s="3">
        <v>4.0</v>
      </c>
      <c r="Z89" s="3">
        <v>3.0</v>
      </c>
      <c r="AA89" s="3">
        <v>2.0</v>
      </c>
      <c r="AB89" s="3">
        <v>0.0</v>
      </c>
      <c r="AC89" s="22">
        <v>2.1</v>
      </c>
      <c r="AD89" s="3"/>
      <c r="AE89" s="3" t="s">
        <v>110</v>
      </c>
      <c r="AF89" s="14"/>
      <c r="AG89" s="15"/>
      <c r="AH89" s="14"/>
      <c r="AI89" s="14"/>
      <c r="AJ89" s="15"/>
      <c r="AK89" s="14"/>
      <c r="AL89" s="14"/>
      <c r="AM89" s="14" t="s">
        <v>208</v>
      </c>
      <c r="AN89" s="14" t="s">
        <v>409</v>
      </c>
      <c r="AO89" s="14" t="s">
        <v>84</v>
      </c>
      <c r="AP89" s="14" t="s">
        <v>410</v>
      </c>
      <c r="AQ89" s="16">
        <v>0.0</v>
      </c>
      <c r="AR89" s="14" t="s">
        <v>196</v>
      </c>
    </row>
    <row r="90" ht="15.75" customHeight="1">
      <c r="A90" s="3" t="s">
        <v>39</v>
      </c>
      <c r="B90" s="3" t="s">
        <v>137</v>
      </c>
      <c r="C90" s="3" t="s">
        <v>102</v>
      </c>
      <c r="D90" s="3" t="s">
        <v>276</v>
      </c>
      <c r="E90" s="3" t="s">
        <v>164</v>
      </c>
      <c r="F90" s="3" t="s">
        <v>231</v>
      </c>
      <c r="G90" s="3" t="s">
        <v>69</v>
      </c>
      <c r="H90" s="3" t="s">
        <v>69</v>
      </c>
      <c r="I90" s="19" t="s">
        <v>110</v>
      </c>
      <c r="J90" s="3" t="s">
        <v>71</v>
      </c>
      <c r="K90" s="20">
        <v>0.0</v>
      </c>
      <c r="L90" s="20">
        <v>0.0</v>
      </c>
      <c r="M90" s="3"/>
      <c r="N90" s="3"/>
      <c r="O90" s="21"/>
      <c r="P90" s="3">
        <v>490.0</v>
      </c>
      <c r="Q90" s="3" t="s">
        <v>74</v>
      </c>
      <c r="R90" s="3" t="s">
        <v>75</v>
      </c>
      <c r="S90" s="3" t="s">
        <v>142</v>
      </c>
      <c r="T90" s="3" t="s">
        <v>39</v>
      </c>
      <c r="U90" s="3" t="s">
        <v>344</v>
      </c>
      <c r="V90" s="3" t="s">
        <v>233</v>
      </c>
      <c r="W90" s="3">
        <v>2.0</v>
      </c>
      <c r="X90" s="3">
        <v>2.0</v>
      </c>
      <c r="Y90" s="3">
        <v>4.0</v>
      </c>
      <c r="Z90" s="3">
        <v>3.0</v>
      </c>
      <c r="AA90" s="3">
        <v>2.0</v>
      </c>
      <c r="AB90" s="3">
        <v>0.0</v>
      </c>
      <c r="AC90" s="22">
        <v>1.3</v>
      </c>
      <c r="AD90" s="3">
        <v>0.0</v>
      </c>
      <c r="AE90" s="3" t="s">
        <v>110</v>
      </c>
      <c r="AF90" s="14"/>
      <c r="AG90" s="15"/>
      <c r="AH90" s="14"/>
      <c r="AI90" s="14"/>
      <c r="AJ90" s="15"/>
      <c r="AK90" s="14"/>
      <c r="AL90" s="14"/>
      <c r="AM90" s="14" t="s">
        <v>233</v>
      </c>
      <c r="AN90" s="14" t="s">
        <v>411</v>
      </c>
      <c r="AO90" s="14" t="s">
        <v>84</v>
      </c>
      <c r="AP90" s="14" t="s">
        <v>412</v>
      </c>
      <c r="AQ90" s="16">
        <v>-1.0</v>
      </c>
      <c r="AR90" s="14" t="s">
        <v>147</v>
      </c>
    </row>
    <row r="91" ht="15.75" customHeight="1">
      <c r="A91" s="3" t="s">
        <v>39</v>
      </c>
      <c r="B91" s="3" t="s">
        <v>137</v>
      </c>
      <c r="C91" s="3" t="s">
        <v>102</v>
      </c>
      <c r="D91" s="3" t="s">
        <v>280</v>
      </c>
      <c r="E91" s="3" t="s">
        <v>186</v>
      </c>
      <c r="F91" s="3" t="s">
        <v>198</v>
      </c>
      <c r="G91" s="3" t="s">
        <v>69</v>
      </c>
      <c r="H91" s="3" t="s">
        <v>69</v>
      </c>
      <c r="I91" s="19" t="s">
        <v>110</v>
      </c>
      <c r="J91" s="3" t="s">
        <v>71</v>
      </c>
      <c r="K91" s="20">
        <v>3.0</v>
      </c>
      <c r="L91" s="20"/>
      <c r="M91" s="3"/>
      <c r="N91" s="3"/>
      <c r="O91" s="21"/>
      <c r="P91" s="3">
        <v>360.0</v>
      </c>
      <c r="Q91" s="3" t="s">
        <v>140</v>
      </c>
      <c r="R91" s="3" t="s">
        <v>75</v>
      </c>
      <c r="S91" s="3" t="s">
        <v>142</v>
      </c>
      <c r="T91" s="3" t="s">
        <v>39</v>
      </c>
      <c r="U91" s="3" t="s">
        <v>392</v>
      </c>
      <c r="V91" s="3" t="s">
        <v>201</v>
      </c>
      <c r="W91" s="3">
        <v>2.0</v>
      </c>
      <c r="X91" s="3">
        <v>3.0</v>
      </c>
      <c r="Y91" s="3">
        <v>4.0</v>
      </c>
      <c r="Z91" s="3">
        <v>3.0</v>
      </c>
      <c r="AA91" s="3">
        <v>2.0</v>
      </c>
      <c r="AB91" s="3">
        <v>0.0</v>
      </c>
      <c r="AC91" s="22">
        <v>1.5</v>
      </c>
      <c r="AD91" s="3"/>
      <c r="AE91" s="3" t="s">
        <v>110</v>
      </c>
      <c r="AF91" s="14"/>
      <c r="AG91" s="15"/>
      <c r="AH91" s="14"/>
      <c r="AI91" s="14"/>
      <c r="AJ91" s="15"/>
      <c r="AK91" s="14"/>
      <c r="AL91" s="14"/>
      <c r="AM91" s="14" t="s">
        <v>201</v>
      </c>
      <c r="AN91" s="14" t="s">
        <v>413</v>
      </c>
      <c r="AO91" s="14" t="s">
        <v>84</v>
      </c>
      <c r="AP91" s="14" t="s">
        <v>414</v>
      </c>
      <c r="AQ91" s="16">
        <v>-1.0</v>
      </c>
      <c r="AR91" s="14" t="s">
        <v>147</v>
      </c>
    </row>
    <row r="92" ht="15.75" customHeight="1">
      <c r="A92" s="3" t="s">
        <v>39</v>
      </c>
      <c r="B92" s="3" t="s">
        <v>137</v>
      </c>
      <c r="C92" s="3" t="s">
        <v>102</v>
      </c>
      <c r="D92" s="3" t="s">
        <v>293</v>
      </c>
      <c r="E92" s="3" t="s">
        <v>202</v>
      </c>
      <c r="F92" s="3" t="s">
        <v>231</v>
      </c>
      <c r="G92" s="3" t="s">
        <v>69</v>
      </c>
      <c r="H92" s="3" t="s">
        <v>69</v>
      </c>
      <c r="I92" s="19" t="s">
        <v>110</v>
      </c>
      <c r="J92" s="3" t="s">
        <v>71</v>
      </c>
      <c r="K92" s="20">
        <v>0.0</v>
      </c>
      <c r="L92" s="20">
        <v>0.0</v>
      </c>
      <c r="M92" s="3"/>
      <c r="N92" s="3"/>
      <c r="O92" s="21"/>
      <c r="P92" s="3">
        <v>500.0</v>
      </c>
      <c r="Q92" s="3" t="s">
        <v>74</v>
      </c>
      <c r="R92" s="3" t="s">
        <v>75</v>
      </c>
      <c r="S92" s="3" t="s">
        <v>142</v>
      </c>
      <c r="T92" s="3" t="s">
        <v>39</v>
      </c>
      <c r="U92" s="3" t="s">
        <v>344</v>
      </c>
      <c r="V92" s="3" t="s">
        <v>233</v>
      </c>
      <c r="W92" s="3">
        <v>2.0</v>
      </c>
      <c r="X92" s="3">
        <v>2.0</v>
      </c>
      <c r="Y92" s="3">
        <v>4.0</v>
      </c>
      <c r="Z92" s="3">
        <v>3.0</v>
      </c>
      <c r="AA92" s="3">
        <v>2.0</v>
      </c>
      <c r="AB92" s="3">
        <v>0.0</v>
      </c>
      <c r="AC92" s="22">
        <v>1.3</v>
      </c>
      <c r="AD92" s="3">
        <v>0.0</v>
      </c>
      <c r="AE92" s="3" t="s">
        <v>110</v>
      </c>
      <c r="AF92" s="14"/>
      <c r="AG92" s="15"/>
      <c r="AH92" s="14"/>
      <c r="AI92" s="14"/>
      <c r="AJ92" s="15"/>
      <c r="AK92" s="14"/>
      <c r="AL92" s="14"/>
      <c r="AM92" s="14" t="s">
        <v>233</v>
      </c>
      <c r="AN92" s="14" t="s">
        <v>416</v>
      </c>
      <c r="AO92" s="14" t="s">
        <v>84</v>
      </c>
      <c r="AP92" s="14" t="s">
        <v>417</v>
      </c>
      <c r="AQ92" s="16">
        <v>-1.0</v>
      </c>
      <c r="AR92" s="14" t="s">
        <v>147</v>
      </c>
    </row>
    <row r="93" ht="15.75" customHeight="1">
      <c r="A93" s="3" t="s">
        <v>39</v>
      </c>
      <c r="B93" s="3" t="s">
        <v>44</v>
      </c>
      <c r="C93" s="3" t="s">
        <v>102</v>
      </c>
      <c r="D93" s="3" t="s">
        <v>297</v>
      </c>
      <c r="E93" s="3" t="s">
        <v>150</v>
      </c>
      <c r="F93" s="3" t="s">
        <v>207</v>
      </c>
      <c r="G93" s="3" t="s">
        <v>69</v>
      </c>
      <c r="H93" s="3" t="s">
        <v>69</v>
      </c>
      <c r="I93" s="19" t="s">
        <v>110</v>
      </c>
      <c r="J93" s="3" t="s">
        <v>71</v>
      </c>
      <c r="K93" s="20">
        <v>10.0</v>
      </c>
      <c r="L93" s="20"/>
      <c r="M93" s="3"/>
      <c r="N93" s="3"/>
      <c r="O93" s="21"/>
      <c r="P93" s="3">
        <v>700.0</v>
      </c>
      <c r="Q93" s="3" t="s">
        <v>153</v>
      </c>
      <c r="R93" s="3" t="s">
        <v>75</v>
      </c>
      <c r="S93" s="3" t="s">
        <v>142</v>
      </c>
      <c r="T93" s="3" t="s">
        <v>39</v>
      </c>
      <c r="U93" s="3" t="s">
        <v>90</v>
      </c>
      <c r="V93" s="3" t="s">
        <v>208</v>
      </c>
      <c r="W93" s="3">
        <v>2.0</v>
      </c>
      <c r="X93" s="3">
        <v>1.0</v>
      </c>
      <c r="Y93" s="3">
        <v>4.0</v>
      </c>
      <c r="Z93" s="3">
        <v>3.0</v>
      </c>
      <c r="AA93" s="3">
        <v>2.0</v>
      </c>
      <c r="AB93" s="3">
        <v>0.0</v>
      </c>
      <c r="AC93" s="22">
        <v>2.1</v>
      </c>
      <c r="AD93" s="3"/>
      <c r="AE93" s="3" t="s">
        <v>110</v>
      </c>
      <c r="AF93" s="14"/>
      <c r="AG93" s="15"/>
      <c r="AH93" s="14"/>
      <c r="AI93" s="14"/>
      <c r="AJ93" s="15"/>
      <c r="AK93" s="14"/>
      <c r="AL93" s="14"/>
      <c r="AM93" s="14" t="s">
        <v>208</v>
      </c>
      <c r="AN93" s="14" t="s">
        <v>419</v>
      </c>
      <c r="AO93" s="14" t="s">
        <v>84</v>
      </c>
      <c r="AP93" s="14" t="s">
        <v>420</v>
      </c>
      <c r="AQ93" s="16">
        <v>0.0</v>
      </c>
      <c r="AR93" s="14" t="s">
        <v>196</v>
      </c>
    </row>
    <row r="94" ht="15.75" customHeight="1">
      <c r="A94" s="3" t="s">
        <v>39</v>
      </c>
      <c r="B94" s="3" t="s">
        <v>137</v>
      </c>
      <c r="C94" s="3" t="s">
        <v>102</v>
      </c>
      <c r="D94" s="3" t="s">
        <v>300</v>
      </c>
      <c r="E94" s="3" t="s">
        <v>150</v>
      </c>
      <c r="F94" s="3" t="s">
        <v>198</v>
      </c>
      <c r="G94" s="3" t="s">
        <v>69</v>
      </c>
      <c r="H94" s="3" t="s">
        <v>69</v>
      </c>
      <c r="I94" s="19" t="s">
        <v>110</v>
      </c>
      <c r="J94" s="3" t="s">
        <v>71</v>
      </c>
      <c r="K94" s="20">
        <v>3.0</v>
      </c>
      <c r="L94" s="20"/>
      <c r="M94" s="3"/>
      <c r="N94" s="3"/>
      <c r="O94" s="21"/>
      <c r="P94" s="3">
        <v>700.0</v>
      </c>
      <c r="Q94" s="3" t="s">
        <v>153</v>
      </c>
      <c r="R94" s="3" t="s">
        <v>75</v>
      </c>
      <c r="S94" s="3" t="s">
        <v>142</v>
      </c>
      <c r="T94" s="3" t="s">
        <v>39</v>
      </c>
      <c r="U94" s="3" t="s">
        <v>392</v>
      </c>
      <c r="V94" s="3" t="s">
        <v>201</v>
      </c>
      <c r="W94" s="3">
        <v>2.0</v>
      </c>
      <c r="X94" s="3">
        <v>1.0</v>
      </c>
      <c r="Y94" s="3">
        <v>4.0</v>
      </c>
      <c r="Z94" s="3">
        <v>3.0</v>
      </c>
      <c r="AA94" s="3">
        <v>2.0</v>
      </c>
      <c r="AB94" s="3">
        <v>0.0</v>
      </c>
      <c r="AC94" s="22">
        <v>1.1</v>
      </c>
      <c r="AD94" s="3"/>
      <c r="AE94" s="3" t="s">
        <v>110</v>
      </c>
      <c r="AF94" s="14"/>
      <c r="AG94" s="15"/>
      <c r="AH94" s="14"/>
      <c r="AI94" s="14"/>
      <c r="AJ94" s="15"/>
      <c r="AK94" s="14"/>
      <c r="AL94" s="14"/>
      <c r="AM94" s="14" t="s">
        <v>201</v>
      </c>
      <c r="AN94" s="14" t="s">
        <v>421</v>
      </c>
      <c r="AO94" s="14" t="s">
        <v>84</v>
      </c>
      <c r="AP94" s="14" t="s">
        <v>422</v>
      </c>
      <c r="AQ94" s="16">
        <v>-1.0</v>
      </c>
      <c r="AR94" s="14" t="s">
        <v>147</v>
      </c>
    </row>
    <row r="95" ht="15.75" customHeight="1">
      <c r="A95" s="3" t="s">
        <v>39</v>
      </c>
      <c r="B95" s="3" t="s">
        <v>137</v>
      </c>
      <c r="C95" s="3" t="s">
        <v>102</v>
      </c>
      <c r="D95" s="3" t="s">
        <v>301</v>
      </c>
      <c r="E95" s="3" t="s">
        <v>164</v>
      </c>
      <c r="F95" s="3" t="s">
        <v>231</v>
      </c>
      <c r="G95" s="3" t="s">
        <v>69</v>
      </c>
      <c r="H95" s="3" t="s">
        <v>69</v>
      </c>
      <c r="I95" s="19" t="s">
        <v>110</v>
      </c>
      <c r="J95" s="3" t="s">
        <v>71</v>
      </c>
      <c r="K95" s="20">
        <v>0.0</v>
      </c>
      <c r="L95" s="20">
        <v>0.0</v>
      </c>
      <c r="M95" s="3"/>
      <c r="N95" s="3"/>
      <c r="O95" s="21"/>
      <c r="P95" s="3">
        <v>490.0</v>
      </c>
      <c r="Q95" s="3" t="s">
        <v>74</v>
      </c>
      <c r="R95" s="3" t="s">
        <v>75</v>
      </c>
      <c r="S95" s="3" t="s">
        <v>142</v>
      </c>
      <c r="T95" s="3" t="s">
        <v>39</v>
      </c>
      <c r="U95" s="3" t="s">
        <v>344</v>
      </c>
      <c r="V95" s="3" t="s">
        <v>233</v>
      </c>
      <c r="W95" s="3">
        <v>2.0</v>
      </c>
      <c r="X95" s="3">
        <v>2.0</v>
      </c>
      <c r="Y95" s="3">
        <v>4.0</v>
      </c>
      <c r="Z95" s="3">
        <v>3.0</v>
      </c>
      <c r="AA95" s="3">
        <v>2.0</v>
      </c>
      <c r="AB95" s="3">
        <v>0.0</v>
      </c>
      <c r="AC95" s="22">
        <v>1.3</v>
      </c>
      <c r="AD95" s="3">
        <v>0.0</v>
      </c>
      <c r="AE95" s="3" t="s">
        <v>110</v>
      </c>
      <c r="AF95" s="14"/>
      <c r="AG95" s="15"/>
      <c r="AH95" s="14"/>
      <c r="AI95" s="14"/>
      <c r="AJ95" s="15"/>
      <c r="AK95" s="14"/>
      <c r="AL95" s="14"/>
      <c r="AM95" s="14" t="s">
        <v>233</v>
      </c>
      <c r="AN95" s="14" t="s">
        <v>341</v>
      </c>
      <c r="AO95" s="14" t="s">
        <v>84</v>
      </c>
      <c r="AP95" s="14" t="s">
        <v>342</v>
      </c>
      <c r="AQ95" s="16">
        <v>-1.0</v>
      </c>
      <c r="AR95" s="14" t="s">
        <v>147</v>
      </c>
    </row>
    <row r="96" ht="15.75" customHeight="1">
      <c r="A96" s="3" t="s">
        <v>39</v>
      </c>
      <c r="B96" s="3" t="s">
        <v>44</v>
      </c>
      <c r="C96" s="3" t="s">
        <v>102</v>
      </c>
      <c r="D96" s="3" t="s">
        <v>206</v>
      </c>
      <c r="E96" s="3" t="s">
        <v>106</v>
      </c>
      <c r="F96" s="3" t="s">
        <v>207</v>
      </c>
      <c r="G96" s="3" t="s">
        <v>69</v>
      </c>
      <c r="H96" s="3" t="s">
        <v>69</v>
      </c>
      <c r="I96" s="19" t="s">
        <v>110</v>
      </c>
      <c r="J96" s="3" t="s">
        <v>71</v>
      </c>
      <c r="K96" s="20">
        <v>10.0</v>
      </c>
      <c r="L96" s="20"/>
      <c r="M96" s="3"/>
      <c r="N96" s="3"/>
      <c r="O96" s="21"/>
      <c r="P96" s="3">
        <v>130.0</v>
      </c>
      <c r="Q96" s="3" t="s">
        <v>121</v>
      </c>
      <c r="R96" s="3" t="s">
        <v>75</v>
      </c>
      <c r="S96" s="3" t="s">
        <v>76</v>
      </c>
      <c r="T96" s="3" t="s">
        <v>39</v>
      </c>
      <c r="U96" s="3" t="s">
        <v>90</v>
      </c>
      <c r="V96" s="3" t="s">
        <v>208</v>
      </c>
      <c r="W96" s="3">
        <v>2.0</v>
      </c>
      <c r="X96" s="3">
        <v>5.0</v>
      </c>
      <c r="Y96" s="3">
        <v>4.0</v>
      </c>
      <c r="Z96" s="3">
        <v>3.0</v>
      </c>
      <c r="AA96" s="3">
        <v>4.0</v>
      </c>
      <c r="AB96" s="3">
        <v>0.0</v>
      </c>
      <c r="AC96" s="22">
        <v>2.9</v>
      </c>
      <c r="AD96" s="3"/>
      <c r="AE96" s="3" t="s">
        <v>110</v>
      </c>
      <c r="AF96" s="14"/>
      <c r="AG96" s="15"/>
      <c r="AH96" s="14"/>
      <c r="AI96" s="14"/>
      <c r="AJ96" s="15"/>
      <c r="AK96" s="14"/>
      <c r="AL96" s="14"/>
      <c r="AM96" s="14" t="s">
        <v>208</v>
      </c>
      <c r="AN96" s="14" t="s">
        <v>428</v>
      </c>
      <c r="AO96" s="14" t="s">
        <v>84</v>
      </c>
      <c r="AP96" s="14" t="s">
        <v>429</v>
      </c>
      <c r="AQ96" s="16">
        <v>0.0</v>
      </c>
      <c r="AR96" s="14" t="s">
        <v>196</v>
      </c>
    </row>
    <row r="97" ht="15.75" customHeight="1">
      <c r="A97" s="3" t="s">
        <v>39</v>
      </c>
      <c r="B97" s="3" t="s">
        <v>137</v>
      </c>
      <c r="C97" s="3" t="s">
        <v>102</v>
      </c>
      <c r="D97" s="3" t="s">
        <v>307</v>
      </c>
      <c r="E97" s="3" t="s">
        <v>150</v>
      </c>
      <c r="F97" s="3" t="s">
        <v>198</v>
      </c>
      <c r="G97" s="3" t="s">
        <v>69</v>
      </c>
      <c r="H97" s="3" t="s">
        <v>69</v>
      </c>
      <c r="I97" s="19" t="s">
        <v>110</v>
      </c>
      <c r="J97" s="3" t="s">
        <v>71</v>
      </c>
      <c r="K97" s="20">
        <v>3.0</v>
      </c>
      <c r="L97" s="20"/>
      <c r="M97" s="3"/>
      <c r="N97" s="3"/>
      <c r="O97" s="21"/>
      <c r="P97" s="3">
        <v>700.0</v>
      </c>
      <c r="Q97" s="3" t="s">
        <v>153</v>
      </c>
      <c r="R97" s="3" t="s">
        <v>75</v>
      </c>
      <c r="S97" s="3" t="s">
        <v>142</v>
      </c>
      <c r="T97" s="3" t="s">
        <v>39</v>
      </c>
      <c r="U97" s="3" t="s">
        <v>392</v>
      </c>
      <c r="V97" s="3" t="s">
        <v>201</v>
      </c>
      <c r="W97" s="3">
        <v>2.0</v>
      </c>
      <c r="X97" s="3">
        <v>1.0</v>
      </c>
      <c r="Y97" s="3">
        <v>4.0</v>
      </c>
      <c r="Z97" s="3">
        <v>3.0</v>
      </c>
      <c r="AA97" s="3">
        <v>2.0</v>
      </c>
      <c r="AB97" s="3">
        <v>0.0</v>
      </c>
      <c r="AC97" s="22">
        <v>1.1</v>
      </c>
      <c r="AD97" s="3"/>
      <c r="AE97" s="3" t="s">
        <v>110</v>
      </c>
      <c r="AF97" s="14"/>
      <c r="AG97" s="15"/>
      <c r="AH97" s="14"/>
      <c r="AI97" s="14"/>
      <c r="AJ97" s="15"/>
      <c r="AK97" s="14"/>
      <c r="AL97" s="14"/>
      <c r="AM97" s="14" t="s">
        <v>201</v>
      </c>
      <c r="AN97" s="14" t="s">
        <v>431</v>
      </c>
      <c r="AO97" s="14" t="s">
        <v>84</v>
      </c>
      <c r="AP97" s="14" t="s">
        <v>432</v>
      </c>
      <c r="AQ97" s="16">
        <v>-1.0</v>
      </c>
      <c r="AR97" s="14" t="s">
        <v>147</v>
      </c>
    </row>
    <row r="98" ht="15.75" customHeight="1">
      <c r="A98" s="3" t="s">
        <v>39</v>
      </c>
      <c r="B98" s="3" t="s">
        <v>137</v>
      </c>
      <c r="C98" s="3" t="s">
        <v>102</v>
      </c>
      <c r="D98" s="3" t="s">
        <v>308</v>
      </c>
      <c r="E98" s="3" t="s">
        <v>150</v>
      </c>
      <c r="F98" s="3" t="s">
        <v>198</v>
      </c>
      <c r="G98" s="3" t="s">
        <v>69</v>
      </c>
      <c r="H98" s="3" t="s">
        <v>69</v>
      </c>
      <c r="I98" s="19" t="s">
        <v>110</v>
      </c>
      <c r="J98" s="3" t="s">
        <v>71</v>
      </c>
      <c r="K98" s="20">
        <v>3.0</v>
      </c>
      <c r="L98" s="20"/>
      <c r="M98" s="3"/>
      <c r="N98" s="3"/>
      <c r="O98" s="21"/>
      <c r="P98" s="3">
        <v>700.0</v>
      </c>
      <c r="Q98" s="3" t="s">
        <v>153</v>
      </c>
      <c r="R98" s="3" t="s">
        <v>75</v>
      </c>
      <c r="S98" s="3" t="s">
        <v>142</v>
      </c>
      <c r="T98" s="3" t="s">
        <v>39</v>
      </c>
      <c r="U98" s="3" t="s">
        <v>392</v>
      </c>
      <c r="V98" s="3" t="s">
        <v>201</v>
      </c>
      <c r="W98" s="3">
        <v>2.0</v>
      </c>
      <c r="X98" s="3">
        <v>1.0</v>
      </c>
      <c r="Y98" s="3">
        <v>4.0</v>
      </c>
      <c r="Z98" s="3">
        <v>3.0</v>
      </c>
      <c r="AA98" s="3">
        <v>2.0</v>
      </c>
      <c r="AB98" s="3">
        <v>0.0</v>
      </c>
      <c r="AC98" s="22">
        <v>1.1</v>
      </c>
      <c r="AD98" s="3"/>
      <c r="AE98" s="3" t="s">
        <v>110</v>
      </c>
      <c r="AF98" s="14"/>
      <c r="AG98" s="15"/>
      <c r="AH98" s="14"/>
      <c r="AI98" s="14"/>
      <c r="AJ98" s="15"/>
      <c r="AK98" s="14"/>
      <c r="AL98" s="14"/>
      <c r="AM98" s="14" t="s">
        <v>201</v>
      </c>
      <c r="AN98" s="14" t="s">
        <v>438</v>
      </c>
      <c r="AO98" s="14" t="s">
        <v>84</v>
      </c>
      <c r="AP98" s="14" t="s">
        <v>440</v>
      </c>
      <c r="AQ98" s="16">
        <v>-1.0</v>
      </c>
      <c r="AR98" s="14" t="s">
        <v>147</v>
      </c>
    </row>
    <row r="99" ht="15.75" customHeight="1">
      <c r="A99" s="3" t="s">
        <v>39</v>
      </c>
      <c r="B99" s="3" t="s">
        <v>44</v>
      </c>
      <c r="C99" s="3" t="s">
        <v>102</v>
      </c>
      <c r="D99" s="3" t="s">
        <v>210</v>
      </c>
      <c r="E99" s="3" t="s">
        <v>106</v>
      </c>
      <c r="F99" s="3" t="s">
        <v>198</v>
      </c>
      <c r="G99" s="3" t="s">
        <v>69</v>
      </c>
      <c r="H99" s="3" t="s">
        <v>69</v>
      </c>
      <c r="I99" s="19" t="s">
        <v>110</v>
      </c>
      <c r="J99" s="3" t="s">
        <v>71</v>
      </c>
      <c r="K99" s="20">
        <v>3.0</v>
      </c>
      <c r="L99" s="20"/>
      <c r="M99" s="3"/>
      <c r="N99" s="3"/>
      <c r="O99" s="21"/>
      <c r="P99" s="3">
        <v>130.0</v>
      </c>
      <c r="Q99" s="3" t="s">
        <v>121</v>
      </c>
      <c r="R99" s="3" t="s">
        <v>75</v>
      </c>
      <c r="S99" s="3" t="s">
        <v>76</v>
      </c>
      <c r="T99" s="3" t="s">
        <v>39</v>
      </c>
      <c r="U99" s="3" t="s">
        <v>226</v>
      </c>
      <c r="V99" s="3" t="s">
        <v>201</v>
      </c>
      <c r="W99" s="3">
        <v>2.0</v>
      </c>
      <c r="X99" s="3">
        <v>5.0</v>
      </c>
      <c r="Y99" s="3">
        <v>4.0</v>
      </c>
      <c r="Z99" s="3">
        <v>3.0</v>
      </c>
      <c r="AA99" s="3">
        <v>4.0</v>
      </c>
      <c r="AB99" s="3">
        <v>0.0</v>
      </c>
      <c r="AC99" s="22">
        <v>2.9</v>
      </c>
      <c r="AD99" s="3"/>
      <c r="AE99" s="3" t="s">
        <v>110</v>
      </c>
      <c r="AF99" s="14"/>
      <c r="AG99" s="15"/>
      <c r="AH99" s="14"/>
      <c r="AI99" s="14"/>
      <c r="AJ99" s="15"/>
      <c r="AK99" s="14"/>
      <c r="AL99" s="14"/>
      <c r="AM99" s="14" t="s">
        <v>201</v>
      </c>
      <c r="AN99" s="14" t="s">
        <v>444</v>
      </c>
      <c r="AO99" s="14" t="s">
        <v>84</v>
      </c>
      <c r="AP99" s="14" t="s">
        <v>445</v>
      </c>
      <c r="AQ99" s="16">
        <v>0.0</v>
      </c>
      <c r="AR99" s="14" t="s">
        <v>196</v>
      </c>
    </row>
    <row r="100" ht="15.75" customHeight="1">
      <c r="A100" s="3" t="s">
        <v>39</v>
      </c>
      <c r="B100" s="3" t="s">
        <v>137</v>
      </c>
      <c r="C100" s="3" t="s">
        <v>102</v>
      </c>
      <c r="D100" s="3" t="s">
        <v>320</v>
      </c>
      <c r="E100" s="3" t="s">
        <v>271</v>
      </c>
      <c r="F100" s="3" t="s">
        <v>198</v>
      </c>
      <c r="G100" s="3" t="s">
        <v>69</v>
      </c>
      <c r="H100" s="3" t="s">
        <v>69</v>
      </c>
      <c r="I100" s="19" t="s">
        <v>110</v>
      </c>
      <c r="J100" s="3" t="s">
        <v>71</v>
      </c>
      <c r="K100" s="20">
        <v>3.0</v>
      </c>
      <c r="L100" s="20"/>
      <c r="M100" s="3"/>
      <c r="N100" s="3"/>
      <c r="O100" s="21"/>
      <c r="P100" s="3">
        <v>570.0</v>
      </c>
      <c r="Q100" s="3" t="s">
        <v>74</v>
      </c>
      <c r="R100" s="3" t="s">
        <v>75</v>
      </c>
      <c r="S100" s="3" t="s">
        <v>142</v>
      </c>
      <c r="T100" s="3" t="s">
        <v>39</v>
      </c>
      <c r="U100" s="3" t="s">
        <v>392</v>
      </c>
      <c r="V100" s="3" t="s">
        <v>201</v>
      </c>
      <c r="W100" s="3">
        <v>2.0</v>
      </c>
      <c r="X100" s="3">
        <v>2.0</v>
      </c>
      <c r="Y100" s="3">
        <v>4.0</v>
      </c>
      <c r="Z100" s="3">
        <v>3.0</v>
      </c>
      <c r="AA100" s="3">
        <v>2.0</v>
      </c>
      <c r="AB100" s="3">
        <v>0.0</v>
      </c>
      <c r="AC100" s="22">
        <v>1.3</v>
      </c>
      <c r="AD100" s="3"/>
      <c r="AE100" s="3" t="s">
        <v>110</v>
      </c>
      <c r="AF100" s="14"/>
      <c r="AG100" s="15"/>
      <c r="AH100" s="14"/>
      <c r="AI100" s="14"/>
      <c r="AJ100" s="15"/>
      <c r="AK100" s="14"/>
      <c r="AL100" s="14"/>
      <c r="AM100" s="14" t="s">
        <v>201</v>
      </c>
      <c r="AN100" s="14" t="s">
        <v>453</v>
      </c>
      <c r="AO100" s="14" t="s">
        <v>84</v>
      </c>
      <c r="AP100" s="14" t="s">
        <v>454</v>
      </c>
      <c r="AQ100" s="16">
        <v>-1.0</v>
      </c>
      <c r="AR100" s="14" t="s">
        <v>147</v>
      </c>
    </row>
    <row r="101" ht="15.75" customHeight="1">
      <c r="A101" s="3" t="s">
        <v>39</v>
      </c>
      <c r="B101" s="3" t="s">
        <v>137</v>
      </c>
      <c r="C101" s="3" t="s">
        <v>102</v>
      </c>
      <c r="D101" s="3" t="s">
        <v>323</v>
      </c>
      <c r="E101" s="3" t="s">
        <v>271</v>
      </c>
      <c r="F101" s="3" t="s">
        <v>198</v>
      </c>
      <c r="G101" s="3" t="s">
        <v>69</v>
      </c>
      <c r="H101" s="3" t="s">
        <v>69</v>
      </c>
      <c r="I101" s="19" t="s">
        <v>110</v>
      </c>
      <c r="J101" s="3" t="s">
        <v>71</v>
      </c>
      <c r="K101" s="20">
        <v>3.0</v>
      </c>
      <c r="L101" s="20"/>
      <c r="M101" s="3"/>
      <c r="N101" s="3"/>
      <c r="O101" s="21"/>
      <c r="P101" s="3">
        <v>570.0</v>
      </c>
      <c r="Q101" s="3" t="s">
        <v>74</v>
      </c>
      <c r="R101" s="3" t="s">
        <v>75</v>
      </c>
      <c r="S101" s="3" t="s">
        <v>142</v>
      </c>
      <c r="T101" s="3" t="s">
        <v>39</v>
      </c>
      <c r="U101" s="3" t="s">
        <v>392</v>
      </c>
      <c r="V101" s="3" t="s">
        <v>201</v>
      </c>
      <c r="W101" s="3">
        <v>2.0</v>
      </c>
      <c r="X101" s="3">
        <v>2.0</v>
      </c>
      <c r="Y101" s="3">
        <v>4.0</v>
      </c>
      <c r="Z101" s="3">
        <v>3.0</v>
      </c>
      <c r="AA101" s="3">
        <v>2.0</v>
      </c>
      <c r="AB101" s="3">
        <v>0.0</v>
      </c>
      <c r="AC101" s="22">
        <v>1.3</v>
      </c>
      <c r="AD101" s="3"/>
      <c r="AE101" s="3" t="s">
        <v>110</v>
      </c>
      <c r="AF101" s="14"/>
      <c r="AG101" s="15"/>
      <c r="AH101" s="14"/>
      <c r="AI101" s="14"/>
      <c r="AJ101" s="15"/>
      <c r="AK101" s="14"/>
      <c r="AL101" s="14"/>
      <c r="AM101" s="14" t="s">
        <v>201</v>
      </c>
      <c r="AN101" s="14" t="s">
        <v>460</v>
      </c>
      <c r="AO101" s="14" t="s">
        <v>84</v>
      </c>
      <c r="AP101" s="14" t="s">
        <v>461</v>
      </c>
      <c r="AQ101" s="16">
        <v>-1.0</v>
      </c>
      <c r="AR101" s="14" t="s">
        <v>147</v>
      </c>
    </row>
    <row r="102" ht="15.75" customHeight="1">
      <c r="A102" s="3" t="s">
        <v>39</v>
      </c>
      <c r="B102" s="3" t="s">
        <v>137</v>
      </c>
      <c r="C102" s="3" t="s">
        <v>102</v>
      </c>
      <c r="D102" s="3" t="s">
        <v>324</v>
      </c>
      <c r="E102" s="3" t="s">
        <v>271</v>
      </c>
      <c r="F102" s="3" t="s">
        <v>198</v>
      </c>
      <c r="G102" s="3" t="s">
        <v>69</v>
      </c>
      <c r="H102" s="3" t="s">
        <v>69</v>
      </c>
      <c r="I102" s="19" t="s">
        <v>110</v>
      </c>
      <c r="J102" s="3" t="s">
        <v>71</v>
      </c>
      <c r="K102" s="20">
        <v>3.0</v>
      </c>
      <c r="L102" s="20"/>
      <c r="M102" s="3"/>
      <c r="N102" s="3"/>
      <c r="O102" s="21"/>
      <c r="P102" s="3">
        <v>570.0</v>
      </c>
      <c r="Q102" s="3" t="s">
        <v>74</v>
      </c>
      <c r="R102" s="3" t="s">
        <v>75</v>
      </c>
      <c r="S102" s="3" t="s">
        <v>142</v>
      </c>
      <c r="T102" s="3" t="s">
        <v>39</v>
      </c>
      <c r="U102" s="3" t="s">
        <v>392</v>
      </c>
      <c r="V102" s="3" t="s">
        <v>201</v>
      </c>
      <c r="W102" s="3">
        <v>2.0</v>
      </c>
      <c r="X102" s="3">
        <v>2.0</v>
      </c>
      <c r="Y102" s="3">
        <v>4.0</v>
      </c>
      <c r="Z102" s="3">
        <v>3.0</v>
      </c>
      <c r="AA102" s="3">
        <v>2.0</v>
      </c>
      <c r="AB102" s="3">
        <v>0.0</v>
      </c>
      <c r="AC102" s="22">
        <v>1.3</v>
      </c>
      <c r="AD102" s="3"/>
      <c r="AE102" s="3" t="s">
        <v>110</v>
      </c>
      <c r="AF102" s="14"/>
      <c r="AG102" s="15"/>
      <c r="AH102" s="14"/>
      <c r="AI102" s="14"/>
      <c r="AJ102" s="15"/>
      <c r="AK102" s="14"/>
      <c r="AL102" s="14"/>
      <c r="AM102" s="14" t="s">
        <v>201</v>
      </c>
      <c r="AN102" s="14" t="s">
        <v>462</v>
      </c>
      <c r="AO102" s="14" t="s">
        <v>84</v>
      </c>
      <c r="AP102" s="14" t="s">
        <v>463</v>
      </c>
      <c r="AQ102" s="16">
        <v>-1.0</v>
      </c>
      <c r="AR102" s="14" t="s">
        <v>147</v>
      </c>
    </row>
    <row r="103" ht="15.75" customHeight="1">
      <c r="A103" s="3" t="s">
        <v>39</v>
      </c>
      <c r="B103" s="3" t="s">
        <v>137</v>
      </c>
      <c r="C103" s="3" t="s">
        <v>102</v>
      </c>
      <c r="D103" s="3" t="s">
        <v>325</v>
      </c>
      <c r="E103" s="3" t="s">
        <v>271</v>
      </c>
      <c r="F103" s="3" t="s">
        <v>198</v>
      </c>
      <c r="G103" s="3" t="s">
        <v>69</v>
      </c>
      <c r="H103" s="3" t="s">
        <v>69</v>
      </c>
      <c r="I103" s="19" t="s">
        <v>110</v>
      </c>
      <c r="J103" s="3" t="s">
        <v>71</v>
      </c>
      <c r="K103" s="20">
        <v>3.0</v>
      </c>
      <c r="L103" s="20"/>
      <c r="M103" s="3"/>
      <c r="N103" s="3"/>
      <c r="O103" s="21"/>
      <c r="P103" s="3">
        <v>570.0</v>
      </c>
      <c r="Q103" s="3" t="s">
        <v>74</v>
      </c>
      <c r="R103" s="3" t="s">
        <v>75</v>
      </c>
      <c r="S103" s="3" t="s">
        <v>142</v>
      </c>
      <c r="T103" s="3" t="s">
        <v>39</v>
      </c>
      <c r="U103" s="3" t="s">
        <v>392</v>
      </c>
      <c r="V103" s="3" t="s">
        <v>201</v>
      </c>
      <c r="W103" s="3">
        <v>2.0</v>
      </c>
      <c r="X103" s="3">
        <v>2.0</v>
      </c>
      <c r="Y103" s="3">
        <v>4.0</v>
      </c>
      <c r="Z103" s="3">
        <v>3.0</v>
      </c>
      <c r="AA103" s="3">
        <v>2.0</v>
      </c>
      <c r="AB103" s="3">
        <v>0.0</v>
      </c>
      <c r="AC103" s="22">
        <v>1.3</v>
      </c>
      <c r="AD103" s="3"/>
      <c r="AE103" s="3" t="s">
        <v>110</v>
      </c>
      <c r="AF103" s="14"/>
      <c r="AG103" s="15"/>
      <c r="AH103" s="14"/>
      <c r="AI103" s="14"/>
      <c r="AJ103" s="15"/>
      <c r="AK103" s="14"/>
      <c r="AL103" s="14"/>
      <c r="AM103" s="14" t="s">
        <v>201</v>
      </c>
      <c r="AN103" s="14" t="s">
        <v>464</v>
      </c>
      <c r="AO103" s="14" t="s">
        <v>84</v>
      </c>
      <c r="AP103" s="14" t="s">
        <v>465</v>
      </c>
      <c r="AQ103" s="16">
        <v>-1.0</v>
      </c>
      <c r="AR103" s="14" t="s">
        <v>147</v>
      </c>
    </row>
    <row r="104" ht="15.75" customHeight="1">
      <c r="A104" s="3" t="s">
        <v>39</v>
      </c>
      <c r="B104" s="3" t="s">
        <v>44</v>
      </c>
      <c r="C104" s="3" t="s">
        <v>102</v>
      </c>
      <c r="D104" s="3" t="s">
        <v>329</v>
      </c>
      <c r="E104" s="3" t="s">
        <v>68</v>
      </c>
      <c r="F104" s="3" t="s">
        <v>207</v>
      </c>
      <c r="G104" s="3" t="s">
        <v>69</v>
      </c>
      <c r="H104" s="3" t="s">
        <v>69</v>
      </c>
      <c r="I104" s="19" t="s">
        <v>110</v>
      </c>
      <c r="J104" s="3" t="s">
        <v>71</v>
      </c>
      <c r="K104" s="20">
        <v>10.0</v>
      </c>
      <c r="L104" s="20"/>
      <c r="M104" s="3"/>
      <c r="N104" s="3"/>
      <c r="O104" s="21"/>
      <c r="P104" s="3">
        <v>520.0</v>
      </c>
      <c r="Q104" s="3" t="s">
        <v>74</v>
      </c>
      <c r="R104" s="3" t="s">
        <v>75</v>
      </c>
      <c r="S104" s="3" t="s">
        <v>76</v>
      </c>
      <c r="T104" s="3" t="s">
        <v>39</v>
      </c>
      <c r="U104" s="3" t="s">
        <v>59</v>
      </c>
      <c r="V104" s="3" t="s">
        <v>208</v>
      </c>
      <c r="W104" s="3">
        <v>2.0</v>
      </c>
      <c r="X104" s="3">
        <v>2.0</v>
      </c>
      <c r="Y104" s="3">
        <v>4.0</v>
      </c>
      <c r="Z104" s="3">
        <v>3.0</v>
      </c>
      <c r="AA104" s="3">
        <v>4.0</v>
      </c>
      <c r="AB104" s="3">
        <v>0.0</v>
      </c>
      <c r="AC104" s="22">
        <v>2.5</v>
      </c>
      <c r="AD104" s="3"/>
      <c r="AE104" s="3" t="s">
        <v>110</v>
      </c>
      <c r="AF104" s="14"/>
      <c r="AG104" s="15"/>
      <c r="AH104" s="14"/>
      <c r="AI104" s="14"/>
      <c r="AJ104" s="15"/>
      <c r="AK104" s="14"/>
      <c r="AL104" s="14"/>
      <c r="AM104" s="14" t="s">
        <v>208</v>
      </c>
      <c r="AN104" s="14" t="s">
        <v>466</v>
      </c>
      <c r="AO104" s="14" t="s">
        <v>84</v>
      </c>
      <c r="AP104" s="14" t="s">
        <v>467</v>
      </c>
      <c r="AQ104" s="16">
        <v>0.0</v>
      </c>
      <c r="AR104" s="14" t="s">
        <v>196</v>
      </c>
    </row>
    <row r="105" ht="15.75" customHeight="1">
      <c r="A105" s="3" t="s">
        <v>39</v>
      </c>
      <c r="B105" s="3" t="s">
        <v>44</v>
      </c>
      <c r="C105" s="3" t="s">
        <v>102</v>
      </c>
      <c r="D105" s="3" t="s">
        <v>343</v>
      </c>
      <c r="E105" s="3" t="s">
        <v>164</v>
      </c>
      <c r="F105" s="3" t="s">
        <v>235</v>
      </c>
      <c r="G105" s="3" t="s">
        <v>69</v>
      </c>
      <c r="H105" s="3" t="s">
        <v>69</v>
      </c>
      <c r="I105" s="19" t="s">
        <v>110</v>
      </c>
      <c r="J105" s="3" t="s">
        <v>71</v>
      </c>
      <c r="K105" s="20">
        <v>10.0</v>
      </c>
      <c r="L105" s="20"/>
      <c r="M105" s="3"/>
      <c r="N105" s="3"/>
      <c r="O105" s="21"/>
      <c r="P105" s="3">
        <v>490.0</v>
      </c>
      <c r="Q105" s="3" t="s">
        <v>74</v>
      </c>
      <c r="R105" s="3" t="s">
        <v>75</v>
      </c>
      <c r="S105" s="3" t="s">
        <v>142</v>
      </c>
      <c r="T105" s="3" t="s">
        <v>39</v>
      </c>
      <c r="U105" s="3" t="s">
        <v>90</v>
      </c>
      <c r="V105" s="3" t="s">
        <v>236</v>
      </c>
      <c r="W105" s="3">
        <v>2.0</v>
      </c>
      <c r="X105" s="3">
        <v>2.0</v>
      </c>
      <c r="Y105" s="3">
        <v>4.0</v>
      </c>
      <c r="Z105" s="3">
        <v>3.0</v>
      </c>
      <c r="AA105" s="3">
        <v>2.0</v>
      </c>
      <c r="AB105" s="3">
        <v>0.0</v>
      </c>
      <c r="AC105" s="22">
        <v>2.3</v>
      </c>
      <c r="AD105" s="3"/>
      <c r="AE105" s="3" t="s">
        <v>110</v>
      </c>
      <c r="AF105" s="14"/>
      <c r="AG105" s="15"/>
      <c r="AH105" s="14"/>
      <c r="AI105" s="14"/>
      <c r="AJ105" s="15"/>
      <c r="AK105" s="14"/>
      <c r="AL105" s="14"/>
      <c r="AM105" s="14" t="s">
        <v>236</v>
      </c>
      <c r="AN105" s="14" t="s">
        <v>468</v>
      </c>
      <c r="AO105" s="14" t="s">
        <v>84</v>
      </c>
      <c r="AP105" s="14" t="s">
        <v>469</v>
      </c>
      <c r="AQ105" s="16">
        <v>0.0</v>
      </c>
      <c r="AR105" s="14" t="s">
        <v>196</v>
      </c>
    </row>
    <row r="106" ht="15.75" customHeight="1">
      <c r="A106" s="3" t="s">
        <v>39</v>
      </c>
      <c r="B106" s="3" t="s">
        <v>44</v>
      </c>
      <c r="C106" s="3" t="s">
        <v>102</v>
      </c>
      <c r="D106" s="3" t="s">
        <v>343</v>
      </c>
      <c r="E106" s="3" t="s">
        <v>164</v>
      </c>
      <c r="F106" s="3" t="s">
        <v>207</v>
      </c>
      <c r="G106" s="3" t="s">
        <v>69</v>
      </c>
      <c r="H106" s="3" t="s">
        <v>69</v>
      </c>
      <c r="I106" s="19" t="s">
        <v>110</v>
      </c>
      <c r="J106" s="3" t="s">
        <v>71</v>
      </c>
      <c r="K106" s="20">
        <v>10.0</v>
      </c>
      <c r="L106" s="20"/>
      <c r="M106" s="3"/>
      <c r="N106" s="3"/>
      <c r="O106" s="21"/>
      <c r="P106" s="3">
        <v>490.0</v>
      </c>
      <c r="Q106" s="3" t="s">
        <v>74</v>
      </c>
      <c r="R106" s="3" t="s">
        <v>75</v>
      </c>
      <c r="S106" s="3" t="s">
        <v>142</v>
      </c>
      <c r="T106" s="3" t="s">
        <v>39</v>
      </c>
      <c r="U106" s="3" t="s">
        <v>90</v>
      </c>
      <c r="V106" s="3" t="s">
        <v>208</v>
      </c>
      <c r="W106" s="3">
        <v>2.0</v>
      </c>
      <c r="X106" s="3">
        <v>2.0</v>
      </c>
      <c r="Y106" s="3">
        <v>4.0</v>
      </c>
      <c r="Z106" s="3">
        <v>3.0</v>
      </c>
      <c r="AA106" s="3">
        <v>2.0</v>
      </c>
      <c r="AB106" s="3">
        <v>0.0</v>
      </c>
      <c r="AC106" s="22">
        <v>2.3</v>
      </c>
      <c r="AD106" s="3"/>
      <c r="AE106" s="3" t="s">
        <v>110</v>
      </c>
      <c r="AF106" s="14"/>
      <c r="AG106" s="15"/>
      <c r="AH106" s="14"/>
      <c r="AI106" s="14"/>
      <c r="AJ106" s="15"/>
      <c r="AK106" s="14"/>
      <c r="AL106" s="14"/>
      <c r="AM106" s="14" t="s">
        <v>208</v>
      </c>
      <c r="AN106" s="14" t="s">
        <v>468</v>
      </c>
      <c r="AO106" s="14" t="s">
        <v>84</v>
      </c>
      <c r="AP106" s="14" t="s">
        <v>469</v>
      </c>
      <c r="AQ106" s="16">
        <v>0.0</v>
      </c>
      <c r="AR106" s="14" t="s">
        <v>196</v>
      </c>
    </row>
    <row r="107" ht="15.75" customHeight="1">
      <c r="A107" s="3" t="s">
        <v>39</v>
      </c>
      <c r="B107" s="3" t="s">
        <v>137</v>
      </c>
      <c r="C107" s="3" t="s">
        <v>102</v>
      </c>
      <c r="D107" s="3" t="s">
        <v>347</v>
      </c>
      <c r="E107" s="3" t="s">
        <v>271</v>
      </c>
      <c r="F107" s="3" t="s">
        <v>198</v>
      </c>
      <c r="G107" s="3" t="s">
        <v>69</v>
      </c>
      <c r="H107" s="3" t="s">
        <v>69</v>
      </c>
      <c r="I107" s="19" t="s">
        <v>110</v>
      </c>
      <c r="J107" s="3" t="s">
        <v>71</v>
      </c>
      <c r="K107" s="20">
        <v>3.0</v>
      </c>
      <c r="L107" s="20"/>
      <c r="M107" s="3"/>
      <c r="N107" s="3"/>
      <c r="O107" s="21"/>
      <c r="P107" s="3">
        <v>570.0</v>
      </c>
      <c r="Q107" s="3" t="s">
        <v>74</v>
      </c>
      <c r="R107" s="3" t="s">
        <v>75</v>
      </c>
      <c r="S107" s="3" t="s">
        <v>142</v>
      </c>
      <c r="T107" s="3" t="s">
        <v>39</v>
      </c>
      <c r="U107" s="3" t="s">
        <v>392</v>
      </c>
      <c r="V107" s="3" t="s">
        <v>201</v>
      </c>
      <c r="W107" s="3">
        <v>2.0</v>
      </c>
      <c r="X107" s="3">
        <v>2.0</v>
      </c>
      <c r="Y107" s="3">
        <v>4.0</v>
      </c>
      <c r="Z107" s="3">
        <v>3.0</v>
      </c>
      <c r="AA107" s="3">
        <v>2.0</v>
      </c>
      <c r="AB107" s="3">
        <v>0.0</v>
      </c>
      <c r="AC107" s="22">
        <v>1.3</v>
      </c>
      <c r="AD107" s="3"/>
      <c r="AE107" s="3" t="s">
        <v>110</v>
      </c>
      <c r="AF107" s="14"/>
      <c r="AG107" s="15"/>
      <c r="AH107" s="14"/>
      <c r="AI107" s="14"/>
      <c r="AJ107" s="15"/>
      <c r="AK107" s="14"/>
      <c r="AL107" s="14"/>
      <c r="AM107" s="14" t="s">
        <v>201</v>
      </c>
      <c r="AN107" s="14" t="s">
        <v>470</v>
      </c>
      <c r="AO107" s="14" t="s">
        <v>84</v>
      </c>
      <c r="AP107" s="14" t="s">
        <v>471</v>
      </c>
      <c r="AQ107" s="16">
        <v>-1.0</v>
      </c>
      <c r="AR107" s="14" t="s">
        <v>147</v>
      </c>
    </row>
    <row r="108" ht="15.75" customHeight="1">
      <c r="A108" s="3" t="s">
        <v>39</v>
      </c>
      <c r="B108" s="3" t="s">
        <v>137</v>
      </c>
      <c r="C108" s="3" t="s">
        <v>102</v>
      </c>
      <c r="D108" s="3" t="s">
        <v>348</v>
      </c>
      <c r="E108" s="3" t="s">
        <v>271</v>
      </c>
      <c r="F108" s="3" t="s">
        <v>198</v>
      </c>
      <c r="G108" s="3" t="s">
        <v>69</v>
      </c>
      <c r="H108" s="3" t="s">
        <v>69</v>
      </c>
      <c r="I108" s="19" t="s">
        <v>110</v>
      </c>
      <c r="J108" s="3" t="s">
        <v>71</v>
      </c>
      <c r="K108" s="20">
        <v>3.0</v>
      </c>
      <c r="L108" s="20"/>
      <c r="M108" s="3"/>
      <c r="N108" s="3"/>
      <c r="O108" s="21"/>
      <c r="P108" s="3">
        <v>570.0</v>
      </c>
      <c r="Q108" s="3" t="s">
        <v>74</v>
      </c>
      <c r="R108" s="3" t="s">
        <v>75</v>
      </c>
      <c r="S108" s="3" t="s">
        <v>142</v>
      </c>
      <c r="T108" s="3" t="s">
        <v>39</v>
      </c>
      <c r="U108" s="3" t="s">
        <v>392</v>
      </c>
      <c r="V108" s="3" t="s">
        <v>201</v>
      </c>
      <c r="W108" s="3">
        <v>2.0</v>
      </c>
      <c r="X108" s="3">
        <v>2.0</v>
      </c>
      <c r="Y108" s="3">
        <v>4.0</v>
      </c>
      <c r="Z108" s="3">
        <v>3.0</v>
      </c>
      <c r="AA108" s="3">
        <v>2.0</v>
      </c>
      <c r="AB108" s="3">
        <v>0.0</v>
      </c>
      <c r="AC108" s="22">
        <v>1.3</v>
      </c>
      <c r="AD108" s="3"/>
      <c r="AE108" s="3" t="s">
        <v>110</v>
      </c>
      <c r="AF108" s="14"/>
      <c r="AG108" s="15"/>
      <c r="AH108" s="14"/>
      <c r="AI108" s="14"/>
      <c r="AJ108" s="15"/>
      <c r="AK108" s="14"/>
      <c r="AL108" s="14"/>
      <c r="AM108" s="14" t="s">
        <v>201</v>
      </c>
      <c r="AN108" s="14" t="s">
        <v>472</v>
      </c>
      <c r="AO108" s="14" t="s">
        <v>84</v>
      </c>
      <c r="AP108" s="14" t="s">
        <v>473</v>
      </c>
      <c r="AQ108" s="16">
        <v>-1.0</v>
      </c>
      <c r="AR108" s="14" t="s">
        <v>147</v>
      </c>
    </row>
    <row r="109" ht="15.75" customHeight="1">
      <c r="A109" s="3" t="s">
        <v>39</v>
      </c>
      <c r="B109" s="3" t="s">
        <v>44</v>
      </c>
      <c r="C109" s="3" t="s">
        <v>46</v>
      </c>
      <c r="D109" s="3" t="s">
        <v>80</v>
      </c>
      <c r="E109" s="3" t="s">
        <v>68</v>
      </c>
      <c r="F109" s="3" t="s">
        <v>165</v>
      </c>
      <c r="G109" s="3" t="s">
        <v>39</v>
      </c>
      <c r="H109" s="3" t="s">
        <v>69</v>
      </c>
      <c r="I109" s="19" t="s">
        <v>122</v>
      </c>
      <c r="J109" s="3" t="s">
        <v>71</v>
      </c>
      <c r="K109" s="20">
        <v>0.0</v>
      </c>
      <c r="L109" s="20">
        <v>0.0</v>
      </c>
      <c r="M109" s="3"/>
      <c r="N109" s="3"/>
      <c r="O109" s="21"/>
      <c r="P109" s="3">
        <v>520.0</v>
      </c>
      <c r="Q109" s="3" t="s">
        <v>74</v>
      </c>
      <c r="R109" s="3" t="s">
        <v>75</v>
      </c>
      <c r="S109" s="3" t="s">
        <v>76</v>
      </c>
      <c r="T109" s="3" t="s">
        <v>39</v>
      </c>
      <c r="U109" s="3" t="s">
        <v>59</v>
      </c>
      <c r="V109" s="3" t="s">
        <v>166</v>
      </c>
      <c r="W109" s="3">
        <v>2.0</v>
      </c>
      <c r="X109" s="3">
        <v>2.0</v>
      </c>
      <c r="Y109" s="3">
        <v>5.0</v>
      </c>
      <c r="Z109" s="3">
        <v>3.0</v>
      </c>
      <c r="AA109" s="3">
        <v>4.0</v>
      </c>
      <c r="AB109" s="3">
        <v>0.0</v>
      </c>
      <c r="AC109" s="22">
        <v>2.7</v>
      </c>
      <c r="AD109" s="3">
        <v>0.0</v>
      </c>
      <c r="AE109" s="3" t="s">
        <v>122</v>
      </c>
      <c r="AF109" s="14"/>
      <c r="AG109" s="15"/>
      <c r="AH109" s="14"/>
      <c r="AI109" s="14"/>
      <c r="AJ109" s="15"/>
      <c r="AK109" s="14"/>
      <c r="AL109" s="14"/>
      <c r="AM109" s="14" t="s">
        <v>166</v>
      </c>
      <c r="AN109" s="14" t="s">
        <v>112</v>
      </c>
      <c r="AO109" s="14" t="s">
        <v>84</v>
      </c>
      <c r="AP109" s="14" t="s">
        <v>115</v>
      </c>
      <c r="AQ109" s="16">
        <v>0.0</v>
      </c>
      <c r="AR109" s="14" t="s">
        <v>196</v>
      </c>
    </row>
    <row r="110" ht="15.75" customHeight="1">
      <c r="A110" s="3" t="s">
        <v>39</v>
      </c>
      <c r="B110" s="3" t="s">
        <v>44</v>
      </c>
      <c r="C110" s="3" t="s">
        <v>46</v>
      </c>
      <c r="D110" s="3" t="s">
        <v>270</v>
      </c>
      <c r="E110" s="3" t="s">
        <v>68</v>
      </c>
      <c r="F110" s="3" t="s">
        <v>165</v>
      </c>
      <c r="G110" s="3" t="s">
        <v>39</v>
      </c>
      <c r="H110" s="3" t="s">
        <v>69</v>
      </c>
      <c r="I110" s="19" t="s">
        <v>122</v>
      </c>
      <c r="J110" s="3" t="s">
        <v>71</v>
      </c>
      <c r="K110" s="20">
        <v>0.0</v>
      </c>
      <c r="L110" s="20">
        <v>0.0</v>
      </c>
      <c r="M110" s="3"/>
      <c r="N110" s="3"/>
      <c r="O110" s="21"/>
      <c r="P110" s="3">
        <v>520.0</v>
      </c>
      <c r="Q110" s="3" t="s">
        <v>74</v>
      </c>
      <c r="R110" s="3" t="s">
        <v>75</v>
      </c>
      <c r="S110" s="3" t="s">
        <v>76</v>
      </c>
      <c r="T110" s="3" t="s">
        <v>39</v>
      </c>
      <c r="U110" s="3" t="s">
        <v>59</v>
      </c>
      <c r="V110" s="3" t="s">
        <v>166</v>
      </c>
      <c r="W110" s="3">
        <v>2.0</v>
      </c>
      <c r="X110" s="3">
        <v>2.0</v>
      </c>
      <c r="Y110" s="3">
        <v>5.0</v>
      </c>
      <c r="Z110" s="3">
        <v>3.0</v>
      </c>
      <c r="AA110" s="3">
        <v>4.0</v>
      </c>
      <c r="AB110" s="3">
        <v>0.0</v>
      </c>
      <c r="AC110" s="22">
        <v>2.7</v>
      </c>
      <c r="AD110" s="3">
        <v>0.0</v>
      </c>
      <c r="AE110" s="3" t="s">
        <v>122</v>
      </c>
      <c r="AF110" s="14"/>
      <c r="AG110" s="15"/>
      <c r="AH110" s="14"/>
      <c r="AI110" s="14"/>
      <c r="AJ110" s="15"/>
      <c r="AK110" s="14"/>
      <c r="AL110" s="14"/>
      <c r="AM110" s="14" t="s">
        <v>166</v>
      </c>
      <c r="AN110" s="14" t="s">
        <v>474</v>
      </c>
      <c r="AO110" s="14" t="s">
        <v>84</v>
      </c>
      <c r="AP110" s="14" t="s">
        <v>475</v>
      </c>
      <c r="AQ110" s="16">
        <v>0.0</v>
      </c>
      <c r="AR110" s="14" t="s">
        <v>196</v>
      </c>
    </row>
    <row r="111" ht="15.75" customHeight="1">
      <c r="A111" s="3" t="s">
        <v>39</v>
      </c>
      <c r="B111" s="3" t="s">
        <v>44</v>
      </c>
      <c r="C111" s="3" t="s">
        <v>46</v>
      </c>
      <c r="D111" s="3" t="s">
        <v>170</v>
      </c>
      <c r="E111" s="3" t="s">
        <v>106</v>
      </c>
      <c r="F111" s="3" t="s">
        <v>165</v>
      </c>
      <c r="G111" s="3" t="s">
        <v>39</v>
      </c>
      <c r="H111" s="3" t="s">
        <v>69</v>
      </c>
      <c r="I111" s="19" t="s">
        <v>122</v>
      </c>
      <c r="J111" s="3" t="s">
        <v>71</v>
      </c>
      <c r="K111" s="20">
        <v>0.0</v>
      </c>
      <c r="L111" s="20">
        <v>0.0</v>
      </c>
      <c r="M111" s="3"/>
      <c r="N111" s="3"/>
      <c r="O111" s="21"/>
      <c r="P111" s="3">
        <v>130.0</v>
      </c>
      <c r="Q111" s="3" t="s">
        <v>121</v>
      </c>
      <c r="R111" s="3" t="s">
        <v>75</v>
      </c>
      <c r="S111" s="3" t="s">
        <v>76</v>
      </c>
      <c r="T111" s="3" t="s">
        <v>39</v>
      </c>
      <c r="U111" s="3" t="s">
        <v>90</v>
      </c>
      <c r="V111" s="3" t="s">
        <v>166</v>
      </c>
      <c r="W111" s="3">
        <v>2.0</v>
      </c>
      <c r="X111" s="3">
        <v>5.0</v>
      </c>
      <c r="Y111" s="3">
        <v>5.0</v>
      </c>
      <c r="Z111" s="3">
        <v>3.0</v>
      </c>
      <c r="AA111" s="3">
        <v>4.0</v>
      </c>
      <c r="AB111" s="3">
        <v>0.0</v>
      </c>
      <c r="AC111" s="22">
        <v>3.2</v>
      </c>
      <c r="AD111" s="3">
        <v>0.0</v>
      </c>
      <c r="AE111" s="3" t="s">
        <v>122</v>
      </c>
      <c r="AF111" s="14"/>
      <c r="AG111" s="15"/>
      <c r="AH111" s="14"/>
      <c r="AI111" s="14"/>
      <c r="AJ111" s="15"/>
      <c r="AK111" s="14"/>
      <c r="AL111" s="14"/>
      <c r="AM111" s="14" t="s">
        <v>166</v>
      </c>
      <c r="AN111" s="14" t="s">
        <v>476</v>
      </c>
      <c r="AO111" s="14" t="s">
        <v>84</v>
      </c>
      <c r="AP111" s="14" t="s">
        <v>477</v>
      </c>
      <c r="AQ111" s="16">
        <v>0.0</v>
      </c>
      <c r="AR111" s="14" t="s">
        <v>196</v>
      </c>
    </row>
    <row r="112" ht="15.75" customHeight="1">
      <c r="A112" s="3" t="s">
        <v>39</v>
      </c>
      <c r="B112" s="3" t="s">
        <v>44</v>
      </c>
      <c r="C112" s="3" t="s">
        <v>102</v>
      </c>
      <c r="D112" s="3" t="s">
        <v>362</v>
      </c>
      <c r="E112" s="3" t="s">
        <v>271</v>
      </c>
      <c r="F112" s="3" t="s">
        <v>257</v>
      </c>
      <c r="G112" s="3" t="s">
        <v>39</v>
      </c>
      <c r="H112" s="3" t="s">
        <v>69</v>
      </c>
      <c r="I112" s="19" t="s">
        <v>122</v>
      </c>
      <c r="J112" s="3" t="s">
        <v>71</v>
      </c>
      <c r="K112" s="20">
        <v>0.0</v>
      </c>
      <c r="L112" s="20">
        <v>0.0</v>
      </c>
      <c r="M112" s="3"/>
      <c r="N112" s="3"/>
      <c r="O112" s="21"/>
      <c r="P112" s="3">
        <v>570.0</v>
      </c>
      <c r="Q112" s="3" t="s">
        <v>74</v>
      </c>
      <c r="R112" s="3" t="s">
        <v>75</v>
      </c>
      <c r="S112" s="3" t="s">
        <v>142</v>
      </c>
      <c r="T112" s="3" t="s">
        <v>39</v>
      </c>
      <c r="U112" s="3" t="s">
        <v>232</v>
      </c>
      <c r="V112" s="3" t="s">
        <v>258</v>
      </c>
      <c r="W112" s="3">
        <v>2.0</v>
      </c>
      <c r="X112" s="3">
        <v>2.0</v>
      </c>
      <c r="Y112" s="3">
        <v>5.0</v>
      </c>
      <c r="Z112" s="3">
        <v>3.0</v>
      </c>
      <c r="AA112" s="3">
        <v>2.0</v>
      </c>
      <c r="AB112" s="3">
        <v>0.0</v>
      </c>
      <c r="AC112" s="22">
        <v>2.5</v>
      </c>
      <c r="AD112" s="3">
        <v>0.0</v>
      </c>
      <c r="AE112" s="3" t="s">
        <v>122</v>
      </c>
      <c r="AF112" s="14"/>
      <c r="AG112" s="15"/>
      <c r="AH112" s="14"/>
      <c r="AI112" s="14"/>
      <c r="AJ112" s="15"/>
      <c r="AK112" s="14"/>
      <c r="AL112" s="14"/>
      <c r="AM112" s="14" t="s">
        <v>258</v>
      </c>
      <c r="AN112" s="14" t="s">
        <v>478</v>
      </c>
      <c r="AO112" s="14" t="s">
        <v>84</v>
      </c>
      <c r="AP112" s="14" t="s">
        <v>479</v>
      </c>
      <c r="AQ112" s="16">
        <v>0.0</v>
      </c>
      <c r="AR112" s="14" t="s">
        <v>196</v>
      </c>
    </row>
    <row r="113" ht="15.75" customHeight="1">
      <c r="A113" s="3" t="s">
        <v>39</v>
      </c>
      <c r="B113" s="3" t="s">
        <v>44</v>
      </c>
      <c r="C113" s="3" t="s">
        <v>102</v>
      </c>
      <c r="D113" s="3" t="s">
        <v>362</v>
      </c>
      <c r="E113" s="3" t="s">
        <v>271</v>
      </c>
      <c r="F113" s="3" t="s">
        <v>363</v>
      </c>
      <c r="G113" s="3" t="s">
        <v>39</v>
      </c>
      <c r="H113" s="3" t="s">
        <v>69</v>
      </c>
      <c r="I113" s="19" t="s">
        <v>122</v>
      </c>
      <c r="J113" s="3" t="s">
        <v>71</v>
      </c>
      <c r="K113" s="20">
        <v>0.0</v>
      </c>
      <c r="L113" s="20">
        <v>0.0</v>
      </c>
      <c r="M113" s="3"/>
      <c r="N113" s="3"/>
      <c r="O113" s="21"/>
      <c r="P113" s="3">
        <v>570.0</v>
      </c>
      <c r="Q113" s="3" t="s">
        <v>74</v>
      </c>
      <c r="R113" s="3" t="s">
        <v>75</v>
      </c>
      <c r="S113" s="3" t="s">
        <v>142</v>
      </c>
      <c r="T113" s="3" t="s">
        <v>39</v>
      </c>
      <c r="U113" s="3" t="s">
        <v>232</v>
      </c>
      <c r="V113" s="3" t="s">
        <v>364</v>
      </c>
      <c r="W113" s="3">
        <v>2.0</v>
      </c>
      <c r="X113" s="3">
        <v>2.0</v>
      </c>
      <c r="Y113" s="3">
        <v>5.0</v>
      </c>
      <c r="Z113" s="3">
        <v>3.0</v>
      </c>
      <c r="AA113" s="3">
        <v>2.0</v>
      </c>
      <c r="AB113" s="3">
        <v>0.0</v>
      </c>
      <c r="AC113" s="22">
        <v>2.5</v>
      </c>
      <c r="AD113" s="3">
        <v>0.0</v>
      </c>
      <c r="AE113" s="3" t="s">
        <v>122</v>
      </c>
      <c r="AF113" s="14"/>
      <c r="AG113" s="15"/>
      <c r="AH113" s="14"/>
      <c r="AI113" s="14"/>
      <c r="AJ113" s="15"/>
      <c r="AK113" s="14"/>
      <c r="AL113" s="14"/>
      <c r="AM113" s="14" t="s">
        <v>364</v>
      </c>
      <c r="AN113" s="14" t="s">
        <v>478</v>
      </c>
      <c r="AO113" s="14" t="s">
        <v>84</v>
      </c>
      <c r="AP113" s="14" t="s">
        <v>479</v>
      </c>
      <c r="AQ113" s="16">
        <v>0.0</v>
      </c>
      <c r="AR113" s="14" t="s">
        <v>196</v>
      </c>
    </row>
    <row r="114" ht="15.75" customHeight="1">
      <c r="A114" s="3" t="s">
        <v>39</v>
      </c>
      <c r="B114" s="3" t="s">
        <v>44</v>
      </c>
      <c r="C114" s="3" t="s">
        <v>102</v>
      </c>
      <c r="D114" s="3" t="s">
        <v>371</v>
      </c>
      <c r="E114" s="3" t="s">
        <v>271</v>
      </c>
      <c r="F114" s="3" t="s">
        <v>257</v>
      </c>
      <c r="G114" s="3" t="s">
        <v>39</v>
      </c>
      <c r="H114" s="3" t="s">
        <v>69</v>
      </c>
      <c r="I114" s="19" t="s">
        <v>122</v>
      </c>
      <c r="J114" s="3" t="s">
        <v>71</v>
      </c>
      <c r="K114" s="20">
        <v>0.0</v>
      </c>
      <c r="L114" s="20">
        <v>0.0</v>
      </c>
      <c r="M114" s="3"/>
      <c r="N114" s="3"/>
      <c r="O114" s="21"/>
      <c r="P114" s="3">
        <v>570.0</v>
      </c>
      <c r="Q114" s="3" t="s">
        <v>74</v>
      </c>
      <c r="R114" s="3" t="s">
        <v>75</v>
      </c>
      <c r="S114" s="3" t="s">
        <v>142</v>
      </c>
      <c r="T114" s="3" t="s">
        <v>39</v>
      </c>
      <c r="U114" s="3" t="s">
        <v>232</v>
      </c>
      <c r="V114" s="3" t="s">
        <v>258</v>
      </c>
      <c r="W114" s="3">
        <v>2.0</v>
      </c>
      <c r="X114" s="3">
        <v>2.0</v>
      </c>
      <c r="Y114" s="3">
        <v>5.0</v>
      </c>
      <c r="Z114" s="3">
        <v>3.0</v>
      </c>
      <c r="AA114" s="3">
        <v>2.0</v>
      </c>
      <c r="AB114" s="3">
        <v>0.0</v>
      </c>
      <c r="AC114" s="22">
        <v>2.5</v>
      </c>
      <c r="AD114" s="3">
        <v>0.0</v>
      </c>
      <c r="AE114" s="3" t="s">
        <v>122</v>
      </c>
      <c r="AF114" s="14"/>
      <c r="AG114" s="15"/>
      <c r="AH114" s="14"/>
      <c r="AI114" s="14"/>
      <c r="AJ114" s="15"/>
      <c r="AK114" s="14"/>
      <c r="AL114" s="14"/>
      <c r="AM114" s="14" t="s">
        <v>258</v>
      </c>
      <c r="AN114" s="14" t="s">
        <v>481</v>
      </c>
      <c r="AO114" s="14" t="s">
        <v>84</v>
      </c>
      <c r="AP114" s="14" t="s">
        <v>482</v>
      </c>
      <c r="AQ114" s="16">
        <v>0.0</v>
      </c>
      <c r="AR114" s="14" t="s">
        <v>196</v>
      </c>
    </row>
    <row r="115" ht="15.75" customHeight="1">
      <c r="A115" s="3" t="s">
        <v>39</v>
      </c>
      <c r="B115" s="3" t="s">
        <v>44</v>
      </c>
      <c r="C115" s="3" t="s">
        <v>102</v>
      </c>
      <c r="D115" s="3" t="s">
        <v>246</v>
      </c>
      <c r="E115" s="3" t="s">
        <v>202</v>
      </c>
      <c r="F115" s="3" t="s">
        <v>379</v>
      </c>
      <c r="G115" s="3" t="s">
        <v>39</v>
      </c>
      <c r="H115" s="3" t="s">
        <v>69</v>
      </c>
      <c r="I115" s="19" t="s">
        <v>122</v>
      </c>
      <c r="J115" s="3" t="s">
        <v>71</v>
      </c>
      <c r="K115" s="20">
        <v>0.0</v>
      </c>
      <c r="L115" s="20">
        <v>0.0</v>
      </c>
      <c r="M115" s="3"/>
      <c r="N115" s="3"/>
      <c r="O115" s="21"/>
      <c r="P115" s="3">
        <v>500.0</v>
      </c>
      <c r="Q115" s="3" t="s">
        <v>74</v>
      </c>
      <c r="R115" s="3" t="s">
        <v>75</v>
      </c>
      <c r="S115" s="3" t="s">
        <v>142</v>
      </c>
      <c r="T115" s="3" t="s">
        <v>39</v>
      </c>
      <c r="U115" s="3" t="s">
        <v>232</v>
      </c>
      <c r="V115" s="3" t="s">
        <v>382</v>
      </c>
      <c r="W115" s="3">
        <v>2.0</v>
      </c>
      <c r="X115" s="3">
        <v>2.0</v>
      </c>
      <c r="Y115" s="3">
        <v>5.0</v>
      </c>
      <c r="Z115" s="3">
        <v>3.0</v>
      </c>
      <c r="AA115" s="3">
        <v>2.0</v>
      </c>
      <c r="AB115" s="3">
        <v>0.0</v>
      </c>
      <c r="AC115" s="22">
        <v>2.5</v>
      </c>
      <c r="AD115" s="3">
        <v>0.0</v>
      </c>
      <c r="AE115" s="3" t="s">
        <v>122</v>
      </c>
      <c r="AF115" s="14"/>
      <c r="AG115" s="15"/>
      <c r="AH115" s="14"/>
      <c r="AI115" s="14"/>
      <c r="AJ115" s="15"/>
      <c r="AK115" s="14"/>
      <c r="AL115" s="14"/>
      <c r="AM115" s="14" t="s">
        <v>382</v>
      </c>
      <c r="AN115" s="14" t="s">
        <v>399</v>
      </c>
      <c r="AO115" s="14" t="s">
        <v>84</v>
      </c>
      <c r="AP115" s="14" t="s">
        <v>401</v>
      </c>
      <c r="AQ115" s="16">
        <v>0.0</v>
      </c>
      <c r="AR115" s="14" t="s">
        <v>196</v>
      </c>
    </row>
    <row r="116" ht="15.75" customHeight="1">
      <c r="A116" s="3" t="s">
        <v>39</v>
      </c>
      <c r="B116" s="3" t="s">
        <v>44</v>
      </c>
      <c r="C116" s="3" t="s">
        <v>102</v>
      </c>
      <c r="D116" s="3" t="s">
        <v>383</v>
      </c>
      <c r="E116" s="3" t="s">
        <v>240</v>
      </c>
      <c r="F116" s="3" t="s">
        <v>120</v>
      </c>
      <c r="G116" s="3" t="s">
        <v>39</v>
      </c>
      <c r="H116" s="3" t="s">
        <v>69</v>
      </c>
      <c r="I116" s="19" t="s">
        <v>122</v>
      </c>
      <c r="J116" s="3" t="s">
        <v>71</v>
      </c>
      <c r="K116" s="20">
        <v>0.0</v>
      </c>
      <c r="L116" s="20">
        <v>0.0</v>
      </c>
      <c r="M116" s="3"/>
      <c r="N116" s="3"/>
      <c r="O116" s="21"/>
      <c r="P116" s="3">
        <v>610.0</v>
      </c>
      <c r="Q116" s="3" t="s">
        <v>153</v>
      </c>
      <c r="R116" s="3" t="s">
        <v>75</v>
      </c>
      <c r="S116" s="3" t="s">
        <v>142</v>
      </c>
      <c r="T116" s="3" t="s">
        <v>39</v>
      </c>
      <c r="U116" s="3" t="s">
        <v>90</v>
      </c>
      <c r="V116" s="3" t="s">
        <v>125</v>
      </c>
      <c r="W116" s="3">
        <v>2.0</v>
      </c>
      <c r="X116" s="3">
        <v>1.0</v>
      </c>
      <c r="Y116" s="3">
        <v>5.0</v>
      </c>
      <c r="Z116" s="3">
        <v>3.0</v>
      </c>
      <c r="AA116" s="3">
        <v>2.0</v>
      </c>
      <c r="AB116" s="3">
        <v>0.0</v>
      </c>
      <c r="AC116" s="22">
        <v>2.4</v>
      </c>
      <c r="AD116" s="3">
        <v>0.0</v>
      </c>
      <c r="AE116" s="3" t="s">
        <v>122</v>
      </c>
      <c r="AF116" s="14"/>
      <c r="AG116" s="15"/>
      <c r="AH116" s="14"/>
      <c r="AI116" s="14"/>
      <c r="AJ116" s="15"/>
      <c r="AK116" s="14"/>
      <c r="AL116" s="14"/>
      <c r="AM116" s="14" t="s">
        <v>125</v>
      </c>
      <c r="AN116" s="14" t="s">
        <v>483</v>
      </c>
      <c r="AO116" s="14" t="s">
        <v>84</v>
      </c>
      <c r="AP116" s="14" t="s">
        <v>484</v>
      </c>
      <c r="AQ116" s="16">
        <v>0.0</v>
      </c>
      <c r="AR116" s="14" t="s">
        <v>196</v>
      </c>
    </row>
    <row r="117" ht="15.75" customHeight="1">
      <c r="A117" s="3" t="s">
        <v>39</v>
      </c>
      <c r="B117" s="3" t="s">
        <v>44</v>
      </c>
      <c r="C117" s="3" t="s">
        <v>102</v>
      </c>
      <c r="D117" s="3" t="s">
        <v>391</v>
      </c>
      <c r="E117" s="3" t="s">
        <v>271</v>
      </c>
      <c r="F117" s="3" t="s">
        <v>379</v>
      </c>
      <c r="G117" s="3" t="s">
        <v>39</v>
      </c>
      <c r="H117" s="3" t="s">
        <v>69</v>
      </c>
      <c r="I117" s="19" t="s">
        <v>122</v>
      </c>
      <c r="J117" s="3" t="s">
        <v>71</v>
      </c>
      <c r="K117" s="20">
        <v>0.0</v>
      </c>
      <c r="L117" s="20">
        <v>0.0</v>
      </c>
      <c r="M117" s="3"/>
      <c r="N117" s="3"/>
      <c r="O117" s="21"/>
      <c r="P117" s="3">
        <v>570.0</v>
      </c>
      <c r="Q117" s="3" t="s">
        <v>74</v>
      </c>
      <c r="R117" s="3" t="s">
        <v>75</v>
      </c>
      <c r="S117" s="3" t="s">
        <v>142</v>
      </c>
      <c r="T117" s="3" t="s">
        <v>39</v>
      </c>
      <c r="U117" s="3" t="s">
        <v>232</v>
      </c>
      <c r="V117" s="3" t="s">
        <v>382</v>
      </c>
      <c r="W117" s="3">
        <v>2.0</v>
      </c>
      <c r="X117" s="3">
        <v>2.0</v>
      </c>
      <c r="Y117" s="3">
        <v>5.0</v>
      </c>
      <c r="Z117" s="3">
        <v>3.0</v>
      </c>
      <c r="AA117" s="3">
        <v>2.0</v>
      </c>
      <c r="AB117" s="3">
        <v>0.0</v>
      </c>
      <c r="AC117" s="22">
        <v>2.5</v>
      </c>
      <c r="AD117" s="3">
        <v>0.0</v>
      </c>
      <c r="AE117" s="3" t="s">
        <v>122</v>
      </c>
      <c r="AF117" s="14"/>
      <c r="AG117" s="15"/>
      <c r="AH117" s="14"/>
      <c r="AI117" s="14"/>
      <c r="AJ117" s="15"/>
      <c r="AK117" s="14"/>
      <c r="AL117" s="14"/>
      <c r="AM117" s="14" t="s">
        <v>382</v>
      </c>
      <c r="AN117" s="14" t="s">
        <v>486</v>
      </c>
      <c r="AO117" s="14" t="s">
        <v>84</v>
      </c>
      <c r="AP117" s="14" t="s">
        <v>487</v>
      </c>
      <c r="AQ117" s="16">
        <v>0.0</v>
      </c>
      <c r="AR117" s="14" t="s">
        <v>196</v>
      </c>
    </row>
    <row r="118" ht="15.75" customHeight="1">
      <c r="A118" s="3" t="s">
        <v>39</v>
      </c>
      <c r="B118" s="3" t="s">
        <v>44</v>
      </c>
      <c r="C118" s="3" t="s">
        <v>102</v>
      </c>
      <c r="D118" s="3" t="s">
        <v>256</v>
      </c>
      <c r="E118" s="3" t="s">
        <v>186</v>
      </c>
      <c r="F118" s="3" t="s">
        <v>257</v>
      </c>
      <c r="G118" s="3" t="s">
        <v>39</v>
      </c>
      <c r="H118" s="3" t="s">
        <v>69</v>
      </c>
      <c r="I118" s="19" t="s">
        <v>122</v>
      </c>
      <c r="J118" s="3" t="s">
        <v>71</v>
      </c>
      <c r="K118" s="20">
        <v>0.0</v>
      </c>
      <c r="L118" s="20">
        <v>0.0</v>
      </c>
      <c r="M118" s="3"/>
      <c r="N118" s="3"/>
      <c r="O118" s="21"/>
      <c r="P118" s="3">
        <v>360.0</v>
      </c>
      <c r="Q118" s="3" t="s">
        <v>140</v>
      </c>
      <c r="R118" s="3" t="s">
        <v>75</v>
      </c>
      <c r="S118" s="3" t="s">
        <v>142</v>
      </c>
      <c r="T118" s="3" t="s">
        <v>39</v>
      </c>
      <c r="U118" s="3" t="s">
        <v>232</v>
      </c>
      <c r="V118" s="3" t="s">
        <v>258</v>
      </c>
      <c r="W118" s="3">
        <v>2.0</v>
      </c>
      <c r="X118" s="3">
        <v>3.0</v>
      </c>
      <c r="Y118" s="3">
        <v>5.0</v>
      </c>
      <c r="Z118" s="3">
        <v>3.0</v>
      </c>
      <c r="AA118" s="3">
        <v>2.0</v>
      </c>
      <c r="AB118" s="3">
        <v>0.0</v>
      </c>
      <c r="AC118" s="22">
        <v>2.7</v>
      </c>
      <c r="AD118" s="3">
        <v>0.0</v>
      </c>
      <c r="AE118" s="3" t="s">
        <v>122</v>
      </c>
      <c r="AF118" s="14"/>
      <c r="AG118" s="15"/>
      <c r="AH118" s="14"/>
      <c r="AI118" s="14"/>
      <c r="AJ118" s="15"/>
      <c r="AK118" s="14"/>
      <c r="AL118" s="14"/>
      <c r="AM118" s="14" t="s">
        <v>258</v>
      </c>
      <c r="AN118" s="14" t="s">
        <v>489</v>
      </c>
      <c r="AO118" s="14" t="s">
        <v>84</v>
      </c>
      <c r="AP118" s="14" t="s">
        <v>490</v>
      </c>
      <c r="AQ118" s="16">
        <v>0.0</v>
      </c>
      <c r="AR118" s="14" t="s">
        <v>196</v>
      </c>
    </row>
    <row r="119" ht="15.75" customHeight="1">
      <c r="A119" s="3" t="s">
        <v>39</v>
      </c>
      <c r="B119" s="3" t="s">
        <v>44</v>
      </c>
      <c r="C119" s="3" t="s">
        <v>102</v>
      </c>
      <c r="D119" s="3" t="s">
        <v>262</v>
      </c>
      <c r="E119" s="3" t="s">
        <v>186</v>
      </c>
      <c r="F119" s="3" t="s">
        <v>257</v>
      </c>
      <c r="G119" s="3" t="s">
        <v>39</v>
      </c>
      <c r="H119" s="3" t="s">
        <v>69</v>
      </c>
      <c r="I119" s="19" t="s">
        <v>122</v>
      </c>
      <c r="J119" s="3" t="s">
        <v>71</v>
      </c>
      <c r="K119" s="20">
        <v>0.0</v>
      </c>
      <c r="L119" s="20">
        <v>0.0</v>
      </c>
      <c r="M119" s="3"/>
      <c r="N119" s="3"/>
      <c r="O119" s="21"/>
      <c r="P119" s="3">
        <v>360.0</v>
      </c>
      <c r="Q119" s="3" t="s">
        <v>140</v>
      </c>
      <c r="R119" s="3" t="s">
        <v>75</v>
      </c>
      <c r="S119" s="3" t="s">
        <v>142</v>
      </c>
      <c r="T119" s="3" t="s">
        <v>39</v>
      </c>
      <c r="U119" s="3" t="s">
        <v>232</v>
      </c>
      <c r="V119" s="3" t="s">
        <v>258</v>
      </c>
      <c r="W119" s="3">
        <v>2.0</v>
      </c>
      <c r="X119" s="3">
        <v>3.0</v>
      </c>
      <c r="Y119" s="3">
        <v>5.0</v>
      </c>
      <c r="Z119" s="3">
        <v>3.0</v>
      </c>
      <c r="AA119" s="3">
        <v>2.0</v>
      </c>
      <c r="AB119" s="3">
        <v>0.0</v>
      </c>
      <c r="AC119" s="22">
        <v>2.7</v>
      </c>
      <c r="AD119" s="3">
        <v>0.0</v>
      </c>
      <c r="AE119" s="3" t="s">
        <v>122</v>
      </c>
      <c r="AF119" s="14"/>
      <c r="AG119" s="15"/>
      <c r="AH119" s="14"/>
      <c r="AI119" s="14"/>
      <c r="AJ119" s="15"/>
      <c r="AK119" s="14"/>
      <c r="AL119" s="14"/>
      <c r="AM119" s="14" t="s">
        <v>258</v>
      </c>
      <c r="AN119" s="14" t="s">
        <v>492</v>
      </c>
      <c r="AO119" s="14" t="s">
        <v>84</v>
      </c>
      <c r="AP119" s="14" t="s">
        <v>493</v>
      </c>
      <c r="AQ119" s="16">
        <v>0.0</v>
      </c>
      <c r="AR119" s="14" t="s">
        <v>196</v>
      </c>
    </row>
    <row r="120" ht="15.75" customHeight="1">
      <c r="A120" s="3" t="s">
        <v>39</v>
      </c>
      <c r="B120" s="3" t="s">
        <v>44</v>
      </c>
      <c r="C120" s="3" t="s">
        <v>102</v>
      </c>
      <c r="D120" s="3" t="s">
        <v>118</v>
      </c>
      <c r="E120" s="3" t="s">
        <v>150</v>
      </c>
      <c r="F120" s="3" t="s">
        <v>120</v>
      </c>
      <c r="G120" s="3" t="s">
        <v>39</v>
      </c>
      <c r="H120" s="3" t="s">
        <v>69</v>
      </c>
      <c r="I120" s="19" t="s">
        <v>122</v>
      </c>
      <c r="J120" s="3" t="s">
        <v>71</v>
      </c>
      <c r="K120" s="20">
        <v>0.0</v>
      </c>
      <c r="L120" s="20">
        <v>0.0</v>
      </c>
      <c r="M120" s="3"/>
      <c r="N120" s="3"/>
      <c r="O120" s="21"/>
      <c r="P120" s="3">
        <v>700.0</v>
      </c>
      <c r="Q120" s="3" t="s">
        <v>153</v>
      </c>
      <c r="R120" s="3" t="s">
        <v>75</v>
      </c>
      <c r="S120" s="3" t="s">
        <v>142</v>
      </c>
      <c r="T120" s="3" t="s">
        <v>39</v>
      </c>
      <c r="U120" s="3" t="s">
        <v>90</v>
      </c>
      <c r="V120" s="3" t="s">
        <v>125</v>
      </c>
      <c r="W120" s="3">
        <v>2.0</v>
      </c>
      <c r="X120" s="3">
        <v>1.0</v>
      </c>
      <c r="Y120" s="3">
        <v>5.0</v>
      </c>
      <c r="Z120" s="3">
        <v>3.0</v>
      </c>
      <c r="AA120" s="3">
        <v>2.0</v>
      </c>
      <c r="AB120" s="3">
        <v>0.0</v>
      </c>
      <c r="AC120" s="22">
        <v>2.4</v>
      </c>
      <c r="AD120" s="3">
        <v>0.0</v>
      </c>
      <c r="AE120" s="3" t="s">
        <v>122</v>
      </c>
      <c r="AF120" s="14"/>
      <c r="AG120" s="15"/>
      <c r="AH120" s="14"/>
      <c r="AI120" s="14"/>
      <c r="AJ120" s="15"/>
      <c r="AK120" s="14"/>
      <c r="AL120" s="14"/>
      <c r="AM120" s="14" t="s">
        <v>125</v>
      </c>
      <c r="AN120" s="14" t="s">
        <v>156</v>
      </c>
      <c r="AO120" s="14" t="s">
        <v>84</v>
      </c>
      <c r="AP120" s="14" t="s">
        <v>157</v>
      </c>
      <c r="AQ120" s="16">
        <v>0.0</v>
      </c>
      <c r="AR120" s="14" t="s">
        <v>196</v>
      </c>
    </row>
    <row r="121" ht="15.75" customHeight="1">
      <c r="A121" s="3" t="s">
        <v>39</v>
      </c>
      <c r="B121" s="3" t="s">
        <v>44</v>
      </c>
      <c r="C121" s="3" t="s">
        <v>102</v>
      </c>
      <c r="D121" s="3" t="s">
        <v>126</v>
      </c>
      <c r="E121" s="3" t="s">
        <v>150</v>
      </c>
      <c r="F121" s="3" t="s">
        <v>120</v>
      </c>
      <c r="G121" s="3" t="s">
        <v>39</v>
      </c>
      <c r="H121" s="3" t="s">
        <v>69</v>
      </c>
      <c r="I121" s="19" t="s">
        <v>122</v>
      </c>
      <c r="J121" s="3" t="s">
        <v>71</v>
      </c>
      <c r="K121" s="20">
        <v>0.0</v>
      </c>
      <c r="L121" s="20">
        <v>0.0</v>
      </c>
      <c r="M121" s="3"/>
      <c r="N121" s="3"/>
      <c r="O121" s="21"/>
      <c r="P121" s="3">
        <v>700.0</v>
      </c>
      <c r="Q121" s="3" t="s">
        <v>153</v>
      </c>
      <c r="R121" s="3" t="s">
        <v>75</v>
      </c>
      <c r="S121" s="3" t="s">
        <v>142</v>
      </c>
      <c r="T121" s="3" t="s">
        <v>39</v>
      </c>
      <c r="U121" s="3" t="s">
        <v>90</v>
      </c>
      <c r="V121" s="3" t="s">
        <v>125</v>
      </c>
      <c r="W121" s="3">
        <v>2.0</v>
      </c>
      <c r="X121" s="3">
        <v>1.0</v>
      </c>
      <c r="Y121" s="3">
        <v>5.0</v>
      </c>
      <c r="Z121" s="3">
        <v>3.0</v>
      </c>
      <c r="AA121" s="3">
        <v>2.0</v>
      </c>
      <c r="AB121" s="3">
        <v>0.0</v>
      </c>
      <c r="AC121" s="22">
        <v>2.4</v>
      </c>
      <c r="AD121" s="3">
        <v>0.0</v>
      </c>
      <c r="AE121" s="3" t="s">
        <v>122</v>
      </c>
      <c r="AF121" s="14"/>
      <c r="AG121" s="15"/>
      <c r="AH121" s="14"/>
      <c r="AI121" s="14"/>
      <c r="AJ121" s="15"/>
      <c r="AK121" s="14"/>
      <c r="AL121" s="14"/>
      <c r="AM121" s="14" t="s">
        <v>125</v>
      </c>
      <c r="AN121" s="14" t="s">
        <v>161</v>
      </c>
      <c r="AO121" s="14" t="s">
        <v>84</v>
      </c>
      <c r="AP121" s="14" t="s">
        <v>162</v>
      </c>
      <c r="AQ121" s="16">
        <v>0.0</v>
      </c>
      <c r="AR121" s="14" t="s">
        <v>196</v>
      </c>
    </row>
    <row r="122" ht="15.75" customHeight="1">
      <c r="A122" s="3" t="s">
        <v>39</v>
      </c>
      <c r="B122" s="3" t="s">
        <v>44</v>
      </c>
      <c r="C122" s="3" t="s">
        <v>102</v>
      </c>
      <c r="D122" s="3" t="s">
        <v>126</v>
      </c>
      <c r="E122" s="3" t="s">
        <v>150</v>
      </c>
      <c r="F122" s="3" t="s">
        <v>165</v>
      </c>
      <c r="G122" s="3" t="s">
        <v>39</v>
      </c>
      <c r="H122" s="3" t="s">
        <v>69</v>
      </c>
      <c r="I122" s="19" t="s">
        <v>122</v>
      </c>
      <c r="J122" s="3" t="s">
        <v>71</v>
      </c>
      <c r="K122" s="20">
        <v>0.0</v>
      </c>
      <c r="L122" s="20">
        <v>0.0</v>
      </c>
      <c r="M122" s="3"/>
      <c r="N122" s="3"/>
      <c r="O122" s="21"/>
      <c r="P122" s="3">
        <v>700.0</v>
      </c>
      <c r="Q122" s="3" t="s">
        <v>153</v>
      </c>
      <c r="R122" s="3" t="s">
        <v>75</v>
      </c>
      <c r="S122" s="3" t="s">
        <v>142</v>
      </c>
      <c r="T122" s="3" t="s">
        <v>39</v>
      </c>
      <c r="U122" s="3" t="s">
        <v>90</v>
      </c>
      <c r="V122" s="3" t="s">
        <v>166</v>
      </c>
      <c r="W122" s="3">
        <v>2.0</v>
      </c>
      <c r="X122" s="3">
        <v>1.0</v>
      </c>
      <c r="Y122" s="3">
        <v>5.0</v>
      </c>
      <c r="Z122" s="3">
        <v>3.0</v>
      </c>
      <c r="AA122" s="3">
        <v>2.0</v>
      </c>
      <c r="AB122" s="3">
        <v>0.0</v>
      </c>
      <c r="AC122" s="22">
        <v>2.4</v>
      </c>
      <c r="AD122" s="3">
        <v>0.0</v>
      </c>
      <c r="AE122" s="3" t="s">
        <v>122</v>
      </c>
      <c r="AF122" s="14"/>
      <c r="AG122" s="15"/>
      <c r="AH122" s="14"/>
      <c r="AI122" s="14"/>
      <c r="AJ122" s="15"/>
      <c r="AK122" s="14"/>
      <c r="AL122" s="14"/>
      <c r="AM122" s="14" t="s">
        <v>166</v>
      </c>
      <c r="AN122" s="14" t="s">
        <v>161</v>
      </c>
      <c r="AO122" s="14" t="s">
        <v>84</v>
      </c>
      <c r="AP122" s="14" t="s">
        <v>162</v>
      </c>
      <c r="AQ122" s="16">
        <v>0.0</v>
      </c>
      <c r="AR122" s="14" t="s">
        <v>196</v>
      </c>
    </row>
    <row r="123" ht="15.75" customHeight="1">
      <c r="A123" s="3" t="s">
        <v>39</v>
      </c>
      <c r="B123" s="3" t="s">
        <v>44</v>
      </c>
      <c r="C123" s="3" t="s">
        <v>102</v>
      </c>
      <c r="D123" s="3" t="s">
        <v>263</v>
      </c>
      <c r="E123" s="3" t="s">
        <v>186</v>
      </c>
      <c r="F123" s="3" t="s">
        <v>120</v>
      </c>
      <c r="G123" s="3" t="s">
        <v>39</v>
      </c>
      <c r="H123" s="3" t="s">
        <v>69</v>
      </c>
      <c r="I123" s="19" t="s">
        <v>122</v>
      </c>
      <c r="J123" s="3" t="s">
        <v>71</v>
      </c>
      <c r="K123" s="20">
        <v>0.0</v>
      </c>
      <c r="L123" s="20">
        <v>0.0</v>
      </c>
      <c r="M123" s="3"/>
      <c r="N123" s="3"/>
      <c r="O123" s="21"/>
      <c r="P123" s="3">
        <v>360.0</v>
      </c>
      <c r="Q123" s="3" t="s">
        <v>140</v>
      </c>
      <c r="R123" s="3" t="s">
        <v>75</v>
      </c>
      <c r="S123" s="3" t="s">
        <v>142</v>
      </c>
      <c r="T123" s="3" t="s">
        <v>39</v>
      </c>
      <c r="U123" s="3" t="s">
        <v>90</v>
      </c>
      <c r="V123" s="3" t="s">
        <v>125</v>
      </c>
      <c r="W123" s="3">
        <v>2.0</v>
      </c>
      <c r="X123" s="3">
        <v>3.0</v>
      </c>
      <c r="Y123" s="3">
        <v>5.0</v>
      </c>
      <c r="Z123" s="3">
        <v>3.0</v>
      </c>
      <c r="AA123" s="3">
        <v>2.0</v>
      </c>
      <c r="AB123" s="3">
        <v>0.0</v>
      </c>
      <c r="AC123" s="22">
        <v>2.7</v>
      </c>
      <c r="AD123" s="3">
        <v>0.0</v>
      </c>
      <c r="AE123" s="3" t="s">
        <v>122</v>
      </c>
      <c r="AF123" s="14"/>
      <c r="AG123" s="15"/>
      <c r="AH123" s="14"/>
      <c r="AI123" s="14"/>
      <c r="AJ123" s="15"/>
      <c r="AK123" s="14"/>
      <c r="AL123" s="14"/>
      <c r="AM123" s="14" t="s">
        <v>125</v>
      </c>
      <c r="AN123" s="14" t="s">
        <v>495</v>
      </c>
      <c r="AO123" s="14" t="s">
        <v>84</v>
      </c>
      <c r="AP123" s="14" t="s">
        <v>496</v>
      </c>
      <c r="AQ123" s="16">
        <v>0.0</v>
      </c>
      <c r="AR123" s="14" t="s">
        <v>196</v>
      </c>
    </row>
    <row r="124" ht="15.75" customHeight="1">
      <c r="A124" s="3" t="s">
        <v>39</v>
      </c>
      <c r="B124" s="3" t="s">
        <v>44</v>
      </c>
      <c r="C124" s="3" t="s">
        <v>102</v>
      </c>
      <c r="D124" s="3" t="s">
        <v>133</v>
      </c>
      <c r="E124" s="3" t="s">
        <v>106</v>
      </c>
      <c r="F124" s="3" t="s">
        <v>120</v>
      </c>
      <c r="G124" s="3" t="s">
        <v>39</v>
      </c>
      <c r="H124" s="3" t="s">
        <v>69</v>
      </c>
      <c r="I124" s="19" t="s">
        <v>122</v>
      </c>
      <c r="J124" s="3" t="s">
        <v>71</v>
      </c>
      <c r="K124" s="20">
        <v>0.0</v>
      </c>
      <c r="L124" s="20">
        <v>0.0</v>
      </c>
      <c r="M124" s="3"/>
      <c r="N124" s="3"/>
      <c r="O124" s="21"/>
      <c r="P124" s="3">
        <v>130.0</v>
      </c>
      <c r="Q124" s="3" t="s">
        <v>121</v>
      </c>
      <c r="R124" s="3" t="s">
        <v>75</v>
      </c>
      <c r="S124" s="3" t="s">
        <v>76</v>
      </c>
      <c r="T124" s="3" t="s">
        <v>39</v>
      </c>
      <c r="U124" s="3" t="s">
        <v>90</v>
      </c>
      <c r="V124" s="3" t="s">
        <v>125</v>
      </c>
      <c r="W124" s="3">
        <v>2.0</v>
      </c>
      <c r="X124" s="3">
        <v>5.0</v>
      </c>
      <c r="Y124" s="3">
        <v>5.0</v>
      </c>
      <c r="Z124" s="3">
        <v>3.0</v>
      </c>
      <c r="AA124" s="3">
        <v>4.0</v>
      </c>
      <c r="AB124" s="3">
        <v>0.0</v>
      </c>
      <c r="AC124" s="22">
        <v>3.2</v>
      </c>
      <c r="AD124" s="3">
        <v>0.0</v>
      </c>
      <c r="AE124" s="3" t="s">
        <v>122</v>
      </c>
      <c r="AF124" s="14"/>
      <c r="AG124" s="15"/>
      <c r="AH124" s="14"/>
      <c r="AI124" s="14"/>
      <c r="AJ124" s="15"/>
      <c r="AK124" s="14"/>
      <c r="AL124" s="14"/>
      <c r="AM124" s="14" t="s">
        <v>125</v>
      </c>
      <c r="AN124" s="14" t="s">
        <v>194</v>
      </c>
      <c r="AO124" s="14" t="s">
        <v>84</v>
      </c>
      <c r="AP124" s="14" t="s">
        <v>195</v>
      </c>
      <c r="AQ124" s="16">
        <v>0.0</v>
      </c>
      <c r="AR124" s="14" t="s">
        <v>196</v>
      </c>
    </row>
    <row r="125" ht="15.75" customHeight="1">
      <c r="A125" s="3" t="s">
        <v>39</v>
      </c>
      <c r="B125" s="3" t="s">
        <v>44</v>
      </c>
      <c r="C125" s="3" t="s">
        <v>102</v>
      </c>
      <c r="D125" s="3" t="s">
        <v>276</v>
      </c>
      <c r="E125" s="3" t="s">
        <v>164</v>
      </c>
      <c r="F125" s="3" t="s">
        <v>120</v>
      </c>
      <c r="G125" s="3" t="s">
        <v>39</v>
      </c>
      <c r="H125" s="3" t="s">
        <v>69</v>
      </c>
      <c r="I125" s="19" t="s">
        <v>122</v>
      </c>
      <c r="J125" s="3" t="s">
        <v>71</v>
      </c>
      <c r="K125" s="20">
        <v>0.0</v>
      </c>
      <c r="L125" s="20">
        <v>0.0</v>
      </c>
      <c r="M125" s="3"/>
      <c r="N125" s="3"/>
      <c r="O125" s="21"/>
      <c r="P125" s="3">
        <v>490.0</v>
      </c>
      <c r="Q125" s="3" t="s">
        <v>74</v>
      </c>
      <c r="R125" s="3" t="s">
        <v>75</v>
      </c>
      <c r="S125" s="3" t="s">
        <v>142</v>
      </c>
      <c r="T125" s="3" t="s">
        <v>39</v>
      </c>
      <c r="U125" s="3" t="s">
        <v>90</v>
      </c>
      <c r="V125" s="3" t="s">
        <v>125</v>
      </c>
      <c r="W125" s="3">
        <v>2.0</v>
      </c>
      <c r="X125" s="3">
        <v>2.0</v>
      </c>
      <c r="Y125" s="3">
        <v>5.0</v>
      </c>
      <c r="Z125" s="3">
        <v>3.0</v>
      </c>
      <c r="AA125" s="3">
        <v>2.0</v>
      </c>
      <c r="AB125" s="3">
        <v>0.0</v>
      </c>
      <c r="AC125" s="22">
        <v>2.5</v>
      </c>
      <c r="AD125" s="3">
        <v>0.0</v>
      </c>
      <c r="AE125" s="3" t="s">
        <v>122</v>
      </c>
      <c r="AF125" s="14"/>
      <c r="AG125" s="15"/>
      <c r="AH125" s="14"/>
      <c r="AI125" s="14"/>
      <c r="AJ125" s="15"/>
      <c r="AK125" s="14"/>
      <c r="AL125" s="14"/>
      <c r="AM125" s="14" t="s">
        <v>125</v>
      </c>
      <c r="AN125" s="14" t="s">
        <v>411</v>
      </c>
      <c r="AO125" s="14" t="s">
        <v>84</v>
      </c>
      <c r="AP125" s="14" t="s">
        <v>412</v>
      </c>
      <c r="AQ125" s="16">
        <v>0.0</v>
      </c>
      <c r="AR125" s="14" t="s">
        <v>196</v>
      </c>
    </row>
    <row r="126" ht="15.75" customHeight="1">
      <c r="A126" s="3" t="s">
        <v>39</v>
      </c>
      <c r="B126" s="3" t="s">
        <v>44</v>
      </c>
      <c r="C126" s="3" t="s">
        <v>102</v>
      </c>
      <c r="D126" s="3" t="s">
        <v>276</v>
      </c>
      <c r="E126" s="3" t="s">
        <v>164</v>
      </c>
      <c r="F126" s="3" t="s">
        <v>165</v>
      </c>
      <c r="G126" s="3" t="s">
        <v>39</v>
      </c>
      <c r="H126" s="3" t="s">
        <v>69</v>
      </c>
      <c r="I126" s="19" t="s">
        <v>122</v>
      </c>
      <c r="J126" s="3" t="s">
        <v>71</v>
      </c>
      <c r="K126" s="20">
        <v>0.0</v>
      </c>
      <c r="L126" s="20">
        <v>0.0</v>
      </c>
      <c r="M126" s="3"/>
      <c r="N126" s="3"/>
      <c r="O126" s="21"/>
      <c r="P126" s="3">
        <v>490.0</v>
      </c>
      <c r="Q126" s="3" t="s">
        <v>74</v>
      </c>
      <c r="R126" s="3" t="s">
        <v>75</v>
      </c>
      <c r="S126" s="3" t="s">
        <v>142</v>
      </c>
      <c r="T126" s="3" t="s">
        <v>39</v>
      </c>
      <c r="U126" s="3" t="s">
        <v>90</v>
      </c>
      <c r="V126" s="3" t="s">
        <v>166</v>
      </c>
      <c r="W126" s="3">
        <v>2.0</v>
      </c>
      <c r="X126" s="3">
        <v>2.0</v>
      </c>
      <c r="Y126" s="3">
        <v>5.0</v>
      </c>
      <c r="Z126" s="3">
        <v>3.0</v>
      </c>
      <c r="AA126" s="3">
        <v>2.0</v>
      </c>
      <c r="AB126" s="3">
        <v>0.0</v>
      </c>
      <c r="AC126" s="22">
        <v>2.5</v>
      </c>
      <c r="AD126" s="3">
        <v>0.0</v>
      </c>
      <c r="AE126" s="3" t="s">
        <v>122</v>
      </c>
      <c r="AF126" s="14"/>
      <c r="AG126" s="15"/>
      <c r="AH126" s="14"/>
      <c r="AI126" s="14"/>
      <c r="AJ126" s="15"/>
      <c r="AK126" s="14"/>
      <c r="AL126" s="14"/>
      <c r="AM126" s="14" t="s">
        <v>166</v>
      </c>
      <c r="AN126" s="14" t="s">
        <v>411</v>
      </c>
      <c r="AO126" s="14" t="s">
        <v>84</v>
      </c>
      <c r="AP126" s="14" t="s">
        <v>412</v>
      </c>
      <c r="AQ126" s="16">
        <v>0.0</v>
      </c>
      <c r="AR126" s="14" t="s">
        <v>196</v>
      </c>
    </row>
    <row r="127" ht="15.75" customHeight="1">
      <c r="A127" s="3" t="s">
        <v>39</v>
      </c>
      <c r="B127" s="3" t="s">
        <v>44</v>
      </c>
      <c r="C127" s="3" t="s">
        <v>102</v>
      </c>
      <c r="D127" s="3" t="s">
        <v>173</v>
      </c>
      <c r="E127" s="3" t="s">
        <v>202</v>
      </c>
      <c r="F127" s="3" t="s">
        <v>120</v>
      </c>
      <c r="G127" s="3" t="s">
        <v>39</v>
      </c>
      <c r="H127" s="3" t="s">
        <v>69</v>
      </c>
      <c r="I127" s="19" t="s">
        <v>122</v>
      </c>
      <c r="J127" s="3" t="s">
        <v>71</v>
      </c>
      <c r="K127" s="20">
        <v>0.0</v>
      </c>
      <c r="L127" s="20">
        <v>0.0</v>
      </c>
      <c r="M127" s="3"/>
      <c r="N127" s="3"/>
      <c r="O127" s="21"/>
      <c r="P127" s="3">
        <v>500.0</v>
      </c>
      <c r="Q127" s="3" t="s">
        <v>74</v>
      </c>
      <c r="R127" s="3" t="s">
        <v>75</v>
      </c>
      <c r="S127" s="3" t="s">
        <v>142</v>
      </c>
      <c r="T127" s="3" t="s">
        <v>39</v>
      </c>
      <c r="U127" s="3" t="s">
        <v>90</v>
      </c>
      <c r="V127" s="3" t="s">
        <v>125</v>
      </c>
      <c r="W127" s="3">
        <v>2.0</v>
      </c>
      <c r="X127" s="3">
        <v>2.0</v>
      </c>
      <c r="Y127" s="3">
        <v>5.0</v>
      </c>
      <c r="Z127" s="3">
        <v>3.0</v>
      </c>
      <c r="AA127" s="3">
        <v>2.0</v>
      </c>
      <c r="AB127" s="3">
        <v>0.0</v>
      </c>
      <c r="AC127" s="22">
        <v>2.5</v>
      </c>
      <c r="AD127" s="3">
        <v>0.0</v>
      </c>
      <c r="AE127" s="3" t="s">
        <v>122</v>
      </c>
      <c r="AF127" s="14"/>
      <c r="AG127" s="15"/>
      <c r="AH127" s="14"/>
      <c r="AI127" s="14"/>
      <c r="AJ127" s="15"/>
      <c r="AK127" s="14"/>
      <c r="AL127" s="14"/>
      <c r="AM127" s="14" t="s">
        <v>125</v>
      </c>
      <c r="AN127" s="14" t="s">
        <v>204</v>
      </c>
      <c r="AO127" s="14" t="s">
        <v>84</v>
      </c>
      <c r="AP127" s="14" t="s">
        <v>205</v>
      </c>
      <c r="AQ127" s="16">
        <v>0.0</v>
      </c>
      <c r="AR127" s="14" t="s">
        <v>196</v>
      </c>
    </row>
    <row r="128" ht="15.75" customHeight="1">
      <c r="A128" s="3" t="s">
        <v>39</v>
      </c>
      <c r="B128" s="3" t="s">
        <v>44</v>
      </c>
      <c r="C128" s="3" t="s">
        <v>102</v>
      </c>
      <c r="D128" s="3" t="s">
        <v>178</v>
      </c>
      <c r="E128" s="3" t="s">
        <v>150</v>
      </c>
      <c r="F128" s="3" t="s">
        <v>120</v>
      </c>
      <c r="G128" s="3" t="s">
        <v>39</v>
      </c>
      <c r="H128" s="3" t="s">
        <v>69</v>
      </c>
      <c r="I128" s="19" t="s">
        <v>122</v>
      </c>
      <c r="J128" s="3" t="s">
        <v>71</v>
      </c>
      <c r="K128" s="20">
        <v>0.0</v>
      </c>
      <c r="L128" s="20">
        <v>0.0</v>
      </c>
      <c r="M128" s="3"/>
      <c r="N128" s="3"/>
      <c r="O128" s="21"/>
      <c r="P128" s="3">
        <v>700.0</v>
      </c>
      <c r="Q128" s="3" t="s">
        <v>153</v>
      </c>
      <c r="R128" s="3" t="s">
        <v>75</v>
      </c>
      <c r="S128" s="3" t="s">
        <v>142</v>
      </c>
      <c r="T128" s="3" t="s">
        <v>39</v>
      </c>
      <c r="U128" s="3" t="s">
        <v>90</v>
      </c>
      <c r="V128" s="3" t="s">
        <v>125</v>
      </c>
      <c r="W128" s="3">
        <v>2.0</v>
      </c>
      <c r="X128" s="3">
        <v>1.0</v>
      </c>
      <c r="Y128" s="3">
        <v>5.0</v>
      </c>
      <c r="Z128" s="3">
        <v>3.0</v>
      </c>
      <c r="AA128" s="3">
        <v>2.0</v>
      </c>
      <c r="AB128" s="3">
        <v>0.0</v>
      </c>
      <c r="AC128" s="22">
        <v>2.4</v>
      </c>
      <c r="AD128" s="3">
        <v>0.0</v>
      </c>
      <c r="AE128" s="3" t="s">
        <v>122</v>
      </c>
      <c r="AF128" s="14"/>
      <c r="AG128" s="15"/>
      <c r="AH128" s="14"/>
      <c r="AI128" s="14"/>
      <c r="AJ128" s="15"/>
      <c r="AK128" s="14"/>
      <c r="AL128" s="14"/>
      <c r="AM128" s="14" t="s">
        <v>125</v>
      </c>
      <c r="AN128" s="14" t="s">
        <v>211</v>
      </c>
      <c r="AO128" s="14" t="s">
        <v>84</v>
      </c>
      <c r="AP128" s="14" t="s">
        <v>212</v>
      </c>
      <c r="AQ128" s="16">
        <v>0.0</v>
      </c>
      <c r="AR128" s="14" t="s">
        <v>196</v>
      </c>
    </row>
    <row r="129" ht="15.75" customHeight="1">
      <c r="A129" s="3" t="s">
        <v>39</v>
      </c>
      <c r="B129" s="3" t="s">
        <v>44</v>
      </c>
      <c r="C129" s="3" t="s">
        <v>102</v>
      </c>
      <c r="D129" s="3" t="s">
        <v>178</v>
      </c>
      <c r="E129" s="3" t="s">
        <v>150</v>
      </c>
      <c r="F129" s="3" t="s">
        <v>165</v>
      </c>
      <c r="G129" s="3" t="s">
        <v>39</v>
      </c>
      <c r="H129" s="3" t="s">
        <v>69</v>
      </c>
      <c r="I129" s="19" t="s">
        <v>122</v>
      </c>
      <c r="J129" s="3" t="s">
        <v>71</v>
      </c>
      <c r="K129" s="20">
        <v>0.0</v>
      </c>
      <c r="L129" s="20">
        <v>0.0</v>
      </c>
      <c r="M129" s="3"/>
      <c r="N129" s="3"/>
      <c r="O129" s="21"/>
      <c r="P129" s="3">
        <v>700.0</v>
      </c>
      <c r="Q129" s="3" t="s">
        <v>153</v>
      </c>
      <c r="R129" s="3" t="s">
        <v>75</v>
      </c>
      <c r="S129" s="3" t="s">
        <v>142</v>
      </c>
      <c r="T129" s="3" t="s">
        <v>39</v>
      </c>
      <c r="U129" s="3" t="s">
        <v>90</v>
      </c>
      <c r="V129" s="3" t="s">
        <v>166</v>
      </c>
      <c r="W129" s="3">
        <v>2.0</v>
      </c>
      <c r="X129" s="3">
        <v>1.0</v>
      </c>
      <c r="Y129" s="3">
        <v>5.0</v>
      </c>
      <c r="Z129" s="3">
        <v>3.0</v>
      </c>
      <c r="AA129" s="3">
        <v>2.0</v>
      </c>
      <c r="AB129" s="3">
        <v>0.0</v>
      </c>
      <c r="AC129" s="22">
        <v>2.4</v>
      </c>
      <c r="AD129" s="3">
        <v>0.0</v>
      </c>
      <c r="AE129" s="3" t="s">
        <v>122</v>
      </c>
      <c r="AF129" s="14"/>
      <c r="AG129" s="15"/>
      <c r="AH129" s="14"/>
      <c r="AI129" s="14"/>
      <c r="AJ129" s="15"/>
      <c r="AK129" s="14"/>
      <c r="AL129" s="14"/>
      <c r="AM129" s="14" t="s">
        <v>166</v>
      </c>
      <c r="AN129" s="14" t="s">
        <v>211</v>
      </c>
      <c r="AO129" s="14" t="s">
        <v>84</v>
      </c>
      <c r="AP129" s="14" t="s">
        <v>212</v>
      </c>
      <c r="AQ129" s="16">
        <v>0.0</v>
      </c>
      <c r="AR129" s="14" t="s">
        <v>196</v>
      </c>
    </row>
    <row r="130" ht="15.75" customHeight="1">
      <c r="A130" s="3" t="s">
        <v>39</v>
      </c>
      <c r="B130" s="3" t="s">
        <v>44</v>
      </c>
      <c r="C130" s="3" t="s">
        <v>102</v>
      </c>
      <c r="D130" s="3" t="s">
        <v>292</v>
      </c>
      <c r="E130" s="3" t="s">
        <v>240</v>
      </c>
      <c r="F130" s="3" t="s">
        <v>120</v>
      </c>
      <c r="G130" s="3" t="s">
        <v>39</v>
      </c>
      <c r="H130" s="3" t="s">
        <v>69</v>
      </c>
      <c r="I130" s="19" t="s">
        <v>122</v>
      </c>
      <c r="J130" s="3" t="s">
        <v>71</v>
      </c>
      <c r="K130" s="20">
        <v>0.0</v>
      </c>
      <c r="L130" s="20">
        <v>0.0</v>
      </c>
      <c r="M130" s="3"/>
      <c r="N130" s="3"/>
      <c r="O130" s="21"/>
      <c r="P130" s="3">
        <v>610.0</v>
      </c>
      <c r="Q130" s="3" t="s">
        <v>153</v>
      </c>
      <c r="R130" s="3" t="s">
        <v>75</v>
      </c>
      <c r="S130" s="3" t="s">
        <v>142</v>
      </c>
      <c r="T130" s="3" t="s">
        <v>39</v>
      </c>
      <c r="U130" s="3" t="s">
        <v>90</v>
      </c>
      <c r="V130" s="3" t="s">
        <v>125</v>
      </c>
      <c r="W130" s="3">
        <v>2.0</v>
      </c>
      <c r="X130" s="3">
        <v>1.0</v>
      </c>
      <c r="Y130" s="3">
        <v>5.0</v>
      </c>
      <c r="Z130" s="3">
        <v>3.0</v>
      </c>
      <c r="AA130" s="3">
        <v>2.0</v>
      </c>
      <c r="AB130" s="3">
        <v>0.0</v>
      </c>
      <c r="AC130" s="22">
        <v>2.4</v>
      </c>
      <c r="AD130" s="3">
        <v>0.0</v>
      </c>
      <c r="AE130" s="3" t="s">
        <v>122</v>
      </c>
      <c r="AF130" s="14"/>
      <c r="AG130" s="15"/>
      <c r="AH130" s="14"/>
      <c r="AI130" s="14"/>
      <c r="AJ130" s="15"/>
      <c r="AK130" s="14"/>
      <c r="AL130" s="14"/>
      <c r="AM130" s="14" t="s">
        <v>125</v>
      </c>
      <c r="AN130" s="14" t="s">
        <v>330</v>
      </c>
      <c r="AO130" s="14" t="s">
        <v>84</v>
      </c>
      <c r="AP130" s="14" t="s">
        <v>332</v>
      </c>
      <c r="AQ130" s="16">
        <v>0.0</v>
      </c>
      <c r="AR130" s="14" t="s">
        <v>196</v>
      </c>
    </row>
    <row r="131" ht="15.75" customHeight="1">
      <c r="A131" s="3" t="s">
        <v>39</v>
      </c>
      <c r="B131" s="3" t="s">
        <v>44</v>
      </c>
      <c r="C131" s="3" t="s">
        <v>102</v>
      </c>
      <c r="D131" s="3" t="s">
        <v>119</v>
      </c>
      <c r="E131" s="3" t="s">
        <v>106</v>
      </c>
      <c r="F131" s="3" t="s">
        <v>120</v>
      </c>
      <c r="G131" s="3" t="s">
        <v>39</v>
      </c>
      <c r="H131" s="3" t="s">
        <v>69</v>
      </c>
      <c r="I131" s="19" t="s">
        <v>122</v>
      </c>
      <c r="J131" s="3" t="s">
        <v>71</v>
      </c>
      <c r="K131" s="20">
        <v>0.0</v>
      </c>
      <c r="L131" s="20">
        <v>0.0</v>
      </c>
      <c r="M131" s="3"/>
      <c r="N131" s="3"/>
      <c r="O131" s="21"/>
      <c r="P131" s="3">
        <v>130.0</v>
      </c>
      <c r="Q131" s="3" t="s">
        <v>121</v>
      </c>
      <c r="R131" s="3" t="s">
        <v>75</v>
      </c>
      <c r="S131" s="3" t="s">
        <v>76</v>
      </c>
      <c r="T131" s="3" t="s">
        <v>69</v>
      </c>
      <c r="U131" s="3" t="s">
        <v>90</v>
      </c>
      <c r="V131" s="3" t="s">
        <v>125</v>
      </c>
      <c r="W131" s="3">
        <v>2.0</v>
      </c>
      <c r="X131" s="3">
        <v>5.0</v>
      </c>
      <c r="Y131" s="3">
        <v>5.0</v>
      </c>
      <c r="Z131" s="3">
        <v>3.0</v>
      </c>
      <c r="AA131" s="3">
        <v>4.0</v>
      </c>
      <c r="AB131" s="3">
        <v>5.0</v>
      </c>
      <c r="AC131" s="22">
        <v>3.9</v>
      </c>
      <c r="AD131" s="3">
        <v>0.0</v>
      </c>
      <c r="AE131" s="3" t="s">
        <v>122</v>
      </c>
      <c r="AF131" s="14"/>
      <c r="AG131" s="15"/>
      <c r="AH131" s="14"/>
      <c r="AI131" s="14"/>
      <c r="AJ131" s="15"/>
      <c r="AK131" s="14"/>
      <c r="AL131" s="14"/>
      <c r="AM131" s="14" t="s">
        <v>125</v>
      </c>
      <c r="AN131" s="14" t="s">
        <v>337</v>
      </c>
      <c r="AO131" s="14" t="s">
        <v>84</v>
      </c>
      <c r="AP131" s="14" t="s">
        <v>338</v>
      </c>
      <c r="AQ131" s="16">
        <v>0.0</v>
      </c>
      <c r="AR131" s="14" t="s">
        <v>196</v>
      </c>
    </row>
    <row r="132" ht="15.75" customHeight="1">
      <c r="A132" s="3" t="s">
        <v>39</v>
      </c>
      <c r="B132" s="3" t="s">
        <v>44</v>
      </c>
      <c r="C132" s="3" t="s">
        <v>102</v>
      </c>
      <c r="D132" s="3" t="s">
        <v>265</v>
      </c>
      <c r="E132" s="3" t="s">
        <v>186</v>
      </c>
      <c r="F132" s="3" t="s">
        <v>120</v>
      </c>
      <c r="G132" s="3" t="s">
        <v>39</v>
      </c>
      <c r="H132" s="3" t="s">
        <v>69</v>
      </c>
      <c r="I132" s="19" t="s">
        <v>122</v>
      </c>
      <c r="J132" s="3" t="s">
        <v>71</v>
      </c>
      <c r="K132" s="20">
        <v>0.0</v>
      </c>
      <c r="L132" s="20">
        <v>0.0</v>
      </c>
      <c r="M132" s="3"/>
      <c r="N132" s="3"/>
      <c r="O132" s="21"/>
      <c r="P132" s="3">
        <v>360.0</v>
      </c>
      <c r="Q132" s="3" t="s">
        <v>140</v>
      </c>
      <c r="R132" s="3" t="s">
        <v>75</v>
      </c>
      <c r="S132" s="3" t="s">
        <v>142</v>
      </c>
      <c r="T132" s="3" t="s">
        <v>39</v>
      </c>
      <c r="U132" s="3" t="s">
        <v>90</v>
      </c>
      <c r="V132" s="3" t="s">
        <v>125</v>
      </c>
      <c r="W132" s="3">
        <v>2.0</v>
      </c>
      <c r="X132" s="3">
        <v>3.0</v>
      </c>
      <c r="Y132" s="3">
        <v>5.0</v>
      </c>
      <c r="Z132" s="3">
        <v>3.0</v>
      </c>
      <c r="AA132" s="3">
        <v>2.0</v>
      </c>
      <c r="AB132" s="3">
        <v>0.0</v>
      </c>
      <c r="AC132" s="22">
        <v>2.7</v>
      </c>
      <c r="AD132" s="3">
        <v>0.0</v>
      </c>
      <c r="AE132" s="3" t="s">
        <v>122</v>
      </c>
      <c r="AF132" s="14"/>
      <c r="AG132" s="15"/>
      <c r="AH132" s="14"/>
      <c r="AI132" s="14"/>
      <c r="AJ132" s="15"/>
      <c r="AK132" s="14"/>
      <c r="AL132" s="14"/>
      <c r="AM132" s="14" t="s">
        <v>125</v>
      </c>
      <c r="AN132" s="14" t="s">
        <v>504</v>
      </c>
      <c r="AO132" s="14" t="s">
        <v>84</v>
      </c>
      <c r="AP132" s="14" t="s">
        <v>505</v>
      </c>
      <c r="AQ132" s="16">
        <v>0.0</v>
      </c>
      <c r="AR132" s="14" t="s">
        <v>196</v>
      </c>
    </row>
    <row r="133" ht="15.75" customHeight="1">
      <c r="A133" s="3" t="s">
        <v>39</v>
      </c>
      <c r="B133" s="3" t="s">
        <v>44</v>
      </c>
      <c r="C133" s="3" t="s">
        <v>102</v>
      </c>
      <c r="D133" s="3" t="s">
        <v>187</v>
      </c>
      <c r="E133" s="3" t="s">
        <v>150</v>
      </c>
      <c r="F133" s="3" t="s">
        <v>165</v>
      </c>
      <c r="G133" s="3" t="s">
        <v>39</v>
      </c>
      <c r="H133" s="3" t="s">
        <v>69</v>
      </c>
      <c r="I133" s="19" t="s">
        <v>122</v>
      </c>
      <c r="J133" s="3" t="s">
        <v>71</v>
      </c>
      <c r="K133" s="20">
        <v>0.0</v>
      </c>
      <c r="L133" s="20">
        <v>0.0</v>
      </c>
      <c r="M133" s="3"/>
      <c r="N133" s="3"/>
      <c r="O133" s="21"/>
      <c r="P133" s="3">
        <v>700.0</v>
      </c>
      <c r="Q133" s="3" t="s">
        <v>153</v>
      </c>
      <c r="R133" s="3" t="s">
        <v>75</v>
      </c>
      <c r="S133" s="3" t="s">
        <v>142</v>
      </c>
      <c r="T133" s="3" t="s">
        <v>39</v>
      </c>
      <c r="U133" s="3" t="s">
        <v>90</v>
      </c>
      <c r="V133" s="3" t="s">
        <v>166</v>
      </c>
      <c r="W133" s="3">
        <v>2.0</v>
      </c>
      <c r="X133" s="3">
        <v>1.0</v>
      </c>
      <c r="Y133" s="3">
        <v>5.0</v>
      </c>
      <c r="Z133" s="3">
        <v>3.0</v>
      </c>
      <c r="AA133" s="3">
        <v>2.0</v>
      </c>
      <c r="AB133" s="3">
        <v>0.0</v>
      </c>
      <c r="AC133" s="22">
        <v>2.4</v>
      </c>
      <c r="AD133" s="3">
        <v>0.0</v>
      </c>
      <c r="AE133" s="3" t="s">
        <v>122</v>
      </c>
      <c r="AF133" s="14"/>
      <c r="AG133" s="15"/>
      <c r="AH133" s="14"/>
      <c r="AI133" s="14"/>
      <c r="AJ133" s="15"/>
      <c r="AK133" s="14"/>
      <c r="AL133" s="14"/>
      <c r="AM133" s="14" t="s">
        <v>166</v>
      </c>
      <c r="AN133" s="14" t="s">
        <v>227</v>
      </c>
      <c r="AO133" s="14" t="s">
        <v>84</v>
      </c>
      <c r="AP133" s="14" t="s">
        <v>229</v>
      </c>
      <c r="AQ133" s="16">
        <v>0.0</v>
      </c>
      <c r="AR133" s="14" t="s">
        <v>196</v>
      </c>
    </row>
    <row r="134" ht="15.75" customHeight="1">
      <c r="A134" s="3" t="s">
        <v>39</v>
      </c>
      <c r="B134" s="3" t="s">
        <v>44</v>
      </c>
      <c r="C134" s="3" t="s">
        <v>102</v>
      </c>
      <c r="D134" s="3" t="s">
        <v>311</v>
      </c>
      <c r="E134" s="3" t="s">
        <v>240</v>
      </c>
      <c r="F134" s="3" t="s">
        <v>379</v>
      </c>
      <c r="G134" s="3" t="s">
        <v>39</v>
      </c>
      <c r="H134" s="3" t="s">
        <v>69</v>
      </c>
      <c r="I134" s="19" t="s">
        <v>122</v>
      </c>
      <c r="J134" s="3" t="s">
        <v>71</v>
      </c>
      <c r="K134" s="20">
        <v>0.0</v>
      </c>
      <c r="L134" s="20">
        <v>0.0</v>
      </c>
      <c r="M134" s="3"/>
      <c r="N134" s="3"/>
      <c r="O134" s="21"/>
      <c r="P134" s="3">
        <v>610.0</v>
      </c>
      <c r="Q134" s="3" t="s">
        <v>153</v>
      </c>
      <c r="R134" s="3" t="s">
        <v>75</v>
      </c>
      <c r="S134" s="3" t="s">
        <v>142</v>
      </c>
      <c r="T134" s="3" t="s">
        <v>39</v>
      </c>
      <c r="U134" s="3" t="s">
        <v>232</v>
      </c>
      <c r="V134" s="3" t="s">
        <v>382</v>
      </c>
      <c r="W134" s="3">
        <v>2.0</v>
      </c>
      <c r="X134" s="3">
        <v>1.0</v>
      </c>
      <c r="Y134" s="3">
        <v>5.0</v>
      </c>
      <c r="Z134" s="3">
        <v>3.0</v>
      </c>
      <c r="AA134" s="3">
        <v>2.0</v>
      </c>
      <c r="AB134" s="3">
        <v>0.0</v>
      </c>
      <c r="AC134" s="22">
        <v>2.4</v>
      </c>
      <c r="AD134" s="3">
        <v>0.0</v>
      </c>
      <c r="AE134" s="3" t="s">
        <v>122</v>
      </c>
      <c r="AF134" s="14"/>
      <c r="AG134" s="15"/>
      <c r="AH134" s="14"/>
      <c r="AI134" s="14"/>
      <c r="AJ134" s="15"/>
      <c r="AK134" s="14"/>
      <c r="AL134" s="14"/>
      <c r="AM134" s="14" t="s">
        <v>382</v>
      </c>
      <c r="AN134" s="14" t="s">
        <v>349</v>
      </c>
      <c r="AO134" s="14" t="s">
        <v>84</v>
      </c>
      <c r="AP134" s="14" t="s">
        <v>350</v>
      </c>
      <c r="AQ134" s="16">
        <v>0.0</v>
      </c>
      <c r="AR134" s="14" t="s">
        <v>196</v>
      </c>
    </row>
    <row r="135" ht="15.75" customHeight="1">
      <c r="A135" s="3" t="s">
        <v>39</v>
      </c>
      <c r="B135" s="3" t="s">
        <v>44</v>
      </c>
      <c r="C135" s="3" t="s">
        <v>102</v>
      </c>
      <c r="D135" s="3" t="s">
        <v>491</v>
      </c>
      <c r="E135" s="3" t="s">
        <v>181</v>
      </c>
      <c r="F135" s="3" t="s">
        <v>165</v>
      </c>
      <c r="G135" s="3" t="s">
        <v>39</v>
      </c>
      <c r="H135" s="3" t="s">
        <v>69</v>
      </c>
      <c r="I135" s="19" t="s">
        <v>122</v>
      </c>
      <c r="J135" s="3" t="s">
        <v>71</v>
      </c>
      <c r="K135" s="20">
        <v>0.0</v>
      </c>
      <c r="L135" s="20">
        <v>0.0</v>
      </c>
      <c r="M135" s="3"/>
      <c r="N135" s="3"/>
      <c r="O135" s="21"/>
      <c r="P135" s="3">
        <v>520.0</v>
      </c>
      <c r="Q135" s="3" t="s">
        <v>74</v>
      </c>
      <c r="R135" s="3" t="s">
        <v>75</v>
      </c>
      <c r="S135" s="3" t="s">
        <v>142</v>
      </c>
      <c r="T135" s="3" t="s">
        <v>39</v>
      </c>
      <c r="U135" s="3" t="s">
        <v>90</v>
      </c>
      <c r="V135" s="3" t="s">
        <v>166</v>
      </c>
      <c r="W135" s="3">
        <v>2.0</v>
      </c>
      <c r="X135" s="3">
        <v>2.0</v>
      </c>
      <c r="Y135" s="3">
        <v>5.0</v>
      </c>
      <c r="Z135" s="3">
        <v>3.0</v>
      </c>
      <c r="AA135" s="3">
        <v>2.0</v>
      </c>
      <c r="AB135" s="3">
        <v>0.0</v>
      </c>
      <c r="AC135" s="22">
        <v>2.5</v>
      </c>
      <c r="AD135" s="3">
        <v>0.0</v>
      </c>
      <c r="AE135" s="3" t="s">
        <v>122</v>
      </c>
      <c r="AF135" s="14"/>
      <c r="AG135" s="15"/>
      <c r="AH135" s="14"/>
      <c r="AI135" s="14"/>
      <c r="AJ135" s="15"/>
      <c r="AK135" s="14"/>
      <c r="AL135" s="14"/>
      <c r="AM135" s="14" t="s">
        <v>166</v>
      </c>
      <c r="AN135" s="14" t="s">
        <v>516</v>
      </c>
      <c r="AO135" s="14" t="s">
        <v>84</v>
      </c>
      <c r="AP135" s="14" t="s">
        <v>517</v>
      </c>
      <c r="AQ135" s="16">
        <v>0.0</v>
      </c>
      <c r="AR135" s="14" t="s">
        <v>196</v>
      </c>
    </row>
    <row r="136" ht="15.75" customHeight="1">
      <c r="A136" s="3" t="s">
        <v>39</v>
      </c>
      <c r="B136" s="3" t="s">
        <v>44</v>
      </c>
      <c r="C136" s="3" t="s">
        <v>102</v>
      </c>
      <c r="D136" s="3" t="s">
        <v>494</v>
      </c>
      <c r="E136" s="3" t="s">
        <v>271</v>
      </c>
      <c r="F136" s="3" t="s">
        <v>257</v>
      </c>
      <c r="G136" s="3" t="s">
        <v>39</v>
      </c>
      <c r="H136" s="3" t="s">
        <v>69</v>
      </c>
      <c r="I136" s="19" t="s">
        <v>122</v>
      </c>
      <c r="J136" s="3" t="s">
        <v>71</v>
      </c>
      <c r="K136" s="20">
        <v>0.0</v>
      </c>
      <c r="L136" s="20">
        <v>0.0</v>
      </c>
      <c r="M136" s="3"/>
      <c r="N136" s="3"/>
      <c r="O136" s="21"/>
      <c r="P136" s="3">
        <v>570.0</v>
      </c>
      <c r="Q136" s="3" t="s">
        <v>74</v>
      </c>
      <c r="R136" s="3" t="s">
        <v>75</v>
      </c>
      <c r="S136" s="3" t="s">
        <v>142</v>
      </c>
      <c r="T136" s="3" t="s">
        <v>39</v>
      </c>
      <c r="U136" s="3" t="s">
        <v>232</v>
      </c>
      <c r="V136" s="3" t="s">
        <v>258</v>
      </c>
      <c r="W136" s="3">
        <v>2.0</v>
      </c>
      <c r="X136" s="3">
        <v>2.0</v>
      </c>
      <c r="Y136" s="3">
        <v>5.0</v>
      </c>
      <c r="Z136" s="3">
        <v>3.0</v>
      </c>
      <c r="AA136" s="3">
        <v>2.0</v>
      </c>
      <c r="AB136" s="3">
        <v>0.0</v>
      </c>
      <c r="AC136" s="22">
        <v>2.5</v>
      </c>
      <c r="AD136" s="3">
        <v>0.0</v>
      </c>
      <c r="AE136" s="3" t="s">
        <v>122</v>
      </c>
      <c r="AF136" s="14"/>
      <c r="AG136" s="15"/>
      <c r="AH136" s="14"/>
      <c r="AI136" s="14"/>
      <c r="AJ136" s="15"/>
      <c r="AK136" s="14"/>
      <c r="AL136" s="14"/>
      <c r="AM136" s="14" t="s">
        <v>258</v>
      </c>
      <c r="AN136" s="14" t="s">
        <v>519</v>
      </c>
      <c r="AO136" s="14" t="s">
        <v>84</v>
      </c>
      <c r="AP136" s="14" t="s">
        <v>520</v>
      </c>
      <c r="AQ136" s="16">
        <v>0.0</v>
      </c>
      <c r="AR136" s="14" t="s">
        <v>196</v>
      </c>
    </row>
    <row r="137" ht="15.75" customHeight="1">
      <c r="A137" s="3" t="s">
        <v>39</v>
      </c>
      <c r="B137" s="3" t="s">
        <v>44</v>
      </c>
      <c r="C137" s="3" t="s">
        <v>102</v>
      </c>
      <c r="D137" s="3" t="s">
        <v>190</v>
      </c>
      <c r="E137" s="3" t="s">
        <v>202</v>
      </c>
      <c r="F137" s="3" t="s">
        <v>120</v>
      </c>
      <c r="G137" s="3" t="s">
        <v>39</v>
      </c>
      <c r="H137" s="3" t="s">
        <v>69</v>
      </c>
      <c r="I137" s="19" t="s">
        <v>122</v>
      </c>
      <c r="J137" s="3" t="s">
        <v>71</v>
      </c>
      <c r="K137" s="20">
        <v>0.0</v>
      </c>
      <c r="L137" s="20">
        <v>0.0</v>
      </c>
      <c r="M137" s="3"/>
      <c r="N137" s="3"/>
      <c r="O137" s="21"/>
      <c r="P137" s="3">
        <v>500.0</v>
      </c>
      <c r="Q137" s="3" t="s">
        <v>74</v>
      </c>
      <c r="R137" s="3" t="s">
        <v>75</v>
      </c>
      <c r="S137" s="3" t="s">
        <v>142</v>
      </c>
      <c r="T137" s="3" t="s">
        <v>39</v>
      </c>
      <c r="U137" s="3" t="s">
        <v>90</v>
      </c>
      <c r="V137" s="3" t="s">
        <v>125</v>
      </c>
      <c r="W137" s="3">
        <v>2.0</v>
      </c>
      <c r="X137" s="3">
        <v>2.0</v>
      </c>
      <c r="Y137" s="3">
        <v>5.0</v>
      </c>
      <c r="Z137" s="3">
        <v>3.0</v>
      </c>
      <c r="AA137" s="3">
        <v>2.0</v>
      </c>
      <c r="AB137" s="3">
        <v>0.0</v>
      </c>
      <c r="AC137" s="22">
        <v>2.5</v>
      </c>
      <c r="AD137" s="3">
        <v>0.0</v>
      </c>
      <c r="AE137" s="3" t="s">
        <v>122</v>
      </c>
      <c r="AF137" s="14"/>
      <c r="AG137" s="15"/>
      <c r="AH137" s="14"/>
      <c r="AI137" s="14"/>
      <c r="AJ137" s="15"/>
      <c r="AK137" s="14"/>
      <c r="AL137" s="14"/>
      <c r="AM137" s="14" t="s">
        <v>125</v>
      </c>
      <c r="AN137" s="14" t="s">
        <v>238</v>
      </c>
      <c r="AO137" s="14" t="s">
        <v>84</v>
      </c>
      <c r="AP137" s="14" t="s">
        <v>239</v>
      </c>
      <c r="AQ137" s="16">
        <v>0.0</v>
      </c>
      <c r="AR137" s="14" t="s">
        <v>196</v>
      </c>
    </row>
    <row r="138" ht="15.75" customHeight="1">
      <c r="A138" s="3" t="s">
        <v>39</v>
      </c>
      <c r="B138" s="3" t="s">
        <v>44</v>
      </c>
      <c r="C138" s="3" t="s">
        <v>102</v>
      </c>
      <c r="D138" s="3" t="s">
        <v>193</v>
      </c>
      <c r="E138" s="3" t="s">
        <v>240</v>
      </c>
      <c r="F138" s="3" t="s">
        <v>120</v>
      </c>
      <c r="G138" s="3" t="s">
        <v>39</v>
      </c>
      <c r="H138" s="3" t="s">
        <v>69</v>
      </c>
      <c r="I138" s="19" t="s">
        <v>122</v>
      </c>
      <c r="J138" s="3" t="s">
        <v>71</v>
      </c>
      <c r="K138" s="20">
        <v>0.0</v>
      </c>
      <c r="L138" s="20">
        <v>0.0</v>
      </c>
      <c r="M138" s="3"/>
      <c r="N138" s="3"/>
      <c r="O138" s="21"/>
      <c r="P138" s="3">
        <v>610.0</v>
      </c>
      <c r="Q138" s="3" t="s">
        <v>153</v>
      </c>
      <c r="R138" s="3" t="s">
        <v>75</v>
      </c>
      <c r="S138" s="3" t="s">
        <v>142</v>
      </c>
      <c r="T138" s="3" t="s">
        <v>39</v>
      </c>
      <c r="U138" s="3" t="s">
        <v>90</v>
      </c>
      <c r="V138" s="3" t="s">
        <v>125</v>
      </c>
      <c r="W138" s="3">
        <v>2.0</v>
      </c>
      <c r="X138" s="3">
        <v>1.0</v>
      </c>
      <c r="Y138" s="3">
        <v>5.0</v>
      </c>
      <c r="Z138" s="3">
        <v>3.0</v>
      </c>
      <c r="AA138" s="3">
        <v>2.0</v>
      </c>
      <c r="AB138" s="3">
        <v>0.0</v>
      </c>
      <c r="AC138" s="22">
        <v>2.4</v>
      </c>
      <c r="AD138" s="3">
        <v>0.0</v>
      </c>
      <c r="AE138" s="3" t="s">
        <v>122</v>
      </c>
      <c r="AF138" s="14"/>
      <c r="AG138" s="15"/>
      <c r="AH138" s="14"/>
      <c r="AI138" s="14"/>
      <c r="AJ138" s="15"/>
      <c r="AK138" s="14"/>
      <c r="AL138" s="14"/>
      <c r="AM138" s="14" t="s">
        <v>125</v>
      </c>
      <c r="AN138" s="14" t="s">
        <v>244</v>
      </c>
      <c r="AO138" s="14" t="s">
        <v>84</v>
      </c>
      <c r="AP138" s="14" t="s">
        <v>245</v>
      </c>
      <c r="AQ138" s="16">
        <v>0.0</v>
      </c>
      <c r="AR138" s="14" t="s">
        <v>196</v>
      </c>
    </row>
    <row r="139" ht="15.75" customHeight="1">
      <c r="A139" s="3" t="s">
        <v>39</v>
      </c>
      <c r="B139" s="3" t="s">
        <v>44</v>
      </c>
      <c r="C139" s="3" t="s">
        <v>102</v>
      </c>
      <c r="D139" s="3" t="s">
        <v>497</v>
      </c>
      <c r="E139" s="3" t="s">
        <v>164</v>
      </c>
      <c r="F139" s="3" t="s">
        <v>120</v>
      </c>
      <c r="G139" s="3" t="s">
        <v>39</v>
      </c>
      <c r="H139" s="3" t="s">
        <v>69</v>
      </c>
      <c r="I139" s="19" t="s">
        <v>122</v>
      </c>
      <c r="J139" s="3" t="s">
        <v>71</v>
      </c>
      <c r="K139" s="20">
        <v>0.0</v>
      </c>
      <c r="L139" s="20">
        <v>0.0</v>
      </c>
      <c r="M139" s="3"/>
      <c r="N139" s="3"/>
      <c r="O139" s="21"/>
      <c r="P139" s="3">
        <v>490.0</v>
      </c>
      <c r="Q139" s="3" t="s">
        <v>74</v>
      </c>
      <c r="R139" s="3" t="s">
        <v>75</v>
      </c>
      <c r="S139" s="3" t="s">
        <v>142</v>
      </c>
      <c r="T139" s="3" t="s">
        <v>39</v>
      </c>
      <c r="U139" s="3" t="s">
        <v>90</v>
      </c>
      <c r="V139" s="3" t="s">
        <v>125</v>
      </c>
      <c r="W139" s="3">
        <v>2.0</v>
      </c>
      <c r="X139" s="3">
        <v>2.0</v>
      </c>
      <c r="Y139" s="3">
        <v>5.0</v>
      </c>
      <c r="Z139" s="3">
        <v>3.0</v>
      </c>
      <c r="AA139" s="3">
        <v>2.0</v>
      </c>
      <c r="AB139" s="3">
        <v>0.0</v>
      </c>
      <c r="AC139" s="22">
        <v>2.5</v>
      </c>
      <c r="AD139" s="3">
        <v>0.0</v>
      </c>
      <c r="AE139" s="3" t="s">
        <v>122</v>
      </c>
      <c r="AF139" s="14"/>
      <c r="AG139" s="15"/>
      <c r="AH139" s="14"/>
      <c r="AI139" s="14"/>
      <c r="AJ139" s="15"/>
      <c r="AK139" s="14"/>
      <c r="AL139" s="14"/>
      <c r="AM139" s="14" t="s">
        <v>125</v>
      </c>
      <c r="AN139" s="14" t="s">
        <v>524</v>
      </c>
      <c r="AO139" s="14" t="s">
        <v>84</v>
      </c>
      <c r="AP139" s="14" t="s">
        <v>525</v>
      </c>
      <c r="AQ139" s="16">
        <v>0.0</v>
      </c>
      <c r="AR139" s="14" t="s">
        <v>196</v>
      </c>
    </row>
    <row r="140" ht="15.75" customHeight="1">
      <c r="A140" s="3" t="s">
        <v>39</v>
      </c>
      <c r="B140" s="3" t="s">
        <v>44</v>
      </c>
      <c r="C140" s="3" t="s">
        <v>102</v>
      </c>
      <c r="D140" s="3" t="s">
        <v>160</v>
      </c>
      <c r="E140" s="3" t="s">
        <v>106</v>
      </c>
      <c r="F140" s="3" t="s">
        <v>120</v>
      </c>
      <c r="G140" s="3" t="s">
        <v>39</v>
      </c>
      <c r="H140" s="3" t="s">
        <v>69</v>
      </c>
      <c r="I140" s="19" t="s">
        <v>122</v>
      </c>
      <c r="J140" s="3" t="s">
        <v>71</v>
      </c>
      <c r="K140" s="20">
        <v>0.0</v>
      </c>
      <c r="L140" s="20">
        <v>0.0</v>
      </c>
      <c r="M140" s="3"/>
      <c r="N140" s="3"/>
      <c r="O140" s="21"/>
      <c r="P140" s="3">
        <v>130.0</v>
      </c>
      <c r="Q140" s="3" t="s">
        <v>121</v>
      </c>
      <c r="R140" s="3" t="s">
        <v>75</v>
      </c>
      <c r="S140" s="3" t="s">
        <v>76</v>
      </c>
      <c r="T140" s="3" t="s">
        <v>39</v>
      </c>
      <c r="U140" s="3" t="s">
        <v>90</v>
      </c>
      <c r="V140" s="3" t="s">
        <v>125</v>
      </c>
      <c r="W140" s="3">
        <v>2.0</v>
      </c>
      <c r="X140" s="3">
        <v>5.0</v>
      </c>
      <c r="Y140" s="3">
        <v>5.0</v>
      </c>
      <c r="Z140" s="3">
        <v>3.0</v>
      </c>
      <c r="AA140" s="3">
        <v>4.0</v>
      </c>
      <c r="AB140" s="3">
        <v>0.0</v>
      </c>
      <c r="AC140" s="22">
        <v>3.2</v>
      </c>
      <c r="AD140" s="3">
        <v>0.0</v>
      </c>
      <c r="AE140" s="3" t="s">
        <v>122</v>
      </c>
      <c r="AF140" s="14"/>
      <c r="AG140" s="15"/>
      <c r="AH140" s="14"/>
      <c r="AI140" s="14"/>
      <c r="AJ140" s="15"/>
      <c r="AK140" s="14"/>
      <c r="AL140" s="14"/>
      <c r="AM140" s="14" t="s">
        <v>125</v>
      </c>
      <c r="AN140" s="14" t="s">
        <v>247</v>
      </c>
      <c r="AO140" s="14" t="s">
        <v>84</v>
      </c>
      <c r="AP140" s="14" t="s">
        <v>248</v>
      </c>
      <c r="AQ140" s="16">
        <v>0.0</v>
      </c>
      <c r="AR140" s="14" t="s">
        <v>196</v>
      </c>
    </row>
    <row r="141" ht="15.75" customHeight="1">
      <c r="A141" s="3" t="s">
        <v>39</v>
      </c>
      <c r="B141" s="3" t="s">
        <v>44</v>
      </c>
      <c r="C141" s="3" t="s">
        <v>102</v>
      </c>
      <c r="D141" s="3" t="s">
        <v>160</v>
      </c>
      <c r="E141" s="3" t="s">
        <v>106</v>
      </c>
      <c r="F141" s="3" t="s">
        <v>165</v>
      </c>
      <c r="G141" s="3" t="s">
        <v>39</v>
      </c>
      <c r="H141" s="3" t="s">
        <v>69</v>
      </c>
      <c r="I141" s="19" t="s">
        <v>122</v>
      </c>
      <c r="J141" s="3" t="s">
        <v>71</v>
      </c>
      <c r="K141" s="20">
        <v>0.0</v>
      </c>
      <c r="L141" s="20">
        <v>0.0</v>
      </c>
      <c r="M141" s="3"/>
      <c r="N141" s="3"/>
      <c r="O141" s="21"/>
      <c r="P141" s="3">
        <v>130.0</v>
      </c>
      <c r="Q141" s="3" t="s">
        <v>121</v>
      </c>
      <c r="R141" s="3" t="s">
        <v>75</v>
      </c>
      <c r="S141" s="3" t="s">
        <v>76</v>
      </c>
      <c r="T141" s="3" t="s">
        <v>39</v>
      </c>
      <c r="U141" s="3" t="s">
        <v>90</v>
      </c>
      <c r="V141" s="3" t="s">
        <v>166</v>
      </c>
      <c r="W141" s="3">
        <v>2.0</v>
      </c>
      <c r="X141" s="3">
        <v>5.0</v>
      </c>
      <c r="Y141" s="3">
        <v>5.0</v>
      </c>
      <c r="Z141" s="3">
        <v>3.0</v>
      </c>
      <c r="AA141" s="3">
        <v>4.0</v>
      </c>
      <c r="AB141" s="3">
        <v>0.0</v>
      </c>
      <c r="AC141" s="22">
        <v>3.2</v>
      </c>
      <c r="AD141" s="3">
        <v>0.0</v>
      </c>
      <c r="AE141" s="3" t="s">
        <v>122</v>
      </c>
      <c r="AF141" s="14"/>
      <c r="AG141" s="15"/>
      <c r="AH141" s="14"/>
      <c r="AI141" s="14"/>
      <c r="AJ141" s="15"/>
      <c r="AK141" s="14"/>
      <c r="AL141" s="14"/>
      <c r="AM141" s="14" t="s">
        <v>166</v>
      </c>
      <c r="AN141" s="14" t="s">
        <v>247</v>
      </c>
      <c r="AO141" s="14" t="s">
        <v>84</v>
      </c>
      <c r="AP141" s="14" t="s">
        <v>248</v>
      </c>
      <c r="AQ141" s="16">
        <v>0.0</v>
      </c>
      <c r="AR141" s="14" t="s">
        <v>196</v>
      </c>
    </row>
    <row r="142" ht="15.75" customHeight="1">
      <c r="A142" s="3" t="s">
        <v>39</v>
      </c>
      <c r="B142" s="3" t="s">
        <v>44</v>
      </c>
      <c r="C142" s="3" t="s">
        <v>102</v>
      </c>
      <c r="D142" s="3" t="s">
        <v>499</v>
      </c>
      <c r="E142" s="3" t="s">
        <v>202</v>
      </c>
      <c r="F142" s="3" t="s">
        <v>120</v>
      </c>
      <c r="G142" s="3" t="s">
        <v>39</v>
      </c>
      <c r="H142" s="3" t="s">
        <v>69</v>
      </c>
      <c r="I142" s="19" t="s">
        <v>122</v>
      </c>
      <c r="J142" s="3" t="s">
        <v>71</v>
      </c>
      <c r="K142" s="20">
        <v>0.0</v>
      </c>
      <c r="L142" s="20">
        <v>0.0</v>
      </c>
      <c r="M142" s="3"/>
      <c r="N142" s="3"/>
      <c r="O142" s="21"/>
      <c r="P142" s="3">
        <v>500.0</v>
      </c>
      <c r="Q142" s="3" t="s">
        <v>74</v>
      </c>
      <c r="R142" s="3" t="s">
        <v>75</v>
      </c>
      <c r="S142" s="3" t="s">
        <v>142</v>
      </c>
      <c r="T142" s="3" t="s">
        <v>39</v>
      </c>
      <c r="U142" s="3" t="s">
        <v>90</v>
      </c>
      <c r="V142" s="3" t="s">
        <v>125</v>
      </c>
      <c r="W142" s="3">
        <v>2.0</v>
      </c>
      <c r="X142" s="3">
        <v>2.0</v>
      </c>
      <c r="Y142" s="3">
        <v>5.0</v>
      </c>
      <c r="Z142" s="3">
        <v>3.0</v>
      </c>
      <c r="AA142" s="3">
        <v>2.0</v>
      </c>
      <c r="AB142" s="3">
        <v>0.0</v>
      </c>
      <c r="AC142" s="22">
        <v>2.5</v>
      </c>
      <c r="AD142" s="3">
        <v>0.0</v>
      </c>
      <c r="AE142" s="3" t="s">
        <v>122</v>
      </c>
      <c r="AF142" s="14"/>
      <c r="AG142" s="15"/>
      <c r="AH142" s="14"/>
      <c r="AI142" s="14"/>
      <c r="AJ142" s="15"/>
      <c r="AK142" s="14"/>
      <c r="AL142" s="14"/>
      <c r="AM142" s="14" t="s">
        <v>125</v>
      </c>
      <c r="AN142" s="14" t="s">
        <v>528</v>
      </c>
      <c r="AO142" s="14" t="s">
        <v>84</v>
      </c>
      <c r="AP142" s="14" t="s">
        <v>529</v>
      </c>
      <c r="AQ142" s="16">
        <v>0.0</v>
      </c>
      <c r="AR142" s="14" t="s">
        <v>196</v>
      </c>
    </row>
    <row r="143" ht="15.75" customHeight="1">
      <c r="A143" s="3" t="s">
        <v>39</v>
      </c>
      <c r="B143" s="3" t="s">
        <v>44</v>
      </c>
      <c r="C143" s="3" t="s">
        <v>102</v>
      </c>
      <c r="D143" s="3" t="s">
        <v>501</v>
      </c>
      <c r="E143" s="3" t="s">
        <v>202</v>
      </c>
      <c r="F143" s="3" t="s">
        <v>120</v>
      </c>
      <c r="G143" s="3" t="s">
        <v>39</v>
      </c>
      <c r="H143" s="3" t="s">
        <v>69</v>
      </c>
      <c r="I143" s="19" t="s">
        <v>122</v>
      </c>
      <c r="J143" s="3" t="s">
        <v>71</v>
      </c>
      <c r="K143" s="20">
        <v>0.0</v>
      </c>
      <c r="L143" s="20">
        <v>0.0</v>
      </c>
      <c r="M143" s="3"/>
      <c r="N143" s="3"/>
      <c r="O143" s="21"/>
      <c r="P143" s="3">
        <v>500.0</v>
      </c>
      <c r="Q143" s="3" t="s">
        <v>74</v>
      </c>
      <c r="R143" s="3" t="s">
        <v>75</v>
      </c>
      <c r="S143" s="3" t="s">
        <v>142</v>
      </c>
      <c r="T143" s="3" t="s">
        <v>39</v>
      </c>
      <c r="U143" s="3" t="s">
        <v>90</v>
      </c>
      <c r="V143" s="3" t="s">
        <v>125</v>
      </c>
      <c r="W143" s="3">
        <v>2.0</v>
      </c>
      <c r="X143" s="3">
        <v>2.0</v>
      </c>
      <c r="Y143" s="3">
        <v>5.0</v>
      </c>
      <c r="Z143" s="3">
        <v>3.0</v>
      </c>
      <c r="AA143" s="3">
        <v>2.0</v>
      </c>
      <c r="AB143" s="3">
        <v>0.0</v>
      </c>
      <c r="AC143" s="22">
        <v>2.5</v>
      </c>
      <c r="AD143" s="3">
        <v>0.0</v>
      </c>
      <c r="AE143" s="3" t="s">
        <v>122</v>
      </c>
      <c r="AF143" s="14"/>
      <c r="AG143" s="15"/>
      <c r="AH143" s="14"/>
      <c r="AI143" s="14"/>
      <c r="AJ143" s="15"/>
      <c r="AK143" s="14"/>
      <c r="AL143" s="14"/>
      <c r="AM143" s="14" t="s">
        <v>125</v>
      </c>
      <c r="AN143" s="14" t="s">
        <v>531</v>
      </c>
      <c r="AO143" s="14" t="s">
        <v>84</v>
      </c>
      <c r="AP143" s="14" t="s">
        <v>532</v>
      </c>
      <c r="AQ143" s="16">
        <v>0.0</v>
      </c>
      <c r="AR143" s="14" t="s">
        <v>196</v>
      </c>
    </row>
    <row r="144" ht="15.75" customHeight="1">
      <c r="A144" s="3" t="s">
        <v>39</v>
      </c>
      <c r="B144" s="3" t="s">
        <v>44</v>
      </c>
      <c r="C144" s="3" t="s">
        <v>102</v>
      </c>
      <c r="D144" s="3" t="s">
        <v>269</v>
      </c>
      <c r="E144" s="3" t="s">
        <v>186</v>
      </c>
      <c r="F144" s="3" t="s">
        <v>120</v>
      </c>
      <c r="G144" s="3" t="s">
        <v>39</v>
      </c>
      <c r="H144" s="3" t="s">
        <v>69</v>
      </c>
      <c r="I144" s="19" t="s">
        <v>122</v>
      </c>
      <c r="J144" s="3" t="s">
        <v>71</v>
      </c>
      <c r="K144" s="20">
        <v>0.0</v>
      </c>
      <c r="L144" s="20">
        <v>0.0</v>
      </c>
      <c r="M144" s="3"/>
      <c r="N144" s="3"/>
      <c r="O144" s="21"/>
      <c r="P144" s="3">
        <v>360.0</v>
      </c>
      <c r="Q144" s="3" t="s">
        <v>140</v>
      </c>
      <c r="R144" s="3" t="s">
        <v>75</v>
      </c>
      <c r="S144" s="3" t="s">
        <v>142</v>
      </c>
      <c r="T144" s="3" t="s">
        <v>39</v>
      </c>
      <c r="U144" s="3" t="s">
        <v>90</v>
      </c>
      <c r="V144" s="3" t="s">
        <v>125</v>
      </c>
      <c r="W144" s="3">
        <v>2.0</v>
      </c>
      <c r="X144" s="3">
        <v>3.0</v>
      </c>
      <c r="Y144" s="3">
        <v>5.0</v>
      </c>
      <c r="Z144" s="3">
        <v>3.0</v>
      </c>
      <c r="AA144" s="3">
        <v>2.0</v>
      </c>
      <c r="AB144" s="3">
        <v>0.0</v>
      </c>
      <c r="AC144" s="22">
        <v>2.7</v>
      </c>
      <c r="AD144" s="3">
        <v>0.0</v>
      </c>
      <c r="AE144" s="3" t="s">
        <v>122</v>
      </c>
      <c r="AF144" s="14"/>
      <c r="AG144" s="15"/>
      <c r="AH144" s="14"/>
      <c r="AI144" s="14"/>
      <c r="AJ144" s="15"/>
      <c r="AK144" s="14"/>
      <c r="AL144" s="14"/>
      <c r="AM144" s="14" t="s">
        <v>125</v>
      </c>
      <c r="AN144" s="14" t="s">
        <v>534</v>
      </c>
      <c r="AO144" s="14" t="s">
        <v>84</v>
      </c>
      <c r="AP144" s="14" t="s">
        <v>535</v>
      </c>
      <c r="AQ144" s="16">
        <v>0.0</v>
      </c>
      <c r="AR144" s="14" t="s">
        <v>196</v>
      </c>
    </row>
    <row r="145" ht="15.75" customHeight="1">
      <c r="A145" s="3" t="s">
        <v>39</v>
      </c>
      <c r="B145" s="3" t="s">
        <v>44</v>
      </c>
      <c r="C145" s="3" t="s">
        <v>102</v>
      </c>
      <c r="D145" s="3" t="s">
        <v>209</v>
      </c>
      <c r="E145" s="3" t="s">
        <v>138</v>
      </c>
      <c r="F145" s="3" t="s">
        <v>120</v>
      </c>
      <c r="G145" s="3" t="s">
        <v>39</v>
      </c>
      <c r="H145" s="3" t="s">
        <v>69</v>
      </c>
      <c r="I145" s="19" t="s">
        <v>122</v>
      </c>
      <c r="J145" s="3" t="s">
        <v>71</v>
      </c>
      <c r="K145" s="20">
        <v>0.0</v>
      </c>
      <c r="L145" s="20">
        <v>0.0</v>
      </c>
      <c r="M145" s="3"/>
      <c r="N145" s="3"/>
      <c r="O145" s="21"/>
      <c r="P145" s="3">
        <v>300.0</v>
      </c>
      <c r="Q145" s="3" t="s">
        <v>140</v>
      </c>
      <c r="R145" s="3" t="s">
        <v>75</v>
      </c>
      <c r="S145" s="3" t="s">
        <v>142</v>
      </c>
      <c r="T145" s="3" t="s">
        <v>39</v>
      </c>
      <c r="U145" s="3" t="s">
        <v>90</v>
      </c>
      <c r="V145" s="3" t="s">
        <v>125</v>
      </c>
      <c r="W145" s="3">
        <v>2.0</v>
      </c>
      <c r="X145" s="3">
        <v>4.0</v>
      </c>
      <c r="Y145" s="3">
        <v>5.0</v>
      </c>
      <c r="Z145" s="3">
        <v>3.0</v>
      </c>
      <c r="AA145" s="3">
        <v>2.0</v>
      </c>
      <c r="AB145" s="3">
        <v>0.0</v>
      </c>
      <c r="AC145" s="22">
        <v>2.9</v>
      </c>
      <c r="AD145" s="3">
        <v>0.0</v>
      </c>
      <c r="AE145" s="3" t="s">
        <v>122</v>
      </c>
      <c r="AF145" s="14"/>
      <c r="AG145" s="15"/>
      <c r="AH145" s="14"/>
      <c r="AI145" s="14"/>
      <c r="AJ145" s="15"/>
      <c r="AK145" s="14"/>
      <c r="AL145" s="14"/>
      <c r="AM145" s="14" t="s">
        <v>125</v>
      </c>
      <c r="AN145" s="14" t="s">
        <v>259</v>
      </c>
      <c r="AO145" s="14" t="s">
        <v>84</v>
      </c>
      <c r="AP145" s="14" t="s">
        <v>261</v>
      </c>
      <c r="AQ145" s="16">
        <v>0.0</v>
      </c>
      <c r="AR145" s="14" t="s">
        <v>196</v>
      </c>
    </row>
    <row r="146" ht="15.75" customHeight="1">
      <c r="A146" s="3" t="s">
        <v>39</v>
      </c>
      <c r="B146" s="3" t="s">
        <v>44</v>
      </c>
      <c r="C146" s="3" t="s">
        <v>102</v>
      </c>
      <c r="D146" s="3" t="s">
        <v>509</v>
      </c>
      <c r="E146" s="3" t="s">
        <v>271</v>
      </c>
      <c r="F146" s="3" t="s">
        <v>257</v>
      </c>
      <c r="G146" s="3" t="s">
        <v>39</v>
      </c>
      <c r="H146" s="3" t="s">
        <v>69</v>
      </c>
      <c r="I146" s="19" t="s">
        <v>122</v>
      </c>
      <c r="J146" s="3" t="s">
        <v>71</v>
      </c>
      <c r="K146" s="20">
        <v>0.0</v>
      </c>
      <c r="L146" s="20">
        <v>0.0</v>
      </c>
      <c r="M146" s="3"/>
      <c r="N146" s="3"/>
      <c r="O146" s="21"/>
      <c r="P146" s="3">
        <v>570.0</v>
      </c>
      <c r="Q146" s="3" t="s">
        <v>74</v>
      </c>
      <c r="R146" s="3" t="s">
        <v>75</v>
      </c>
      <c r="S146" s="3" t="s">
        <v>142</v>
      </c>
      <c r="T146" s="3" t="s">
        <v>39</v>
      </c>
      <c r="U146" s="3" t="s">
        <v>232</v>
      </c>
      <c r="V146" s="3" t="s">
        <v>258</v>
      </c>
      <c r="W146" s="3">
        <v>2.0</v>
      </c>
      <c r="X146" s="3">
        <v>2.0</v>
      </c>
      <c r="Y146" s="3">
        <v>5.0</v>
      </c>
      <c r="Z146" s="3">
        <v>3.0</v>
      </c>
      <c r="AA146" s="3">
        <v>2.0</v>
      </c>
      <c r="AB146" s="3">
        <v>0.0</v>
      </c>
      <c r="AC146" s="22">
        <v>2.5</v>
      </c>
      <c r="AD146" s="3">
        <v>0.0</v>
      </c>
      <c r="AE146" s="3" t="s">
        <v>122</v>
      </c>
      <c r="AF146" s="14"/>
      <c r="AG146" s="15"/>
      <c r="AH146" s="14"/>
      <c r="AI146" s="14"/>
      <c r="AJ146" s="15"/>
      <c r="AK146" s="14"/>
      <c r="AL146" s="14"/>
      <c r="AM146" s="14" t="s">
        <v>258</v>
      </c>
      <c r="AN146" s="14" t="s">
        <v>536</v>
      </c>
      <c r="AO146" s="14" t="s">
        <v>84</v>
      </c>
      <c r="AP146" s="14" t="s">
        <v>537</v>
      </c>
      <c r="AQ146" s="16">
        <v>0.0</v>
      </c>
      <c r="AR146" s="14" t="s">
        <v>196</v>
      </c>
    </row>
    <row r="147" ht="15.75" customHeight="1">
      <c r="A147" s="3" t="s">
        <v>39</v>
      </c>
      <c r="B147" s="3" t="s">
        <v>44</v>
      </c>
      <c r="C147" s="3" t="s">
        <v>102</v>
      </c>
      <c r="D147" s="3" t="s">
        <v>213</v>
      </c>
      <c r="E147" s="3" t="s">
        <v>138</v>
      </c>
      <c r="F147" s="3" t="s">
        <v>120</v>
      </c>
      <c r="G147" s="3" t="s">
        <v>39</v>
      </c>
      <c r="H147" s="3" t="s">
        <v>69</v>
      </c>
      <c r="I147" s="19" t="s">
        <v>122</v>
      </c>
      <c r="J147" s="3" t="s">
        <v>71</v>
      </c>
      <c r="K147" s="20">
        <v>0.0</v>
      </c>
      <c r="L147" s="20">
        <v>0.0</v>
      </c>
      <c r="M147" s="3"/>
      <c r="N147" s="3"/>
      <c r="O147" s="21"/>
      <c r="P147" s="3">
        <v>300.0</v>
      </c>
      <c r="Q147" s="3" t="s">
        <v>140</v>
      </c>
      <c r="R147" s="3" t="s">
        <v>75</v>
      </c>
      <c r="S147" s="3" t="s">
        <v>142</v>
      </c>
      <c r="T147" s="3" t="s">
        <v>39</v>
      </c>
      <c r="U147" s="3" t="s">
        <v>90</v>
      </c>
      <c r="V147" s="3" t="s">
        <v>125</v>
      </c>
      <c r="W147" s="3">
        <v>2.0</v>
      </c>
      <c r="X147" s="3">
        <v>4.0</v>
      </c>
      <c r="Y147" s="3">
        <v>5.0</v>
      </c>
      <c r="Z147" s="3">
        <v>3.0</v>
      </c>
      <c r="AA147" s="3">
        <v>2.0</v>
      </c>
      <c r="AB147" s="3">
        <v>0.0</v>
      </c>
      <c r="AC147" s="22">
        <v>2.9</v>
      </c>
      <c r="AD147" s="3">
        <v>0.0</v>
      </c>
      <c r="AE147" s="3" t="s">
        <v>122</v>
      </c>
      <c r="AF147" s="14"/>
      <c r="AG147" s="15"/>
      <c r="AH147" s="14"/>
      <c r="AI147" s="14"/>
      <c r="AJ147" s="15"/>
      <c r="AK147" s="14"/>
      <c r="AL147" s="14"/>
      <c r="AM147" s="14" t="s">
        <v>125</v>
      </c>
      <c r="AN147" s="14" t="s">
        <v>374</v>
      </c>
      <c r="AO147" s="14" t="s">
        <v>84</v>
      </c>
      <c r="AP147" s="14" t="s">
        <v>375</v>
      </c>
      <c r="AQ147" s="16">
        <v>0.0</v>
      </c>
      <c r="AR147" s="14" t="s">
        <v>196</v>
      </c>
    </row>
    <row r="148" ht="15.75" customHeight="1">
      <c r="A148" s="3" t="s">
        <v>39</v>
      </c>
      <c r="B148" s="3" t="s">
        <v>44</v>
      </c>
      <c r="C148" s="3" t="s">
        <v>102</v>
      </c>
      <c r="D148" s="3" t="s">
        <v>103</v>
      </c>
      <c r="E148" s="3" t="s">
        <v>138</v>
      </c>
      <c r="F148" s="3" t="s">
        <v>224</v>
      </c>
      <c r="G148" s="3" t="s">
        <v>69</v>
      </c>
      <c r="H148" s="3" t="s">
        <v>69</v>
      </c>
      <c r="I148" s="19" t="s">
        <v>122</v>
      </c>
      <c r="J148" s="3" t="s">
        <v>71</v>
      </c>
      <c r="K148" s="20">
        <v>3.0</v>
      </c>
      <c r="L148" s="20"/>
      <c r="M148" s="3"/>
      <c r="N148" s="3"/>
      <c r="O148" s="21"/>
      <c r="P148" s="3">
        <v>300.0</v>
      </c>
      <c r="Q148" s="3" t="s">
        <v>140</v>
      </c>
      <c r="R148" s="3" t="s">
        <v>75</v>
      </c>
      <c r="S148" s="3" t="s">
        <v>142</v>
      </c>
      <c r="T148" s="3" t="s">
        <v>39</v>
      </c>
      <c r="U148" s="3" t="s">
        <v>90</v>
      </c>
      <c r="V148" s="3" t="s">
        <v>225</v>
      </c>
      <c r="W148" s="3">
        <v>2.0</v>
      </c>
      <c r="X148" s="3">
        <v>4.0</v>
      </c>
      <c r="Y148" s="3">
        <v>4.0</v>
      </c>
      <c r="Z148" s="3">
        <v>3.0</v>
      </c>
      <c r="AA148" s="3">
        <v>2.0</v>
      </c>
      <c r="AB148" s="3">
        <v>0.0</v>
      </c>
      <c r="AC148" s="22">
        <v>2.6</v>
      </c>
      <c r="AD148" s="3"/>
      <c r="AE148" s="3" t="s">
        <v>122</v>
      </c>
      <c r="AF148" s="14"/>
      <c r="AG148" s="15"/>
      <c r="AH148" s="14"/>
      <c r="AI148" s="14"/>
      <c r="AJ148" s="15"/>
      <c r="AK148" s="14"/>
      <c r="AL148" s="14"/>
      <c r="AM148" s="14" t="s">
        <v>225</v>
      </c>
      <c r="AN148" s="14" t="s">
        <v>145</v>
      </c>
      <c r="AO148" s="14" t="s">
        <v>84</v>
      </c>
      <c r="AP148" s="14" t="s">
        <v>146</v>
      </c>
      <c r="AQ148" s="16">
        <v>0.0</v>
      </c>
      <c r="AR148" s="14" t="s">
        <v>196</v>
      </c>
    </row>
    <row r="149" ht="15.75" customHeight="1">
      <c r="A149" s="3" t="s">
        <v>39</v>
      </c>
      <c r="B149" s="3" t="s">
        <v>44</v>
      </c>
      <c r="C149" s="3" t="s">
        <v>102</v>
      </c>
      <c r="D149" s="3" t="s">
        <v>362</v>
      </c>
      <c r="E149" s="3" t="s">
        <v>271</v>
      </c>
      <c r="F149" s="3" t="s">
        <v>538</v>
      </c>
      <c r="G149" s="3" t="s">
        <v>69</v>
      </c>
      <c r="H149" s="3" t="s">
        <v>39</v>
      </c>
      <c r="I149" s="19" t="s">
        <v>122</v>
      </c>
      <c r="J149" s="3" t="s">
        <v>71</v>
      </c>
      <c r="K149" s="20">
        <v>0.0</v>
      </c>
      <c r="L149" s="20">
        <v>0.0</v>
      </c>
      <c r="M149" s="3"/>
      <c r="N149" s="3"/>
      <c r="O149" s="21"/>
      <c r="P149" s="3">
        <v>570.0</v>
      </c>
      <c r="Q149" s="3" t="s">
        <v>74</v>
      </c>
      <c r="R149" s="3" t="s">
        <v>75</v>
      </c>
      <c r="S149" s="3" t="s">
        <v>142</v>
      </c>
      <c r="T149" s="3" t="s">
        <v>39</v>
      </c>
      <c r="U149" s="3" t="s">
        <v>232</v>
      </c>
      <c r="V149" s="3" t="s">
        <v>539</v>
      </c>
      <c r="W149" s="3">
        <v>2.0</v>
      </c>
      <c r="X149" s="3">
        <v>2.0</v>
      </c>
      <c r="Y149" s="3">
        <v>1.0</v>
      </c>
      <c r="Z149" s="3">
        <v>3.0</v>
      </c>
      <c r="AA149" s="3">
        <v>2.0</v>
      </c>
      <c r="AB149" s="3">
        <v>0.0</v>
      </c>
      <c r="AC149" s="22">
        <v>1.6</v>
      </c>
      <c r="AD149" s="3">
        <v>0.0</v>
      </c>
      <c r="AE149" s="3" t="s">
        <v>122</v>
      </c>
      <c r="AF149" s="14"/>
      <c r="AG149" s="15"/>
      <c r="AH149" s="14"/>
      <c r="AI149" s="14"/>
      <c r="AJ149" s="15"/>
      <c r="AK149" s="14"/>
      <c r="AL149" s="14"/>
      <c r="AM149" s="14" t="s">
        <v>539</v>
      </c>
      <c r="AN149" s="14" t="s">
        <v>478</v>
      </c>
      <c r="AO149" s="14" t="s">
        <v>84</v>
      </c>
      <c r="AP149" s="14" t="s">
        <v>479</v>
      </c>
      <c r="AQ149" s="16">
        <v>0.0</v>
      </c>
      <c r="AR149" s="14" t="s">
        <v>196</v>
      </c>
    </row>
    <row r="150" ht="15.75" customHeight="1">
      <c r="A150" s="3" t="s">
        <v>39</v>
      </c>
      <c r="B150" s="3" t="s">
        <v>44</v>
      </c>
      <c r="C150" s="3" t="s">
        <v>102</v>
      </c>
      <c r="D150" s="3" t="s">
        <v>362</v>
      </c>
      <c r="E150" s="3" t="s">
        <v>271</v>
      </c>
      <c r="F150" s="3" t="s">
        <v>540</v>
      </c>
      <c r="G150" s="3" t="s">
        <v>69</v>
      </c>
      <c r="H150" s="3" t="s">
        <v>39</v>
      </c>
      <c r="I150" s="19" t="s">
        <v>122</v>
      </c>
      <c r="J150" s="3" t="s">
        <v>71</v>
      </c>
      <c r="K150" s="20">
        <v>0.0</v>
      </c>
      <c r="L150" s="20">
        <v>0.0</v>
      </c>
      <c r="M150" s="3"/>
      <c r="N150" s="3"/>
      <c r="O150" s="21"/>
      <c r="P150" s="3">
        <v>570.0</v>
      </c>
      <c r="Q150" s="3" t="s">
        <v>74</v>
      </c>
      <c r="R150" s="3" t="s">
        <v>75</v>
      </c>
      <c r="S150" s="3" t="s">
        <v>142</v>
      </c>
      <c r="T150" s="3" t="s">
        <v>39</v>
      </c>
      <c r="U150" s="3" t="s">
        <v>232</v>
      </c>
      <c r="V150" s="3" t="s">
        <v>541</v>
      </c>
      <c r="W150" s="3">
        <v>2.0</v>
      </c>
      <c r="X150" s="3">
        <v>2.0</v>
      </c>
      <c r="Y150" s="3">
        <v>1.0</v>
      </c>
      <c r="Z150" s="3">
        <v>3.0</v>
      </c>
      <c r="AA150" s="3">
        <v>2.0</v>
      </c>
      <c r="AB150" s="3">
        <v>0.0</v>
      </c>
      <c r="AC150" s="22">
        <v>1.6</v>
      </c>
      <c r="AD150" s="3">
        <v>0.0</v>
      </c>
      <c r="AE150" s="3" t="s">
        <v>122</v>
      </c>
      <c r="AF150" s="14"/>
      <c r="AG150" s="15"/>
      <c r="AH150" s="14"/>
      <c r="AI150" s="14"/>
      <c r="AJ150" s="15"/>
      <c r="AK150" s="14"/>
      <c r="AL150" s="14"/>
      <c r="AM150" s="14" t="s">
        <v>541</v>
      </c>
      <c r="AN150" s="14" t="s">
        <v>478</v>
      </c>
      <c r="AO150" s="14" t="s">
        <v>84</v>
      </c>
      <c r="AP150" s="14" t="s">
        <v>479</v>
      </c>
      <c r="AQ150" s="16">
        <v>0.0</v>
      </c>
      <c r="AR150" s="14" t="s">
        <v>196</v>
      </c>
    </row>
    <row r="151" ht="15.75" customHeight="1">
      <c r="A151" s="3" t="s">
        <v>39</v>
      </c>
      <c r="B151" s="3" t="s">
        <v>44</v>
      </c>
      <c r="C151" s="3" t="s">
        <v>102</v>
      </c>
      <c r="D151" s="3" t="s">
        <v>218</v>
      </c>
      <c r="E151" s="3" t="s">
        <v>271</v>
      </c>
      <c r="F151" s="3" t="s">
        <v>224</v>
      </c>
      <c r="G151" s="3" t="s">
        <v>69</v>
      </c>
      <c r="H151" s="3" t="s">
        <v>69</v>
      </c>
      <c r="I151" s="19" t="s">
        <v>122</v>
      </c>
      <c r="J151" s="3" t="s">
        <v>71</v>
      </c>
      <c r="K151" s="20">
        <v>3.0</v>
      </c>
      <c r="L151" s="20"/>
      <c r="M151" s="3"/>
      <c r="N151" s="3"/>
      <c r="O151" s="21"/>
      <c r="P151" s="3">
        <v>570.0</v>
      </c>
      <c r="Q151" s="3" t="s">
        <v>74</v>
      </c>
      <c r="R151" s="3" t="s">
        <v>75</v>
      </c>
      <c r="S151" s="3" t="s">
        <v>142</v>
      </c>
      <c r="T151" s="3" t="s">
        <v>39</v>
      </c>
      <c r="U151" s="3" t="s">
        <v>90</v>
      </c>
      <c r="V151" s="3" t="s">
        <v>225</v>
      </c>
      <c r="W151" s="3">
        <v>2.0</v>
      </c>
      <c r="X151" s="3">
        <v>2.0</v>
      </c>
      <c r="Y151" s="3">
        <v>4.0</v>
      </c>
      <c r="Z151" s="3">
        <v>3.0</v>
      </c>
      <c r="AA151" s="3">
        <v>2.0</v>
      </c>
      <c r="AB151" s="3">
        <v>0.0</v>
      </c>
      <c r="AC151" s="22">
        <v>2.3</v>
      </c>
      <c r="AD151" s="3"/>
      <c r="AE151" s="3" t="s">
        <v>122</v>
      </c>
      <c r="AF151" s="14"/>
      <c r="AG151" s="15"/>
      <c r="AH151" s="14"/>
      <c r="AI151" s="14"/>
      <c r="AJ151" s="15"/>
      <c r="AK151" s="14"/>
      <c r="AL151" s="14"/>
      <c r="AM151" s="14" t="s">
        <v>225</v>
      </c>
      <c r="AN151" s="14" t="s">
        <v>272</v>
      </c>
      <c r="AO151" s="14" t="s">
        <v>84</v>
      </c>
      <c r="AP151" s="14" t="s">
        <v>273</v>
      </c>
      <c r="AQ151" s="16">
        <v>0.0</v>
      </c>
      <c r="AR151" s="14" t="s">
        <v>196</v>
      </c>
    </row>
    <row r="152" ht="15.75" customHeight="1">
      <c r="A152" s="3" t="s">
        <v>39</v>
      </c>
      <c r="B152" s="3" t="s">
        <v>44</v>
      </c>
      <c r="C152" s="3" t="s">
        <v>102</v>
      </c>
      <c r="D152" s="3" t="s">
        <v>223</v>
      </c>
      <c r="E152" s="3" t="s">
        <v>240</v>
      </c>
      <c r="F152" s="3" t="s">
        <v>367</v>
      </c>
      <c r="G152" s="3" t="s">
        <v>69</v>
      </c>
      <c r="H152" s="3" t="s">
        <v>69</v>
      </c>
      <c r="I152" s="19" t="s">
        <v>122</v>
      </c>
      <c r="J152" s="3" t="s">
        <v>71</v>
      </c>
      <c r="K152" s="20">
        <v>3.0</v>
      </c>
      <c r="L152" s="20"/>
      <c r="M152" s="3"/>
      <c r="N152" s="3"/>
      <c r="O152" s="21"/>
      <c r="P152" s="3">
        <v>610.0</v>
      </c>
      <c r="Q152" s="3" t="s">
        <v>153</v>
      </c>
      <c r="R152" s="3" t="s">
        <v>75</v>
      </c>
      <c r="S152" s="3" t="s">
        <v>142</v>
      </c>
      <c r="T152" s="3" t="s">
        <v>39</v>
      </c>
      <c r="U152" s="3" t="s">
        <v>226</v>
      </c>
      <c r="V152" s="3" t="s">
        <v>368</v>
      </c>
      <c r="W152" s="3">
        <v>2.0</v>
      </c>
      <c r="X152" s="3">
        <v>1.0</v>
      </c>
      <c r="Y152" s="3">
        <v>4.0</v>
      </c>
      <c r="Z152" s="3">
        <v>3.0</v>
      </c>
      <c r="AA152" s="3">
        <v>2.0</v>
      </c>
      <c r="AB152" s="3">
        <v>0.0</v>
      </c>
      <c r="AC152" s="22">
        <v>2.1</v>
      </c>
      <c r="AD152" s="3"/>
      <c r="AE152" s="3" t="s">
        <v>122</v>
      </c>
      <c r="AF152" s="14"/>
      <c r="AG152" s="15"/>
      <c r="AH152" s="14"/>
      <c r="AI152" s="14"/>
      <c r="AJ152" s="15"/>
      <c r="AK152" s="14"/>
      <c r="AL152" s="14"/>
      <c r="AM152" s="14" t="s">
        <v>368</v>
      </c>
      <c r="AN152" s="14" t="s">
        <v>393</v>
      </c>
      <c r="AO152" s="14" t="s">
        <v>84</v>
      </c>
      <c r="AP152" s="14" t="s">
        <v>394</v>
      </c>
      <c r="AQ152" s="16">
        <v>0.0</v>
      </c>
      <c r="AR152" s="14" t="s">
        <v>196</v>
      </c>
    </row>
    <row r="153" ht="15.75" customHeight="1">
      <c r="A153" s="3" t="s">
        <v>39</v>
      </c>
      <c r="B153" s="3" t="s">
        <v>44</v>
      </c>
      <c r="C153" s="3" t="s">
        <v>102</v>
      </c>
      <c r="D153" s="3" t="s">
        <v>228</v>
      </c>
      <c r="E153" s="3" t="s">
        <v>271</v>
      </c>
      <c r="F153" s="3" t="s">
        <v>219</v>
      </c>
      <c r="G153" s="3" t="s">
        <v>69</v>
      </c>
      <c r="H153" s="3" t="s">
        <v>69</v>
      </c>
      <c r="I153" s="19" t="s">
        <v>122</v>
      </c>
      <c r="J153" s="3" t="s">
        <v>71</v>
      </c>
      <c r="K153" s="20">
        <v>3.0</v>
      </c>
      <c r="L153" s="20"/>
      <c r="M153" s="3"/>
      <c r="N153" s="3"/>
      <c r="O153" s="21"/>
      <c r="P153" s="3">
        <v>570.0</v>
      </c>
      <c r="Q153" s="3" t="s">
        <v>74</v>
      </c>
      <c r="R153" s="3" t="s">
        <v>75</v>
      </c>
      <c r="S153" s="3" t="s">
        <v>142</v>
      </c>
      <c r="T153" s="3" t="s">
        <v>39</v>
      </c>
      <c r="U153" s="3" t="s">
        <v>90</v>
      </c>
      <c r="V153" s="3" t="s">
        <v>220</v>
      </c>
      <c r="W153" s="3">
        <v>2.0</v>
      </c>
      <c r="X153" s="3">
        <v>2.0</v>
      </c>
      <c r="Y153" s="3">
        <v>4.0</v>
      </c>
      <c r="Z153" s="3">
        <v>3.0</v>
      </c>
      <c r="AA153" s="3">
        <v>2.0</v>
      </c>
      <c r="AB153" s="3">
        <v>0.0</v>
      </c>
      <c r="AC153" s="22">
        <v>2.3</v>
      </c>
      <c r="AD153" s="3"/>
      <c r="AE153" s="3" t="s">
        <v>122</v>
      </c>
      <c r="AF153" s="14"/>
      <c r="AG153" s="15"/>
      <c r="AH153" s="14"/>
      <c r="AI153" s="14"/>
      <c r="AJ153" s="15"/>
      <c r="AK153" s="14"/>
      <c r="AL153" s="14"/>
      <c r="AM153" s="14" t="s">
        <v>220</v>
      </c>
      <c r="AN153" s="14" t="s">
        <v>274</v>
      </c>
      <c r="AO153" s="14" t="s">
        <v>84</v>
      </c>
      <c r="AP153" s="14" t="s">
        <v>275</v>
      </c>
      <c r="AQ153" s="16">
        <v>0.0</v>
      </c>
      <c r="AR153" s="14" t="s">
        <v>196</v>
      </c>
    </row>
    <row r="154" ht="15.75" customHeight="1">
      <c r="A154" s="3" t="s">
        <v>39</v>
      </c>
      <c r="B154" s="3" t="s">
        <v>44</v>
      </c>
      <c r="C154" s="3" t="s">
        <v>102</v>
      </c>
      <c r="D154" s="3" t="s">
        <v>228</v>
      </c>
      <c r="E154" s="3" t="s">
        <v>271</v>
      </c>
      <c r="F154" s="3" t="s">
        <v>224</v>
      </c>
      <c r="G154" s="3" t="s">
        <v>69</v>
      </c>
      <c r="H154" s="3" t="s">
        <v>69</v>
      </c>
      <c r="I154" s="19" t="s">
        <v>122</v>
      </c>
      <c r="J154" s="3" t="s">
        <v>71</v>
      </c>
      <c r="K154" s="20">
        <v>3.0</v>
      </c>
      <c r="L154" s="20"/>
      <c r="M154" s="3"/>
      <c r="N154" s="3"/>
      <c r="O154" s="21"/>
      <c r="P154" s="3">
        <v>570.0</v>
      </c>
      <c r="Q154" s="3" t="s">
        <v>74</v>
      </c>
      <c r="R154" s="3" t="s">
        <v>75</v>
      </c>
      <c r="S154" s="3" t="s">
        <v>142</v>
      </c>
      <c r="T154" s="3" t="s">
        <v>39</v>
      </c>
      <c r="U154" s="3" t="s">
        <v>90</v>
      </c>
      <c r="V154" s="3" t="s">
        <v>225</v>
      </c>
      <c r="W154" s="3">
        <v>2.0</v>
      </c>
      <c r="X154" s="3">
        <v>2.0</v>
      </c>
      <c r="Y154" s="3">
        <v>4.0</v>
      </c>
      <c r="Z154" s="3">
        <v>3.0</v>
      </c>
      <c r="AA154" s="3">
        <v>2.0</v>
      </c>
      <c r="AB154" s="3">
        <v>0.0</v>
      </c>
      <c r="AC154" s="22">
        <v>2.3</v>
      </c>
      <c r="AD154" s="3"/>
      <c r="AE154" s="3" t="s">
        <v>122</v>
      </c>
      <c r="AF154" s="14"/>
      <c r="AG154" s="15"/>
      <c r="AH154" s="14"/>
      <c r="AI154" s="14"/>
      <c r="AJ154" s="15"/>
      <c r="AK154" s="14"/>
      <c r="AL154" s="14"/>
      <c r="AM154" s="14" t="s">
        <v>225</v>
      </c>
      <c r="AN154" s="14" t="s">
        <v>274</v>
      </c>
      <c r="AO154" s="14" t="s">
        <v>84</v>
      </c>
      <c r="AP154" s="14" t="s">
        <v>275</v>
      </c>
      <c r="AQ154" s="16">
        <v>0.0</v>
      </c>
      <c r="AR154" s="14" t="s">
        <v>196</v>
      </c>
    </row>
    <row r="155" ht="15.75" customHeight="1">
      <c r="A155" s="3" t="s">
        <v>39</v>
      </c>
      <c r="B155" s="3" t="s">
        <v>44</v>
      </c>
      <c r="C155" s="3" t="s">
        <v>102</v>
      </c>
      <c r="D155" s="3" t="s">
        <v>230</v>
      </c>
      <c r="E155" s="3" t="s">
        <v>202</v>
      </c>
      <c r="F155" s="3" t="s">
        <v>367</v>
      </c>
      <c r="G155" s="3" t="s">
        <v>69</v>
      </c>
      <c r="H155" s="3" t="s">
        <v>69</v>
      </c>
      <c r="I155" s="19" t="s">
        <v>122</v>
      </c>
      <c r="J155" s="3" t="s">
        <v>71</v>
      </c>
      <c r="K155" s="20">
        <v>3.0</v>
      </c>
      <c r="L155" s="20"/>
      <c r="M155" s="3"/>
      <c r="N155" s="3"/>
      <c r="O155" s="21"/>
      <c r="P155" s="3">
        <v>500.0</v>
      </c>
      <c r="Q155" s="3" t="s">
        <v>74</v>
      </c>
      <c r="R155" s="3" t="s">
        <v>75</v>
      </c>
      <c r="S155" s="3" t="s">
        <v>142</v>
      </c>
      <c r="T155" s="3" t="s">
        <v>39</v>
      </c>
      <c r="U155" s="3" t="s">
        <v>226</v>
      </c>
      <c r="V155" s="3" t="s">
        <v>368</v>
      </c>
      <c r="W155" s="3">
        <v>2.0</v>
      </c>
      <c r="X155" s="3">
        <v>2.0</v>
      </c>
      <c r="Y155" s="3">
        <v>4.0</v>
      </c>
      <c r="Z155" s="3">
        <v>3.0</v>
      </c>
      <c r="AA155" s="3">
        <v>2.0</v>
      </c>
      <c r="AB155" s="3">
        <v>0.0</v>
      </c>
      <c r="AC155" s="22">
        <v>2.3</v>
      </c>
      <c r="AD155" s="3"/>
      <c r="AE155" s="3" t="s">
        <v>122</v>
      </c>
      <c r="AF155" s="14"/>
      <c r="AG155" s="15"/>
      <c r="AH155" s="14"/>
      <c r="AI155" s="14"/>
      <c r="AJ155" s="15"/>
      <c r="AK155" s="14"/>
      <c r="AL155" s="14"/>
      <c r="AM155" s="14" t="s">
        <v>368</v>
      </c>
      <c r="AN155" s="14" t="s">
        <v>395</v>
      </c>
      <c r="AO155" s="14" t="s">
        <v>84</v>
      </c>
      <c r="AP155" s="14" t="s">
        <v>396</v>
      </c>
      <c r="AQ155" s="16">
        <v>0.0</v>
      </c>
      <c r="AR155" s="14" t="s">
        <v>196</v>
      </c>
    </row>
    <row r="156" ht="15.75" customHeight="1">
      <c r="A156" s="3" t="s">
        <v>39</v>
      </c>
      <c r="B156" s="3" t="s">
        <v>44</v>
      </c>
      <c r="C156" s="3" t="s">
        <v>102</v>
      </c>
      <c r="D156" s="3" t="s">
        <v>371</v>
      </c>
      <c r="E156" s="3" t="s">
        <v>271</v>
      </c>
      <c r="F156" s="3" t="s">
        <v>538</v>
      </c>
      <c r="G156" s="3" t="s">
        <v>69</v>
      </c>
      <c r="H156" s="3" t="s">
        <v>39</v>
      </c>
      <c r="I156" s="19" t="s">
        <v>122</v>
      </c>
      <c r="J156" s="3" t="s">
        <v>71</v>
      </c>
      <c r="K156" s="20">
        <v>0.0</v>
      </c>
      <c r="L156" s="20">
        <v>0.0</v>
      </c>
      <c r="M156" s="3"/>
      <c r="N156" s="3"/>
      <c r="O156" s="21"/>
      <c r="P156" s="3">
        <v>570.0</v>
      </c>
      <c r="Q156" s="3" t="s">
        <v>74</v>
      </c>
      <c r="R156" s="3" t="s">
        <v>75</v>
      </c>
      <c r="S156" s="3" t="s">
        <v>142</v>
      </c>
      <c r="T156" s="3" t="s">
        <v>39</v>
      </c>
      <c r="U156" s="3" t="s">
        <v>232</v>
      </c>
      <c r="V156" s="3" t="s">
        <v>539</v>
      </c>
      <c r="W156" s="3">
        <v>2.0</v>
      </c>
      <c r="X156" s="3">
        <v>2.0</v>
      </c>
      <c r="Y156" s="3">
        <v>1.0</v>
      </c>
      <c r="Z156" s="3">
        <v>3.0</v>
      </c>
      <c r="AA156" s="3">
        <v>2.0</v>
      </c>
      <c r="AB156" s="3">
        <v>0.0</v>
      </c>
      <c r="AC156" s="22">
        <v>1.6</v>
      </c>
      <c r="AD156" s="3">
        <v>0.0</v>
      </c>
      <c r="AE156" s="3" t="s">
        <v>122</v>
      </c>
      <c r="AF156" s="14"/>
      <c r="AG156" s="15"/>
      <c r="AH156" s="14"/>
      <c r="AI156" s="14"/>
      <c r="AJ156" s="15"/>
      <c r="AK156" s="14"/>
      <c r="AL156" s="14"/>
      <c r="AM156" s="14" t="s">
        <v>539</v>
      </c>
      <c r="AN156" s="14" t="s">
        <v>481</v>
      </c>
      <c r="AO156" s="14" t="s">
        <v>84</v>
      </c>
      <c r="AP156" s="14" t="s">
        <v>482</v>
      </c>
      <c r="AQ156" s="16">
        <v>0.0</v>
      </c>
      <c r="AR156" s="14" t="s">
        <v>196</v>
      </c>
    </row>
    <row r="157" ht="15.75" customHeight="1">
      <c r="A157" s="3" t="s">
        <v>39</v>
      </c>
      <c r="B157" s="3" t="s">
        <v>44</v>
      </c>
      <c r="C157" s="3" t="s">
        <v>102</v>
      </c>
      <c r="D157" s="3" t="s">
        <v>241</v>
      </c>
      <c r="E157" s="3" t="s">
        <v>164</v>
      </c>
      <c r="F157" s="3" t="s">
        <v>219</v>
      </c>
      <c r="G157" s="3" t="s">
        <v>69</v>
      </c>
      <c r="H157" s="3" t="s">
        <v>69</v>
      </c>
      <c r="I157" s="19" t="s">
        <v>122</v>
      </c>
      <c r="J157" s="3" t="s">
        <v>71</v>
      </c>
      <c r="K157" s="20">
        <v>3.0</v>
      </c>
      <c r="L157" s="20"/>
      <c r="M157" s="3"/>
      <c r="N157" s="3"/>
      <c r="O157" s="21"/>
      <c r="P157" s="3">
        <v>490.0</v>
      </c>
      <c r="Q157" s="3" t="s">
        <v>74</v>
      </c>
      <c r="R157" s="3" t="s">
        <v>75</v>
      </c>
      <c r="S157" s="3" t="s">
        <v>142</v>
      </c>
      <c r="T157" s="3" t="s">
        <v>39</v>
      </c>
      <c r="U157" s="3" t="s">
        <v>90</v>
      </c>
      <c r="V157" s="3" t="s">
        <v>220</v>
      </c>
      <c r="W157" s="3">
        <v>2.0</v>
      </c>
      <c r="X157" s="3">
        <v>2.0</v>
      </c>
      <c r="Y157" s="3">
        <v>4.0</v>
      </c>
      <c r="Z157" s="3">
        <v>3.0</v>
      </c>
      <c r="AA157" s="3">
        <v>2.0</v>
      </c>
      <c r="AB157" s="3">
        <v>0.0</v>
      </c>
      <c r="AC157" s="22">
        <v>2.3</v>
      </c>
      <c r="AD157" s="3"/>
      <c r="AE157" s="3" t="s">
        <v>122</v>
      </c>
      <c r="AF157" s="14"/>
      <c r="AG157" s="15"/>
      <c r="AH157" s="14"/>
      <c r="AI157" s="14"/>
      <c r="AJ157" s="15"/>
      <c r="AK157" s="14"/>
      <c r="AL157" s="14"/>
      <c r="AM157" s="14" t="s">
        <v>220</v>
      </c>
      <c r="AN157" s="14" t="s">
        <v>278</v>
      </c>
      <c r="AO157" s="14" t="s">
        <v>84</v>
      </c>
      <c r="AP157" s="14" t="s">
        <v>279</v>
      </c>
      <c r="AQ157" s="16">
        <v>0.0</v>
      </c>
      <c r="AR157" s="14" t="s">
        <v>196</v>
      </c>
    </row>
    <row r="158" ht="15.75" customHeight="1">
      <c r="A158" s="3" t="s">
        <v>39</v>
      </c>
      <c r="B158" s="3" t="s">
        <v>44</v>
      </c>
      <c r="C158" s="3" t="s">
        <v>102</v>
      </c>
      <c r="D158" s="3" t="s">
        <v>376</v>
      </c>
      <c r="E158" s="3" t="s">
        <v>271</v>
      </c>
      <c r="F158" s="3" t="s">
        <v>224</v>
      </c>
      <c r="G158" s="3" t="s">
        <v>69</v>
      </c>
      <c r="H158" s="3" t="s">
        <v>69</v>
      </c>
      <c r="I158" s="19" t="s">
        <v>122</v>
      </c>
      <c r="J158" s="3" t="s">
        <v>71</v>
      </c>
      <c r="K158" s="20">
        <v>3.0</v>
      </c>
      <c r="L158" s="20"/>
      <c r="M158" s="3"/>
      <c r="N158" s="3"/>
      <c r="O158" s="21"/>
      <c r="P158" s="3">
        <v>570.0</v>
      </c>
      <c r="Q158" s="3" t="s">
        <v>74</v>
      </c>
      <c r="R158" s="3" t="s">
        <v>75</v>
      </c>
      <c r="S158" s="3" t="s">
        <v>142</v>
      </c>
      <c r="T158" s="3" t="s">
        <v>39</v>
      </c>
      <c r="U158" s="3" t="s">
        <v>90</v>
      </c>
      <c r="V158" s="3" t="s">
        <v>225</v>
      </c>
      <c r="W158" s="3">
        <v>2.0</v>
      </c>
      <c r="X158" s="3">
        <v>2.0</v>
      </c>
      <c r="Y158" s="3">
        <v>4.0</v>
      </c>
      <c r="Z158" s="3">
        <v>3.0</v>
      </c>
      <c r="AA158" s="3">
        <v>2.0</v>
      </c>
      <c r="AB158" s="3">
        <v>0.0</v>
      </c>
      <c r="AC158" s="22">
        <v>2.3</v>
      </c>
      <c r="AD158" s="3"/>
      <c r="AE158" s="3" t="s">
        <v>122</v>
      </c>
      <c r="AF158" s="14"/>
      <c r="AG158" s="15"/>
      <c r="AH158" s="14"/>
      <c r="AI158" s="14"/>
      <c r="AJ158" s="15"/>
      <c r="AK158" s="14"/>
      <c r="AL158" s="14"/>
      <c r="AM158" s="14" t="s">
        <v>225</v>
      </c>
      <c r="AN158" s="14" t="s">
        <v>553</v>
      </c>
      <c r="AO158" s="14" t="s">
        <v>84</v>
      </c>
      <c r="AP158" s="14" t="s">
        <v>554</v>
      </c>
      <c r="AQ158" s="16">
        <v>0.0</v>
      </c>
      <c r="AR158" s="14" t="s">
        <v>196</v>
      </c>
    </row>
    <row r="159" ht="15.75" customHeight="1">
      <c r="A159" s="3" t="s">
        <v>39</v>
      </c>
      <c r="B159" s="3" t="s">
        <v>44</v>
      </c>
      <c r="C159" s="3" t="s">
        <v>102</v>
      </c>
      <c r="D159" s="3" t="s">
        <v>246</v>
      </c>
      <c r="E159" s="3" t="s">
        <v>202</v>
      </c>
      <c r="F159" s="3" t="s">
        <v>216</v>
      </c>
      <c r="G159" s="3" t="s">
        <v>69</v>
      </c>
      <c r="H159" s="3" t="s">
        <v>69</v>
      </c>
      <c r="I159" s="19" t="s">
        <v>122</v>
      </c>
      <c r="J159" s="3" t="s">
        <v>71</v>
      </c>
      <c r="K159" s="20">
        <v>0.0</v>
      </c>
      <c r="L159" s="20">
        <v>0.0</v>
      </c>
      <c r="M159" s="3"/>
      <c r="N159" s="3"/>
      <c r="O159" s="21"/>
      <c r="P159" s="3">
        <v>500.0</v>
      </c>
      <c r="Q159" s="3" t="s">
        <v>74</v>
      </c>
      <c r="R159" s="3" t="s">
        <v>75</v>
      </c>
      <c r="S159" s="3" t="s">
        <v>142</v>
      </c>
      <c r="T159" s="3" t="s">
        <v>39</v>
      </c>
      <c r="U159" s="3" t="s">
        <v>232</v>
      </c>
      <c r="V159" s="3" t="s">
        <v>217</v>
      </c>
      <c r="W159" s="3">
        <v>2.0</v>
      </c>
      <c r="X159" s="3">
        <v>2.0</v>
      </c>
      <c r="Y159" s="3">
        <v>4.0</v>
      </c>
      <c r="Z159" s="3">
        <v>3.0</v>
      </c>
      <c r="AA159" s="3">
        <v>2.0</v>
      </c>
      <c r="AB159" s="3">
        <v>0.0</v>
      </c>
      <c r="AC159" s="22">
        <v>2.3</v>
      </c>
      <c r="AD159" s="3">
        <v>0.0</v>
      </c>
      <c r="AE159" s="3" t="s">
        <v>122</v>
      </c>
      <c r="AF159" s="14"/>
      <c r="AG159" s="15"/>
      <c r="AH159" s="14"/>
      <c r="AI159" s="14"/>
      <c r="AJ159" s="15"/>
      <c r="AK159" s="14"/>
      <c r="AL159" s="14"/>
      <c r="AM159" s="14" t="s">
        <v>217</v>
      </c>
      <c r="AN159" s="14" t="s">
        <v>399</v>
      </c>
      <c r="AO159" s="14" t="s">
        <v>84</v>
      </c>
      <c r="AP159" s="14" t="s">
        <v>401</v>
      </c>
      <c r="AQ159" s="16">
        <v>0.0</v>
      </c>
      <c r="AR159" s="14" t="s">
        <v>196</v>
      </c>
    </row>
    <row r="160" ht="15.75" customHeight="1">
      <c r="A160" s="3" t="s">
        <v>39</v>
      </c>
      <c r="B160" s="3" t="s">
        <v>44</v>
      </c>
      <c r="C160" s="3" t="s">
        <v>102</v>
      </c>
      <c r="D160" s="3" t="s">
        <v>383</v>
      </c>
      <c r="E160" s="3" t="s">
        <v>240</v>
      </c>
      <c r="F160" s="3" t="s">
        <v>219</v>
      </c>
      <c r="G160" s="3" t="s">
        <v>69</v>
      </c>
      <c r="H160" s="3" t="s">
        <v>69</v>
      </c>
      <c r="I160" s="19" t="s">
        <v>122</v>
      </c>
      <c r="J160" s="3" t="s">
        <v>71</v>
      </c>
      <c r="K160" s="20">
        <v>3.0</v>
      </c>
      <c r="L160" s="20"/>
      <c r="M160" s="3"/>
      <c r="N160" s="3"/>
      <c r="O160" s="21"/>
      <c r="P160" s="3">
        <v>610.0</v>
      </c>
      <c r="Q160" s="3" t="s">
        <v>153</v>
      </c>
      <c r="R160" s="3" t="s">
        <v>75</v>
      </c>
      <c r="S160" s="3" t="s">
        <v>142</v>
      </c>
      <c r="T160" s="3" t="s">
        <v>39</v>
      </c>
      <c r="U160" s="3" t="s">
        <v>90</v>
      </c>
      <c r="V160" s="3" t="s">
        <v>220</v>
      </c>
      <c r="W160" s="3">
        <v>2.0</v>
      </c>
      <c r="X160" s="3">
        <v>1.0</v>
      </c>
      <c r="Y160" s="3">
        <v>4.0</v>
      </c>
      <c r="Z160" s="3">
        <v>3.0</v>
      </c>
      <c r="AA160" s="3">
        <v>2.0</v>
      </c>
      <c r="AB160" s="3">
        <v>0.0</v>
      </c>
      <c r="AC160" s="22">
        <v>2.1</v>
      </c>
      <c r="AD160" s="3"/>
      <c r="AE160" s="3" t="s">
        <v>122</v>
      </c>
      <c r="AF160" s="14"/>
      <c r="AG160" s="15"/>
      <c r="AH160" s="14"/>
      <c r="AI160" s="14"/>
      <c r="AJ160" s="15"/>
      <c r="AK160" s="14"/>
      <c r="AL160" s="14"/>
      <c r="AM160" s="14" t="s">
        <v>220</v>
      </c>
      <c r="AN160" s="14" t="s">
        <v>483</v>
      </c>
      <c r="AO160" s="14" t="s">
        <v>84</v>
      </c>
      <c r="AP160" s="14" t="s">
        <v>484</v>
      </c>
      <c r="AQ160" s="16">
        <v>0.0</v>
      </c>
      <c r="AR160" s="14" t="s">
        <v>196</v>
      </c>
    </row>
    <row r="161" ht="15.75" customHeight="1">
      <c r="A161" s="3" t="s">
        <v>39</v>
      </c>
      <c r="B161" s="3" t="s">
        <v>44</v>
      </c>
      <c r="C161" s="3" t="s">
        <v>102</v>
      </c>
      <c r="D161" s="3" t="s">
        <v>383</v>
      </c>
      <c r="E161" s="3" t="s">
        <v>240</v>
      </c>
      <c r="F161" s="3" t="s">
        <v>224</v>
      </c>
      <c r="G161" s="3" t="s">
        <v>69</v>
      </c>
      <c r="H161" s="3" t="s">
        <v>69</v>
      </c>
      <c r="I161" s="19" t="s">
        <v>122</v>
      </c>
      <c r="J161" s="3" t="s">
        <v>71</v>
      </c>
      <c r="K161" s="20">
        <v>3.0</v>
      </c>
      <c r="L161" s="20"/>
      <c r="M161" s="3"/>
      <c r="N161" s="3"/>
      <c r="O161" s="21"/>
      <c r="P161" s="3">
        <v>610.0</v>
      </c>
      <c r="Q161" s="3" t="s">
        <v>153</v>
      </c>
      <c r="R161" s="3" t="s">
        <v>75</v>
      </c>
      <c r="S161" s="3" t="s">
        <v>142</v>
      </c>
      <c r="T161" s="3" t="s">
        <v>39</v>
      </c>
      <c r="U161" s="3" t="s">
        <v>90</v>
      </c>
      <c r="V161" s="3" t="s">
        <v>225</v>
      </c>
      <c r="W161" s="3">
        <v>2.0</v>
      </c>
      <c r="X161" s="3">
        <v>1.0</v>
      </c>
      <c r="Y161" s="3">
        <v>4.0</v>
      </c>
      <c r="Z161" s="3">
        <v>3.0</v>
      </c>
      <c r="AA161" s="3">
        <v>2.0</v>
      </c>
      <c r="AB161" s="3">
        <v>0.0</v>
      </c>
      <c r="AC161" s="22">
        <v>2.1</v>
      </c>
      <c r="AD161" s="3"/>
      <c r="AE161" s="3" t="s">
        <v>122</v>
      </c>
      <c r="AF161" s="14"/>
      <c r="AG161" s="15"/>
      <c r="AH161" s="14"/>
      <c r="AI161" s="14"/>
      <c r="AJ161" s="15"/>
      <c r="AK161" s="14"/>
      <c r="AL161" s="14"/>
      <c r="AM161" s="14" t="s">
        <v>225</v>
      </c>
      <c r="AN161" s="14" t="s">
        <v>483</v>
      </c>
      <c r="AO161" s="14" t="s">
        <v>84</v>
      </c>
      <c r="AP161" s="14" t="s">
        <v>484</v>
      </c>
      <c r="AQ161" s="16">
        <v>0.0</v>
      </c>
      <c r="AR161" s="14" t="s">
        <v>196</v>
      </c>
    </row>
    <row r="162" ht="15.75" customHeight="1">
      <c r="A162" s="3" t="s">
        <v>39</v>
      </c>
      <c r="B162" s="3" t="s">
        <v>44</v>
      </c>
      <c r="C162" s="3" t="s">
        <v>102</v>
      </c>
      <c r="D162" s="3" t="s">
        <v>388</v>
      </c>
      <c r="E162" s="3" t="s">
        <v>271</v>
      </c>
      <c r="F162" s="3" t="s">
        <v>367</v>
      </c>
      <c r="G162" s="3" t="s">
        <v>69</v>
      </c>
      <c r="H162" s="3" t="s">
        <v>69</v>
      </c>
      <c r="I162" s="19" t="s">
        <v>122</v>
      </c>
      <c r="J162" s="3" t="s">
        <v>71</v>
      </c>
      <c r="K162" s="20">
        <v>3.0</v>
      </c>
      <c r="L162" s="20"/>
      <c r="M162" s="3"/>
      <c r="N162" s="3"/>
      <c r="O162" s="21"/>
      <c r="P162" s="3">
        <v>570.0</v>
      </c>
      <c r="Q162" s="3" t="s">
        <v>74</v>
      </c>
      <c r="R162" s="3" t="s">
        <v>75</v>
      </c>
      <c r="S162" s="3" t="s">
        <v>142</v>
      </c>
      <c r="T162" s="3" t="s">
        <v>39</v>
      </c>
      <c r="U162" s="3" t="s">
        <v>226</v>
      </c>
      <c r="V162" s="3" t="s">
        <v>368</v>
      </c>
      <c r="W162" s="3">
        <v>2.0</v>
      </c>
      <c r="X162" s="3">
        <v>2.0</v>
      </c>
      <c r="Y162" s="3">
        <v>4.0</v>
      </c>
      <c r="Z162" s="3">
        <v>3.0</v>
      </c>
      <c r="AA162" s="3">
        <v>2.0</v>
      </c>
      <c r="AB162" s="3">
        <v>0.0</v>
      </c>
      <c r="AC162" s="22">
        <v>2.3</v>
      </c>
      <c r="AD162" s="3"/>
      <c r="AE162" s="3" t="s">
        <v>122</v>
      </c>
      <c r="AF162" s="14"/>
      <c r="AG162" s="15"/>
      <c r="AH162" s="14"/>
      <c r="AI162" s="14"/>
      <c r="AJ162" s="15"/>
      <c r="AK162" s="14"/>
      <c r="AL162" s="14"/>
      <c r="AM162" s="14" t="s">
        <v>368</v>
      </c>
      <c r="AN162" s="14" t="s">
        <v>559</v>
      </c>
      <c r="AO162" s="14" t="s">
        <v>84</v>
      </c>
      <c r="AP162" s="14" t="s">
        <v>560</v>
      </c>
      <c r="AQ162" s="16">
        <v>0.0</v>
      </c>
      <c r="AR162" s="14" t="s">
        <v>196</v>
      </c>
    </row>
    <row r="163" ht="15.75" customHeight="1">
      <c r="A163" s="3" t="s">
        <v>39</v>
      </c>
      <c r="B163" s="3" t="s">
        <v>44</v>
      </c>
      <c r="C163" s="3" t="s">
        <v>102</v>
      </c>
      <c r="D163" s="3" t="s">
        <v>391</v>
      </c>
      <c r="E163" s="3" t="s">
        <v>271</v>
      </c>
      <c r="F163" s="3" t="s">
        <v>216</v>
      </c>
      <c r="G163" s="3" t="s">
        <v>69</v>
      </c>
      <c r="H163" s="3" t="s">
        <v>69</v>
      </c>
      <c r="I163" s="19" t="s">
        <v>122</v>
      </c>
      <c r="J163" s="3" t="s">
        <v>71</v>
      </c>
      <c r="K163" s="20">
        <v>0.0</v>
      </c>
      <c r="L163" s="20">
        <v>0.0</v>
      </c>
      <c r="M163" s="3"/>
      <c r="N163" s="3"/>
      <c r="O163" s="21"/>
      <c r="P163" s="3">
        <v>570.0</v>
      </c>
      <c r="Q163" s="3" t="s">
        <v>74</v>
      </c>
      <c r="R163" s="3" t="s">
        <v>75</v>
      </c>
      <c r="S163" s="3" t="s">
        <v>142</v>
      </c>
      <c r="T163" s="3" t="s">
        <v>39</v>
      </c>
      <c r="U163" s="3" t="s">
        <v>232</v>
      </c>
      <c r="V163" s="3" t="s">
        <v>217</v>
      </c>
      <c r="W163" s="3">
        <v>2.0</v>
      </c>
      <c r="X163" s="3">
        <v>2.0</v>
      </c>
      <c r="Y163" s="3">
        <v>4.0</v>
      </c>
      <c r="Z163" s="3">
        <v>3.0</v>
      </c>
      <c r="AA163" s="3">
        <v>2.0</v>
      </c>
      <c r="AB163" s="3">
        <v>0.0</v>
      </c>
      <c r="AC163" s="22">
        <v>2.3</v>
      </c>
      <c r="AD163" s="3">
        <v>0.0</v>
      </c>
      <c r="AE163" s="3" t="s">
        <v>122</v>
      </c>
      <c r="AF163" s="14"/>
      <c r="AG163" s="15"/>
      <c r="AH163" s="14"/>
      <c r="AI163" s="14"/>
      <c r="AJ163" s="15"/>
      <c r="AK163" s="14"/>
      <c r="AL163" s="14"/>
      <c r="AM163" s="14" t="s">
        <v>217</v>
      </c>
      <c r="AN163" s="14" t="s">
        <v>486</v>
      </c>
      <c r="AO163" s="14" t="s">
        <v>84</v>
      </c>
      <c r="AP163" s="14" t="s">
        <v>487</v>
      </c>
      <c r="AQ163" s="16">
        <v>0.0</v>
      </c>
      <c r="AR163" s="14" t="s">
        <v>196</v>
      </c>
    </row>
    <row r="164" ht="15.75" customHeight="1">
      <c r="A164" s="3" t="s">
        <v>39</v>
      </c>
      <c r="B164" s="3" t="s">
        <v>44</v>
      </c>
      <c r="C164" s="3" t="s">
        <v>102</v>
      </c>
      <c r="D164" s="3" t="s">
        <v>256</v>
      </c>
      <c r="E164" s="3" t="s">
        <v>186</v>
      </c>
      <c r="F164" s="3" t="s">
        <v>538</v>
      </c>
      <c r="G164" s="3" t="s">
        <v>69</v>
      </c>
      <c r="H164" s="3" t="s">
        <v>39</v>
      </c>
      <c r="I164" s="19" t="s">
        <v>122</v>
      </c>
      <c r="J164" s="3" t="s">
        <v>71</v>
      </c>
      <c r="K164" s="20">
        <v>0.0</v>
      </c>
      <c r="L164" s="20">
        <v>0.0</v>
      </c>
      <c r="M164" s="3"/>
      <c r="N164" s="3"/>
      <c r="O164" s="21"/>
      <c r="P164" s="3">
        <v>360.0</v>
      </c>
      <c r="Q164" s="3" t="s">
        <v>140</v>
      </c>
      <c r="R164" s="3" t="s">
        <v>75</v>
      </c>
      <c r="S164" s="3" t="s">
        <v>142</v>
      </c>
      <c r="T164" s="3" t="s">
        <v>39</v>
      </c>
      <c r="U164" s="3" t="s">
        <v>232</v>
      </c>
      <c r="V164" s="3" t="s">
        <v>539</v>
      </c>
      <c r="W164" s="3">
        <v>2.0</v>
      </c>
      <c r="X164" s="3">
        <v>3.0</v>
      </c>
      <c r="Y164" s="3">
        <v>1.0</v>
      </c>
      <c r="Z164" s="3">
        <v>3.0</v>
      </c>
      <c r="AA164" s="3">
        <v>2.0</v>
      </c>
      <c r="AB164" s="3">
        <v>0.0</v>
      </c>
      <c r="AC164" s="22">
        <v>1.7</v>
      </c>
      <c r="AD164" s="3">
        <v>0.0</v>
      </c>
      <c r="AE164" s="3" t="s">
        <v>122</v>
      </c>
      <c r="AF164" s="14"/>
      <c r="AG164" s="15"/>
      <c r="AH164" s="14"/>
      <c r="AI164" s="14"/>
      <c r="AJ164" s="15"/>
      <c r="AK164" s="14"/>
      <c r="AL164" s="14"/>
      <c r="AM164" s="14" t="s">
        <v>539</v>
      </c>
      <c r="AN164" s="14" t="s">
        <v>489</v>
      </c>
      <c r="AO164" s="14" t="s">
        <v>84</v>
      </c>
      <c r="AP164" s="14" t="s">
        <v>490</v>
      </c>
      <c r="AQ164" s="16">
        <v>0.0</v>
      </c>
      <c r="AR164" s="14" t="s">
        <v>196</v>
      </c>
    </row>
    <row r="165" ht="15.75" customHeight="1">
      <c r="A165" s="3" t="s">
        <v>39</v>
      </c>
      <c r="B165" s="3" t="s">
        <v>44</v>
      </c>
      <c r="C165" s="3" t="s">
        <v>102</v>
      </c>
      <c r="D165" s="3" t="s">
        <v>262</v>
      </c>
      <c r="E165" s="3" t="s">
        <v>186</v>
      </c>
      <c r="F165" s="3" t="s">
        <v>538</v>
      </c>
      <c r="G165" s="3" t="s">
        <v>69</v>
      </c>
      <c r="H165" s="3" t="s">
        <v>39</v>
      </c>
      <c r="I165" s="19" t="s">
        <v>122</v>
      </c>
      <c r="J165" s="3" t="s">
        <v>71</v>
      </c>
      <c r="K165" s="20">
        <v>0.0</v>
      </c>
      <c r="L165" s="20">
        <v>0.0</v>
      </c>
      <c r="M165" s="3"/>
      <c r="N165" s="3"/>
      <c r="O165" s="21"/>
      <c r="P165" s="3">
        <v>360.0</v>
      </c>
      <c r="Q165" s="3" t="s">
        <v>140</v>
      </c>
      <c r="R165" s="3" t="s">
        <v>75</v>
      </c>
      <c r="S165" s="3" t="s">
        <v>142</v>
      </c>
      <c r="T165" s="3" t="s">
        <v>39</v>
      </c>
      <c r="U165" s="3" t="s">
        <v>232</v>
      </c>
      <c r="V165" s="3" t="s">
        <v>539</v>
      </c>
      <c r="W165" s="3">
        <v>2.0</v>
      </c>
      <c r="X165" s="3">
        <v>3.0</v>
      </c>
      <c r="Y165" s="3">
        <v>1.0</v>
      </c>
      <c r="Z165" s="3">
        <v>3.0</v>
      </c>
      <c r="AA165" s="3">
        <v>2.0</v>
      </c>
      <c r="AB165" s="3">
        <v>0.0</v>
      </c>
      <c r="AC165" s="22">
        <v>1.7</v>
      </c>
      <c r="AD165" s="3">
        <v>0.0</v>
      </c>
      <c r="AE165" s="3" t="s">
        <v>122</v>
      </c>
      <c r="AF165" s="14"/>
      <c r="AG165" s="15"/>
      <c r="AH165" s="14"/>
      <c r="AI165" s="14"/>
      <c r="AJ165" s="15"/>
      <c r="AK165" s="14"/>
      <c r="AL165" s="14"/>
      <c r="AM165" s="14" t="s">
        <v>539</v>
      </c>
      <c r="AN165" s="14" t="s">
        <v>492</v>
      </c>
      <c r="AO165" s="14" t="s">
        <v>84</v>
      </c>
      <c r="AP165" s="14" t="s">
        <v>493</v>
      </c>
      <c r="AQ165" s="16">
        <v>0.0</v>
      </c>
      <c r="AR165" s="14" t="s">
        <v>196</v>
      </c>
    </row>
    <row r="166" ht="15.75" customHeight="1">
      <c r="A166" s="3" t="s">
        <v>39</v>
      </c>
      <c r="B166" s="3" t="s">
        <v>44</v>
      </c>
      <c r="C166" s="3" t="s">
        <v>102</v>
      </c>
      <c r="D166" s="3" t="s">
        <v>105</v>
      </c>
      <c r="E166" s="3" t="s">
        <v>106</v>
      </c>
      <c r="F166" s="3" t="s">
        <v>216</v>
      </c>
      <c r="G166" s="3" t="s">
        <v>69</v>
      </c>
      <c r="H166" s="3" t="s">
        <v>69</v>
      </c>
      <c r="I166" s="19" t="s">
        <v>122</v>
      </c>
      <c r="J166" s="3" t="s">
        <v>71</v>
      </c>
      <c r="K166" s="20">
        <v>0.0</v>
      </c>
      <c r="L166" s="20">
        <v>0.0</v>
      </c>
      <c r="M166" s="3"/>
      <c r="N166" s="3"/>
      <c r="O166" s="21"/>
      <c r="P166" s="3">
        <v>130.0</v>
      </c>
      <c r="Q166" s="3" t="s">
        <v>121</v>
      </c>
      <c r="R166" s="3" t="s">
        <v>75</v>
      </c>
      <c r="S166" s="3" t="s">
        <v>76</v>
      </c>
      <c r="T166" s="3" t="s">
        <v>39</v>
      </c>
      <c r="U166" s="3" t="s">
        <v>232</v>
      </c>
      <c r="V166" s="3" t="s">
        <v>217</v>
      </c>
      <c r="W166" s="3">
        <v>2.0</v>
      </c>
      <c r="X166" s="3">
        <v>5.0</v>
      </c>
      <c r="Y166" s="3">
        <v>4.0</v>
      </c>
      <c r="Z166" s="3">
        <v>3.0</v>
      </c>
      <c r="AA166" s="3">
        <v>4.0</v>
      </c>
      <c r="AB166" s="3">
        <v>0.0</v>
      </c>
      <c r="AC166" s="22">
        <v>2.9</v>
      </c>
      <c r="AD166" s="3">
        <v>0.0</v>
      </c>
      <c r="AE166" s="3" t="s">
        <v>122</v>
      </c>
      <c r="AF166" s="14"/>
      <c r="AG166" s="15"/>
      <c r="AH166" s="14"/>
      <c r="AI166" s="14"/>
      <c r="AJ166" s="15"/>
      <c r="AK166" s="14"/>
      <c r="AL166" s="14"/>
      <c r="AM166" s="14" t="s">
        <v>217</v>
      </c>
      <c r="AN166" s="14" t="s">
        <v>266</v>
      </c>
      <c r="AO166" s="14" t="s">
        <v>84</v>
      </c>
      <c r="AP166" s="14" t="s">
        <v>267</v>
      </c>
      <c r="AQ166" s="16">
        <v>0.0</v>
      </c>
      <c r="AR166" s="14" t="s">
        <v>196</v>
      </c>
    </row>
    <row r="167" ht="15.75" customHeight="1">
      <c r="A167" s="3" t="s">
        <v>39</v>
      </c>
      <c r="B167" s="3" t="s">
        <v>44</v>
      </c>
      <c r="C167" s="3" t="s">
        <v>102</v>
      </c>
      <c r="D167" s="3" t="s">
        <v>118</v>
      </c>
      <c r="E167" s="3" t="s">
        <v>150</v>
      </c>
      <c r="F167" s="3" t="s">
        <v>224</v>
      </c>
      <c r="G167" s="3" t="s">
        <v>69</v>
      </c>
      <c r="H167" s="3" t="s">
        <v>69</v>
      </c>
      <c r="I167" s="19" t="s">
        <v>122</v>
      </c>
      <c r="J167" s="3" t="s">
        <v>71</v>
      </c>
      <c r="K167" s="20">
        <v>3.0</v>
      </c>
      <c r="L167" s="20"/>
      <c r="M167" s="3"/>
      <c r="N167" s="3"/>
      <c r="O167" s="21"/>
      <c r="P167" s="3">
        <v>700.0</v>
      </c>
      <c r="Q167" s="3" t="s">
        <v>153</v>
      </c>
      <c r="R167" s="3" t="s">
        <v>75</v>
      </c>
      <c r="S167" s="3" t="s">
        <v>142</v>
      </c>
      <c r="T167" s="3" t="s">
        <v>39</v>
      </c>
      <c r="U167" s="3" t="s">
        <v>90</v>
      </c>
      <c r="V167" s="3" t="s">
        <v>225</v>
      </c>
      <c r="W167" s="3">
        <v>2.0</v>
      </c>
      <c r="X167" s="3">
        <v>1.0</v>
      </c>
      <c r="Y167" s="3">
        <v>4.0</v>
      </c>
      <c r="Z167" s="3">
        <v>3.0</v>
      </c>
      <c r="AA167" s="3">
        <v>2.0</v>
      </c>
      <c r="AB167" s="3">
        <v>0.0</v>
      </c>
      <c r="AC167" s="22">
        <v>2.1</v>
      </c>
      <c r="AD167" s="3"/>
      <c r="AE167" s="3" t="s">
        <v>122</v>
      </c>
      <c r="AF167" s="14"/>
      <c r="AG167" s="15"/>
      <c r="AH167" s="14"/>
      <c r="AI167" s="14"/>
      <c r="AJ167" s="15"/>
      <c r="AK167" s="14"/>
      <c r="AL167" s="14"/>
      <c r="AM167" s="14" t="s">
        <v>225</v>
      </c>
      <c r="AN167" s="14" t="s">
        <v>156</v>
      </c>
      <c r="AO167" s="14" t="s">
        <v>84</v>
      </c>
      <c r="AP167" s="14" t="s">
        <v>157</v>
      </c>
      <c r="AQ167" s="16">
        <v>0.0</v>
      </c>
      <c r="AR167" s="14" t="s">
        <v>196</v>
      </c>
    </row>
    <row r="168" ht="15.75" customHeight="1">
      <c r="A168" s="3" t="s">
        <v>39</v>
      </c>
      <c r="B168" s="3" t="s">
        <v>44</v>
      </c>
      <c r="C168" s="3" t="s">
        <v>102</v>
      </c>
      <c r="D168" s="3" t="s">
        <v>400</v>
      </c>
      <c r="E168" s="3" t="s">
        <v>150</v>
      </c>
      <c r="F168" s="3" t="s">
        <v>402</v>
      </c>
      <c r="G168" s="3" t="s">
        <v>69</v>
      </c>
      <c r="H168" s="3" t="s">
        <v>69</v>
      </c>
      <c r="I168" s="19" t="s">
        <v>122</v>
      </c>
      <c r="J168" s="3" t="s">
        <v>71</v>
      </c>
      <c r="K168" s="20">
        <v>3.0</v>
      </c>
      <c r="L168" s="20"/>
      <c r="M168" s="3"/>
      <c r="N168" s="3"/>
      <c r="O168" s="21"/>
      <c r="P168" s="3">
        <v>700.0</v>
      </c>
      <c r="Q168" s="3" t="s">
        <v>153</v>
      </c>
      <c r="R168" s="3" t="s">
        <v>75</v>
      </c>
      <c r="S168" s="3" t="s">
        <v>142</v>
      </c>
      <c r="T168" s="3" t="s">
        <v>39</v>
      </c>
      <c r="U168" s="3" t="s">
        <v>90</v>
      </c>
      <c r="V168" s="3" t="s">
        <v>403</v>
      </c>
      <c r="W168" s="3">
        <v>2.0</v>
      </c>
      <c r="X168" s="3">
        <v>1.0</v>
      </c>
      <c r="Y168" s="3">
        <v>4.0</v>
      </c>
      <c r="Z168" s="3">
        <v>3.0</v>
      </c>
      <c r="AA168" s="3">
        <v>2.0</v>
      </c>
      <c r="AB168" s="3">
        <v>0.0</v>
      </c>
      <c r="AC168" s="22">
        <v>2.1</v>
      </c>
      <c r="AD168" s="3"/>
      <c r="AE168" s="3" t="s">
        <v>122</v>
      </c>
      <c r="AF168" s="14"/>
      <c r="AG168" s="15"/>
      <c r="AH168" s="14"/>
      <c r="AI168" s="14"/>
      <c r="AJ168" s="15"/>
      <c r="AK168" s="14"/>
      <c r="AL168" s="14"/>
      <c r="AM168" s="14" t="s">
        <v>403</v>
      </c>
      <c r="AN168" s="14" t="s">
        <v>561</v>
      </c>
      <c r="AO168" s="14" t="s">
        <v>84</v>
      </c>
      <c r="AP168" s="14" t="s">
        <v>562</v>
      </c>
      <c r="AQ168" s="16">
        <v>0.0</v>
      </c>
      <c r="AR168" s="14" t="s">
        <v>196</v>
      </c>
    </row>
    <row r="169" ht="15.75" customHeight="1">
      <c r="A169" s="3" t="s">
        <v>39</v>
      </c>
      <c r="B169" s="3" t="s">
        <v>44</v>
      </c>
      <c r="C169" s="3" t="s">
        <v>102</v>
      </c>
      <c r="D169" s="3" t="s">
        <v>126</v>
      </c>
      <c r="E169" s="3" t="s">
        <v>150</v>
      </c>
      <c r="F169" s="3" t="s">
        <v>224</v>
      </c>
      <c r="G169" s="3" t="s">
        <v>69</v>
      </c>
      <c r="H169" s="3" t="s">
        <v>69</v>
      </c>
      <c r="I169" s="19" t="s">
        <v>122</v>
      </c>
      <c r="J169" s="3" t="s">
        <v>71</v>
      </c>
      <c r="K169" s="20">
        <v>3.0</v>
      </c>
      <c r="L169" s="20"/>
      <c r="M169" s="3"/>
      <c r="N169" s="3"/>
      <c r="O169" s="21"/>
      <c r="P169" s="3">
        <v>700.0</v>
      </c>
      <c r="Q169" s="3" t="s">
        <v>153</v>
      </c>
      <c r="R169" s="3" t="s">
        <v>75</v>
      </c>
      <c r="S169" s="3" t="s">
        <v>142</v>
      </c>
      <c r="T169" s="3" t="s">
        <v>39</v>
      </c>
      <c r="U169" s="3" t="s">
        <v>90</v>
      </c>
      <c r="V169" s="3" t="s">
        <v>225</v>
      </c>
      <c r="W169" s="3">
        <v>2.0</v>
      </c>
      <c r="X169" s="3">
        <v>1.0</v>
      </c>
      <c r="Y169" s="3">
        <v>4.0</v>
      </c>
      <c r="Z169" s="3">
        <v>3.0</v>
      </c>
      <c r="AA169" s="3">
        <v>2.0</v>
      </c>
      <c r="AB169" s="3">
        <v>0.0</v>
      </c>
      <c r="AC169" s="22">
        <v>2.1</v>
      </c>
      <c r="AD169" s="3"/>
      <c r="AE169" s="3" t="s">
        <v>122</v>
      </c>
      <c r="AF169" s="14"/>
      <c r="AG169" s="15"/>
      <c r="AH169" s="14"/>
      <c r="AI169" s="14"/>
      <c r="AJ169" s="15"/>
      <c r="AK169" s="14"/>
      <c r="AL169" s="14"/>
      <c r="AM169" s="14" t="s">
        <v>225</v>
      </c>
      <c r="AN169" s="14" t="s">
        <v>161</v>
      </c>
      <c r="AO169" s="14" t="s">
        <v>84</v>
      </c>
      <c r="AP169" s="14" t="s">
        <v>162</v>
      </c>
      <c r="AQ169" s="16">
        <v>0.0</v>
      </c>
      <c r="AR169" s="14" t="s">
        <v>196</v>
      </c>
    </row>
    <row r="170" ht="15.75" customHeight="1">
      <c r="A170" s="3" t="s">
        <v>39</v>
      </c>
      <c r="B170" s="3" t="s">
        <v>44</v>
      </c>
      <c r="C170" s="3" t="s">
        <v>102</v>
      </c>
      <c r="D170" s="3" t="s">
        <v>126</v>
      </c>
      <c r="E170" s="3" t="s">
        <v>150</v>
      </c>
      <c r="F170" s="3" t="s">
        <v>402</v>
      </c>
      <c r="G170" s="3" t="s">
        <v>69</v>
      </c>
      <c r="H170" s="3" t="s">
        <v>69</v>
      </c>
      <c r="I170" s="19" t="s">
        <v>122</v>
      </c>
      <c r="J170" s="3" t="s">
        <v>71</v>
      </c>
      <c r="K170" s="20">
        <v>3.0</v>
      </c>
      <c r="L170" s="20"/>
      <c r="M170" s="3"/>
      <c r="N170" s="3"/>
      <c r="O170" s="21"/>
      <c r="P170" s="3">
        <v>700.0</v>
      </c>
      <c r="Q170" s="3" t="s">
        <v>153</v>
      </c>
      <c r="R170" s="3" t="s">
        <v>75</v>
      </c>
      <c r="S170" s="3" t="s">
        <v>142</v>
      </c>
      <c r="T170" s="3" t="s">
        <v>39</v>
      </c>
      <c r="U170" s="3" t="s">
        <v>90</v>
      </c>
      <c r="V170" s="3" t="s">
        <v>403</v>
      </c>
      <c r="W170" s="3">
        <v>2.0</v>
      </c>
      <c r="X170" s="3">
        <v>1.0</v>
      </c>
      <c r="Y170" s="3">
        <v>4.0</v>
      </c>
      <c r="Z170" s="3">
        <v>3.0</v>
      </c>
      <c r="AA170" s="3">
        <v>2.0</v>
      </c>
      <c r="AB170" s="3">
        <v>0.0</v>
      </c>
      <c r="AC170" s="22">
        <v>2.1</v>
      </c>
      <c r="AD170" s="3"/>
      <c r="AE170" s="3" t="s">
        <v>122</v>
      </c>
      <c r="AF170" s="14"/>
      <c r="AG170" s="15"/>
      <c r="AH170" s="14"/>
      <c r="AI170" s="14"/>
      <c r="AJ170" s="15"/>
      <c r="AK170" s="14"/>
      <c r="AL170" s="14"/>
      <c r="AM170" s="14" t="s">
        <v>403</v>
      </c>
      <c r="AN170" s="14" t="s">
        <v>161</v>
      </c>
      <c r="AO170" s="14" t="s">
        <v>84</v>
      </c>
      <c r="AP170" s="14" t="s">
        <v>162</v>
      </c>
      <c r="AQ170" s="16">
        <v>0.0</v>
      </c>
      <c r="AR170" s="14" t="s">
        <v>196</v>
      </c>
    </row>
    <row r="171" ht="15.75" customHeight="1">
      <c r="A171" s="3" t="s">
        <v>39</v>
      </c>
      <c r="B171" s="3" t="s">
        <v>44</v>
      </c>
      <c r="C171" s="3" t="s">
        <v>102</v>
      </c>
      <c r="D171" s="3" t="s">
        <v>408</v>
      </c>
      <c r="E171" s="3" t="s">
        <v>150</v>
      </c>
      <c r="F171" s="3" t="s">
        <v>402</v>
      </c>
      <c r="G171" s="3" t="s">
        <v>69</v>
      </c>
      <c r="H171" s="3" t="s">
        <v>69</v>
      </c>
      <c r="I171" s="19" t="s">
        <v>122</v>
      </c>
      <c r="J171" s="3" t="s">
        <v>71</v>
      </c>
      <c r="K171" s="20">
        <v>3.0</v>
      </c>
      <c r="L171" s="20"/>
      <c r="M171" s="3"/>
      <c r="N171" s="3"/>
      <c r="O171" s="21"/>
      <c r="P171" s="3">
        <v>700.0</v>
      </c>
      <c r="Q171" s="3" t="s">
        <v>153</v>
      </c>
      <c r="R171" s="3" t="s">
        <v>75</v>
      </c>
      <c r="S171" s="3" t="s">
        <v>142</v>
      </c>
      <c r="T171" s="3" t="s">
        <v>39</v>
      </c>
      <c r="U171" s="3" t="s">
        <v>90</v>
      </c>
      <c r="V171" s="3" t="s">
        <v>403</v>
      </c>
      <c r="W171" s="3">
        <v>2.0</v>
      </c>
      <c r="X171" s="3">
        <v>1.0</v>
      </c>
      <c r="Y171" s="3">
        <v>4.0</v>
      </c>
      <c r="Z171" s="3">
        <v>3.0</v>
      </c>
      <c r="AA171" s="3">
        <v>2.0</v>
      </c>
      <c r="AB171" s="3">
        <v>0.0</v>
      </c>
      <c r="AC171" s="22">
        <v>2.1</v>
      </c>
      <c r="AD171" s="3"/>
      <c r="AE171" s="3" t="s">
        <v>122</v>
      </c>
      <c r="AF171" s="14"/>
      <c r="AG171" s="15"/>
      <c r="AH171" s="14"/>
      <c r="AI171" s="14"/>
      <c r="AJ171" s="15"/>
      <c r="AK171" s="14"/>
      <c r="AL171" s="14"/>
      <c r="AM171" s="14" t="s">
        <v>403</v>
      </c>
      <c r="AN171" s="14" t="s">
        <v>563</v>
      </c>
      <c r="AO171" s="14" t="s">
        <v>84</v>
      </c>
      <c r="AP171" s="14" t="s">
        <v>564</v>
      </c>
      <c r="AQ171" s="16">
        <v>0.0</v>
      </c>
      <c r="AR171" s="14" t="s">
        <v>196</v>
      </c>
    </row>
    <row r="172" ht="15.75" customHeight="1">
      <c r="A172" s="3" t="s">
        <v>39</v>
      </c>
      <c r="B172" s="3" t="s">
        <v>44</v>
      </c>
      <c r="C172" s="3" t="s">
        <v>102</v>
      </c>
      <c r="D172" s="3" t="s">
        <v>132</v>
      </c>
      <c r="E172" s="3" t="s">
        <v>164</v>
      </c>
      <c r="F172" s="3" t="s">
        <v>219</v>
      </c>
      <c r="G172" s="3" t="s">
        <v>69</v>
      </c>
      <c r="H172" s="3" t="s">
        <v>69</v>
      </c>
      <c r="I172" s="19" t="s">
        <v>122</v>
      </c>
      <c r="J172" s="3" t="s">
        <v>71</v>
      </c>
      <c r="K172" s="20">
        <v>3.0</v>
      </c>
      <c r="L172" s="20"/>
      <c r="M172" s="3"/>
      <c r="N172" s="3"/>
      <c r="O172" s="21"/>
      <c r="P172" s="3">
        <v>490.0</v>
      </c>
      <c r="Q172" s="3" t="s">
        <v>74</v>
      </c>
      <c r="R172" s="3" t="s">
        <v>75</v>
      </c>
      <c r="S172" s="3" t="s">
        <v>142</v>
      </c>
      <c r="T172" s="3" t="s">
        <v>39</v>
      </c>
      <c r="U172" s="3" t="s">
        <v>90</v>
      </c>
      <c r="V172" s="3" t="s">
        <v>220</v>
      </c>
      <c r="W172" s="3">
        <v>2.0</v>
      </c>
      <c r="X172" s="3">
        <v>2.0</v>
      </c>
      <c r="Y172" s="3">
        <v>4.0</v>
      </c>
      <c r="Z172" s="3">
        <v>3.0</v>
      </c>
      <c r="AA172" s="3">
        <v>2.0</v>
      </c>
      <c r="AB172" s="3">
        <v>0.0</v>
      </c>
      <c r="AC172" s="22">
        <v>2.3</v>
      </c>
      <c r="AD172" s="3"/>
      <c r="AE172" s="3" t="s">
        <v>122</v>
      </c>
      <c r="AF172" s="14"/>
      <c r="AG172" s="15"/>
      <c r="AH172" s="14"/>
      <c r="AI172" s="14"/>
      <c r="AJ172" s="15"/>
      <c r="AK172" s="14"/>
      <c r="AL172" s="14"/>
      <c r="AM172" s="14" t="s">
        <v>220</v>
      </c>
      <c r="AN172" s="14" t="s">
        <v>171</v>
      </c>
      <c r="AO172" s="14" t="s">
        <v>84</v>
      </c>
      <c r="AP172" s="14" t="s">
        <v>172</v>
      </c>
      <c r="AQ172" s="16">
        <v>0.0</v>
      </c>
      <c r="AR172" s="14" t="s">
        <v>196</v>
      </c>
    </row>
    <row r="173" ht="15.75" customHeight="1">
      <c r="A173" s="3" t="s">
        <v>39</v>
      </c>
      <c r="B173" s="3" t="s">
        <v>44</v>
      </c>
      <c r="C173" s="3" t="s">
        <v>102</v>
      </c>
      <c r="D173" s="3" t="s">
        <v>251</v>
      </c>
      <c r="E173" s="3" t="s">
        <v>186</v>
      </c>
      <c r="F173" s="3" t="s">
        <v>219</v>
      </c>
      <c r="G173" s="3" t="s">
        <v>69</v>
      </c>
      <c r="H173" s="3" t="s">
        <v>69</v>
      </c>
      <c r="I173" s="19" t="s">
        <v>122</v>
      </c>
      <c r="J173" s="3" t="s">
        <v>71</v>
      </c>
      <c r="K173" s="20">
        <v>3.0</v>
      </c>
      <c r="L173" s="20"/>
      <c r="M173" s="3"/>
      <c r="N173" s="3"/>
      <c r="O173" s="21"/>
      <c r="P173" s="3">
        <v>360.0</v>
      </c>
      <c r="Q173" s="3" t="s">
        <v>140</v>
      </c>
      <c r="R173" s="3" t="s">
        <v>75</v>
      </c>
      <c r="S173" s="3" t="s">
        <v>142</v>
      </c>
      <c r="T173" s="3" t="s">
        <v>39</v>
      </c>
      <c r="U173" s="3" t="s">
        <v>90</v>
      </c>
      <c r="V173" s="3" t="s">
        <v>220</v>
      </c>
      <c r="W173" s="3">
        <v>2.0</v>
      </c>
      <c r="X173" s="3">
        <v>3.0</v>
      </c>
      <c r="Y173" s="3">
        <v>4.0</v>
      </c>
      <c r="Z173" s="3">
        <v>3.0</v>
      </c>
      <c r="AA173" s="3">
        <v>2.0</v>
      </c>
      <c r="AB173" s="3">
        <v>0.0</v>
      </c>
      <c r="AC173" s="22">
        <v>2.5</v>
      </c>
      <c r="AD173" s="3"/>
      <c r="AE173" s="3" t="s">
        <v>122</v>
      </c>
      <c r="AF173" s="14"/>
      <c r="AG173" s="15"/>
      <c r="AH173" s="14"/>
      <c r="AI173" s="14"/>
      <c r="AJ173" s="15"/>
      <c r="AK173" s="14"/>
      <c r="AL173" s="14"/>
      <c r="AM173" s="14" t="s">
        <v>220</v>
      </c>
      <c r="AN173" s="14" t="s">
        <v>287</v>
      </c>
      <c r="AO173" s="14" t="s">
        <v>84</v>
      </c>
      <c r="AP173" s="14" t="s">
        <v>288</v>
      </c>
      <c r="AQ173" s="16">
        <v>0.0</v>
      </c>
      <c r="AR173" s="14" t="s">
        <v>196</v>
      </c>
    </row>
    <row r="174" ht="15.75" customHeight="1">
      <c r="A174" s="3" t="s">
        <v>39</v>
      </c>
      <c r="B174" s="3" t="s">
        <v>44</v>
      </c>
      <c r="C174" s="3" t="s">
        <v>102</v>
      </c>
      <c r="D174" s="3" t="s">
        <v>141</v>
      </c>
      <c r="E174" s="3" t="s">
        <v>138</v>
      </c>
      <c r="F174" s="3" t="s">
        <v>219</v>
      </c>
      <c r="G174" s="3" t="s">
        <v>69</v>
      </c>
      <c r="H174" s="3" t="s">
        <v>69</v>
      </c>
      <c r="I174" s="19" t="s">
        <v>122</v>
      </c>
      <c r="J174" s="3" t="s">
        <v>71</v>
      </c>
      <c r="K174" s="20">
        <v>3.0</v>
      </c>
      <c r="L174" s="20"/>
      <c r="M174" s="3"/>
      <c r="N174" s="3"/>
      <c r="O174" s="21"/>
      <c r="P174" s="3">
        <v>300.0</v>
      </c>
      <c r="Q174" s="3" t="s">
        <v>140</v>
      </c>
      <c r="R174" s="3" t="s">
        <v>75</v>
      </c>
      <c r="S174" s="3" t="s">
        <v>142</v>
      </c>
      <c r="T174" s="3" t="s">
        <v>39</v>
      </c>
      <c r="U174" s="3" t="s">
        <v>90</v>
      </c>
      <c r="V174" s="3" t="s">
        <v>220</v>
      </c>
      <c r="W174" s="3">
        <v>2.0</v>
      </c>
      <c r="X174" s="3">
        <v>4.0</v>
      </c>
      <c r="Y174" s="3">
        <v>4.0</v>
      </c>
      <c r="Z174" s="3">
        <v>3.0</v>
      </c>
      <c r="AA174" s="3">
        <v>2.0</v>
      </c>
      <c r="AB174" s="3">
        <v>0.0</v>
      </c>
      <c r="AC174" s="22">
        <v>2.6</v>
      </c>
      <c r="AD174" s="3"/>
      <c r="AE174" s="3" t="s">
        <v>122</v>
      </c>
      <c r="AF174" s="14"/>
      <c r="AG174" s="15"/>
      <c r="AH174" s="14"/>
      <c r="AI174" s="14"/>
      <c r="AJ174" s="15"/>
      <c r="AK174" s="14"/>
      <c r="AL174" s="14"/>
      <c r="AM174" s="14" t="s">
        <v>220</v>
      </c>
      <c r="AN174" s="14" t="s">
        <v>179</v>
      </c>
      <c r="AO174" s="14" t="s">
        <v>84</v>
      </c>
      <c r="AP174" s="14" t="s">
        <v>180</v>
      </c>
      <c r="AQ174" s="16">
        <v>0.0</v>
      </c>
      <c r="AR174" s="14" t="s">
        <v>196</v>
      </c>
    </row>
    <row r="175" ht="15.75" customHeight="1">
      <c r="A175" s="3" t="s">
        <v>39</v>
      </c>
      <c r="B175" s="3" t="s">
        <v>44</v>
      </c>
      <c r="C175" s="3" t="s">
        <v>102</v>
      </c>
      <c r="D175" s="3" t="s">
        <v>264</v>
      </c>
      <c r="E175" s="3" t="s">
        <v>181</v>
      </c>
      <c r="F175" s="3" t="s">
        <v>219</v>
      </c>
      <c r="G175" s="3" t="s">
        <v>69</v>
      </c>
      <c r="H175" s="3" t="s">
        <v>69</v>
      </c>
      <c r="I175" s="19" t="s">
        <v>122</v>
      </c>
      <c r="J175" s="3" t="s">
        <v>71</v>
      </c>
      <c r="K175" s="20">
        <v>3.0</v>
      </c>
      <c r="L175" s="20"/>
      <c r="M175" s="3"/>
      <c r="N175" s="3"/>
      <c r="O175" s="21"/>
      <c r="P175" s="3">
        <v>520.0</v>
      </c>
      <c r="Q175" s="3" t="s">
        <v>74</v>
      </c>
      <c r="R175" s="3" t="s">
        <v>75</v>
      </c>
      <c r="S175" s="3" t="s">
        <v>142</v>
      </c>
      <c r="T175" s="3" t="s">
        <v>39</v>
      </c>
      <c r="U175" s="3" t="s">
        <v>90</v>
      </c>
      <c r="V175" s="3" t="s">
        <v>220</v>
      </c>
      <c r="W175" s="3">
        <v>2.0</v>
      </c>
      <c r="X175" s="3">
        <v>2.0</v>
      </c>
      <c r="Y175" s="3">
        <v>4.0</v>
      </c>
      <c r="Z175" s="3">
        <v>3.0</v>
      </c>
      <c r="AA175" s="3">
        <v>2.0</v>
      </c>
      <c r="AB175" s="3">
        <v>0.0</v>
      </c>
      <c r="AC175" s="22">
        <v>2.3</v>
      </c>
      <c r="AD175" s="3"/>
      <c r="AE175" s="3" t="s">
        <v>122</v>
      </c>
      <c r="AF175" s="14"/>
      <c r="AG175" s="15"/>
      <c r="AH175" s="14"/>
      <c r="AI175" s="14"/>
      <c r="AJ175" s="15"/>
      <c r="AK175" s="14"/>
      <c r="AL175" s="14"/>
      <c r="AM175" s="14" t="s">
        <v>220</v>
      </c>
      <c r="AN175" s="14" t="s">
        <v>290</v>
      </c>
      <c r="AO175" s="14" t="s">
        <v>84</v>
      </c>
      <c r="AP175" s="14" t="s">
        <v>291</v>
      </c>
      <c r="AQ175" s="16">
        <v>0.0</v>
      </c>
      <c r="AR175" s="14" t="s">
        <v>196</v>
      </c>
    </row>
    <row r="176" ht="15.75" customHeight="1">
      <c r="A176" s="3" t="s">
        <v>39</v>
      </c>
      <c r="B176" s="3" t="s">
        <v>44</v>
      </c>
      <c r="C176" s="3" t="s">
        <v>102</v>
      </c>
      <c r="D176" s="3" t="s">
        <v>415</v>
      </c>
      <c r="E176" s="3" t="s">
        <v>68</v>
      </c>
      <c r="F176" s="3" t="s">
        <v>402</v>
      </c>
      <c r="G176" s="3" t="s">
        <v>69</v>
      </c>
      <c r="H176" s="3" t="s">
        <v>69</v>
      </c>
      <c r="I176" s="19" t="s">
        <v>122</v>
      </c>
      <c r="J176" s="3" t="s">
        <v>71</v>
      </c>
      <c r="K176" s="20">
        <v>3.0</v>
      </c>
      <c r="L176" s="20"/>
      <c r="M176" s="3"/>
      <c r="N176" s="3"/>
      <c r="O176" s="21"/>
      <c r="P176" s="3">
        <v>520.0</v>
      </c>
      <c r="Q176" s="3" t="s">
        <v>74</v>
      </c>
      <c r="R176" s="3" t="s">
        <v>75</v>
      </c>
      <c r="S176" s="3" t="s">
        <v>76</v>
      </c>
      <c r="T176" s="3" t="s">
        <v>39</v>
      </c>
      <c r="U176" s="3" t="s">
        <v>59</v>
      </c>
      <c r="V176" s="3" t="s">
        <v>403</v>
      </c>
      <c r="W176" s="3">
        <v>2.0</v>
      </c>
      <c r="X176" s="3">
        <v>2.0</v>
      </c>
      <c r="Y176" s="3">
        <v>4.0</v>
      </c>
      <c r="Z176" s="3">
        <v>3.0</v>
      </c>
      <c r="AA176" s="3">
        <v>4.0</v>
      </c>
      <c r="AB176" s="3">
        <v>0.0</v>
      </c>
      <c r="AC176" s="22">
        <v>2.5</v>
      </c>
      <c r="AD176" s="3"/>
      <c r="AE176" s="3" t="s">
        <v>122</v>
      </c>
      <c r="AF176" s="14"/>
      <c r="AG176" s="15"/>
      <c r="AH176" s="14"/>
      <c r="AI176" s="14"/>
      <c r="AJ176" s="15"/>
      <c r="AK176" s="14"/>
      <c r="AL176" s="14"/>
      <c r="AM176" s="14" t="s">
        <v>403</v>
      </c>
      <c r="AN176" s="14" t="s">
        <v>565</v>
      </c>
      <c r="AO176" s="14" t="s">
        <v>84</v>
      </c>
      <c r="AP176" s="14" t="s">
        <v>566</v>
      </c>
      <c r="AQ176" s="16">
        <v>0.0</v>
      </c>
      <c r="AR176" s="14" t="s">
        <v>196</v>
      </c>
    </row>
    <row r="177" ht="15.75" customHeight="1">
      <c r="A177" s="3" t="s">
        <v>39</v>
      </c>
      <c r="B177" s="3" t="s">
        <v>44</v>
      </c>
      <c r="C177" s="3" t="s">
        <v>102</v>
      </c>
      <c r="D177" s="3" t="s">
        <v>418</v>
      </c>
      <c r="E177" s="3" t="s">
        <v>202</v>
      </c>
      <c r="F177" s="3" t="s">
        <v>219</v>
      </c>
      <c r="G177" s="3" t="s">
        <v>69</v>
      </c>
      <c r="H177" s="3" t="s">
        <v>69</v>
      </c>
      <c r="I177" s="19" t="s">
        <v>122</v>
      </c>
      <c r="J177" s="3" t="s">
        <v>71</v>
      </c>
      <c r="K177" s="20">
        <v>3.0</v>
      </c>
      <c r="L177" s="20"/>
      <c r="M177" s="3"/>
      <c r="N177" s="3"/>
      <c r="O177" s="21"/>
      <c r="P177" s="3">
        <v>500.0</v>
      </c>
      <c r="Q177" s="3" t="s">
        <v>74</v>
      </c>
      <c r="R177" s="3" t="s">
        <v>75</v>
      </c>
      <c r="S177" s="3" t="s">
        <v>142</v>
      </c>
      <c r="T177" s="3" t="s">
        <v>39</v>
      </c>
      <c r="U177" s="3" t="s">
        <v>90</v>
      </c>
      <c r="V177" s="3" t="s">
        <v>220</v>
      </c>
      <c r="W177" s="3">
        <v>2.0</v>
      </c>
      <c r="X177" s="3">
        <v>2.0</v>
      </c>
      <c r="Y177" s="3">
        <v>4.0</v>
      </c>
      <c r="Z177" s="3">
        <v>3.0</v>
      </c>
      <c r="AA177" s="3">
        <v>2.0</v>
      </c>
      <c r="AB177" s="3">
        <v>0.0</v>
      </c>
      <c r="AC177" s="22">
        <v>2.3</v>
      </c>
      <c r="AD177" s="3"/>
      <c r="AE177" s="3" t="s">
        <v>122</v>
      </c>
      <c r="AF177" s="14"/>
      <c r="AG177" s="15"/>
      <c r="AH177" s="14"/>
      <c r="AI177" s="14"/>
      <c r="AJ177" s="15"/>
      <c r="AK177" s="14"/>
      <c r="AL177" s="14"/>
      <c r="AM177" s="14" t="s">
        <v>220</v>
      </c>
      <c r="AN177" s="14" t="s">
        <v>567</v>
      </c>
      <c r="AO177" s="14" t="s">
        <v>84</v>
      </c>
      <c r="AP177" s="14" t="s">
        <v>568</v>
      </c>
      <c r="AQ177" s="16">
        <v>0.0</v>
      </c>
      <c r="AR177" s="14" t="s">
        <v>196</v>
      </c>
    </row>
    <row r="178" ht="15.75" customHeight="1">
      <c r="A178" s="3" t="s">
        <v>39</v>
      </c>
      <c r="B178" s="3" t="s">
        <v>44</v>
      </c>
      <c r="C178" s="3" t="s">
        <v>102</v>
      </c>
      <c r="D178" s="3" t="s">
        <v>418</v>
      </c>
      <c r="E178" s="3" t="s">
        <v>202</v>
      </c>
      <c r="F178" s="3" t="s">
        <v>224</v>
      </c>
      <c r="G178" s="3" t="s">
        <v>69</v>
      </c>
      <c r="H178" s="3" t="s">
        <v>69</v>
      </c>
      <c r="I178" s="19" t="s">
        <v>122</v>
      </c>
      <c r="J178" s="3" t="s">
        <v>71</v>
      </c>
      <c r="K178" s="20">
        <v>3.0</v>
      </c>
      <c r="L178" s="20"/>
      <c r="M178" s="3"/>
      <c r="N178" s="3"/>
      <c r="O178" s="21"/>
      <c r="P178" s="3">
        <v>500.0</v>
      </c>
      <c r="Q178" s="3" t="s">
        <v>74</v>
      </c>
      <c r="R178" s="3" t="s">
        <v>75</v>
      </c>
      <c r="S178" s="3" t="s">
        <v>142</v>
      </c>
      <c r="T178" s="3" t="s">
        <v>39</v>
      </c>
      <c r="U178" s="3" t="s">
        <v>90</v>
      </c>
      <c r="V178" s="3" t="s">
        <v>225</v>
      </c>
      <c r="W178" s="3">
        <v>2.0</v>
      </c>
      <c r="X178" s="3">
        <v>2.0</v>
      </c>
      <c r="Y178" s="3">
        <v>4.0</v>
      </c>
      <c r="Z178" s="3">
        <v>3.0</v>
      </c>
      <c r="AA178" s="3">
        <v>2.0</v>
      </c>
      <c r="AB178" s="3">
        <v>0.0</v>
      </c>
      <c r="AC178" s="22">
        <v>2.3</v>
      </c>
      <c r="AD178" s="3"/>
      <c r="AE178" s="3" t="s">
        <v>122</v>
      </c>
      <c r="AF178" s="14"/>
      <c r="AG178" s="15"/>
      <c r="AH178" s="14"/>
      <c r="AI178" s="14"/>
      <c r="AJ178" s="15"/>
      <c r="AK178" s="14"/>
      <c r="AL178" s="14"/>
      <c r="AM178" s="14" t="s">
        <v>225</v>
      </c>
      <c r="AN178" s="14" t="s">
        <v>567</v>
      </c>
      <c r="AO178" s="14" t="s">
        <v>84</v>
      </c>
      <c r="AP178" s="14" t="s">
        <v>568</v>
      </c>
      <c r="AQ178" s="16">
        <v>0.0</v>
      </c>
      <c r="AR178" s="14" t="s">
        <v>196</v>
      </c>
    </row>
    <row r="179" ht="15.75" customHeight="1">
      <c r="A179" s="3" t="s">
        <v>39</v>
      </c>
      <c r="B179" s="3" t="s">
        <v>44</v>
      </c>
      <c r="C179" s="3" t="s">
        <v>102</v>
      </c>
      <c r="D179" s="3" t="s">
        <v>80</v>
      </c>
      <c r="E179" s="3" t="s">
        <v>68</v>
      </c>
      <c r="F179" s="3" t="s">
        <v>402</v>
      </c>
      <c r="G179" s="3" t="s">
        <v>69</v>
      </c>
      <c r="H179" s="3" t="s">
        <v>69</v>
      </c>
      <c r="I179" s="19" t="s">
        <v>122</v>
      </c>
      <c r="J179" s="3" t="s">
        <v>71</v>
      </c>
      <c r="K179" s="20">
        <v>3.0</v>
      </c>
      <c r="L179" s="20"/>
      <c r="M179" s="3"/>
      <c r="N179" s="3"/>
      <c r="O179" s="21"/>
      <c r="P179" s="3">
        <v>520.0</v>
      </c>
      <c r="Q179" s="3" t="s">
        <v>74</v>
      </c>
      <c r="R179" s="3" t="s">
        <v>75</v>
      </c>
      <c r="S179" s="3" t="s">
        <v>76</v>
      </c>
      <c r="T179" s="3" t="s">
        <v>39</v>
      </c>
      <c r="U179" s="3" t="s">
        <v>59</v>
      </c>
      <c r="V179" s="3" t="s">
        <v>403</v>
      </c>
      <c r="W179" s="3">
        <v>2.0</v>
      </c>
      <c r="X179" s="3">
        <v>2.0</v>
      </c>
      <c r="Y179" s="3">
        <v>4.0</v>
      </c>
      <c r="Z179" s="3">
        <v>3.0</v>
      </c>
      <c r="AA179" s="3">
        <v>4.0</v>
      </c>
      <c r="AB179" s="3">
        <v>0.0</v>
      </c>
      <c r="AC179" s="22">
        <v>2.5</v>
      </c>
      <c r="AD179" s="3"/>
      <c r="AE179" s="3" t="s">
        <v>122</v>
      </c>
      <c r="AF179" s="14"/>
      <c r="AG179" s="15"/>
      <c r="AH179" s="14"/>
      <c r="AI179" s="14"/>
      <c r="AJ179" s="15"/>
      <c r="AK179" s="14"/>
      <c r="AL179" s="14"/>
      <c r="AM179" s="14" t="s">
        <v>403</v>
      </c>
      <c r="AN179" s="14" t="s">
        <v>112</v>
      </c>
      <c r="AO179" s="14" t="s">
        <v>84</v>
      </c>
      <c r="AP179" s="14" t="s">
        <v>115</v>
      </c>
      <c r="AQ179" s="16">
        <v>0.0</v>
      </c>
      <c r="AR179" s="14" t="s">
        <v>196</v>
      </c>
    </row>
    <row r="180" ht="15.75" customHeight="1">
      <c r="A180" s="3" t="s">
        <v>39</v>
      </c>
      <c r="B180" s="3" t="s">
        <v>44</v>
      </c>
      <c r="C180" s="3" t="s">
        <v>102</v>
      </c>
      <c r="D180" s="3" t="s">
        <v>149</v>
      </c>
      <c r="E180" s="3" t="s">
        <v>181</v>
      </c>
      <c r="F180" s="3" t="s">
        <v>219</v>
      </c>
      <c r="G180" s="3" t="s">
        <v>69</v>
      </c>
      <c r="H180" s="3" t="s">
        <v>69</v>
      </c>
      <c r="I180" s="19" t="s">
        <v>122</v>
      </c>
      <c r="J180" s="3" t="s">
        <v>71</v>
      </c>
      <c r="K180" s="20">
        <v>3.0</v>
      </c>
      <c r="L180" s="20"/>
      <c r="M180" s="3"/>
      <c r="N180" s="3"/>
      <c r="O180" s="21"/>
      <c r="P180" s="3">
        <v>520.0</v>
      </c>
      <c r="Q180" s="3" t="s">
        <v>74</v>
      </c>
      <c r="R180" s="3" t="s">
        <v>75</v>
      </c>
      <c r="S180" s="3" t="s">
        <v>142</v>
      </c>
      <c r="T180" s="3" t="s">
        <v>39</v>
      </c>
      <c r="U180" s="3" t="s">
        <v>90</v>
      </c>
      <c r="V180" s="3" t="s">
        <v>220</v>
      </c>
      <c r="W180" s="3">
        <v>2.0</v>
      </c>
      <c r="X180" s="3">
        <v>2.0</v>
      </c>
      <c r="Y180" s="3">
        <v>4.0</v>
      </c>
      <c r="Z180" s="3">
        <v>3.0</v>
      </c>
      <c r="AA180" s="3">
        <v>2.0</v>
      </c>
      <c r="AB180" s="3">
        <v>0.0</v>
      </c>
      <c r="AC180" s="22">
        <v>2.3</v>
      </c>
      <c r="AD180" s="3"/>
      <c r="AE180" s="3" t="s">
        <v>122</v>
      </c>
      <c r="AF180" s="14"/>
      <c r="AG180" s="15"/>
      <c r="AH180" s="14"/>
      <c r="AI180" s="14"/>
      <c r="AJ180" s="15"/>
      <c r="AK180" s="14"/>
      <c r="AL180" s="14"/>
      <c r="AM180" s="14" t="s">
        <v>220</v>
      </c>
      <c r="AN180" s="14" t="s">
        <v>183</v>
      </c>
      <c r="AO180" s="14" t="s">
        <v>84</v>
      </c>
      <c r="AP180" s="14" t="s">
        <v>185</v>
      </c>
      <c r="AQ180" s="16">
        <v>0.0</v>
      </c>
      <c r="AR180" s="14" t="s">
        <v>196</v>
      </c>
    </row>
    <row r="181" ht="15.75" customHeight="1">
      <c r="A181" s="3" t="s">
        <v>39</v>
      </c>
      <c r="B181" s="3" t="s">
        <v>44</v>
      </c>
      <c r="C181" s="3" t="s">
        <v>102</v>
      </c>
      <c r="D181" s="3" t="s">
        <v>149</v>
      </c>
      <c r="E181" s="3" t="s">
        <v>181</v>
      </c>
      <c r="F181" s="3" t="s">
        <v>224</v>
      </c>
      <c r="G181" s="3" t="s">
        <v>69</v>
      </c>
      <c r="H181" s="3" t="s">
        <v>69</v>
      </c>
      <c r="I181" s="19" t="s">
        <v>122</v>
      </c>
      <c r="J181" s="3" t="s">
        <v>71</v>
      </c>
      <c r="K181" s="20">
        <v>3.0</v>
      </c>
      <c r="L181" s="20"/>
      <c r="M181" s="3"/>
      <c r="N181" s="3"/>
      <c r="O181" s="21"/>
      <c r="P181" s="3">
        <v>520.0</v>
      </c>
      <c r="Q181" s="3" t="s">
        <v>74</v>
      </c>
      <c r="R181" s="3" t="s">
        <v>75</v>
      </c>
      <c r="S181" s="3" t="s">
        <v>142</v>
      </c>
      <c r="T181" s="3" t="s">
        <v>39</v>
      </c>
      <c r="U181" s="3" t="s">
        <v>90</v>
      </c>
      <c r="V181" s="3" t="s">
        <v>225</v>
      </c>
      <c r="W181" s="3">
        <v>2.0</v>
      </c>
      <c r="X181" s="3">
        <v>2.0</v>
      </c>
      <c r="Y181" s="3">
        <v>4.0</v>
      </c>
      <c r="Z181" s="3">
        <v>3.0</v>
      </c>
      <c r="AA181" s="3">
        <v>2.0</v>
      </c>
      <c r="AB181" s="3">
        <v>0.0</v>
      </c>
      <c r="AC181" s="22">
        <v>2.3</v>
      </c>
      <c r="AD181" s="3"/>
      <c r="AE181" s="3" t="s">
        <v>122</v>
      </c>
      <c r="AF181" s="14"/>
      <c r="AG181" s="15"/>
      <c r="AH181" s="14"/>
      <c r="AI181" s="14"/>
      <c r="AJ181" s="15"/>
      <c r="AK181" s="14"/>
      <c r="AL181" s="14"/>
      <c r="AM181" s="14" t="s">
        <v>225</v>
      </c>
      <c r="AN181" s="14" t="s">
        <v>183</v>
      </c>
      <c r="AO181" s="14" t="s">
        <v>84</v>
      </c>
      <c r="AP181" s="14" t="s">
        <v>185</v>
      </c>
      <c r="AQ181" s="16">
        <v>0.0</v>
      </c>
      <c r="AR181" s="14" t="s">
        <v>196</v>
      </c>
    </row>
    <row r="182" ht="15.75" customHeight="1">
      <c r="A182" s="3" t="s">
        <v>39</v>
      </c>
      <c r="B182" s="3" t="s">
        <v>44</v>
      </c>
      <c r="C182" s="3" t="s">
        <v>102</v>
      </c>
      <c r="D182" s="3" t="s">
        <v>154</v>
      </c>
      <c r="E182" s="3" t="s">
        <v>186</v>
      </c>
      <c r="F182" s="3" t="s">
        <v>224</v>
      </c>
      <c r="G182" s="3" t="s">
        <v>69</v>
      </c>
      <c r="H182" s="3" t="s">
        <v>69</v>
      </c>
      <c r="I182" s="19" t="s">
        <v>122</v>
      </c>
      <c r="J182" s="3" t="s">
        <v>71</v>
      </c>
      <c r="K182" s="20">
        <v>3.0</v>
      </c>
      <c r="L182" s="20"/>
      <c r="M182" s="3"/>
      <c r="N182" s="3"/>
      <c r="O182" s="21"/>
      <c r="P182" s="3">
        <v>360.0</v>
      </c>
      <c r="Q182" s="3" t="s">
        <v>140</v>
      </c>
      <c r="R182" s="3" t="s">
        <v>75</v>
      </c>
      <c r="S182" s="3" t="s">
        <v>142</v>
      </c>
      <c r="T182" s="3" t="s">
        <v>39</v>
      </c>
      <c r="U182" s="3" t="s">
        <v>90</v>
      </c>
      <c r="V182" s="3" t="s">
        <v>225</v>
      </c>
      <c r="W182" s="3">
        <v>2.0</v>
      </c>
      <c r="X182" s="3">
        <v>3.0</v>
      </c>
      <c r="Y182" s="3">
        <v>4.0</v>
      </c>
      <c r="Z182" s="3">
        <v>3.0</v>
      </c>
      <c r="AA182" s="3">
        <v>2.0</v>
      </c>
      <c r="AB182" s="3">
        <v>0.0</v>
      </c>
      <c r="AC182" s="22">
        <v>2.5</v>
      </c>
      <c r="AD182" s="3"/>
      <c r="AE182" s="3" t="s">
        <v>122</v>
      </c>
      <c r="AF182" s="14"/>
      <c r="AG182" s="15"/>
      <c r="AH182" s="14"/>
      <c r="AI182" s="14"/>
      <c r="AJ182" s="15"/>
      <c r="AK182" s="14"/>
      <c r="AL182" s="14"/>
      <c r="AM182" s="14" t="s">
        <v>225</v>
      </c>
      <c r="AN182" s="14" t="s">
        <v>188</v>
      </c>
      <c r="AO182" s="14" t="s">
        <v>84</v>
      </c>
      <c r="AP182" s="14" t="s">
        <v>189</v>
      </c>
      <c r="AQ182" s="16">
        <v>0.0</v>
      </c>
      <c r="AR182" s="14" t="s">
        <v>196</v>
      </c>
    </row>
    <row r="183" ht="15.75" customHeight="1">
      <c r="A183" s="3" t="s">
        <v>39</v>
      </c>
      <c r="B183" s="3" t="s">
        <v>44</v>
      </c>
      <c r="C183" s="3" t="s">
        <v>102</v>
      </c>
      <c r="D183" s="3" t="s">
        <v>133</v>
      </c>
      <c r="E183" s="3" t="s">
        <v>106</v>
      </c>
      <c r="F183" s="3" t="s">
        <v>219</v>
      </c>
      <c r="G183" s="3" t="s">
        <v>69</v>
      </c>
      <c r="H183" s="3" t="s">
        <v>69</v>
      </c>
      <c r="I183" s="19" t="s">
        <v>122</v>
      </c>
      <c r="J183" s="3" t="s">
        <v>71</v>
      </c>
      <c r="K183" s="20">
        <v>3.0</v>
      </c>
      <c r="L183" s="20"/>
      <c r="M183" s="3"/>
      <c r="N183" s="3"/>
      <c r="O183" s="21"/>
      <c r="P183" s="3">
        <v>130.0</v>
      </c>
      <c r="Q183" s="3" t="s">
        <v>121</v>
      </c>
      <c r="R183" s="3" t="s">
        <v>75</v>
      </c>
      <c r="S183" s="3" t="s">
        <v>76</v>
      </c>
      <c r="T183" s="3" t="s">
        <v>39</v>
      </c>
      <c r="U183" s="3" t="s">
        <v>90</v>
      </c>
      <c r="V183" s="3" t="s">
        <v>220</v>
      </c>
      <c r="W183" s="3">
        <v>2.0</v>
      </c>
      <c r="X183" s="3">
        <v>5.0</v>
      </c>
      <c r="Y183" s="3">
        <v>4.0</v>
      </c>
      <c r="Z183" s="3">
        <v>3.0</v>
      </c>
      <c r="AA183" s="3">
        <v>4.0</v>
      </c>
      <c r="AB183" s="3">
        <v>0.0</v>
      </c>
      <c r="AC183" s="22">
        <v>2.9</v>
      </c>
      <c r="AD183" s="3"/>
      <c r="AE183" s="3" t="s">
        <v>122</v>
      </c>
      <c r="AF183" s="14"/>
      <c r="AG183" s="15"/>
      <c r="AH183" s="14"/>
      <c r="AI183" s="14"/>
      <c r="AJ183" s="15"/>
      <c r="AK183" s="14"/>
      <c r="AL183" s="14"/>
      <c r="AM183" s="14" t="s">
        <v>220</v>
      </c>
      <c r="AN183" s="14" t="s">
        <v>194</v>
      </c>
      <c r="AO183" s="14" t="s">
        <v>84</v>
      </c>
      <c r="AP183" s="14" t="s">
        <v>195</v>
      </c>
      <c r="AQ183" s="16">
        <v>0.0</v>
      </c>
      <c r="AR183" s="14" t="s">
        <v>196</v>
      </c>
    </row>
    <row r="184" ht="15.75" customHeight="1">
      <c r="A184" s="3" t="s">
        <v>39</v>
      </c>
      <c r="B184" s="3" t="s">
        <v>44</v>
      </c>
      <c r="C184" s="3" t="s">
        <v>102</v>
      </c>
      <c r="D184" s="3" t="s">
        <v>133</v>
      </c>
      <c r="E184" s="3" t="s">
        <v>106</v>
      </c>
      <c r="F184" s="3" t="s">
        <v>224</v>
      </c>
      <c r="G184" s="3" t="s">
        <v>69</v>
      </c>
      <c r="H184" s="3" t="s">
        <v>69</v>
      </c>
      <c r="I184" s="19" t="s">
        <v>122</v>
      </c>
      <c r="J184" s="3" t="s">
        <v>71</v>
      </c>
      <c r="K184" s="20">
        <v>3.0</v>
      </c>
      <c r="L184" s="20"/>
      <c r="M184" s="3"/>
      <c r="N184" s="3"/>
      <c r="O184" s="21"/>
      <c r="P184" s="3">
        <v>130.0</v>
      </c>
      <c r="Q184" s="3" t="s">
        <v>121</v>
      </c>
      <c r="R184" s="3" t="s">
        <v>75</v>
      </c>
      <c r="S184" s="3" t="s">
        <v>76</v>
      </c>
      <c r="T184" s="3" t="s">
        <v>39</v>
      </c>
      <c r="U184" s="3" t="s">
        <v>90</v>
      </c>
      <c r="V184" s="3" t="s">
        <v>225</v>
      </c>
      <c r="W184" s="3">
        <v>2.0</v>
      </c>
      <c r="X184" s="3">
        <v>5.0</v>
      </c>
      <c r="Y184" s="3">
        <v>4.0</v>
      </c>
      <c r="Z184" s="3">
        <v>3.0</v>
      </c>
      <c r="AA184" s="3">
        <v>4.0</v>
      </c>
      <c r="AB184" s="3">
        <v>0.0</v>
      </c>
      <c r="AC184" s="22">
        <v>2.9</v>
      </c>
      <c r="AD184" s="3"/>
      <c r="AE184" s="3" t="s">
        <v>122</v>
      </c>
      <c r="AF184" s="14"/>
      <c r="AG184" s="15"/>
      <c r="AH184" s="14"/>
      <c r="AI184" s="14"/>
      <c r="AJ184" s="15"/>
      <c r="AK184" s="14"/>
      <c r="AL184" s="14"/>
      <c r="AM184" s="14" t="s">
        <v>225</v>
      </c>
      <c r="AN184" s="14" t="s">
        <v>194</v>
      </c>
      <c r="AO184" s="14" t="s">
        <v>84</v>
      </c>
      <c r="AP184" s="14" t="s">
        <v>195</v>
      </c>
      <c r="AQ184" s="16">
        <v>0.0</v>
      </c>
      <c r="AR184" s="14" t="s">
        <v>196</v>
      </c>
    </row>
    <row r="185" ht="15.75" customHeight="1">
      <c r="A185" s="3" t="s">
        <v>39</v>
      </c>
      <c r="B185" s="3" t="s">
        <v>44</v>
      </c>
      <c r="C185" s="3" t="s">
        <v>102</v>
      </c>
      <c r="D185" s="3" t="s">
        <v>169</v>
      </c>
      <c r="E185" s="3" t="s">
        <v>181</v>
      </c>
      <c r="F185" s="3" t="s">
        <v>224</v>
      </c>
      <c r="G185" s="3" t="s">
        <v>69</v>
      </c>
      <c r="H185" s="3" t="s">
        <v>69</v>
      </c>
      <c r="I185" s="19" t="s">
        <v>122</v>
      </c>
      <c r="J185" s="3" t="s">
        <v>71</v>
      </c>
      <c r="K185" s="20">
        <v>3.0</v>
      </c>
      <c r="L185" s="20"/>
      <c r="M185" s="3"/>
      <c r="N185" s="3"/>
      <c r="O185" s="21"/>
      <c r="P185" s="3">
        <v>520.0</v>
      </c>
      <c r="Q185" s="3" t="s">
        <v>74</v>
      </c>
      <c r="R185" s="3" t="s">
        <v>75</v>
      </c>
      <c r="S185" s="3" t="s">
        <v>142</v>
      </c>
      <c r="T185" s="3" t="s">
        <v>39</v>
      </c>
      <c r="U185" s="3" t="s">
        <v>90</v>
      </c>
      <c r="V185" s="3" t="s">
        <v>225</v>
      </c>
      <c r="W185" s="3">
        <v>2.0</v>
      </c>
      <c r="X185" s="3">
        <v>2.0</v>
      </c>
      <c r="Y185" s="3">
        <v>4.0</v>
      </c>
      <c r="Z185" s="3">
        <v>3.0</v>
      </c>
      <c r="AA185" s="3">
        <v>2.0</v>
      </c>
      <c r="AB185" s="3">
        <v>0.0</v>
      </c>
      <c r="AC185" s="22">
        <v>2.3</v>
      </c>
      <c r="AD185" s="3"/>
      <c r="AE185" s="3" t="s">
        <v>122</v>
      </c>
      <c r="AF185" s="14"/>
      <c r="AG185" s="15"/>
      <c r="AH185" s="14"/>
      <c r="AI185" s="14"/>
      <c r="AJ185" s="15"/>
      <c r="AK185" s="14"/>
      <c r="AL185" s="14"/>
      <c r="AM185" s="14" t="s">
        <v>225</v>
      </c>
      <c r="AN185" s="14" t="s">
        <v>199</v>
      </c>
      <c r="AO185" s="14" t="s">
        <v>84</v>
      </c>
      <c r="AP185" s="14" t="s">
        <v>200</v>
      </c>
      <c r="AQ185" s="16">
        <v>0.0</v>
      </c>
      <c r="AR185" s="14" t="s">
        <v>196</v>
      </c>
    </row>
    <row r="186" ht="15.75" customHeight="1">
      <c r="A186" s="3" t="s">
        <v>39</v>
      </c>
      <c r="B186" s="3" t="s">
        <v>44</v>
      </c>
      <c r="C186" s="3" t="s">
        <v>102</v>
      </c>
      <c r="D186" s="3" t="s">
        <v>277</v>
      </c>
      <c r="E186" s="3" t="s">
        <v>181</v>
      </c>
      <c r="F186" s="3" t="s">
        <v>224</v>
      </c>
      <c r="G186" s="3" t="s">
        <v>69</v>
      </c>
      <c r="H186" s="3" t="s">
        <v>69</v>
      </c>
      <c r="I186" s="19" t="s">
        <v>122</v>
      </c>
      <c r="J186" s="3" t="s">
        <v>71</v>
      </c>
      <c r="K186" s="20">
        <v>3.0</v>
      </c>
      <c r="L186" s="20"/>
      <c r="M186" s="3"/>
      <c r="N186" s="3"/>
      <c r="O186" s="21"/>
      <c r="P186" s="3">
        <v>520.0</v>
      </c>
      <c r="Q186" s="3" t="s">
        <v>74</v>
      </c>
      <c r="R186" s="3" t="s">
        <v>75</v>
      </c>
      <c r="S186" s="3" t="s">
        <v>142</v>
      </c>
      <c r="T186" s="3" t="s">
        <v>39</v>
      </c>
      <c r="U186" s="3" t="s">
        <v>90</v>
      </c>
      <c r="V186" s="3" t="s">
        <v>225</v>
      </c>
      <c r="W186" s="3">
        <v>2.0</v>
      </c>
      <c r="X186" s="3">
        <v>2.0</v>
      </c>
      <c r="Y186" s="3">
        <v>4.0</v>
      </c>
      <c r="Z186" s="3">
        <v>3.0</v>
      </c>
      <c r="AA186" s="3">
        <v>2.0</v>
      </c>
      <c r="AB186" s="3">
        <v>0.0</v>
      </c>
      <c r="AC186" s="22">
        <v>2.3</v>
      </c>
      <c r="AD186" s="3"/>
      <c r="AE186" s="3" t="s">
        <v>122</v>
      </c>
      <c r="AF186" s="14"/>
      <c r="AG186" s="15"/>
      <c r="AH186" s="14"/>
      <c r="AI186" s="14"/>
      <c r="AJ186" s="15"/>
      <c r="AK186" s="14"/>
      <c r="AL186" s="14"/>
      <c r="AM186" s="14" t="s">
        <v>225</v>
      </c>
      <c r="AN186" s="14" t="s">
        <v>305</v>
      </c>
      <c r="AO186" s="14" t="s">
        <v>84</v>
      </c>
      <c r="AP186" s="14" t="s">
        <v>306</v>
      </c>
      <c r="AQ186" s="16">
        <v>0.0</v>
      </c>
      <c r="AR186" s="14" t="s">
        <v>196</v>
      </c>
    </row>
    <row r="187" ht="15.75" customHeight="1">
      <c r="A187" s="3" t="s">
        <v>39</v>
      </c>
      <c r="B187" s="3" t="s">
        <v>44</v>
      </c>
      <c r="C187" s="3" t="s">
        <v>102</v>
      </c>
      <c r="D187" s="3" t="s">
        <v>173</v>
      </c>
      <c r="E187" s="3" t="s">
        <v>202</v>
      </c>
      <c r="F187" s="3" t="s">
        <v>219</v>
      </c>
      <c r="G187" s="3" t="s">
        <v>69</v>
      </c>
      <c r="H187" s="3" t="s">
        <v>69</v>
      </c>
      <c r="I187" s="19" t="s">
        <v>122</v>
      </c>
      <c r="J187" s="3" t="s">
        <v>71</v>
      </c>
      <c r="K187" s="20">
        <v>3.0</v>
      </c>
      <c r="L187" s="20"/>
      <c r="M187" s="3"/>
      <c r="N187" s="3"/>
      <c r="O187" s="21"/>
      <c r="P187" s="3">
        <v>500.0</v>
      </c>
      <c r="Q187" s="3" t="s">
        <v>74</v>
      </c>
      <c r="R187" s="3" t="s">
        <v>75</v>
      </c>
      <c r="S187" s="3" t="s">
        <v>142</v>
      </c>
      <c r="T187" s="3" t="s">
        <v>39</v>
      </c>
      <c r="U187" s="3" t="s">
        <v>90</v>
      </c>
      <c r="V187" s="3" t="s">
        <v>220</v>
      </c>
      <c r="W187" s="3">
        <v>2.0</v>
      </c>
      <c r="X187" s="3">
        <v>2.0</v>
      </c>
      <c r="Y187" s="3">
        <v>4.0</v>
      </c>
      <c r="Z187" s="3">
        <v>3.0</v>
      </c>
      <c r="AA187" s="3">
        <v>2.0</v>
      </c>
      <c r="AB187" s="3">
        <v>0.0</v>
      </c>
      <c r="AC187" s="22">
        <v>2.3</v>
      </c>
      <c r="AD187" s="3"/>
      <c r="AE187" s="3" t="s">
        <v>122</v>
      </c>
      <c r="AF187" s="14"/>
      <c r="AG187" s="15"/>
      <c r="AH187" s="14"/>
      <c r="AI187" s="14"/>
      <c r="AJ187" s="15"/>
      <c r="AK187" s="14"/>
      <c r="AL187" s="14"/>
      <c r="AM187" s="14" t="s">
        <v>220</v>
      </c>
      <c r="AN187" s="14" t="s">
        <v>204</v>
      </c>
      <c r="AO187" s="14" t="s">
        <v>84</v>
      </c>
      <c r="AP187" s="14" t="s">
        <v>205</v>
      </c>
      <c r="AQ187" s="16">
        <v>0.0</v>
      </c>
      <c r="AR187" s="14" t="s">
        <v>196</v>
      </c>
    </row>
    <row r="188" ht="15.75" customHeight="1">
      <c r="A188" s="3" t="s">
        <v>39</v>
      </c>
      <c r="B188" s="3" t="s">
        <v>44</v>
      </c>
      <c r="C188" s="3" t="s">
        <v>102</v>
      </c>
      <c r="D188" s="3" t="s">
        <v>173</v>
      </c>
      <c r="E188" s="3" t="s">
        <v>202</v>
      </c>
      <c r="F188" s="3" t="s">
        <v>224</v>
      </c>
      <c r="G188" s="3" t="s">
        <v>69</v>
      </c>
      <c r="H188" s="3" t="s">
        <v>69</v>
      </c>
      <c r="I188" s="19" t="s">
        <v>122</v>
      </c>
      <c r="J188" s="3" t="s">
        <v>71</v>
      </c>
      <c r="K188" s="20">
        <v>3.0</v>
      </c>
      <c r="L188" s="20"/>
      <c r="M188" s="3"/>
      <c r="N188" s="3"/>
      <c r="O188" s="21"/>
      <c r="P188" s="3">
        <v>500.0</v>
      </c>
      <c r="Q188" s="3" t="s">
        <v>74</v>
      </c>
      <c r="R188" s="3" t="s">
        <v>75</v>
      </c>
      <c r="S188" s="3" t="s">
        <v>142</v>
      </c>
      <c r="T188" s="3" t="s">
        <v>39</v>
      </c>
      <c r="U188" s="3" t="s">
        <v>90</v>
      </c>
      <c r="V188" s="3" t="s">
        <v>225</v>
      </c>
      <c r="W188" s="3">
        <v>2.0</v>
      </c>
      <c r="X188" s="3">
        <v>2.0</v>
      </c>
      <c r="Y188" s="3">
        <v>4.0</v>
      </c>
      <c r="Z188" s="3">
        <v>3.0</v>
      </c>
      <c r="AA188" s="3">
        <v>2.0</v>
      </c>
      <c r="AB188" s="3">
        <v>0.0</v>
      </c>
      <c r="AC188" s="22">
        <v>2.3</v>
      </c>
      <c r="AD188" s="3"/>
      <c r="AE188" s="3" t="s">
        <v>122</v>
      </c>
      <c r="AF188" s="14"/>
      <c r="AG188" s="15"/>
      <c r="AH188" s="14"/>
      <c r="AI188" s="14"/>
      <c r="AJ188" s="15"/>
      <c r="AK188" s="14"/>
      <c r="AL188" s="14"/>
      <c r="AM188" s="14" t="s">
        <v>225</v>
      </c>
      <c r="AN188" s="14" t="s">
        <v>204</v>
      </c>
      <c r="AO188" s="14" t="s">
        <v>84</v>
      </c>
      <c r="AP188" s="14" t="s">
        <v>205</v>
      </c>
      <c r="AQ188" s="16">
        <v>0.0</v>
      </c>
      <c r="AR188" s="14" t="s">
        <v>196</v>
      </c>
    </row>
    <row r="189" ht="15.75" customHeight="1">
      <c r="A189" s="3" t="s">
        <v>39</v>
      </c>
      <c r="B189" s="3" t="s">
        <v>44</v>
      </c>
      <c r="C189" s="3" t="s">
        <v>102</v>
      </c>
      <c r="D189" s="3" t="s">
        <v>281</v>
      </c>
      <c r="E189" s="3" t="s">
        <v>181</v>
      </c>
      <c r="F189" s="3" t="s">
        <v>219</v>
      </c>
      <c r="G189" s="3" t="s">
        <v>69</v>
      </c>
      <c r="H189" s="3" t="s">
        <v>69</v>
      </c>
      <c r="I189" s="19" t="s">
        <v>122</v>
      </c>
      <c r="J189" s="3" t="s">
        <v>71</v>
      </c>
      <c r="K189" s="20">
        <v>3.0</v>
      </c>
      <c r="L189" s="20"/>
      <c r="M189" s="3"/>
      <c r="N189" s="3"/>
      <c r="O189" s="21"/>
      <c r="P189" s="3">
        <v>520.0</v>
      </c>
      <c r="Q189" s="3" t="s">
        <v>74</v>
      </c>
      <c r="R189" s="3" t="s">
        <v>75</v>
      </c>
      <c r="S189" s="3" t="s">
        <v>142</v>
      </c>
      <c r="T189" s="3" t="s">
        <v>39</v>
      </c>
      <c r="U189" s="3" t="s">
        <v>90</v>
      </c>
      <c r="V189" s="3" t="s">
        <v>220</v>
      </c>
      <c r="W189" s="3">
        <v>2.0</v>
      </c>
      <c r="X189" s="3">
        <v>2.0</v>
      </c>
      <c r="Y189" s="3">
        <v>4.0</v>
      </c>
      <c r="Z189" s="3">
        <v>3.0</v>
      </c>
      <c r="AA189" s="3">
        <v>2.0</v>
      </c>
      <c r="AB189" s="3">
        <v>0.0</v>
      </c>
      <c r="AC189" s="22">
        <v>2.3</v>
      </c>
      <c r="AD189" s="3"/>
      <c r="AE189" s="3" t="s">
        <v>122</v>
      </c>
      <c r="AF189" s="14"/>
      <c r="AG189" s="15"/>
      <c r="AH189" s="14"/>
      <c r="AI189" s="14"/>
      <c r="AJ189" s="15"/>
      <c r="AK189" s="14"/>
      <c r="AL189" s="14"/>
      <c r="AM189" s="14" t="s">
        <v>220</v>
      </c>
      <c r="AN189" s="14" t="s">
        <v>309</v>
      </c>
      <c r="AO189" s="14" t="s">
        <v>84</v>
      </c>
      <c r="AP189" s="14" t="s">
        <v>310</v>
      </c>
      <c r="AQ189" s="16">
        <v>0.0</v>
      </c>
      <c r="AR189" s="14" t="s">
        <v>196</v>
      </c>
    </row>
    <row r="190" ht="15.75" customHeight="1">
      <c r="A190" s="3" t="s">
        <v>39</v>
      </c>
      <c r="B190" s="3" t="s">
        <v>44</v>
      </c>
      <c r="C190" s="3" t="s">
        <v>102</v>
      </c>
      <c r="D190" s="3" t="s">
        <v>282</v>
      </c>
      <c r="E190" s="3" t="s">
        <v>181</v>
      </c>
      <c r="F190" s="3" t="s">
        <v>224</v>
      </c>
      <c r="G190" s="3" t="s">
        <v>69</v>
      </c>
      <c r="H190" s="3" t="s">
        <v>69</v>
      </c>
      <c r="I190" s="19" t="s">
        <v>122</v>
      </c>
      <c r="J190" s="3" t="s">
        <v>71</v>
      </c>
      <c r="K190" s="20">
        <v>3.0</v>
      </c>
      <c r="L190" s="20"/>
      <c r="M190" s="3"/>
      <c r="N190" s="3"/>
      <c r="O190" s="21"/>
      <c r="P190" s="3">
        <v>520.0</v>
      </c>
      <c r="Q190" s="3" t="s">
        <v>74</v>
      </c>
      <c r="R190" s="3" t="s">
        <v>75</v>
      </c>
      <c r="S190" s="3" t="s">
        <v>142</v>
      </c>
      <c r="T190" s="3" t="s">
        <v>39</v>
      </c>
      <c r="U190" s="3" t="s">
        <v>90</v>
      </c>
      <c r="V190" s="3" t="s">
        <v>225</v>
      </c>
      <c r="W190" s="3">
        <v>2.0</v>
      </c>
      <c r="X190" s="3">
        <v>2.0</v>
      </c>
      <c r="Y190" s="3">
        <v>4.0</v>
      </c>
      <c r="Z190" s="3">
        <v>3.0</v>
      </c>
      <c r="AA190" s="3">
        <v>2.0</v>
      </c>
      <c r="AB190" s="3">
        <v>0.0</v>
      </c>
      <c r="AC190" s="22">
        <v>2.3</v>
      </c>
      <c r="AD190" s="3"/>
      <c r="AE190" s="3" t="s">
        <v>122</v>
      </c>
      <c r="AF190" s="14"/>
      <c r="AG190" s="15"/>
      <c r="AH190" s="14"/>
      <c r="AI190" s="14"/>
      <c r="AJ190" s="15"/>
      <c r="AK190" s="14"/>
      <c r="AL190" s="14"/>
      <c r="AM190" s="14" t="s">
        <v>225</v>
      </c>
      <c r="AN190" s="14" t="s">
        <v>312</v>
      </c>
      <c r="AO190" s="14" t="s">
        <v>84</v>
      </c>
      <c r="AP190" s="14" t="s">
        <v>313</v>
      </c>
      <c r="AQ190" s="16">
        <v>0.0</v>
      </c>
      <c r="AR190" s="14" t="s">
        <v>196</v>
      </c>
    </row>
    <row r="191" ht="15.75" customHeight="1">
      <c r="A191" s="3" t="s">
        <v>39</v>
      </c>
      <c r="B191" s="3" t="s">
        <v>44</v>
      </c>
      <c r="C191" s="3" t="s">
        <v>102</v>
      </c>
      <c r="D191" s="3" t="s">
        <v>283</v>
      </c>
      <c r="E191" s="3" t="s">
        <v>271</v>
      </c>
      <c r="F191" s="3" t="s">
        <v>224</v>
      </c>
      <c r="G191" s="3" t="s">
        <v>69</v>
      </c>
      <c r="H191" s="3" t="s">
        <v>69</v>
      </c>
      <c r="I191" s="19" t="s">
        <v>122</v>
      </c>
      <c r="J191" s="3" t="s">
        <v>71</v>
      </c>
      <c r="K191" s="20">
        <v>3.0</v>
      </c>
      <c r="L191" s="20"/>
      <c r="M191" s="3"/>
      <c r="N191" s="3"/>
      <c r="O191" s="21"/>
      <c r="P191" s="3">
        <v>570.0</v>
      </c>
      <c r="Q191" s="3" t="s">
        <v>74</v>
      </c>
      <c r="R191" s="3" t="s">
        <v>75</v>
      </c>
      <c r="S191" s="3" t="s">
        <v>142</v>
      </c>
      <c r="T191" s="3" t="s">
        <v>39</v>
      </c>
      <c r="U191" s="3" t="s">
        <v>90</v>
      </c>
      <c r="V191" s="3" t="s">
        <v>225</v>
      </c>
      <c r="W191" s="3">
        <v>2.0</v>
      </c>
      <c r="X191" s="3">
        <v>2.0</v>
      </c>
      <c r="Y191" s="3">
        <v>4.0</v>
      </c>
      <c r="Z191" s="3">
        <v>3.0</v>
      </c>
      <c r="AA191" s="3">
        <v>2.0</v>
      </c>
      <c r="AB191" s="3">
        <v>0.0</v>
      </c>
      <c r="AC191" s="22">
        <v>2.3</v>
      </c>
      <c r="AD191" s="3"/>
      <c r="AE191" s="3" t="s">
        <v>122</v>
      </c>
      <c r="AF191" s="14"/>
      <c r="AG191" s="15"/>
      <c r="AH191" s="14"/>
      <c r="AI191" s="14"/>
      <c r="AJ191" s="15"/>
      <c r="AK191" s="14"/>
      <c r="AL191" s="14"/>
      <c r="AM191" s="14" t="s">
        <v>225</v>
      </c>
      <c r="AN191" s="14" t="s">
        <v>316</v>
      </c>
      <c r="AO191" s="14" t="s">
        <v>84</v>
      </c>
      <c r="AP191" s="14" t="s">
        <v>317</v>
      </c>
      <c r="AQ191" s="16">
        <v>0.0</v>
      </c>
      <c r="AR191" s="14" t="s">
        <v>196</v>
      </c>
    </row>
    <row r="192" ht="15.75" customHeight="1">
      <c r="A192" s="3" t="s">
        <v>39</v>
      </c>
      <c r="B192" s="3" t="s">
        <v>44</v>
      </c>
      <c r="C192" s="3" t="s">
        <v>102</v>
      </c>
      <c r="D192" s="3" t="s">
        <v>286</v>
      </c>
      <c r="E192" s="3" t="s">
        <v>164</v>
      </c>
      <c r="F192" s="3" t="s">
        <v>219</v>
      </c>
      <c r="G192" s="3" t="s">
        <v>69</v>
      </c>
      <c r="H192" s="3" t="s">
        <v>69</v>
      </c>
      <c r="I192" s="19" t="s">
        <v>122</v>
      </c>
      <c r="J192" s="3" t="s">
        <v>71</v>
      </c>
      <c r="K192" s="20">
        <v>3.0</v>
      </c>
      <c r="L192" s="20"/>
      <c r="M192" s="3"/>
      <c r="N192" s="3"/>
      <c r="O192" s="21"/>
      <c r="P192" s="3">
        <v>490.0</v>
      </c>
      <c r="Q192" s="3" t="s">
        <v>74</v>
      </c>
      <c r="R192" s="3" t="s">
        <v>75</v>
      </c>
      <c r="S192" s="3" t="s">
        <v>142</v>
      </c>
      <c r="T192" s="3" t="s">
        <v>39</v>
      </c>
      <c r="U192" s="3" t="s">
        <v>90</v>
      </c>
      <c r="V192" s="3" t="s">
        <v>220</v>
      </c>
      <c r="W192" s="3">
        <v>2.0</v>
      </c>
      <c r="X192" s="3">
        <v>2.0</v>
      </c>
      <c r="Y192" s="3">
        <v>4.0</v>
      </c>
      <c r="Z192" s="3">
        <v>3.0</v>
      </c>
      <c r="AA192" s="3">
        <v>2.0</v>
      </c>
      <c r="AB192" s="3">
        <v>0.0</v>
      </c>
      <c r="AC192" s="22">
        <v>2.3</v>
      </c>
      <c r="AD192" s="3"/>
      <c r="AE192" s="3" t="s">
        <v>122</v>
      </c>
      <c r="AF192" s="14"/>
      <c r="AG192" s="15"/>
      <c r="AH192" s="14"/>
      <c r="AI192" s="14"/>
      <c r="AJ192" s="15"/>
      <c r="AK192" s="14"/>
      <c r="AL192" s="14"/>
      <c r="AM192" s="14" t="s">
        <v>220</v>
      </c>
      <c r="AN192" s="14" t="s">
        <v>321</v>
      </c>
      <c r="AO192" s="14" t="s">
        <v>84</v>
      </c>
      <c r="AP192" s="14" t="s">
        <v>322</v>
      </c>
      <c r="AQ192" s="16">
        <v>0.0</v>
      </c>
      <c r="AR192" s="14" t="s">
        <v>196</v>
      </c>
    </row>
    <row r="193" ht="15.75" customHeight="1">
      <c r="A193" s="3" t="s">
        <v>39</v>
      </c>
      <c r="B193" s="3" t="s">
        <v>44</v>
      </c>
      <c r="C193" s="3" t="s">
        <v>102</v>
      </c>
      <c r="D193" s="3" t="s">
        <v>286</v>
      </c>
      <c r="E193" s="3" t="s">
        <v>164</v>
      </c>
      <c r="F193" s="3" t="s">
        <v>224</v>
      </c>
      <c r="G193" s="3" t="s">
        <v>69</v>
      </c>
      <c r="H193" s="3" t="s">
        <v>69</v>
      </c>
      <c r="I193" s="19" t="s">
        <v>122</v>
      </c>
      <c r="J193" s="3" t="s">
        <v>71</v>
      </c>
      <c r="K193" s="20">
        <v>3.0</v>
      </c>
      <c r="L193" s="20"/>
      <c r="M193" s="3"/>
      <c r="N193" s="3"/>
      <c r="O193" s="21"/>
      <c r="P193" s="3">
        <v>490.0</v>
      </c>
      <c r="Q193" s="3" t="s">
        <v>74</v>
      </c>
      <c r="R193" s="3" t="s">
        <v>75</v>
      </c>
      <c r="S193" s="3" t="s">
        <v>142</v>
      </c>
      <c r="T193" s="3" t="s">
        <v>39</v>
      </c>
      <c r="U193" s="3" t="s">
        <v>90</v>
      </c>
      <c r="V193" s="3" t="s">
        <v>225</v>
      </c>
      <c r="W193" s="3">
        <v>2.0</v>
      </c>
      <c r="X193" s="3">
        <v>2.0</v>
      </c>
      <c r="Y193" s="3">
        <v>4.0</v>
      </c>
      <c r="Z193" s="3">
        <v>3.0</v>
      </c>
      <c r="AA193" s="3">
        <v>2.0</v>
      </c>
      <c r="AB193" s="3">
        <v>0.0</v>
      </c>
      <c r="AC193" s="22">
        <v>2.3</v>
      </c>
      <c r="AD193" s="3"/>
      <c r="AE193" s="3" t="s">
        <v>122</v>
      </c>
      <c r="AF193" s="14"/>
      <c r="AG193" s="15"/>
      <c r="AH193" s="14"/>
      <c r="AI193" s="14"/>
      <c r="AJ193" s="15"/>
      <c r="AK193" s="14"/>
      <c r="AL193" s="14"/>
      <c r="AM193" s="14" t="s">
        <v>225</v>
      </c>
      <c r="AN193" s="14" t="s">
        <v>321</v>
      </c>
      <c r="AO193" s="14" t="s">
        <v>84</v>
      </c>
      <c r="AP193" s="14" t="s">
        <v>322</v>
      </c>
      <c r="AQ193" s="16">
        <v>0.0</v>
      </c>
      <c r="AR193" s="14" t="s">
        <v>196</v>
      </c>
    </row>
    <row r="194" ht="15.75" customHeight="1">
      <c r="A194" s="3" t="s">
        <v>39</v>
      </c>
      <c r="B194" s="3" t="s">
        <v>44</v>
      </c>
      <c r="C194" s="3" t="s">
        <v>102</v>
      </c>
      <c r="D194" s="3" t="s">
        <v>178</v>
      </c>
      <c r="E194" s="3" t="s">
        <v>150</v>
      </c>
      <c r="F194" s="3" t="s">
        <v>224</v>
      </c>
      <c r="G194" s="3" t="s">
        <v>69</v>
      </c>
      <c r="H194" s="3" t="s">
        <v>69</v>
      </c>
      <c r="I194" s="19" t="s">
        <v>122</v>
      </c>
      <c r="J194" s="3" t="s">
        <v>71</v>
      </c>
      <c r="K194" s="20">
        <v>3.0</v>
      </c>
      <c r="L194" s="20"/>
      <c r="M194" s="3"/>
      <c r="N194" s="3"/>
      <c r="O194" s="21"/>
      <c r="P194" s="3">
        <v>700.0</v>
      </c>
      <c r="Q194" s="3" t="s">
        <v>153</v>
      </c>
      <c r="R194" s="3" t="s">
        <v>75</v>
      </c>
      <c r="S194" s="3" t="s">
        <v>142</v>
      </c>
      <c r="T194" s="3" t="s">
        <v>39</v>
      </c>
      <c r="U194" s="3" t="s">
        <v>90</v>
      </c>
      <c r="V194" s="3" t="s">
        <v>225</v>
      </c>
      <c r="W194" s="3">
        <v>2.0</v>
      </c>
      <c r="X194" s="3">
        <v>1.0</v>
      </c>
      <c r="Y194" s="3">
        <v>4.0</v>
      </c>
      <c r="Z194" s="3">
        <v>3.0</v>
      </c>
      <c r="AA194" s="3">
        <v>2.0</v>
      </c>
      <c r="AB194" s="3">
        <v>0.0</v>
      </c>
      <c r="AC194" s="22">
        <v>2.1</v>
      </c>
      <c r="AD194" s="3"/>
      <c r="AE194" s="3" t="s">
        <v>122</v>
      </c>
      <c r="AF194" s="14"/>
      <c r="AG194" s="15"/>
      <c r="AH194" s="14"/>
      <c r="AI194" s="14"/>
      <c r="AJ194" s="15"/>
      <c r="AK194" s="14"/>
      <c r="AL194" s="14"/>
      <c r="AM194" s="14" t="s">
        <v>225</v>
      </c>
      <c r="AN194" s="14" t="s">
        <v>211</v>
      </c>
      <c r="AO194" s="14" t="s">
        <v>84</v>
      </c>
      <c r="AP194" s="14" t="s">
        <v>212</v>
      </c>
      <c r="AQ194" s="16">
        <v>0.0</v>
      </c>
      <c r="AR194" s="14" t="s">
        <v>196</v>
      </c>
    </row>
    <row r="195" ht="15.75" customHeight="1">
      <c r="A195" s="3" t="s">
        <v>39</v>
      </c>
      <c r="B195" s="3" t="s">
        <v>44</v>
      </c>
      <c r="C195" s="3" t="s">
        <v>102</v>
      </c>
      <c r="D195" s="3" t="s">
        <v>178</v>
      </c>
      <c r="E195" s="3" t="s">
        <v>150</v>
      </c>
      <c r="F195" s="3" t="s">
        <v>402</v>
      </c>
      <c r="G195" s="3" t="s">
        <v>69</v>
      </c>
      <c r="H195" s="3" t="s">
        <v>69</v>
      </c>
      <c r="I195" s="19" t="s">
        <v>122</v>
      </c>
      <c r="J195" s="3" t="s">
        <v>71</v>
      </c>
      <c r="K195" s="20">
        <v>3.0</v>
      </c>
      <c r="L195" s="20"/>
      <c r="M195" s="3"/>
      <c r="N195" s="3"/>
      <c r="O195" s="21"/>
      <c r="P195" s="3">
        <v>700.0</v>
      </c>
      <c r="Q195" s="3" t="s">
        <v>153</v>
      </c>
      <c r="R195" s="3" t="s">
        <v>75</v>
      </c>
      <c r="S195" s="3" t="s">
        <v>142</v>
      </c>
      <c r="T195" s="3" t="s">
        <v>39</v>
      </c>
      <c r="U195" s="3" t="s">
        <v>90</v>
      </c>
      <c r="V195" s="3" t="s">
        <v>403</v>
      </c>
      <c r="W195" s="3">
        <v>2.0</v>
      </c>
      <c r="X195" s="3">
        <v>1.0</v>
      </c>
      <c r="Y195" s="3">
        <v>4.0</v>
      </c>
      <c r="Z195" s="3">
        <v>3.0</v>
      </c>
      <c r="AA195" s="3">
        <v>2.0</v>
      </c>
      <c r="AB195" s="3">
        <v>0.0</v>
      </c>
      <c r="AC195" s="22">
        <v>2.1</v>
      </c>
      <c r="AD195" s="3"/>
      <c r="AE195" s="3" t="s">
        <v>122</v>
      </c>
      <c r="AF195" s="14"/>
      <c r="AG195" s="15"/>
      <c r="AH195" s="14"/>
      <c r="AI195" s="14"/>
      <c r="AJ195" s="15"/>
      <c r="AK195" s="14"/>
      <c r="AL195" s="14"/>
      <c r="AM195" s="14" t="s">
        <v>403</v>
      </c>
      <c r="AN195" s="14" t="s">
        <v>211</v>
      </c>
      <c r="AO195" s="14" t="s">
        <v>84</v>
      </c>
      <c r="AP195" s="14" t="s">
        <v>212</v>
      </c>
      <c r="AQ195" s="16">
        <v>0.0</v>
      </c>
      <c r="AR195" s="14" t="s">
        <v>196</v>
      </c>
    </row>
    <row r="196" ht="15.75" customHeight="1">
      <c r="A196" s="3" t="s">
        <v>39</v>
      </c>
      <c r="B196" s="3" t="s">
        <v>44</v>
      </c>
      <c r="C196" s="3" t="s">
        <v>102</v>
      </c>
      <c r="D196" s="3" t="s">
        <v>293</v>
      </c>
      <c r="E196" s="3" t="s">
        <v>202</v>
      </c>
      <c r="F196" s="3" t="s">
        <v>216</v>
      </c>
      <c r="G196" s="3" t="s">
        <v>69</v>
      </c>
      <c r="H196" s="3" t="s">
        <v>69</v>
      </c>
      <c r="I196" s="19" t="s">
        <v>122</v>
      </c>
      <c r="J196" s="3" t="s">
        <v>71</v>
      </c>
      <c r="K196" s="20">
        <v>0.0</v>
      </c>
      <c r="L196" s="20">
        <v>0.0</v>
      </c>
      <c r="M196" s="3"/>
      <c r="N196" s="3"/>
      <c r="O196" s="21"/>
      <c r="P196" s="3">
        <v>500.0</v>
      </c>
      <c r="Q196" s="3" t="s">
        <v>74</v>
      </c>
      <c r="R196" s="3" t="s">
        <v>75</v>
      </c>
      <c r="S196" s="3" t="s">
        <v>142</v>
      </c>
      <c r="T196" s="3" t="s">
        <v>39</v>
      </c>
      <c r="U196" s="3" t="s">
        <v>232</v>
      </c>
      <c r="V196" s="3" t="s">
        <v>217</v>
      </c>
      <c r="W196" s="3">
        <v>2.0</v>
      </c>
      <c r="X196" s="3">
        <v>2.0</v>
      </c>
      <c r="Y196" s="3">
        <v>4.0</v>
      </c>
      <c r="Z196" s="3">
        <v>3.0</v>
      </c>
      <c r="AA196" s="3">
        <v>2.0</v>
      </c>
      <c r="AB196" s="3">
        <v>0.0</v>
      </c>
      <c r="AC196" s="22">
        <v>2.3</v>
      </c>
      <c r="AD196" s="3">
        <v>0.0</v>
      </c>
      <c r="AE196" s="3" t="s">
        <v>122</v>
      </c>
      <c r="AF196" s="14"/>
      <c r="AG196" s="15"/>
      <c r="AH196" s="14"/>
      <c r="AI196" s="14"/>
      <c r="AJ196" s="15"/>
      <c r="AK196" s="14"/>
      <c r="AL196" s="14"/>
      <c r="AM196" s="14" t="s">
        <v>217</v>
      </c>
      <c r="AN196" s="14" t="s">
        <v>416</v>
      </c>
      <c r="AO196" s="14" t="s">
        <v>84</v>
      </c>
      <c r="AP196" s="14" t="s">
        <v>417</v>
      </c>
      <c r="AQ196" s="16">
        <v>0.0</v>
      </c>
      <c r="AR196" s="14" t="s">
        <v>196</v>
      </c>
    </row>
    <row r="197" ht="15.75" customHeight="1">
      <c r="A197" s="3" t="s">
        <v>39</v>
      </c>
      <c r="B197" s="3" t="s">
        <v>44</v>
      </c>
      <c r="C197" s="3" t="s">
        <v>102</v>
      </c>
      <c r="D197" s="3" t="s">
        <v>296</v>
      </c>
      <c r="E197" s="3" t="s">
        <v>181</v>
      </c>
      <c r="F197" s="3" t="s">
        <v>224</v>
      </c>
      <c r="G197" s="3" t="s">
        <v>69</v>
      </c>
      <c r="H197" s="3" t="s">
        <v>69</v>
      </c>
      <c r="I197" s="19" t="s">
        <v>122</v>
      </c>
      <c r="J197" s="3" t="s">
        <v>71</v>
      </c>
      <c r="K197" s="20">
        <v>3.0</v>
      </c>
      <c r="L197" s="20"/>
      <c r="M197" s="3"/>
      <c r="N197" s="3"/>
      <c r="O197" s="21"/>
      <c r="P197" s="3">
        <v>520.0</v>
      </c>
      <c r="Q197" s="3" t="s">
        <v>74</v>
      </c>
      <c r="R197" s="3" t="s">
        <v>75</v>
      </c>
      <c r="S197" s="3" t="s">
        <v>142</v>
      </c>
      <c r="T197" s="3" t="s">
        <v>39</v>
      </c>
      <c r="U197" s="3" t="s">
        <v>90</v>
      </c>
      <c r="V197" s="3" t="s">
        <v>225</v>
      </c>
      <c r="W197" s="3">
        <v>2.0</v>
      </c>
      <c r="X197" s="3">
        <v>2.0</v>
      </c>
      <c r="Y197" s="3">
        <v>4.0</v>
      </c>
      <c r="Z197" s="3">
        <v>3.0</v>
      </c>
      <c r="AA197" s="3">
        <v>2.0</v>
      </c>
      <c r="AB197" s="3">
        <v>0.0</v>
      </c>
      <c r="AC197" s="22">
        <v>2.3</v>
      </c>
      <c r="AD197" s="3"/>
      <c r="AE197" s="3" t="s">
        <v>122</v>
      </c>
      <c r="AF197" s="14"/>
      <c r="AG197" s="15"/>
      <c r="AH197" s="14"/>
      <c r="AI197" s="14"/>
      <c r="AJ197" s="15"/>
      <c r="AK197" s="14"/>
      <c r="AL197" s="14"/>
      <c r="AM197" s="14" t="s">
        <v>225</v>
      </c>
      <c r="AN197" s="14" t="s">
        <v>333</v>
      </c>
      <c r="AO197" s="14" t="s">
        <v>84</v>
      </c>
      <c r="AP197" s="14" t="s">
        <v>334</v>
      </c>
      <c r="AQ197" s="16">
        <v>0.0</v>
      </c>
      <c r="AR197" s="14" t="s">
        <v>196</v>
      </c>
    </row>
    <row r="198" ht="15.75" customHeight="1">
      <c r="A198" s="3" t="s">
        <v>39</v>
      </c>
      <c r="B198" s="3" t="s">
        <v>44</v>
      </c>
      <c r="C198" s="3" t="s">
        <v>102</v>
      </c>
      <c r="D198" s="3" t="s">
        <v>296</v>
      </c>
      <c r="E198" s="3" t="s">
        <v>181</v>
      </c>
      <c r="F198" s="3" t="s">
        <v>402</v>
      </c>
      <c r="G198" s="3" t="s">
        <v>69</v>
      </c>
      <c r="H198" s="3" t="s">
        <v>69</v>
      </c>
      <c r="I198" s="19" t="s">
        <v>122</v>
      </c>
      <c r="J198" s="3" t="s">
        <v>71</v>
      </c>
      <c r="K198" s="20">
        <v>3.0</v>
      </c>
      <c r="L198" s="20"/>
      <c r="M198" s="3"/>
      <c r="N198" s="3"/>
      <c r="O198" s="21"/>
      <c r="P198" s="3">
        <v>520.0</v>
      </c>
      <c r="Q198" s="3" t="s">
        <v>74</v>
      </c>
      <c r="R198" s="3" t="s">
        <v>75</v>
      </c>
      <c r="S198" s="3" t="s">
        <v>142</v>
      </c>
      <c r="T198" s="3" t="s">
        <v>39</v>
      </c>
      <c r="U198" s="3" t="s">
        <v>90</v>
      </c>
      <c r="V198" s="3" t="s">
        <v>403</v>
      </c>
      <c r="W198" s="3">
        <v>2.0</v>
      </c>
      <c r="X198" s="3">
        <v>2.0</v>
      </c>
      <c r="Y198" s="3">
        <v>4.0</v>
      </c>
      <c r="Z198" s="3">
        <v>3.0</v>
      </c>
      <c r="AA198" s="3">
        <v>2.0</v>
      </c>
      <c r="AB198" s="3">
        <v>0.0</v>
      </c>
      <c r="AC198" s="22">
        <v>2.3</v>
      </c>
      <c r="AD198" s="3"/>
      <c r="AE198" s="3" t="s">
        <v>122</v>
      </c>
      <c r="AF198" s="14"/>
      <c r="AG198" s="15"/>
      <c r="AH198" s="14"/>
      <c r="AI198" s="14"/>
      <c r="AJ198" s="15"/>
      <c r="AK198" s="14"/>
      <c r="AL198" s="14"/>
      <c r="AM198" s="14" t="s">
        <v>403</v>
      </c>
      <c r="AN198" s="14" t="s">
        <v>333</v>
      </c>
      <c r="AO198" s="14" t="s">
        <v>84</v>
      </c>
      <c r="AP198" s="14" t="s">
        <v>334</v>
      </c>
      <c r="AQ198" s="16">
        <v>0.0</v>
      </c>
      <c r="AR198" s="14" t="s">
        <v>196</v>
      </c>
    </row>
    <row r="199" ht="15.75" customHeight="1">
      <c r="A199" s="3" t="s">
        <v>39</v>
      </c>
      <c r="B199" s="3" t="s">
        <v>44</v>
      </c>
      <c r="C199" s="3" t="s">
        <v>102</v>
      </c>
      <c r="D199" s="3" t="s">
        <v>300</v>
      </c>
      <c r="E199" s="3" t="s">
        <v>150</v>
      </c>
      <c r="F199" s="3" t="s">
        <v>367</v>
      </c>
      <c r="G199" s="3" t="s">
        <v>69</v>
      </c>
      <c r="H199" s="3" t="s">
        <v>69</v>
      </c>
      <c r="I199" s="19" t="s">
        <v>122</v>
      </c>
      <c r="J199" s="3" t="s">
        <v>71</v>
      </c>
      <c r="K199" s="20">
        <v>3.0</v>
      </c>
      <c r="L199" s="20"/>
      <c r="M199" s="3"/>
      <c r="N199" s="3"/>
      <c r="O199" s="21"/>
      <c r="P199" s="3">
        <v>700.0</v>
      </c>
      <c r="Q199" s="3" t="s">
        <v>153</v>
      </c>
      <c r="R199" s="3" t="s">
        <v>75</v>
      </c>
      <c r="S199" s="3" t="s">
        <v>142</v>
      </c>
      <c r="T199" s="3" t="s">
        <v>39</v>
      </c>
      <c r="U199" s="3" t="s">
        <v>226</v>
      </c>
      <c r="V199" s="3" t="s">
        <v>368</v>
      </c>
      <c r="W199" s="3">
        <v>2.0</v>
      </c>
      <c r="X199" s="3">
        <v>1.0</v>
      </c>
      <c r="Y199" s="3">
        <v>4.0</v>
      </c>
      <c r="Z199" s="3">
        <v>3.0</v>
      </c>
      <c r="AA199" s="3">
        <v>2.0</v>
      </c>
      <c r="AB199" s="3">
        <v>0.0</v>
      </c>
      <c r="AC199" s="22">
        <v>2.1</v>
      </c>
      <c r="AD199" s="3"/>
      <c r="AE199" s="3" t="s">
        <v>122</v>
      </c>
      <c r="AF199" s="14"/>
      <c r="AG199" s="15"/>
      <c r="AH199" s="14"/>
      <c r="AI199" s="14"/>
      <c r="AJ199" s="15"/>
      <c r="AK199" s="14"/>
      <c r="AL199" s="14"/>
      <c r="AM199" s="14" t="s">
        <v>368</v>
      </c>
      <c r="AN199" s="14" t="s">
        <v>421</v>
      </c>
      <c r="AO199" s="14" t="s">
        <v>84</v>
      </c>
      <c r="AP199" s="14" t="s">
        <v>422</v>
      </c>
      <c r="AQ199" s="16">
        <v>0.0</v>
      </c>
      <c r="AR199" s="14" t="s">
        <v>196</v>
      </c>
    </row>
    <row r="200" ht="15.75" customHeight="1">
      <c r="A200" s="3" t="s">
        <v>39</v>
      </c>
      <c r="B200" s="3" t="s">
        <v>44</v>
      </c>
      <c r="C200" s="3" t="s">
        <v>102</v>
      </c>
      <c r="D200" s="3" t="s">
        <v>182</v>
      </c>
      <c r="E200" s="3" t="s">
        <v>138</v>
      </c>
      <c r="F200" s="3" t="s">
        <v>219</v>
      </c>
      <c r="G200" s="3" t="s">
        <v>69</v>
      </c>
      <c r="H200" s="3" t="s">
        <v>69</v>
      </c>
      <c r="I200" s="19" t="s">
        <v>122</v>
      </c>
      <c r="J200" s="3" t="s">
        <v>71</v>
      </c>
      <c r="K200" s="20">
        <v>3.0</v>
      </c>
      <c r="L200" s="20"/>
      <c r="M200" s="3"/>
      <c r="N200" s="3"/>
      <c r="O200" s="21"/>
      <c r="P200" s="3">
        <v>300.0</v>
      </c>
      <c r="Q200" s="3" t="s">
        <v>140</v>
      </c>
      <c r="R200" s="3" t="s">
        <v>75</v>
      </c>
      <c r="S200" s="3" t="s">
        <v>142</v>
      </c>
      <c r="T200" s="3" t="s">
        <v>39</v>
      </c>
      <c r="U200" s="3" t="s">
        <v>90</v>
      </c>
      <c r="V200" s="3" t="s">
        <v>220</v>
      </c>
      <c r="W200" s="3">
        <v>2.0</v>
      </c>
      <c r="X200" s="3">
        <v>4.0</v>
      </c>
      <c r="Y200" s="3">
        <v>4.0</v>
      </c>
      <c r="Z200" s="3">
        <v>3.0</v>
      </c>
      <c r="AA200" s="3">
        <v>2.0</v>
      </c>
      <c r="AB200" s="3">
        <v>0.0</v>
      </c>
      <c r="AC200" s="22">
        <v>2.6</v>
      </c>
      <c r="AD200" s="3"/>
      <c r="AE200" s="3" t="s">
        <v>122</v>
      </c>
      <c r="AF200" s="14"/>
      <c r="AG200" s="15"/>
      <c r="AH200" s="14"/>
      <c r="AI200" s="14"/>
      <c r="AJ200" s="15"/>
      <c r="AK200" s="14"/>
      <c r="AL200" s="14"/>
      <c r="AM200" s="14" t="s">
        <v>220</v>
      </c>
      <c r="AN200" s="14" t="s">
        <v>214</v>
      </c>
      <c r="AO200" s="14" t="s">
        <v>84</v>
      </c>
      <c r="AP200" s="14" t="s">
        <v>215</v>
      </c>
      <c r="AQ200" s="16">
        <v>0.0</v>
      </c>
      <c r="AR200" s="14" t="s">
        <v>196</v>
      </c>
    </row>
    <row r="201" ht="15.75" customHeight="1">
      <c r="A201" s="14" t="s">
        <v>39</v>
      </c>
      <c r="B201" s="14" t="s">
        <v>44</v>
      </c>
      <c r="C201" s="14" t="s">
        <v>102</v>
      </c>
      <c r="D201" s="14" t="s">
        <v>184</v>
      </c>
      <c r="E201" s="14" t="s">
        <v>186</v>
      </c>
      <c r="F201" s="14" t="s">
        <v>224</v>
      </c>
      <c r="G201" s="14" t="s">
        <v>69</v>
      </c>
      <c r="H201" s="14" t="s">
        <v>69</v>
      </c>
      <c r="I201" s="15" t="s">
        <v>122</v>
      </c>
      <c r="J201" s="14" t="s">
        <v>71</v>
      </c>
      <c r="K201" s="27">
        <v>3.0</v>
      </c>
      <c r="L201" s="27"/>
      <c r="M201" s="14"/>
      <c r="N201" s="14"/>
      <c r="O201" s="28"/>
      <c r="P201" s="14">
        <v>360.0</v>
      </c>
      <c r="Q201" s="14" t="s">
        <v>140</v>
      </c>
      <c r="R201" s="14" t="s">
        <v>75</v>
      </c>
      <c r="S201" s="14" t="s">
        <v>142</v>
      </c>
      <c r="T201" s="14" t="s">
        <v>39</v>
      </c>
      <c r="U201" s="14" t="s">
        <v>90</v>
      </c>
      <c r="V201" s="14" t="s">
        <v>225</v>
      </c>
      <c r="W201" s="14">
        <v>2.0</v>
      </c>
      <c r="X201" s="14">
        <v>3.0</v>
      </c>
      <c r="Y201" s="14">
        <v>4.0</v>
      </c>
      <c r="Z201" s="14">
        <v>3.0</v>
      </c>
      <c r="AA201" s="14">
        <v>2.0</v>
      </c>
      <c r="AB201" s="14">
        <v>0.0</v>
      </c>
      <c r="AC201" s="16">
        <v>2.5</v>
      </c>
      <c r="AD201" s="14"/>
      <c r="AE201" s="14" t="s">
        <v>122</v>
      </c>
      <c r="AF201" s="14"/>
      <c r="AG201" s="15"/>
      <c r="AH201" s="14"/>
      <c r="AI201" s="14"/>
      <c r="AJ201" s="15"/>
      <c r="AK201" s="14"/>
      <c r="AL201" s="14"/>
      <c r="AM201" s="14" t="s">
        <v>225</v>
      </c>
      <c r="AN201" s="14" t="s">
        <v>221</v>
      </c>
      <c r="AO201" s="14" t="s">
        <v>84</v>
      </c>
      <c r="AP201" s="14" t="s">
        <v>222</v>
      </c>
      <c r="AQ201" s="16">
        <v>0.0</v>
      </c>
      <c r="AR201" s="14" t="s">
        <v>196</v>
      </c>
    </row>
    <row r="202" ht="15.75" customHeight="1">
      <c r="A202" s="14" t="s">
        <v>39</v>
      </c>
      <c r="B202" s="14" t="s">
        <v>44</v>
      </c>
      <c r="C202" s="14" t="s">
        <v>102</v>
      </c>
      <c r="D202" s="14" t="s">
        <v>480</v>
      </c>
      <c r="E202" s="14" t="s">
        <v>164</v>
      </c>
      <c r="F202" s="14" t="s">
        <v>219</v>
      </c>
      <c r="G202" s="14" t="s">
        <v>69</v>
      </c>
      <c r="H202" s="14" t="s">
        <v>69</v>
      </c>
      <c r="I202" s="15" t="s">
        <v>122</v>
      </c>
      <c r="J202" s="14" t="s">
        <v>71</v>
      </c>
      <c r="K202" s="27">
        <v>3.0</v>
      </c>
      <c r="L202" s="27"/>
      <c r="M202" s="14"/>
      <c r="N202" s="14"/>
      <c r="O202" s="28"/>
      <c r="P202" s="14">
        <v>490.0</v>
      </c>
      <c r="Q202" s="14" t="s">
        <v>74</v>
      </c>
      <c r="R202" s="14" t="s">
        <v>75</v>
      </c>
      <c r="S202" s="14" t="s">
        <v>142</v>
      </c>
      <c r="T202" s="14" t="s">
        <v>39</v>
      </c>
      <c r="U202" s="14" t="s">
        <v>90</v>
      </c>
      <c r="V202" s="14" t="s">
        <v>220</v>
      </c>
      <c r="W202" s="14">
        <v>2.0</v>
      </c>
      <c r="X202" s="14">
        <v>2.0</v>
      </c>
      <c r="Y202" s="14">
        <v>4.0</v>
      </c>
      <c r="Z202" s="14">
        <v>3.0</v>
      </c>
      <c r="AA202" s="14">
        <v>2.0</v>
      </c>
      <c r="AB202" s="14">
        <v>0.0</v>
      </c>
      <c r="AC202" s="16">
        <v>2.3</v>
      </c>
      <c r="AD202" s="14"/>
      <c r="AE202" s="14" t="s">
        <v>122</v>
      </c>
      <c r="AF202" s="14"/>
      <c r="AG202" s="15"/>
      <c r="AH202" s="14"/>
      <c r="AI202" s="14"/>
      <c r="AJ202" s="15"/>
      <c r="AK202" s="14"/>
      <c r="AL202" s="14"/>
      <c r="AM202" s="14" t="s">
        <v>220</v>
      </c>
      <c r="AN202" s="14" t="s">
        <v>577</v>
      </c>
      <c r="AO202" s="14" t="s">
        <v>84</v>
      </c>
      <c r="AP202" s="14" t="s">
        <v>578</v>
      </c>
      <c r="AQ202" s="16">
        <v>0.0</v>
      </c>
      <c r="AR202" s="14" t="s">
        <v>196</v>
      </c>
    </row>
    <row r="203" ht="15.75" customHeight="1">
      <c r="A203" s="14" t="s">
        <v>39</v>
      </c>
      <c r="B203" s="14" t="s">
        <v>44</v>
      </c>
      <c r="C203" s="14" t="s">
        <v>102</v>
      </c>
      <c r="D203" s="14" t="s">
        <v>301</v>
      </c>
      <c r="E203" s="14" t="s">
        <v>164</v>
      </c>
      <c r="F203" s="14" t="s">
        <v>219</v>
      </c>
      <c r="G203" s="14" t="s">
        <v>69</v>
      </c>
      <c r="H203" s="14" t="s">
        <v>69</v>
      </c>
      <c r="I203" s="15" t="s">
        <v>122</v>
      </c>
      <c r="J203" s="14" t="s">
        <v>71</v>
      </c>
      <c r="K203" s="27">
        <v>3.0</v>
      </c>
      <c r="L203" s="27"/>
      <c r="M203" s="14"/>
      <c r="N203" s="14"/>
      <c r="O203" s="28"/>
      <c r="P203" s="14">
        <v>490.0</v>
      </c>
      <c r="Q203" s="14" t="s">
        <v>74</v>
      </c>
      <c r="R203" s="14" t="s">
        <v>75</v>
      </c>
      <c r="S203" s="14" t="s">
        <v>142</v>
      </c>
      <c r="T203" s="14" t="s">
        <v>39</v>
      </c>
      <c r="U203" s="14" t="s">
        <v>90</v>
      </c>
      <c r="V203" s="14" t="s">
        <v>220</v>
      </c>
      <c r="W203" s="14">
        <v>2.0</v>
      </c>
      <c r="X203" s="14">
        <v>2.0</v>
      </c>
      <c r="Y203" s="14">
        <v>4.0</v>
      </c>
      <c r="Z203" s="14">
        <v>3.0</v>
      </c>
      <c r="AA203" s="14">
        <v>2.0</v>
      </c>
      <c r="AB203" s="14">
        <v>0.0</v>
      </c>
      <c r="AC203" s="16">
        <v>2.3</v>
      </c>
      <c r="AD203" s="14"/>
      <c r="AE203" s="14" t="s">
        <v>122</v>
      </c>
      <c r="AF203" s="14"/>
      <c r="AG203" s="15"/>
      <c r="AH203" s="14"/>
      <c r="AI203" s="14"/>
      <c r="AJ203" s="15"/>
      <c r="AK203" s="14"/>
      <c r="AL203" s="14"/>
      <c r="AM203" s="14" t="s">
        <v>220</v>
      </c>
      <c r="AN203" s="14" t="s">
        <v>341</v>
      </c>
      <c r="AO203" s="14" t="s">
        <v>84</v>
      </c>
      <c r="AP203" s="14" t="s">
        <v>342</v>
      </c>
      <c r="AQ203" s="16">
        <v>0.0</v>
      </c>
      <c r="AR203" s="14" t="s">
        <v>196</v>
      </c>
    </row>
    <row r="204" ht="15.75" customHeight="1">
      <c r="A204" s="14" t="s">
        <v>39</v>
      </c>
      <c r="B204" s="14" t="s">
        <v>44</v>
      </c>
      <c r="C204" s="14" t="s">
        <v>102</v>
      </c>
      <c r="D204" s="14" t="s">
        <v>302</v>
      </c>
      <c r="E204" s="14" t="s">
        <v>164</v>
      </c>
      <c r="F204" s="14" t="s">
        <v>219</v>
      </c>
      <c r="G204" s="14" t="s">
        <v>69</v>
      </c>
      <c r="H204" s="14" t="s">
        <v>69</v>
      </c>
      <c r="I204" s="15" t="s">
        <v>122</v>
      </c>
      <c r="J204" s="14" t="s">
        <v>71</v>
      </c>
      <c r="K204" s="27">
        <v>3.0</v>
      </c>
      <c r="L204" s="27"/>
      <c r="M204" s="14"/>
      <c r="N204" s="14"/>
      <c r="O204" s="28"/>
      <c r="P204" s="14">
        <v>490.0</v>
      </c>
      <c r="Q204" s="14" t="s">
        <v>74</v>
      </c>
      <c r="R204" s="14" t="s">
        <v>75</v>
      </c>
      <c r="S204" s="14" t="s">
        <v>142</v>
      </c>
      <c r="T204" s="14" t="s">
        <v>39</v>
      </c>
      <c r="U204" s="14" t="s">
        <v>90</v>
      </c>
      <c r="V204" s="14" t="s">
        <v>220</v>
      </c>
      <c r="W204" s="14">
        <v>2.0</v>
      </c>
      <c r="X204" s="14">
        <v>2.0</v>
      </c>
      <c r="Y204" s="14">
        <v>4.0</v>
      </c>
      <c r="Z204" s="14">
        <v>3.0</v>
      </c>
      <c r="AA204" s="14">
        <v>2.0</v>
      </c>
      <c r="AB204" s="14">
        <v>0.0</v>
      </c>
      <c r="AC204" s="16">
        <v>2.3</v>
      </c>
      <c r="AD204" s="14"/>
      <c r="AE204" s="14" t="s">
        <v>122</v>
      </c>
      <c r="AF204" s="14"/>
      <c r="AG204" s="15"/>
      <c r="AH204" s="14"/>
      <c r="AI204" s="14"/>
      <c r="AJ204" s="15"/>
      <c r="AK204" s="14"/>
      <c r="AL204" s="14"/>
      <c r="AM204" s="14" t="s">
        <v>220</v>
      </c>
      <c r="AN204" s="14" t="s">
        <v>345</v>
      </c>
      <c r="AO204" s="14" t="s">
        <v>84</v>
      </c>
      <c r="AP204" s="14" t="s">
        <v>346</v>
      </c>
      <c r="AQ204" s="16">
        <v>0.0</v>
      </c>
      <c r="AR204" s="14" t="s">
        <v>196</v>
      </c>
    </row>
    <row r="205" ht="15.75" customHeight="1">
      <c r="A205" s="14" t="s">
        <v>39</v>
      </c>
      <c r="B205" s="14" t="s">
        <v>44</v>
      </c>
      <c r="C205" s="14" t="s">
        <v>102</v>
      </c>
      <c r="D205" s="14" t="s">
        <v>187</v>
      </c>
      <c r="E205" s="14" t="s">
        <v>150</v>
      </c>
      <c r="F205" s="14" t="s">
        <v>224</v>
      </c>
      <c r="G205" s="14" t="s">
        <v>69</v>
      </c>
      <c r="H205" s="14" t="s">
        <v>69</v>
      </c>
      <c r="I205" s="15" t="s">
        <v>122</v>
      </c>
      <c r="J205" s="14" t="s">
        <v>71</v>
      </c>
      <c r="K205" s="27">
        <v>3.0</v>
      </c>
      <c r="L205" s="27"/>
      <c r="M205" s="14"/>
      <c r="N205" s="14"/>
      <c r="O205" s="28"/>
      <c r="P205" s="14">
        <v>700.0</v>
      </c>
      <c r="Q205" s="14" t="s">
        <v>153</v>
      </c>
      <c r="R205" s="14" t="s">
        <v>75</v>
      </c>
      <c r="S205" s="14" t="s">
        <v>142</v>
      </c>
      <c r="T205" s="14" t="s">
        <v>39</v>
      </c>
      <c r="U205" s="14" t="s">
        <v>90</v>
      </c>
      <c r="V205" s="14" t="s">
        <v>225</v>
      </c>
      <c r="W205" s="14">
        <v>2.0</v>
      </c>
      <c r="X205" s="14">
        <v>1.0</v>
      </c>
      <c r="Y205" s="14">
        <v>4.0</v>
      </c>
      <c r="Z205" s="14">
        <v>3.0</v>
      </c>
      <c r="AA205" s="14">
        <v>2.0</v>
      </c>
      <c r="AB205" s="14">
        <v>0.0</v>
      </c>
      <c r="AC205" s="16">
        <v>2.1</v>
      </c>
      <c r="AD205" s="14"/>
      <c r="AE205" s="14" t="s">
        <v>122</v>
      </c>
      <c r="AF205" s="14"/>
      <c r="AG205" s="15"/>
      <c r="AH205" s="14"/>
      <c r="AI205" s="14"/>
      <c r="AJ205" s="15"/>
      <c r="AK205" s="14"/>
      <c r="AL205" s="14"/>
      <c r="AM205" s="14" t="s">
        <v>225</v>
      </c>
      <c r="AN205" s="14" t="s">
        <v>227</v>
      </c>
      <c r="AO205" s="14" t="s">
        <v>84</v>
      </c>
      <c r="AP205" s="14" t="s">
        <v>229</v>
      </c>
      <c r="AQ205" s="16">
        <v>0.0</v>
      </c>
      <c r="AR205" s="14" t="s">
        <v>196</v>
      </c>
    </row>
    <row r="206" ht="15.75" customHeight="1">
      <c r="A206" s="14" t="s">
        <v>39</v>
      </c>
      <c r="B206" s="14" t="s">
        <v>44</v>
      </c>
      <c r="C206" s="14" t="s">
        <v>102</v>
      </c>
      <c r="D206" s="14" t="s">
        <v>485</v>
      </c>
      <c r="E206" s="14" t="s">
        <v>181</v>
      </c>
      <c r="F206" s="14" t="s">
        <v>219</v>
      </c>
      <c r="G206" s="14" t="s">
        <v>69</v>
      </c>
      <c r="H206" s="14" t="s">
        <v>69</v>
      </c>
      <c r="I206" s="15" t="s">
        <v>122</v>
      </c>
      <c r="J206" s="14" t="s">
        <v>71</v>
      </c>
      <c r="K206" s="27">
        <v>3.0</v>
      </c>
      <c r="L206" s="27"/>
      <c r="M206" s="14"/>
      <c r="N206" s="14"/>
      <c r="O206" s="28"/>
      <c r="P206" s="14">
        <v>520.0</v>
      </c>
      <c r="Q206" s="14" t="s">
        <v>74</v>
      </c>
      <c r="R206" s="14" t="s">
        <v>75</v>
      </c>
      <c r="S206" s="14" t="s">
        <v>142</v>
      </c>
      <c r="T206" s="14" t="s">
        <v>39</v>
      </c>
      <c r="U206" s="14" t="s">
        <v>90</v>
      </c>
      <c r="V206" s="14" t="s">
        <v>220</v>
      </c>
      <c r="W206" s="14">
        <v>2.0</v>
      </c>
      <c r="X206" s="14">
        <v>2.0</v>
      </c>
      <c r="Y206" s="14">
        <v>4.0</v>
      </c>
      <c r="Z206" s="14">
        <v>3.0</v>
      </c>
      <c r="AA206" s="14">
        <v>2.0</v>
      </c>
      <c r="AB206" s="14">
        <v>0.0</v>
      </c>
      <c r="AC206" s="16">
        <v>2.3</v>
      </c>
      <c r="AD206" s="14"/>
      <c r="AE206" s="14" t="s">
        <v>122</v>
      </c>
      <c r="AF206" s="14"/>
      <c r="AG206" s="15"/>
      <c r="AH206" s="14"/>
      <c r="AI206" s="14"/>
      <c r="AJ206" s="15"/>
      <c r="AK206" s="14"/>
      <c r="AL206" s="14"/>
      <c r="AM206" s="14" t="s">
        <v>220</v>
      </c>
      <c r="AN206" s="14" t="s">
        <v>584</v>
      </c>
      <c r="AO206" s="14" t="s">
        <v>84</v>
      </c>
      <c r="AP206" s="14" t="s">
        <v>585</v>
      </c>
      <c r="AQ206" s="16">
        <v>0.0</v>
      </c>
      <c r="AR206" s="14" t="s">
        <v>196</v>
      </c>
    </row>
    <row r="207" ht="15.75" customHeight="1">
      <c r="A207" s="14" t="s">
        <v>39</v>
      </c>
      <c r="B207" s="14" t="s">
        <v>44</v>
      </c>
      <c r="C207" s="14" t="s">
        <v>102</v>
      </c>
      <c r="D207" s="14" t="s">
        <v>488</v>
      </c>
      <c r="E207" s="14" t="s">
        <v>150</v>
      </c>
      <c r="F207" s="14" t="s">
        <v>367</v>
      </c>
      <c r="G207" s="14" t="s">
        <v>69</v>
      </c>
      <c r="H207" s="14" t="s">
        <v>69</v>
      </c>
      <c r="I207" s="15" t="s">
        <v>122</v>
      </c>
      <c r="J207" s="14" t="s">
        <v>71</v>
      </c>
      <c r="K207" s="27">
        <v>3.0</v>
      </c>
      <c r="L207" s="27"/>
      <c r="M207" s="14"/>
      <c r="N207" s="14"/>
      <c r="O207" s="28"/>
      <c r="P207" s="14">
        <v>700.0</v>
      </c>
      <c r="Q207" s="14" t="s">
        <v>153</v>
      </c>
      <c r="R207" s="14" t="s">
        <v>75</v>
      </c>
      <c r="S207" s="14" t="s">
        <v>142</v>
      </c>
      <c r="T207" s="14" t="s">
        <v>39</v>
      </c>
      <c r="U207" s="14" t="s">
        <v>226</v>
      </c>
      <c r="V207" s="14" t="s">
        <v>368</v>
      </c>
      <c r="W207" s="14">
        <v>2.0</v>
      </c>
      <c r="X207" s="14">
        <v>1.0</v>
      </c>
      <c r="Y207" s="14">
        <v>4.0</v>
      </c>
      <c r="Z207" s="14">
        <v>3.0</v>
      </c>
      <c r="AA207" s="14">
        <v>2.0</v>
      </c>
      <c r="AB207" s="14">
        <v>0.0</v>
      </c>
      <c r="AC207" s="16">
        <v>2.1</v>
      </c>
      <c r="AD207" s="14"/>
      <c r="AE207" s="14" t="s">
        <v>122</v>
      </c>
      <c r="AF207" s="14"/>
      <c r="AG207" s="15"/>
      <c r="AH207" s="14"/>
      <c r="AI207" s="14"/>
      <c r="AJ207" s="15"/>
      <c r="AK207" s="14"/>
      <c r="AL207" s="14"/>
      <c r="AM207" s="14" t="s">
        <v>368</v>
      </c>
      <c r="AN207" s="14" t="s">
        <v>586</v>
      </c>
      <c r="AO207" s="14" t="s">
        <v>84</v>
      </c>
      <c r="AP207" s="14" t="s">
        <v>587</v>
      </c>
      <c r="AQ207" s="16">
        <v>0.0</v>
      </c>
      <c r="AR207" s="14" t="s">
        <v>196</v>
      </c>
    </row>
    <row r="208" ht="15.75" customHeight="1">
      <c r="A208" s="14" t="s">
        <v>39</v>
      </c>
      <c r="B208" s="14" t="s">
        <v>44</v>
      </c>
      <c r="C208" s="14" t="s">
        <v>102</v>
      </c>
      <c r="D208" s="14" t="s">
        <v>491</v>
      </c>
      <c r="E208" s="14" t="s">
        <v>181</v>
      </c>
      <c r="F208" s="14" t="s">
        <v>224</v>
      </c>
      <c r="G208" s="14" t="s">
        <v>69</v>
      </c>
      <c r="H208" s="14" t="s">
        <v>69</v>
      </c>
      <c r="I208" s="15" t="s">
        <v>122</v>
      </c>
      <c r="J208" s="14" t="s">
        <v>71</v>
      </c>
      <c r="K208" s="27">
        <v>3.0</v>
      </c>
      <c r="L208" s="27"/>
      <c r="M208" s="14"/>
      <c r="N208" s="14"/>
      <c r="O208" s="28"/>
      <c r="P208" s="14">
        <v>520.0</v>
      </c>
      <c r="Q208" s="14" t="s">
        <v>74</v>
      </c>
      <c r="R208" s="14" t="s">
        <v>75</v>
      </c>
      <c r="S208" s="14" t="s">
        <v>142</v>
      </c>
      <c r="T208" s="14" t="s">
        <v>39</v>
      </c>
      <c r="U208" s="14" t="s">
        <v>90</v>
      </c>
      <c r="V208" s="14" t="s">
        <v>225</v>
      </c>
      <c r="W208" s="14">
        <v>2.0</v>
      </c>
      <c r="X208" s="14">
        <v>2.0</v>
      </c>
      <c r="Y208" s="14">
        <v>4.0</v>
      </c>
      <c r="Z208" s="14">
        <v>3.0</v>
      </c>
      <c r="AA208" s="14">
        <v>2.0</v>
      </c>
      <c r="AB208" s="14">
        <v>0.0</v>
      </c>
      <c r="AC208" s="16">
        <v>2.3</v>
      </c>
      <c r="AD208" s="14"/>
      <c r="AE208" s="14" t="s">
        <v>122</v>
      </c>
      <c r="AF208" s="14"/>
      <c r="AG208" s="15"/>
      <c r="AH208" s="14"/>
      <c r="AI208" s="14"/>
      <c r="AJ208" s="15"/>
      <c r="AK208" s="14"/>
      <c r="AL208" s="14"/>
      <c r="AM208" s="14" t="s">
        <v>225</v>
      </c>
      <c r="AN208" s="14" t="s">
        <v>516</v>
      </c>
      <c r="AO208" s="14" t="s">
        <v>84</v>
      </c>
      <c r="AP208" s="14" t="s">
        <v>517</v>
      </c>
      <c r="AQ208" s="16">
        <v>0.0</v>
      </c>
      <c r="AR208" s="14" t="s">
        <v>196</v>
      </c>
    </row>
    <row r="209" ht="15.75" customHeight="1">
      <c r="A209" s="14" t="s">
        <v>39</v>
      </c>
      <c r="B209" s="14" t="s">
        <v>44</v>
      </c>
      <c r="C209" s="14" t="s">
        <v>102</v>
      </c>
      <c r="D209" s="14" t="s">
        <v>491</v>
      </c>
      <c r="E209" s="14" t="s">
        <v>181</v>
      </c>
      <c r="F209" s="14" t="s">
        <v>402</v>
      </c>
      <c r="G209" s="14" t="s">
        <v>69</v>
      </c>
      <c r="H209" s="14" t="s">
        <v>69</v>
      </c>
      <c r="I209" s="15" t="s">
        <v>122</v>
      </c>
      <c r="J209" s="14" t="s">
        <v>71</v>
      </c>
      <c r="K209" s="27">
        <v>3.0</v>
      </c>
      <c r="L209" s="27"/>
      <c r="M209" s="14"/>
      <c r="N209" s="14"/>
      <c r="O209" s="28"/>
      <c r="P209" s="14">
        <v>520.0</v>
      </c>
      <c r="Q209" s="14" t="s">
        <v>74</v>
      </c>
      <c r="R209" s="14" t="s">
        <v>75</v>
      </c>
      <c r="S209" s="14" t="s">
        <v>142</v>
      </c>
      <c r="T209" s="14" t="s">
        <v>39</v>
      </c>
      <c r="U209" s="14" t="s">
        <v>90</v>
      </c>
      <c r="V209" s="14" t="s">
        <v>403</v>
      </c>
      <c r="W209" s="14">
        <v>2.0</v>
      </c>
      <c r="X209" s="14">
        <v>2.0</v>
      </c>
      <c r="Y209" s="14">
        <v>4.0</v>
      </c>
      <c r="Z209" s="14">
        <v>3.0</v>
      </c>
      <c r="AA209" s="14">
        <v>2.0</v>
      </c>
      <c r="AB209" s="14">
        <v>0.0</v>
      </c>
      <c r="AC209" s="16">
        <v>2.3</v>
      </c>
      <c r="AD209" s="14"/>
      <c r="AE209" s="14" t="s">
        <v>122</v>
      </c>
      <c r="AF209" s="14"/>
      <c r="AG209" s="15"/>
      <c r="AH209" s="14"/>
      <c r="AI209" s="14"/>
      <c r="AJ209" s="15"/>
      <c r="AK209" s="14"/>
      <c r="AL209" s="14"/>
      <c r="AM209" s="14" t="s">
        <v>403</v>
      </c>
      <c r="AN209" s="14" t="s">
        <v>516</v>
      </c>
      <c r="AO209" s="14" t="s">
        <v>84</v>
      </c>
      <c r="AP209" s="14" t="s">
        <v>517</v>
      </c>
      <c r="AQ209" s="16">
        <v>0.0</v>
      </c>
      <c r="AR209" s="14" t="s">
        <v>196</v>
      </c>
    </row>
    <row r="210" ht="15.75" customHeight="1">
      <c r="A210" s="14" t="s">
        <v>39</v>
      </c>
      <c r="B210" s="14" t="s">
        <v>44</v>
      </c>
      <c r="C210" s="14" t="s">
        <v>102</v>
      </c>
      <c r="D210" s="14" t="s">
        <v>89</v>
      </c>
      <c r="E210" s="14" t="s">
        <v>106</v>
      </c>
      <c r="F210" s="14" t="s">
        <v>224</v>
      </c>
      <c r="G210" s="14" t="s">
        <v>69</v>
      </c>
      <c r="H210" s="14" t="s">
        <v>69</v>
      </c>
      <c r="I210" s="15" t="s">
        <v>122</v>
      </c>
      <c r="J210" s="14" t="s">
        <v>71</v>
      </c>
      <c r="K210" s="27">
        <v>3.0</v>
      </c>
      <c r="L210" s="27"/>
      <c r="M210" s="14"/>
      <c r="N210" s="14"/>
      <c r="O210" s="28"/>
      <c r="P210" s="14">
        <v>130.0</v>
      </c>
      <c r="Q210" s="14" t="s">
        <v>121</v>
      </c>
      <c r="R210" s="14" t="s">
        <v>75</v>
      </c>
      <c r="S210" s="14" t="s">
        <v>76</v>
      </c>
      <c r="T210" s="14" t="s">
        <v>39</v>
      </c>
      <c r="U210" s="14" t="s">
        <v>90</v>
      </c>
      <c r="V210" s="14" t="s">
        <v>225</v>
      </c>
      <c r="W210" s="14">
        <v>2.0</v>
      </c>
      <c r="X210" s="14">
        <v>5.0</v>
      </c>
      <c r="Y210" s="14">
        <v>4.0</v>
      </c>
      <c r="Z210" s="14">
        <v>3.0</v>
      </c>
      <c r="AA210" s="14">
        <v>4.0</v>
      </c>
      <c r="AB210" s="14">
        <v>0.0</v>
      </c>
      <c r="AC210" s="16">
        <v>2.9</v>
      </c>
      <c r="AD210" s="14"/>
      <c r="AE210" s="14" t="s">
        <v>122</v>
      </c>
      <c r="AF210" s="14"/>
      <c r="AG210" s="15"/>
      <c r="AH210" s="14"/>
      <c r="AI210" s="14"/>
      <c r="AJ210" s="15"/>
      <c r="AK210" s="14"/>
      <c r="AL210" s="14"/>
      <c r="AM210" s="14" t="s">
        <v>225</v>
      </c>
      <c r="AN210" s="14" t="s">
        <v>127</v>
      </c>
      <c r="AO210" s="14" t="s">
        <v>84</v>
      </c>
      <c r="AP210" s="14" t="s">
        <v>128</v>
      </c>
      <c r="AQ210" s="16">
        <v>0.0</v>
      </c>
      <c r="AR210" s="14" t="s">
        <v>196</v>
      </c>
    </row>
    <row r="211" ht="15.75" customHeight="1">
      <c r="A211" s="14" t="s">
        <v>39</v>
      </c>
      <c r="B211" s="14" t="s">
        <v>44</v>
      </c>
      <c r="C211" s="14" t="s">
        <v>102</v>
      </c>
      <c r="D211" s="14" t="s">
        <v>315</v>
      </c>
      <c r="E211" s="14" t="s">
        <v>240</v>
      </c>
      <c r="F211" s="14" t="s">
        <v>224</v>
      </c>
      <c r="G211" s="14" t="s">
        <v>69</v>
      </c>
      <c r="H211" s="14" t="s">
        <v>69</v>
      </c>
      <c r="I211" s="15" t="s">
        <v>122</v>
      </c>
      <c r="J211" s="14" t="s">
        <v>71</v>
      </c>
      <c r="K211" s="27">
        <v>3.0</v>
      </c>
      <c r="L211" s="27"/>
      <c r="M211" s="14"/>
      <c r="N211" s="14"/>
      <c r="O211" s="28"/>
      <c r="P211" s="14">
        <v>610.0</v>
      </c>
      <c r="Q211" s="14" t="s">
        <v>153</v>
      </c>
      <c r="R211" s="14" t="s">
        <v>75</v>
      </c>
      <c r="S211" s="14" t="s">
        <v>142</v>
      </c>
      <c r="T211" s="14" t="s">
        <v>39</v>
      </c>
      <c r="U211" s="14" t="s">
        <v>90</v>
      </c>
      <c r="V211" s="14" t="s">
        <v>225</v>
      </c>
      <c r="W211" s="14">
        <v>2.0</v>
      </c>
      <c r="X211" s="14">
        <v>1.0</v>
      </c>
      <c r="Y211" s="14">
        <v>4.0</v>
      </c>
      <c r="Z211" s="14">
        <v>3.0</v>
      </c>
      <c r="AA211" s="14">
        <v>2.0</v>
      </c>
      <c r="AB211" s="14">
        <v>0.0</v>
      </c>
      <c r="AC211" s="16">
        <v>2.1</v>
      </c>
      <c r="AD211" s="14"/>
      <c r="AE211" s="14" t="s">
        <v>122</v>
      </c>
      <c r="AF211" s="14"/>
      <c r="AG211" s="15"/>
      <c r="AH211" s="14"/>
      <c r="AI211" s="14"/>
      <c r="AJ211" s="15"/>
      <c r="AK211" s="14"/>
      <c r="AL211" s="14"/>
      <c r="AM211" s="14" t="s">
        <v>225</v>
      </c>
      <c r="AN211" s="14" t="s">
        <v>356</v>
      </c>
      <c r="AO211" s="14" t="s">
        <v>84</v>
      </c>
      <c r="AP211" s="14" t="s">
        <v>357</v>
      </c>
      <c r="AQ211" s="16">
        <v>0.0</v>
      </c>
      <c r="AR211" s="14" t="s">
        <v>196</v>
      </c>
    </row>
    <row r="212" ht="15.75" customHeight="1">
      <c r="A212" s="14" t="s">
        <v>39</v>
      </c>
      <c r="B212" s="14" t="s">
        <v>44</v>
      </c>
      <c r="C212" s="14" t="s">
        <v>102</v>
      </c>
      <c r="D212" s="14" t="s">
        <v>494</v>
      </c>
      <c r="E212" s="14" t="s">
        <v>271</v>
      </c>
      <c r="F212" s="14" t="s">
        <v>538</v>
      </c>
      <c r="G212" s="14" t="s">
        <v>69</v>
      </c>
      <c r="H212" s="14" t="s">
        <v>39</v>
      </c>
      <c r="I212" s="15" t="s">
        <v>122</v>
      </c>
      <c r="J212" s="14" t="s">
        <v>71</v>
      </c>
      <c r="K212" s="27">
        <v>0.0</v>
      </c>
      <c r="L212" s="27">
        <v>0.0</v>
      </c>
      <c r="M212" s="14"/>
      <c r="N212" s="14"/>
      <c r="O212" s="28"/>
      <c r="P212" s="14">
        <v>570.0</v>
      </c>
      <c r="Q212" s="14" t="s">
        <v>74</v>
      </c>
      <c r="R212" s="14" t="s">
        <v>75</v>
      </c>
      <c r="S212" s="14" t="s">
        <v>142</v>
      </c>
      <c r="T212" s="14" t="s">
        <v>39</v>
      </c>
      <c r="U212" s="14" t="s">
        <v>232</v>
      </c>
      <c r="V212" s="14" t="s">
        <v>539</v>
      </c>
      <c r="W212" s="14">
        <v>2.0</v>
      </c>
      <c r="X212" s="14">
        <v>2.0</v>
      </c>
      <c r="Y212" s="14">
        <v>1.0</v>
      </c>
      <c r="Z212" s="14">
        <v>3.0</v>
      </c>
      <c r="AA212" s="14">
        <v>2.0</v>
      </c>
      <c r="AB212" s="14">
        <v>0.0</v>
      </c>
      <c r="AC212" s="16">
        <v>1.6</v>
      </c>
      <c r="AD212" s="14">
        <v>0.0</v>
      </c>
      <c r="AE212" s="14" t="s">
        <v>122</v>
      </c>
      <c r="AF212" s="14"/>
      <c r="AG212" s="15"/>
      <c r="AH212" s="14"/>
      <c r="AI212" s="14"/>
      <c r="AJ212" s="15"/>
      <c r="AK212" s="14"/>
      <c r="AL212" s="14"/>
      <c r="AM212" s="14" t="s">
        <v>539</v>
      </c>
      <c r="AN212" s="14" t="s">
        <v>519</v>
      </c>
      <c r="AO212" s="14" t="s">
        <v>84</v>
      </c>
      <c r="AP212" s="14" t="s">
        <v>520</v>
      </c>
      <c r="AQ212" s="16">
        <v>0.0</v>
      </c>
      <c r="AR212" s="14" t="s">
        <v>196</v>
      </c>
    </row>
    <row r="213" ht="15.75" customHeight="1">
      <c r="A213" s="14" t="s">
        <v>39</v>
      </c>
      <c r="B213" s="14" t="s">
        <v>44</v>
      </c>
      <c r="C213" s="14" t="s">
        <v>102</v>
      </c>
      <c r="D213" s="14" t="s">
        <v>190</v>
      </c>
      <c r="E213" s="14" t="s">
        <v>202</v>
      </c>
      <c r="F213" s="14" t="s">
        <v>224</v>
      </c>
      <c r="G213" s="14" t="s">
        <v>69</v>
      </c>
      <c r="H213" s="14" t="s">
        <v>69</v>
      </c>
      <c r="I213" s="15" t="s">
        <v>122</v>
      </c>
      <c r="J213" s="14" t="s">
        <v>71</v>
      </c>
      <c r="K213" s="27">
        <v>3.0</v>
      </c>
      <c r="L213" s="27"/>
      <c r="M213" s="14"/>
      <c r="N213" s="14"/>
      <c r="O213" s="28"/>
      <c r="P213" s="14">
        <v>500.0</v>
      </c>
      <c r="Q213" s="14" t="s">
        <v>74</v>
      </c>
      <c r="R213" s="14" t="s">
        <v>75</v>
      </c>
      <c r="S213" s="14" t="s">
        <v>142</v>
      </c>
      <c r="T213" s="14" t="s">
        <v>39</v>
      </c>
      <c r="U213" s="14" t="s">
        <v>90</v>
      </c>
      <c r="V213" s="14" t="s">
        <v>225</v>
      </c>
      <c r="W213" s="14">
        <v>2.0</v>
      </c>
      <c r="X213" s="14">
        <v>2.0</v>
      </c>
      <c r="Y213" s="14">
        <v>4.0</v>
      </c>
      <c r="Z213" s="14">
        <v>3.0</v>
      </c>
      <c r="AA213" s="14">
        <v>2.0</v>
      </c>
      <c r="AB213" s="14">
        <v>0.0</v>
      </c>
      <c r="AC213" s="16">
        <v>2.3</v>
      </c>
      <c r="AD213" s="14"/>
      <c r="AE213" s="14" t="s">
        <v>122</v>
      </c>
      <c r="AF213" s="14"/>
      <c r="AG213" s="15"/>
      <c r="AH213" s="14"/>
      <c r="AI213" s="14"/>
      <c r="AJ213" s="15"/>
      <c r="AK213" s="14"/>
      <c r="AL213" s="14"/>
      <c r="AM213" s="14" t="s">
        <v>225</v>
      </c>
      <c r="AN213" s="14" t="s">
        <v>238</v>
      </c>
      <c r="AO213" s="14" t="s">
        <v>84</v>
      </c>
      <c r="AP213" s="14" t="s">
        <v>239</v>
      </c>
      <c r="AQ213" s="16">
        <v>0.0</v>
      </c>
      <c r="AR213" s="14" t="s">
        <v>196</v>
      </c>
    </row>
    <row r="214" ht="15.75" customHeight="1">
      <c r="A214" s="14" t="s">
        <v>39</v>
      </c>
      <c r="B214" s="14" t="s">
        <v>44</v>
      </c>
      <c r="C214" s="14" t="s">
        <v>102</v>
      </c>
      <c r="D214" s="14" t="s">
        <v>193</v>
      </c>
      <c r="E214" s="14" t="s">
        <v>240</v>
      </c>
      <c r="F214" s="14" t="s">
        <v>219</v>
      </c>
      <c r="G214" s="14" t="s">
        <v>69</v>
      </c>
      <c r="H214" s="14" t="s">
        <v>69</v>
      </c>
      <c r="I214" s="15" t="s">
        <v>122</v>
      </c>
      <c r="J214" s="14" t="s">
        <v>71</v>
      </c>
      <c r="K214" s="27">
        <v>3.0</v>
      </c>
      <c r="L214" s="27"/>
      <c r="M214" s="14"/>
      <c r="N214" s="14"/>
      <c r="O214" s="28"/>
      <c r="P214" s="14">
        <v>610.0</v>
      </c>
      <c r="Q214" s="14" t="s">
        <v>153</v>
      </c>
      <c r="R214" s="14" t="s">
        <v>75</v>
      </c>
      <c r="S214" s="14" t="s">
        <v>142</v>
      </c>
      <c r="T214" s="14" t="s">
        <v>39</v>
      </c>
      <c r="U214" s="14" t="s">
        <v>90</v>
      </c>
      <c r="V214" s="14" t="s">
        <v>220</v>
      </c>
      <c r="W214" s="14">
        <v>2.0</v>
      </c>
      <c r="X214" s="14">
        <v>1.0</v>
      </c>
      <c r="Y214" s="14">
        <v>4.0</v>
      </c>
      <c r="Z214" s="14">
        <v>3.0</v>
      </c>
      <c r="AA214" s="14">
        <v>2.0</v>
      </c>
      <c r="AB214" s="14">
        <v>0.0</v>
      </c>
      <c r="AC214" s="16">
        <v>2.1</v>
      </c>
      <c r="AD214" s="14"/>
      <c r="AE214" s="14" t="s">
        <v>122</v>
      </c>
      <c r="AF214" s="14"/>
      <c r="AG214" s="15"/>
      <c r="AH214" s="14"/>
      <c r="AI214" s="14"/>
      <c r="AJ214" s="15"/>
      <c r="AK214" s="14"/>
      <c r="AL214" s="14"/>
      <c r="AM214" s="14" t="s">
        <v>220</v>
      </c>
      <c r="AN214" s="14" t="s">
        <v>244</v>
      </c>
      <c r="AO214" s="14" t="s">
        <v>84</v>
      </c>
      <c r="AP214" s="14" t="s">
        <v>245</v>
      </c>
      <c r="AQ214" s="16">
        <v>0.0</v>
      </c>
      <c r="AR214" s="14" t="s">
        <v>196</v>
      </c>
    </row>
    <row r="215" ht="15.75" customHeight="1">
      <c r="A215" s="14" t="s">
        <v>39</v>
      </c>
      <c r="B215" s="14" t="s">
        <v>44</v>
      </c>
      <c r="C215" s="14" t="s">
        <v>102</v>
      </c>
      <c r="D215" s="14" t="s">
        <v>320</v>
      </c>
      <c r="E215" s="14" t="s">
        <v>271</v>
      </c>
      <c r="F215" s="14" t="s">
        <v>367</v>
      </c>
      <c r="G215" s="14" t="s">
        <v>69</v>
      </c>
      <c r="H215" s="14" t="s">
        <v>69</v>
      </c>
      <c r="I215" s="15" t="s">
        <v>122</v>
      </c>
      <c r="J215" s="14" t="s">
        <v>71</v>
      </c>
      <c r="K215" s="27">
        <v>3.0</v>
      </c>
      <c r="L215" s="27"/>
      <c r="M215" s="14"/>
      <c r="N215" s="14"/>
      <c r="O215" s="28"/>
      <c r="P215" s="14">
        <v>570.0</v>
      </c>
      <c r="Q215" s="14" t="s">
        <v>74</v>
      </c>
      <c r="R215" s="14" t="s">
        <v>75</v>
      </c>
      <c r="S215" s="14" t="s">
        <v>142</v>
      </c>
      <c r="T215" s="14" t="s">
        <v>39</v>
      </c>
      <c r="U215" s="14" t="s">
        <v>226</v>
      </c>
      <c r="V215" s="14" t="s">
        <v>368</v>
      </c>
      <c r="W215" s="14">
        <v>2.0</v>
      </c>
      <c r="X215" s="14">
        <v>2.0</v>
      </c>
      <c r="Y215" s="14">
        <v>4.0</v>
      </c>
      <c r="Z215" s="14">
        <v>3.0</v>
      </c>
      <c r="AA215" s="14">
        <v>2.0</v>
      </c>
      <c r="AB215" s="14">
        <v>0.0</v>
      </c>
      <c r="AC215" s="16">
        <v>2.3</v>
      </c>
      <c r="AD215" s="14"/>
      <c r="AE215" s="14" t="s">
        <v>122</v>
      </c>
      <c r="AF215" s="14"/>
      <c r="AG215" s="15"/>
      <c r="AH215" s="14"/>
      <c r="AI215" s="14"/>
      <c r="AJ215" s="15"/>
      <c r="AK215" s="14"/>
      <c r="AL215" s="14"/>
      <c r="AM215" s="14" t="s">
        <v>368</v>
      </c>
      <c r="AN215" s="14" t="s">
        <v>453</v>
      </c>
      <c r="AO215" s="14" t="s">
        <v>84</v>
      </c>
      <c r="AP215" s="14" t="s">
        <v>454</v>
      </c>
      <c r="AQ215" s="16">
        <v>0.0</v>
      </c>
      <c r="AR215" s="14" t="s">
        <v>196</v>
      </c>
    </row>
    <row r="216" ht="15.75" customHeight="1">
      <c r="A216" s="14" t="s">
        <v>39</v>
      </c>
      <c r="B216" s="14" t="s">
        <v>44</v>
      </c>
      <c r="C216" s="14" t="s">
        <v>102</v>
      </c>
      <c r="D216" s="14" t="s">
        <v>323</v>
      </c>
      <c r="E216" s="14" t="s">
        <v>271</v>
      </c>
      <c r="F216" s="14" t="s">
        <v>367</v>
      </c>
      <c r="G216" s="14" t="s">
        <v>69</v>
      </c>
      <c r="H216" s="14" t="s">
        <v>69</v>
      </c>
      <c r="I216" s="15" t="s">
        <v>122</v>
      </c>
      <c r="J216" s="14" t="s">
        <v>71</v>
      </c>
      <c r="K216" s="27">
        <v>3.0</v>
      </c>
      <c r="L216" s="27"/>
      <c r="M216" s="14"/>
      <c r="N216" s="14"/>
      <c r="O216" s="28"/>
      <c r="P216" s="14">
        <v>570.0</v>
      </c>
      <c r="Q216" s="14" t="s">
        <v>74</v>
      </c>
      <c r="R216" s="14" t="s">
        <v>75</v>
      </c>
      <c r="S216" s="14" t="s">
        <v>142</v>
      </c>
      <c r="T216" s="14" t="s">
        <v>39</v>
      </c>
      <c r="U216" s="14" t="s">
        <v>226</v>
      </c>
      <c r="V216" s="14" t="s">
        <v>368</v>
      </c>
      <c r="W216" s="14">
        <v>2.0</v>
      </c>
      <c r="X216" s="14">
        <v>2.0</v>
      </c>
      <c r="Y216" s="14">
        <v>4.0</v>
      </c>
      <c r="Z216" s="14">
        <v>3.0</v>
      </c>
      <c r="AA216" s="14">
        <v>2.0</v>
      </c>
      <c r="AB216" s="14">
        <v>0.0</v>
      </c>
      <c r="AC216" s="16">
        <v>2.3</v>
      </c>
      <c r="AD216" s="14"/>
      <c r="AE216" s="14" t="s">
        <v>122</v>
      </c>
      <c r="AF216" s="14"/>
      <c r="AG216" s="15"/>
      <c r="AH216" s="14"/>
      <c r="AI216" s="14"/>
      <c r="AJ216" s="15"/>
      <c r="AK216" s="14"/>
      <c r="AL216" s="14"/>
      <c r="AM216" s="14" t="s">
        <v>368</v>
      </c>
      <c r="AN216" s="14" t="s">
        <v>460</v>
      </c>
      <c r="AO216" s="14" t="s">
        <v>84</v>
      </c>
      <c r="AP216" s="14" t="s">
        <v>461</v>
      </c>
      <c r="AQ216" s="16">
        <v>0.0</v>
      </c>
      <c r="AR216" s="14" t="s">
        <v>196</v>
      </c>
    </row>
    <row r="217" ht="15.75" customHeight="1">
      <c r="A217" s="14" t="s">
        <v>39</v>
      </c>
      <c r="B217" s="14" t="s">
        <v>44</v>
      </c>
      <c r="C217" s="14" t="s">
        <v>102</v>
      </c>
      <c r="D217" s="14" t="s">
        <v>324</v>
      </c>
      <c r="E217" s="14" t="s">
        <v>271</v>
      </c>
      <c r="F217" s="14" t="s">
        <v>367</v>
      </c>
      <c r="G217" s="14" t="s">
        <v>69</v>
      </c>
      <c r="H217" s="14" t="s">
        <v>69</v>
      </c>
      <c r="I217" s="15" t="s">
        <v>122</v>
      </c>
      <c r="J217" s="14" t="s">
        <v>71</v>
      </c>
      <c r="K217" s="27">
        <v>3.0</v>
      </c>
      <c r="L217" s="27"/>
      <c r="M217" s="14"/>
      <c r="N217" s="14"/>
      <c r="O217" s="28"/>
      <c r="P217" s="14">
        <v>570.0</v>
      </c>
      <c r="Q217" s="14" t="s">
        <v>74</v>
      </c>
      <c r="R217" s="14" t="s">
        <v>75</v>
      </c>
      <c r="S217" s="14" t="s">
        <v>142</v>
      </c>
      <c r="T217" s="14" t="s">
        <v>39</v>
      </c>
      <c r="U217" s="14" t="s">
        <v>226</v>
      </c>
      <c r="V217" s="14" t="s">
        <v>368</v>
      </c>
      <c r="W217" s="14">
        <v>2.0</v>
      </c>
      <c r="X217" s="14">
        <v>2.0</v>
      </c>
      <c r="Y217" s="14">
        <v>4.0</v>
      </c>
      <c r="Z217" s="14">
        <v>3.0</v>
      </c>
      <c r="AA217" s="14">
        <v>2.0</v>
      </c>
      <c r="AB217" s="14">
        <v>0.0</v>
      </c>
      <c r="AC217" s="16">
        <v>2.3</v>
      </c>
      <c r="AD217" s="14"/>
      <c r="AE217" s="14" t="s">
        <v>122</v>
      </c>
      <c r="AF217" s="14"/>
      <c r="AG217" s="15"/>
      <c r="AH217" s="14"/>
      <c r="AI217" s="14"/>
      <c r="AJ217" s="15"/>
      <c r="AK217" s="14"/>
      <c r="AL217" s="14"/>
      <c r="AM217" s="14" t="s">
        <v>368</v>
      </c>
      <c r="AN217" s="14" t="s">
        <v>462</v>
      </c>
      <c r="AO217" s="14" t="s">
        <v>84</v>
      </c>
      <c r="AP217" s="14" t="s">
        <v>463</v>
      </c>
      <c r="AQ217" s="16">
        <v>0.0</v>
      </c>
      <c r="AR217" s="14" t="s">
        <v>196</v>
      </c>
    </row>
    <row r="218" ht="15.75" customHeight="1">
      <c r="A218" s="14" t="s">
        <v>39</v>
      </c>
      <c r="B218" s="14" t="s">
        <v>44</v>
      </c>
      <c r="C218" s="14" t="s">
        <v>102</v>
      </c>
      <c r="D218" s="14" t="s">
        <v>325</v>
      </c>
      <c r="E218" s="14" t="s">
        <v>271</v>
      </c>
      <c r="F218" s="14" t="s">
        <v>367</v>
      </c>
      <c r="G218" s="14" t="s">
        <v>69</v>
      </c>
      <c r="H218" s="14" t="s">
        <v>69</v>
      </c>
      <c r="I218" s="15" t="s">
        <v>122</v>
      </c>
      <c r="J218" s="14" t="s">
        <v>71</v>
      </c>
      <c r="K218" s="27">
        <v>3.0</v>
      </c>
      <c r="L218" s="27"/>
      <c r="M218" s="14"/>
      <c r="N218" s="14"/>
      <c r="O218" s="28"/>
      <c r="P218" s="14">
        <v>570.0</v>
      </c>
      <c r="Q218" s="14" t="s">
        <v>74</v>
      </c>
      <c r="R218" s="14" t="s">
        <v>75</v>
      </c>
      <c r="S218" s="14" t="s">
        <v>142</v>
      </c>
      <c r="T218" s="14" t="s">
        <v>39</v>
      </c>
      <c r="U218" s="14" t="s">
        <v>226</v>
      </c>
      <c r="V218" s="14" t="s">
        <v>368</v>
      </c>
      <c r="W218" s="14">
        <v>2.0</v>
      </c>
      <c r="X218" s="14">
        <v>2.0</v>
      </c>
      <c r="Y218" s="14">
        <v>4.0</v>
      </c>
      <c r="Z218" s="14">
        <v>3.0</v>
      </c>
      <c r="AA218" s="14">
        <v>2.0</v>
      </c>
      <c r="AB218" s="14">
        <v>0.0</v>
      </c>
      <c r="AC218" s="16">
        <v>2.3</v>
      </c>
      <c r="AD218" s="14"/>
      <c r="AE218" s="14" t="s">
        <v>122</v>
      </c>
      <c r="AF218" s="14"/>
      <c r="AG218" s="15"/>
      <c r="AH218" s="14"/>
      <c r="AI218" s="14"/>
      <c r="AJ218" s="15"/>
      <c r="AK218" s="14"/>
      <c r="AL218" s="14"/>
      <c r="AM218" s="14" t="s">
        <v>368</v>
      </c>
      <c r="AN218" s="14" t="s">
        <v>464</v>
      </c>
      <c r="AO218" s="14" t="s">
        <v>84</v>
      </c>
      <c r="AP218" s="14" t="s">
        <v>465</v>
      </c>
      <c r="AQ218" s="16">
        <v>0.0</v>
      </c>
      <c r="AR218" s="14" t="s">
        <v>196</v>
      </c>
    </row>
    <row r="219" ht="15.75" customHeight="1">
      <c r="A219" s="14" t="s">
        <v>39</v>
      </c>
      <c r="B219" s="14" t="s">
        <v>44</v>
      </c>
      <c r="C219" s="14" t="s">
        <v>102</v>
      </c>
      <c r="D219" s="14" t="s">
        <v>326</v>
      </c>
      <c r="E219" s="14" t="s">
        <v>271</v>
      </c>
      <c r="F219" s="14" t="s">
        <v>216</v>
      </c>
      <c r="G219" s="14" t="s">
        <v>69</v>
      </c>
      <c r="H219" s="14" t="s">
        <v>69</v>
      </c>
      <c r="I219" s="15" t="s">
        <v>122</v>
      </c>
      <c r="J219" s="14" t="s">
        <v>71</v>
      </c>
      <c r="K219" s="27">
        <v>0.0</v>
      </c>
      <c r="L219" s="27">
        <v>0.0</v>
      </c>
      <c r="M219" s="14"/>
      <c r="N219" s="14"/>
      <c r="O219" s="28"/>
      <c r="P219" s="14">
        <v>570.0</v>
      </c>
      <c r="Q219" s="14" t="s">
        <v>74</v>
      </c>
      <c r="R219" s="14" t="s">
        <v>75</v>
      </c>
      <c r="S219" s="14" t="s">
        <v>142</v>
      </c>
      <c r="T219" s="14" t="s">
        <v>39</v>
      </c>
      <c r="U219" s="14" t="s">
        <v>232</v>
      </c>
      <c r="V219" s="14" t="s">
        <v>217</v>
      </c>
      <c r="W219" s="14">
        <v>2.0</v>
      </c>
      <c r="X219" s="14">
        <v>2.0</v>
      </c>
      <c r="Y219" s="14">
        <v>4.0</v>
      </c>
      <c r="Z219" s="14">
        <v>3.0</v>
      </c>
      <c r="AA219" s="14">
        <v>2.0</v>
      </c>
      <c r="AB219" s="14">
        <v>0.0</v>
      </c>
      <c r="AC219" s="16">
        <v>2.3</v>
      </c>
      <c r="AD219" s="14">
        <v>0.0</v>
      </c>
      <c r="AE219" s="14" t="s">
        <v>122</v>
      </c>
      <c r="AF219" s="14"/>
      <c r="AG219" s="15"/>
      <c r="AH219" s="14"/>
      <c r="AI219" s="14"/>
      <c r="AJ219" s="15"/>
      <c r="AK219" s="14"/>
      <c r="AL219" s="14"/>
      <c r="AM219" s="14" t="s">
        <v>217</v>
      </c>
      <c r="AN219" s="14" t="s">
        <v>358</v>
      </c>
      <c r="AO219" s="14" t="s">
        <v>84</v>
      </c>
      <c r="AP219" s="14" t="s">
        <v>359</v>
      </c>
      <c r="AQ219" s="16">
        <v>0.0</v>
      </c>
      <c r="AR219" s="14" t="s">
        <v>196</v>
      </c>
    </row>
    <row r="220" ht="15.75" customHeight="1">
      <c r="A220" s="14" t="s">
        <v>39</v>
      </c>
      <c r="B220" s="14" t="s">
        <v>44</v>
      </c>
      <c r="C220" s="14" t="s">
        <v>102</v>
      </c>
      <c r="D220" s="14" t="s">
        <v>326</v>
      </c>
      <c r="E220" s="14" t="s">
        <v>271</v>
      </c>
      <c r="F220" s="14" t="s">
        <v>224</v>
      </c>
      <c r="G220" s="14" t="s">
        <v>69</v>
      </c>
      <c r="H220" s="14" t="s">
        <v>69</v>
      </c>
      <c r="I220" s="15" t="s">
        <v>122</v>
      </c>
      <c r="J220" s="14" t="s">
        <v>71</v>
      </c>
      <c r="K220" s="27">
        <v>3.0</v>
      </c>
      <c r="L220" s="27"/>
      <c r="M220" s="14"/>
      <c r="N220" s="14"/>
      <c r="O220" s="28"/>
      <c r="P220" s="14">
        <v>570.0</v>
      </c>
      <c r="Q220" s="14" t="s">
        <v>74</v>
      </c>
      <c r="R220" s="14" t="s">
        <v>75</v>
      </c>
      <c r="S220" s="14" t="s">
        <v>142</v>
      </c>
      <c r="T220" s="14" t="s">
        <v>39</v>
      </c>
      <c r="U220" s="14" t="s">
        <v>90</v>
      </c>
      <c r="V220" s="14" t="s">
        <v>225</v>
      </c>
      <c r="W220" s="14">
        <v>2.0</v>
      </c>
      <c r="X220" s="14">
        <v>2.0</v>
      </c>
      <c r="Y220" s="14">
        <v>4.0</v>
      </c>
      <c r="Z220" s="14">
        <v>3.0</v>
      </c>
      <c r="AA220" s="14">
        <v>2.0</v>
      </c>
      <c r="AB220" s="14">
        <v>0.0</v>
      </c>
      <c r="AC220" s="16">
        <v>2.3</v>
      </c>
      <c r="AD220" s="14"/>
      <c r="AE220" s="14" t="s">
        <v>122</v>
      </c>
      <c r="AF220" s="14"/>
      <c r="AG220" s="15"/>
      <c r="AH220" s="14"/>
      <c r="AI220" s="14"/>
      <c r="AJ220" s="15"/>
      <c r="AK220" s="14"/>
      <c r="AL220" s="14"/>
      <c r="AM220" s="14" t="s">
        <v>225</v>
      </c>
      <c r="AN220" s="14" t="s">
        <v>358</v>
      </c>
      <c r="AO220" s="14" t="s">
        <v>84</v>
      </c>
      <c r="AP220" s="14" t="s">
        <v>359</v>
      </c>
      <c r="AQ220" s="16">
        <v>0.0</v>
      </c>
      <c r="AR220" s="14" t="s">
        <v>196</v>
      </c>
    </row>
    <row r="221" ht="15.75" customHeight="1">
      <c r="A221" s="14" t="s">
        <v>39</v>
      </c>
      <c r="B221" s="14" t="s">
        <v>44</v>
      </c>
      <c r="C221" s="14" t="s">
        <v>102</v>
      </c>
      <c r="D221" s="14" t="s">
        <v>498</v>
      </c>
      <c r="E221" s="14" t="s">
        <v>186</v>
      </c>
      <c r="F221" s="14" t="s">
        <v>224</v>
      </c>
      <c r="G221" s="14" t="s">
        <v>69</v>
      </c>
      <c r="H221" s="14" t="s">
        <v>69</v>
      </c>
      <c r="I221" s="15" t="s">
        <v>122</v>
      </c>
      <c r="J221" s="14" t="s">
        <v>71</v>
      </c>
      <c r="K221" s="27">
        <v>3.0</v>
      </c>
      <c r="L221" s="27"/>
      <c r="M221" s="14"/>
      <c r="N221" s="14"/>
      <c r="O221" s="28"/>
      <c r="P221" s="14">
        <v>360.0</v>
      </c>
      <c r="Q221" s="14" t="s">
        <v>140</v>
      </c>
      <c r="R221" s="14" t="s">
        <v>75</v>
      </c>
      <c r="S221" s="14" t="s">
        <v>142</v>
      </c>
      <c r="T221" s="14" t="s">
        <v>39</v>
      </c>
      <c r="U221" s="14" t="s">
        <v>90</v>
      </c>
      <c r="V221" s="14" t="s">
        <v>225</v>
      </c>
      <c r="W221" s="14">
        <v>2.0</v>
      </c>
      <c r="X221" s="14">
        <v>3.0</v>
      </c>
      <c r="Y221" s="14">
        <v>4.0</v>
      </c>
      <c r="Z221" s="14">
        <v>3.0</v>
      </c>
      <c r="AA221" s="14">
        <v>2.0</v>
      </c>
      <c r="AB221" s="14">
        <v>0.0</v>
      </c>
      <c r="AC221" s="16">
        <v>2.5</v>
      </c>
      <c r="AD221" s="14"/>
      <c r="AE221" s="14" t="s">
        <v>122</v>
      </c>
      <c r="AF221" s="14"/>
      <c r="AG221" s="15"/>
      <c r="AH221" s="14"/>
      <c r="AI221" s="14"/>
      <c r="AJ221" s="15"/>
      <c r="AK221" s="14"/>
      <c r="AL221" s="14"/>
      <c r="AM221" s="14" t="s">
        <v>225</v>
      </c>
      <c r="AN221" s="14" t="s">
        <v>588</v>
      </c>
      <c r="AO221" s="14" t="s">
        <v>84</v>
      </c>
      <c r="AP221" s="14" t="s">
        <v>589</v>
      </c>
      <c r="AQ221" s="16">
        <v>0.0</v>
      </c>
      <c r="AR221" s="14" t="s">
        <v>196</v>
      </c>
    </row>
    <row r="222" ht="15.75" customHeight="1">
      <c r="A222" s="14" t="s">
        <v>39</v>
      </c>
      <c r="B222" s="14" t="s">
        <v>44</v>
      </c>
      <c r="C222" s="14" t="s">
        <v>102</v>
      </c>
      <c r="D222" s="14" t="s">
        <v>331</v>
      </c>
      <c r="E222" s="14" t="s">
        <v>181</v>
      </c>
      <c r="F222" s="14" t="s">
        <v>219</v>
      </c>
      <c r="G222" s="14" t="s">
        <v>69</v>
      </c>
      <c r="H222" s="14" t="s">
        <v>69</v>
      </c>
      <c r="I222" s="15" t="s">
        <v>122</v>
      </c>
      <c r="J222" s="14" t="s">
        <v>71</v>
      </c>
      <c r="K222" s="27">
        <v>3.0</v>
      </c>
      <c r="L222" s="27"/>
      <c r="M222" s="14"/>
      <c r="N222" s="14"/>
      <c r="O222" s="28"/>
      <c r="P222" s="14">
        <v>520.0</v>
      </c>
      <c r="Q222" s="14" t="s">
        <v>74</v>
      </c>
      <c r="R222" s="14" t="s">
        <v>75</v>
      </c>
      <c r="S222" s="14" t="s">
        <v>142</v>
      </c>
      <c r="T222" s="14" t="s">
        <v>39</v>
      </c>
      <c r="U222" s="14" t="s">
        <v>90</v>
      </c>
      <c r="V222" s="14" t="s">
        <v>220</v>
      </c>
      <c r="W222" s="14">
        <v>2.0</v>
      </c>
      <c r="X222" s="14">
        <v>2.0</v>
      </c>
      <c r="Y222" s="14">
        <v>4.0</v>
      </c>
      <c r="Z222" s="14">
        <v>3.0</v>
      </c>
      <c r="AA222" s="14">
        <v>2.0</v>
      </c>
      <c r="AB222" s="14">
        <v>0.0</v>
      </c>
      <c r="AC222" s="16">
        <v>2.3</v>
      </c>
      <c r="AD222" s="14"/>
      <c r="AE222" s="14" t="s">
        <v>122</v>
      </c>
      <c r="AF222" s="14"/>
      <c r="AG222" s="15"/>
      <c r="AH222" s="14"/>
      <c r="AI222" s="14"/>
      <c r="AJ222" s="15"/>
      <c r="AK222" s="14"/>
      <c r="AL222" s="14"/>
      <c r="AM222" s="14" t="s">
        <v>220</v>
      </c>
      <c r="AN222" s="14" t="s">
        <v>360</v>
      </c>
      <c r="AO222" s="14" t="s">
        <v>84</v>
      </c>
      <c r="AP222" s="14" t="s">
        <v>361</v>
      </c>
      <c r="AQ222" s="16">
        <v>0.0</v>
      </c>
      <c r="AR222" s="14" t="s">
        <v>196</v>
      </c>
    </row>
    <row r="223" ht="15.75" customHeight="1">
      <c r="A223" s="14" t="s">
        <v>39</v>
      </c>
      <c r="B223" s="14" t="s">
        <v>44</v>
      </c>
      <c r="C223" s="14" t="s">
        <v>102</v>
      </c>
      <c r="D223" s="14" t="s">
        <v>500</v>
      </c>
      <c r="E223" s="14" t="s">
        <v>181</v>
      </c>
      <c r="F223" s="14" t="s">
        <v>224</v>
      </c>
      <c r="G223" s="14" t="s">
        <v>69</v>
      </c>
      <c r="H223" s="14" t="s">
        <v>69</v>
      </c>
      <c r="I223" s="15" t="s">
        <v>122</v>
      </c>
      <c r="J223" s="14" t="s">
        <v>71</v>
      </c>
      <c r="K223" s="27">
        <v>3.0</v>
      </c>
      <c r="L223" s="27"/>
      <c r="M223" s="14"/>
      <c r="N223" s="14"/>
      <c r="O223" s="28"/>
      <c r="P223" s="14">
        <v>520.0</v>
      </c>
      <c r="Q223" s="14" t="s">
        <v>74</v>
      </c>
      <c r="R223" s="14" t="s">
        <v>75</v>
      </c>
      <c r="S223" s="14" t="s">
        <v>142</v>
      </c>
      <c r="T223" s="14" t="s">
        <v>39</v>
      </c>
      <c r="U223" s="14" t="s">
        <v>90</v>
      </c>
      <c r="V223" s="14" t="s">
        <v>225</v>
      </c>
      <c r="W223" s="14">
        <v>2.0</v>
      </c>
      <c r="X223" s="14">
        <v>2.0</v>
      </c>
      <c r="Y223" s="14">
        <v>4.0</v>
      </c>
      <c r="Z223" s="14">
        <v>3.0</v>
      </c>
      <c r="AA223" s="14">
        <v>2.0</v>
      </c>
      <c r="AB223" s="14">
        <v>0.0</v>
      </c>
      <c r="AC223" s="16">
        <v>2.3</v>
      </c>
      <c r="AD223" s="14"/>
      <c r="AE223" s="14" t="s">
        <v>122</v>
      </c>
      <c r="AF223" s="14"/>
      <c r="AG223" s="15"/>
      <c r="AH223" s="14"/>
      <c r="AI223" s="14"/>
      <c r="AJ223" s="15"/>
      <c r="AK223" s="14"/>
      <c r="AL223" s="14"/>
      <c r="AM223" s="14" t="s">
        <v>225</v>
      </c>
      <c r="AN223" s="14" t="s">
        <v>590</v>
      </c>
      <c r="AO223" s="14" t="s">
        <v>84</v>
      </c>
      <c r="AP223" s="14" t="s">
        <v>591</v>
      </c>
      <c r="AQ223" s="16">
        <v>0.0</v>
      </c>
      <c r="AR223" s="14" t="s">
        <v>196</v>
      </c>
    </row>
    <row r="224" ht="15.75" customHeight="1">
      <c r="A224" s="14" t="s">
        <v>39</v>
      </c>
      <c r="B224" s="14" t="s">
        <v>44</v>
      </c>
      <c r="C224" s="14" t="s">
        <v>102</v>
      </c>
      <c r="D224" s="14" t="s">
        <v>197</v>
      </c>
      <c r="E224" s="14" t="s">
        <v>202</v>
      </c>
      <c r="F224" s="14" t="s">
        <v>219</v>
      </c>
      <c r="G224" s="14" t="s">
        <v>69</v>
      </c>
      <c r="H224" s="14" t="s">
        <v>69</v>
      </c>
      <c r="I224" s="15" t="s">
        <v>122</v>
      </c>
      <c r="J224" s="14" t="s">
        <v>71</v>
      </c>
      <c r="K224" s="27">
        <v>3.0</v>
      </c>
      <c r="L224" s="27"/>
      <c r="M224" s="14"/>
      <c r="N224" s="14"/>
      <c r="O224" s="28"/>
      <c r="P224" s="14">
        <v>500.0</v>
      </c>
      <c r="Q224" s="14" t="s">
        <v>74</v>
      </c>
      <c r="R224" s="14" t="s">
        <v>75</v>
      </c>
      <c r="S224" s="14" t="s">
        <v>142</v>
      </c>
      <c r="T224" s="14" t="s">
        <v>39</v>
      </c>
      <c r="U224" s="14" t="s">
        <v>90</v>
      </c>
      <c r="V224" s="14" t="s">
        <v>220</v>
      </c>
      <c r="W224" s="14">
        <v>2.0</v>
      </c>
      <c r="X224" s="14">
        <v>2.0</v>
      </c>
      <c r="Y224" s="14">
        <v>4.0</v>
      </c>
      <c r="Z224" s="14">
        <v>3.0</v>
      </c>
      <c r="AA224" s="14">
        <v>2.0</v>
      </c>
      <c r="AB224" s="14">
        <v>0.0</v>
      </c>
      <c r="AC224" s="16">
        <v>2.3</v>
      </c>
      <c r="AD224" s="14"/>
      <c r="AE224" s="14" t="s">
        <v>122</v>
      </c>
      <c r="AF224" s="14"/>
      <c r="AG224" s="15"/>
      <c r="AH224" s="14"/>
      <c r="AI224" s="14"/>
      <c r="AJ224" s="15"/>
      <c r="AK224" s="14"/>
      <c r="AL224" s="14"/>
      <c r="AM224" s="14" t="s">
        <v>220</v>
      </c>
      <c r="AN224" s="14" t="s">
        <v>249</v>
      </c>
      <c r="AO224" s="14" t="s">
        <v>84</v>
      </c>
      <c r="AP224" s="14" t="s">
        <v>250</v>
      </c>
      <c r="AQ224" s="16">
        <v>0.0</v>
      </c>
      <c r="AR224" s="14" t="s">
        <v>196</v>
      </c>
    </row>
    <row r="225" ht="15.75" customHeight="1">
      <c r="A225" s="14" t="s">
        <v>39</v>
      </c>
      <c r="B225" s="14" t="s">
        <v>44</v>
      </c>
      <c r="C225" s="14" t="s">
        <v>102</v>
      </c>
      <c r="D225" s="14" t="s">
        <v>197</v>
      </c>
      <c r="E225" s="14" t="s">
        <v>202</v>
      </c>
      <c r="F225" s="14" t="s">
        <v>224</v>
      </c>
      <c r="G225" s="14" t="s">
        <v>69</v>
      </c>
      <c r="H225" s="14" t="s">
        <v>69</v>
      </c>
      <c r="I225" s="15" t="s">
        <v>122</v>
      </c>
      <c r="J225" s="14" t="s">
        <v>71</v>
      </c>
      <c r="K225" s="27">
        <v>3.0</v>
      </c>
      <c r="L225" s="27"/>
      <c r="M225" s="14"/>
      <c r="N225" s="14"/>
      <c r="O225" s="28"/>
      <c r="P225" s="14">
        <v>500.0</v>
      </c>
      <c r="Q225" s="14" t="s">
        <v>74</v>
      </c>
      <c r="R225" s="14" t="s">
        <v>75</v>
      </c>
      <c r="S225" s="14" t="s">
        <v>142</v>
      </c>
      <c r="T225" s="14" t="s">
        <v>39</v>
      </c>
      <c r="U225" s="14" t="s">
        <v>90</v>
      </c>
      <c r="V225" s="14" t="s">
        <v>225</v>
      </c>
      <c r="W225" s="14">
        <v>2.0</v>
      </c>
      <c r="X225" s="14">
        <v>2.0</v>
      </c>
      <c r="Y225" s="14">
        <v>4.0</v>
      </c>
      <c r="Z225" s="14">
        <v>3.0</v>
      </c>
      <c r="AA225" s="14">
        <v>2.0</v>
      </c>
      <c r="AB225" s="14">
        <v>0.0</v>
      </c>
      <c r="AC225" s="16">
        <v>2.3</v>
      </c>
      <c r="AD225" s="14"/>
      <c r="AE225" s="14" t="s">
        <v>122</v>
      </c>
      <c r="AF225" s="14"/>
      <c r="AG225" s="15"/>
      <c r="AH225" s="14"/>
      <c r="AI225" s="14"/>
      <c r="AJ225" s="15"/>
      <c r="AK225" s="14"/>
      <c r="AL225" s="14"/>
      <c r="AM225" s="14" t="s">
        <v>225</v>
      </c>
      <c r="AN225" s="14" t="s">
        <v>249</v>
      </c>
      <c r="AO225" s="14" t="s">
        <v>84</v>
      </c>
      <c r="AP225" s="14" t="s">
        <v>250</v>
      </c>
      <c r="AQ225" s="16">
        <v>0.0</v>
      </c>
      <c r="AR225" s="14" t="s">
        <v>196</v>
      </c>
    </row>
    <row r="226" ht="15.75" customHeight="1">
      <c r="A226" s="14" t="s">
        <v>39</v>
      </c>
      <c r="B226" s="14" t="s">
        <v>44</v>
      </c>
      <c r="C226" s="14" t="s">
        <v>102</v>
      </c>
      <c r="D226" s="14" t="s">
        <v>336</v>
      </c>
      <c r="E226" s="14" t="s">
        <v>240</v>
      </c>
      <c r="F226" s="14" t="s">
        <v>224</v>
      </c>
      <c r="G226" s="14" t="s">
        <v>69</v>
      </c>
      <c r="H226" s="14" t="s">
        <v>69</v>
      </c>
      <c r="I226" s="15" t="s">
        <v>122</v>
      </c>
      <c r="J226" s="14" t="s">
        <v>71</v>
      </c>
      <c r="K226" s="27">
        <v>3.0</v>
      </c>
      <c r="L226" s="27"/>
      <c r="M226" s="14"/>
      <c r="N226" s="14"/>
      <c r="O226" s="28"/>
      <c r="P226" s="14">
        <v>610.0</v>
      </c>
      <c r="Q226" s="14" t="s">
        <v>153</v>
      </c>
      <c r="R226" s="14" t="s">
        <v>75</v>
      </c>
      <c r="S226" s="14" t="s">
        <v>142</v>
      </c>
      <c r="T226" s="14" t="s">
        <v>39</v>
      </c>
      <c r="U226" s="14" t="s">
        <v>90</v>
      </c>
      <c r="V226" s="14" t="s">
        <v>225</v>
      </c>
      <c r="W226" s="14">
        <v>2.0</v>
      </c>
      <c r="X226" s="14">
        <v>1.0</v>
      </c>
      <c r="Y226" s="14">
        <v>4.0</v>
      </c>
      <c r="Z226" s="14">
        <v>3.0</v>
      </c>
      <c r="AA226" s="14">
        <v>2.0</v>
      </c>
      <c r="AB226" s="14">
        <v>0.0</v>
      </c>
      <c r="AC226" s="16">
        <v>2.1</v>
      </c>
      <c r="AD226" s="14"/>
      <c r="AE226" s="14" t="s">
        <v>122</v>
      </c>
      <c r="AF226" s="14"/>
      <c r="AG226" s="15"/>
      <c r="AH226" s="14"/>
      <c r="AI226" s="14"/>
      <c r="AJ226" s="15"/>
      <c r="AK226" s="14"/>
      <c r="AL226" s="14"/>
      <c r="AM226" s="14" t="s">
        <v>225</v>
      </c>
      <c r="AN226" s="14" t="s">
        <v>369</v>
      </c>
      <c r="AO226" s="14" t="s">
        <v>84</v>
      </c>
      <c r="AP226" s="14" t="s">
        <v>370</v>
      </c>
      <c r="AQ226" s="16">
        <v>0.0</v>
      </c>
      <c r="AR226" s="14" t="s">
        <v>196</v>
      </c>
    </row>
    <row r="227" ht="15.75" customHeight="1">
      <c r="A227" s="14" t="s">
        <v>39</v>
      </c>
      <c r="B227" s="14" t="s">
        <v>44</v>
      </c>
      <c r="C227" s="14" t="s">
        <v>102</v>
      </c>
      <c r="D227" s="14" t="s">
        <v>203</v>
      </c>
      <c r="E227" s="14" t="s">
        <v>202</v>
      </c>
      <c r="F227" s="14" t="s">
        <v>219</v>
      </c>
      <c r="G227" s="14" t="s">
        <v>69</v>
      </c>
      <c r="H227" s="14" t="s">
        <v>69</v>
      </c>
      <c r="I227" s="15" t="s">
        <v>122</v>
      </c>
      <c r="J227" s="14" t="s">
        <v>71</v>
      </c>
      <c r="K227" s="27">
        <v>3.0</v>
      </c>
      <c r="L227" s="27"/>
      <c r="M227" s="14"/>
      <c r="N227" s="14"/>
      <c r="O227" s="28"/>
      <c r="P227" s="14">
        <v>500.0</v>
      </c>
      <c r="Q227" s="14" t="s">
        <v>74</v>
      </c>
      <c r="R227" s="14" t="s">
        <v>75</v>
      </c>
      <c r="S227" s="14" t="s">
        <v>142</v>
      </c>
      <c r="T227" s="14" t="s">
        <v>39</v>
      </c>
      <c r="U227" s="14" t="s">
        <v>90</v>
      </c>
      <c r="V227" s="14" t="s">
        <v>220</v>
      </c>
      <c r="W227" s="14">
        <v>2.0</v>
      </c>
      <c r="X227" s="14">
        <v>2.0</v>
      </c>
      <c r="Y227" s="14">
        <v>4.0</v>
      </c>
      <c r="Z227" s="14">
        <v>3.0</v>
      </c>
      <c r="AA227" s="14">
        <v>2.0</v>
      </c>
      <c r="AB227" s="14">
        <v>0.0</v>
      </c>
      <c r="AC227" s="16">
        <v>2.3</v>
      </c>
      <c r="AD227" s="14"/>
      <c r="AE227" s="14" t="s">
        <v>122</v>
      </c>
      <c r="AF227" s="14"/>
      <c r="AG227" s="15"/>
      <c r="AH227" s="14"/>
      <c r="AI227" s="14"/>
      <c r="AJ227" s="15"/>
      <c r="AK227" s="14"/>
      <c r="AL227" s="14"/>
      <c r="AM227" s="14" t="s">
        <v>220</v>
      </c>
      <c r="AN227" s="14" t="s">
        <v>254</v>
      </c>
      <c r="AO227" s="14" t="s">
        <v>84</v>
      </c>
      <c r="AP227" s="14" t="s">
        <v>255</v>
      </c>
      <c r="AQ227" s="16">
        <v>0.0</v>
      </c>
      <c r="AR227" s="14" t="s">
        <v>196</v>
      </c>
    </row>
    <row r="228" ht="15.75" customHeight="1">
      <c r="A228" s="14" t="s">
        <v>39</v>
      </c>
      <c r="B228" s="14" t="s">
        <v>44</v>
      </c>
      <c r="C228" s="14" t="s">
        <v>102</v>
      </c>
      <c r="D228" s="14" t="s">
        <v>203</v>
      </c>
      <c r="E228" s="14" t="s">
        <v>202</v>
      </c>
      <c r="F228" s="14" t="s">
        <v>224</v>
      </c>
      <c r="G228" s="14" t="s">
        <v>69</v>
      </c>
      <c r="H228" s="14" t="s">
        <v>69</v>
      </c>
      <c r="I228" s="15" t="s">
        <v>122</v>
      </c>
      <c r="J228" s="14" t="s">
        <v>71</v>
      </c>
      <c r="K228" s="27">
        <v>3.0</v>
      </c>
      <c r="L228" s="27"/>
      <c r="M228" s="14"/>
      <c r="N228" s="14"/>
      <c r="O228" s="28"/>
      <c r="P228" s="14">
        <v>500.0</v>
      </c>
      <c r="Q228" s="14" t="s">
        <v>74</v>
      </c>
      <c r="R228" s="14" t="s">
        <v>75</v>
      </c>
      <c r="S228" s="14" t="s">
        <v>142</v>
      </c>
      <c r="T228" s="14" t="s">
        <v>39</v>
      </c>
      <c r="U228" s="14" t="s">
        <v>90</v>
      </c>
      <c r="V228" s="14" t="s">
        <v>225</v>
      </c>
      <c r="W228" s="14">
        <v>2.0</v>
      </c>
      <c r="X228" s="14">
        <v>2.0</v>
      </c>
      <c r="Y228" s="14">
        <v>4.0</v>
      </c>
      <c r="Z228" s="14">
        <v>3.0</v>
      </c>
      <c r="AA228" s="14">
        <v>2.0</v>
      </c>
      <c r="AB228" s="14">
        <v>0.0</v>
      </c>
      <c r="AC228" s="16">
        <v>2.3</v>
      </c>
      <c r="AD228" s="14"/>
      <c r="AE228" s="14" t="s">
        <v>122</v>
      </c>
      <c r="AF228" s="14"/>
      <c r="AG228" s="15"/>
      <c r="AH228" s="14"/>
      <c r="AI228" s="14"/>
      <c r="AJ228" s="15"/>
      <c r="AK228" s="14"/>
      <c r="AL228" s="14"/>
      <c r="AM228" s="14" t="s">
        <v>225</v>
      </c>
      <c r="AN228" s="14" t="s">
        <v>254</v>
      </c>
      <c r="AO228" s="14" t="s">
        <v>84</v>
      </c>
      <c r="AP228" s="14" t="s">
        <v>255</v>
      </c>
      <c r="AQ228" s="16">
        <v>0.0</v>
      </c>
      <c r="AR228" s="14" t="s">
        <v>196</v>
      </c>
    </row>
    <row r="229" ht="15.75" customHeight="1">
      <c r="A229" s="14" t="s">
        <v>39</v>
      </c>
      <c r="B229" s="14" t="s">
        <v>44</v>
      </c>
      <c r="C229" s="14" t="s">
        <v>102</v>
      </c>
      <c r="D229" s="14" t="s">
        <v>339</v>
      </c>
      <c r="E229" s="14" t="s">
        <v>202</v>
      </c>
      <c r="F229" s="14" t="s">
        <v>219</v>
      </c>
      <c r="G229" s="14" t="s">
        <v>69</v>
      </c>
      <c r="H229" s="14" t="s">
        <v>69</v>
      </c>
      <c r="I229" s="15" t="s">
        <v>122</v>
      </c>
      <c r="J229" s="14" t="s">
        <v>71</v>
      </c>
      <c r="K229" s="27">
        <v>3.0</v>
      </c>
      <c r="L229" s="27"/>
      <c r="M229" s="14"/>
      <c r="N229" s="14"/>
      <c r="O229" s="28"/>
      <c r="P229" s="14">
        <v>500.0</v>
      </c>
      <c r="Q229" s="14" t="s">
        <v>74</v>
      </c>
      <c r="R229" s="14" t="s">
        <v>75</v>
      </c>
      <c r="S229" s="14" t="s">
        <v>142</v>
      </c>
      <c r="T229" s="14" t="s">
        <v>39</v>
      </c>
      <c r="U229" s="14" t="s">
        <v>90</v>
      </c>
      <c r="V229" s="14" t="s">
        <v>220</v>
      </c>
      <c r="W229" s="14">
        <v>2.0</v>
      </c>
      <c r="X229" s="14">
        <v>2.0</v>
      </c>
      <c r="Y229" s="14">
        <v>4.0</v>
      </c>
      <c r="Z229" s="14">
        <v>3.0</v>
      </c>
      <c r="AA229" s="14">
        <v>2.0</v>
      </c>
      <c r="AB229" s="14">
        <v>0.0</v>
      </c>
      <c r="AC229" s="16">
        <v>2.3</v>
      </c>
      <c r="AD229" s="14"/>
      <c r="AE229" s="14" t="s">
        <v>122</v>
      </c>
      <c r="AF229" s="14"/>
      <c r="AG229" s="15"/>
      <c r="AH229" s="14"/>
      <c r="AI229" s="14"/>
      <c r="AJ229" s="15"/>
      <c r="AK229" s="14"/>
      <c r="AL229" s="14"/>
      <c r="AM229" s="14" t="s">
        <v>220</v>
      </c>
      <c r="AN229" s="14" t="s">
        <v>372</v>
      </c>
      <c r="AO229" s="14" t="s">
        <v>84</v>
      </c>
      <c r="AP229" s="14" t="s">
        <v>373</v>
      </c>
      <c r="AQ229" s="16">
        <v>0.0</v>
      </c>
      <c r="AR229" s="14" t="s">
        <v>196</v>
      </c>
    </row>
    <row r="230" ht="15.75" customHeight="1">
      <c r="A230" s="14" t="s">
        <v>39</v>
      </c>
      <c r="B230" s="14" t="s">
        <v>44</v>
      </c>
      <c r="C230" s="14" t="s">
        <v>102</v>
      </c>
      <c r="D230" s="14" t="s">
        <v>339</v>
      </c>
      <c r="E230" s="14" t="s">
        <v>202</v>
      </c>
      <c r="F230" s="14" t="s">
        <v>224</v>
      </c>
      <c r="G230" s="14" t="s">
        <v>69</v>
      </c>
      <c r="H230" s="14" t="s">
        <v>69</v>
      </c>
      <c r="I230" s="15" t="s">
        <v>122</v>
      </c>
      <c r="J230" s="14" t="s">
        <v>71</v>
      </c>
      <c r="K230" s="27">
        <v>3.0</v>
      </c>
      <c r="L230" s="27"/>
      <c r="M230" s="14"/>
      <c r="N230" s="14"/>
      <c r="O230" s="28"/>
      <c r="P230" s="14">
        <v>500.0</v>
      </c>
      <c r="Q230" s="14" t="s">
        <v>74</v>
      </c>
      <c r="R230" s="14" t="s">
        <v>75</v>
      </c>
      <c r="S230" s="14" t="s">
        <v>142</v>
      </c>
      <c r="T230" s="14" t="s">
        <v>39</v>
      </c>
      <c r="U230" s="14" t="s">
        <v>90</v>
      </c>
      <c r="V230" s="14" t="s">
        <v>225</v>
      </c>
      <c r="W230" s="14">
        <v>2.0</v>
      </c>
      <c r="X230" s="14">
        <v>2.0</v>
      </c>
      <c r="Y230" s="14">
        <v>4.0</v>
      </c>
      <c r="Z230" s="14">
        <v>3.0</v>
      </c>
      <c r="AA230" s="14">
        <v>2.0</v>
      </c>
      <c r="AB230" s="14">
        <v>0.0</v>
      </c>
      <c r="AC230" s="16">
        <v>2.3</v>
      </c>
      <c r="AD230" s="14"/>
      <c r="AE230" s="14" t="s">
        <v>122</v>
      </c>
      <c r="AF230" s="14"/>
      <c r="AG230" s="15"/>
      <c r="AH230" s="14"/>
      <c r="AI230" s="14"/>
      <c r="AJ230" s="15"/>
      <c r="AK230" s="14"/>
      <c r="AL230" s="14"/>
      <c r="AM230" s="14" t="s">
        <v>225</v>
      </c>
      <c r="AN230" s="14" t="s">
        <v>372</v>
      </c>
      <c r="AO230" s="14" t="s">
        <v>84</v>
      </c>
      <c r="AP230" s="14" t="s">
        <v>373</v>
      </c>
      <c r="AQ230" s="16">
        <v>0.0</v>
      </c>
      <c r="AR230" s="14" t="s">
        <v>196</v>
      </c>
    </row>
    <row r="231" ht="15.75" customHeight="1">
      <c r="A231" s="14" t="s">
        <v>39</v>
      </c>
      <c r="B231" s="14" t="s">
        <v>44</v>
      </c>
      <c r="C231" s="14" t="s">
        <v>102</v>
      </c>
      <c r="D231" s="14" t="s">
        <v>209</v>
      </c>
      <c r="E231" s="14" t="s">
        <v>138</v>
      </c>
      <c r="F231" s="14" t="s">
        <v>224</v>
      </c>
      <c r="G231" s="14" t="s">
        <v>69</v>
      </c>
      <c r="H231" s="14" t="s">
        <v>69</v>
      </c>
      <c r="I231" s="15" t="s">
        <v>122</v>
      </c>
      <c r="J231" s="14" t="s">
        <v>71</v>
      </c>
      <c r="K231" s="27">
        <v>3.0</v>
      </c>
      <c r="L231" s="27"/>
      <c r="M231" s="14"/>
      <c r="N231" s="14"/>
      <c r="O231" s="28"/>
      <c r="P231" s="14">
        <v>300.0</v>
      </c>
      <c r="Q231" s="14" t="s">
        <v>140</v>
      </c>
      <c r="R231" s="14" t="s">
        <v>75</v>
      </c>
      <c r="S231" s="14" t="s">
        <v>142</v>
      </c>
      <c r="T231" s="14" t="s">
        <v>39</v>
      </c>
      <c r="U231" s="14" t="s">
        <v>90</v>
      </c>
      <c r="V231" s="14" t="s">
        <v>225</v>
      </c>
      <c r="W231" s="14">
        <v>2.0</v>
      </c>
      <c r="X231" s="14">
        <v>4.0</v>
      </c>
      <c r="Y231" s="14">
        <v>4.0</v>
      </c>
      <c r="Z231" s="14">
        <v>3.0</v>
      </c>
      <c r="AA231" s="14">
        <v>2.0</v>
      </c>
      <c r="AB231" s="14">
        <v>0.0</v>
      </c>
      <c r="AC231" s="16">
        <v>2.6</v>
      </c>
      <c r="AD231" s="14"/>
      <c r="AE231" s="14" t="s">
        <v>122</v>
      </c>
      <c r="AF231" s="14"/>
      <c r="AG231" s="15"/>
      <c r="AH231" s="14"/>
      <c r="AI231" s="14"/>
      <c r="AJ231" s="15"/>
      <c r="AK231" s="14"/>
      <c r="AL231" s="14"/>
      <c r="AM231" s="14" t="s">
        <v>225</v>
      </c>
      <c r="AN231" s="14" t="s">
        <v>259</v>
      </c>
      <c r="AO231" s="14" t="s">
        <v>84</v>
      </c>
      <c r="AP231" s="14" t="s">
        <v>261</v>
      </c>
      <c r="AQ231" s="16">
        <v>0.0</v>
      </c>
      <c r="AR231" s="14" t="s">
        <v>196</v>
      </c>
    </row>
    <row r="232" ht="15.75" customHeight="1">
      <c r="A232" s="14" t="s">
        <v>39</v>
      </c>
      <c r="B232" s="14" t="s">
        <v>44</v>
      </c>
      <c r="C232" s="14" t="s">
        <v>102</v>
      </c>
      <c r="D232" s="14" t="s">
        <v>509</v>
      </c>
      <c r="E232" s="14" t="s">
        <v>271</v>
      </c>
      <c r="F232" s="14" t="s">
        <v>538</v>
      </c>
      <c r="G232" s="14" t="s">
        <v>69</v>
      </c>
      <c r="H232" s="14" t="s">
        <v>39</v>
      </c>
      <c r="I232" s="15" t="s">
        <v>122</v>
      </c>
      <c r="J232" s="14" t="s">
        <v>71</v>
      </c>
      <c r="K232" s="27">
        <v>0.0</v>
      </c>
      <c r="L232" s="27">
        <v>0.0</v>
      </c>
      <c r="M232" s="14"/>
      <c r="N232" s="14"/>
      <c r="O232" s="28"/>
      <c r="P232" s="14">
        <v>570.0</v>
      </c>
      <c r="Q232" s="14" t="s">
        <v>74</v>
      </c>
      <c r="R232" s="14" t="s">
        <v>75</v>
      </c>
      <c r="S232" s="14" t="s">
        <v>142</v>
      </c>
      <c r="T232" s="14" t="s">
        <v>39</v>
      </c>
      <c r="U232" s="14" t="s">
        <v>232</v>
      </c>
      <c r="V232" s="14" t="s">
        <v>539</v>
      </c>
      <c r="W232" s="14">
        <v>2.0</v>
      </c>
      <c r="X232" s="14">
        <v>2.0</v>
      </c>
      <c r="Y232" s="14">
        <v>1.0</v>
      </c>
      <c r="Z232" s="14">
        <v>3.0</v>
      </c>
      <c r="AA232" s="14">
        <v>2.0</v>
      </c>
      <c r="AB232" s="14">
        <v>0.0</v>
      </c>
      <c r="AC232" s="16">
        <v>1.6</v>
      </c>
      <c r="AD232" s="14">
        <v>0.0</v>
      </c>
      <c r="AE232" s="14" t="s">
        <v>122</v>
      </c>
      <c r="AF232" s="14"/>
      <c r="AG232" s="15"/>
      <c r="AH232" s="14"/>
      <c r="AI232" s="14"/>
      <c r="AJ232" s="15"/>
      <c r="AK232" s="14"/>
      <c r="AL232" s="14"/>
      <c r="AM232" s="14" t="s">
        <v>539</v>
      </c>
      <c r="AN232" s="14" t="s">
        <v>536</v>
      </c>
      <c r="AO232" s="14" t="s">
        <v>84</v>
      </c>
      <c r="AP232" s="14" t="s">
        <v>537</v>
      </c>
      <c r="AQ232" s="16">
        <v>0.0</v>
      </c>
      <c r="AR232" s="14" t="s">
        <v>196</v>
      </c>
    </row>
    <row r="233" ht="15.75" customHeight="1">
      <c r="A233" s="14" t="s">
        <v>39</v>
      </c>
      <c r="B233" s="14" t="s">
        <v>44</v>
      </c>
      <c r="C233" s="14" t="s">
        <v>102</v>
      </c>
      <c r="D233" s="14" t="s">
        <v>213</v>
      </c>
      <c r="E233" s="14" t="s">
        <v>138</v>
      </c>
      <c r="F233" s="14" t="s">
        <v>219</v>
      </c>
      <c r="G233" s="14" t="s">
        <v>69</v>
      </c>
      <c r="H233" s="14" t="s">
        <v>69</v>
      </c>
      <c r="I233" s="15" t="s">
        <v>122</v>
      </c>
      <c r="J233" s="14" t="s">
        <v>71</v>
      </c>
      <c r="K233" s="27">
        <v>3.0</v>
      </c>
      <c r="L233" s="27"/>
      <c r="M233" s="14"/>
      <c r="N233" s="14"/>
      <c r="O233" s="28"/>
      <c r="P233" s="14">
        <v>300.0</v>
      </c>
      <c r="Q233" s="14" t="s">
        <v>140</v>
      </c>
      <c r="R233" s="14" t="s">
        <v>75</v>
      </c>
      <c r="S233" s="14" t="s">
        <v>142</v>
      </c>
      <c r="T233" s="14" t="s">
        <v>39</v>
      </c>
      <c r="U233" s="14" t="s">
        <v>90</v>
      </c>
      <c r="V233" s="14" t="s">
        <v>220</v>
      </c>
      <c r="W233" s="14">
        <v>2.0</v>
      </c>
      <c r="X233" s="14">
        <v>4.0</v>
      </c>
      <c r="Y233" s="14">
        <v>4.0</v>
      </c>
      <c r="Z233" s="14">
        <v>3.0</v>
      </c>
      <c r="AA233" s="14">
        <v>2.0</v>
      </c>
      <c r="AB233" s="14">
        <v>0.0</v>
      </c>
      <c r="AC233" s="16">
        <v>2.6</v>
      </c>
      <c r="AD233" s="14"/>
      <c r="AE233" s="14" t="s">
        <v>122</v>
      </c>
      <c r="AF233" s="14"/>
      <c r="AG233" s="15"/>
      <c r="AH233" s="14"/>
      <c r="AI233" s="14"/>
      <c r="AJ233" s="15"/>
      <c r="AK233" s="14"/>
      <c r="AL233" s="14"/>
      <c r="AM233" s="14" t="s">
        <v>220</v>
      </c>
      <c r="AN233" s="14" t="s">
        <v>374</v>
      </c>
      <c r="AO233" s="14" t="s">
        <v>84</v>
      </c>
      <c r="AP233" s="14" t="s">
        <v>375</v>
      </c>
      <c r="AQ233" s="16">
        <v>0.0</v>
      </c>
      <c r="AR233" s="14" t="s">
        <v>196</v>
      </c>
    </row>
    <row r="234" ht="15.75" customHeight="1">
      <c r="A234" s="14" t="s">
        <v>39</v>
      </c>
      <c r="B234" s="14" t="s">
        <v>44</v>
      </c>
      <c r="C234" s="14" t="s">
        <v>102</v>
      </c>
      <c r="D234" s="14" t="s">
        <v>213</v>
      </c>
      <c r="E234" s="14" t="s">
        <v>138</v>
      </c>
      <c r="F234" s="14" t="s">
        <v>224</v>
      </c>
      <c r="G234" s="14" t="s">
        <v>69</v>
      </c>
      <c r="H234" s="14" t="s">
        <v>69</v>
      </c>
      <c r="I234" s="15" t="s">
        <v>122</v>
      </c>
      <c r="J234" s="14" t="s">
        <v>71</v>
      </c>
      <c r="K234" s="27">
        <v>3.0</v>
      </c>
      <c r="L234" s="27"/>
      <c r="M234" s="14"/>
      <c r="N234" s="14"/>
      <c r="O234" s="28"/>
      <c r="P234" s="14">
        <v>300.0</v>
      </c>
      <c r="Q234" s="14" t="s">
        <v>140</v>
      </c>
      <c r="R234" s="14" t="s">
        <v>75</v>
      </c>
      <c r="S234" s="14" t="s">
        <v>142</v>
      </c>
      <c r="T234" s="14" t="s">
        <v>39</v>
      </c>
      <c r="U234" s="14" t="s">
        <v>90</v>
      </c>
      <c r="V234" s="14" t="s">
        <v>225</v>
      </c>
      <c r="W234" s="14">
        <v>2.0</v>
      </c>
      <c r="X234" s="14">
        <v>4.0</v>
      </c>
      <c r="Y234" s="14">
        <v>4.0</v>
      </c>
      <c r="Z234" s="14">
        <v>3.0</v>
      </c>
      <c r="AA234" s="14">
        <v>2.0</v>
      </c>
      <c r="AB234" s="14">
        <v>0.0</v>
      </c>
      <c r="AC234" s="16">
        <v>2.6</v>
      </c>
      <c r="AD234" s="14"/>
      <c r="AE234" s="14" t="s">
        <v>122</v>
      </c>
      <c r="AF234" s="14"/>
      <c r="AG234" s="15"/>
      <c r="AH234" s="14"/>
      <c r="AI234" s="14"/>
      <c r="AJ234" s="15"/>
      <c r="AK234" s="14"/>
      <c r="AL234" s="14"/>
      <c r="AM234" s="14" t="s">
        <v>225</v>
      </c>
      <c r="AN234" s="14" t="s">
        <v>374</v>
      </c>
      <c r="AO234" s="14" t="s">
        <v>84</v>
      </c>
      <c r="AP234" s="14" t="s">
        <v>375</v>
      </c>
      <c r="AQ234" s="16">
        <v>0.0</v>
      </c>
      <c r="AR234" s="14" t="s">
        <v>196</v>
      </c>
    </row>
    <row r="235" ht="15.75" customHeight="1">
      <c r="A235" s="14" t="s">
        <v>39</v>
      </c>
      <c r="B235" s="14" t="s">
        <v>44</v>
      </c>
      <c r="C235" s="14" t="s">
        <v>102</v>
      </c>
      <c r="D235" s="14" t="s">
        <v>513</v>
      </c>
      <c r="E235" s="14" t="s">
        <v>68</v>
      </c>
      <c r="F235" s="14" t="s">
        <v>219</v>
      </c>
      <c r="G235" s="14" t="s">
        <v>69</v>
      </c>
      <c r="H235" s="14" t="s">
        <v>69</v>
      </c>
      <c r="I235" s="15" t="s">
        <v>122</v>
      </c>
      <c r="J235" s="14" t="s">
        <v>71</v>
      </c>
      <c r="K235" s="27">
        <v>3.0</v>
      </c>
      <c r="L235" s="27"/>
      <c r="M235" s="14"/>
      <c r="N235" s="14"/>
      <c r="O235" s="28"/>
      <c r="P235" s="14">
        <v>520.0</v>
      </c>
      <c r="Q235" s="14" t="s">
        <v>74</v>
      </c>
      <c r="R235" s="14" t="s">
        <v>75</v>
      </c>
      <c r="S235" s="14" t="s">
        <v>76</v>
      </c>
      <c r="T235" s="14" t="s">
        <v>39</v>
      </c>
      <c r="U235" s="14" t="s">
        <v>59</v>
      </c>
      <c r="V235" s="14" t="s">
        <v>220</v>
      </c>
      <c r="W235" s="14">
        <v>2.0</v>
      </c>
      <c r="X235" s="14">
        <v>2.0</v>
      </c>
      <c r="Y235" s="14">
        <v>4.0</v>
      </c>
      <c r="Z235" s="14">
        <v>3.0</v>
      </c>
      <c r="AA235" s="14">
        <v>4.0</v>
      </c>
      <c r="AB235" s="14">
        <v>0.0</v>
      </c>
      <c r="AC235" s="16">
        <v>2.5</v>
      </c>
      <c r="AD235" s="14"/>
      <c r="AE235" s="14" t="s">
        <v>122</v>
      </c>
      <c r="AF235" s="14"/>
      <c r="AG235" s="15"/>
      <c r="AH235" s="14"/>
      <c r="AI235" s="14"/>
      <c r="AJ235" s="15"/>
      <c r="AK235" s="14"/>
      <c r="AL235" s="14"/>
      <c r="AM235" s="14" t="s">
        <v>220</v>
      </c>
      <c r="AN235" s="14" t="s">
        <v>592</v>
      </c>
      <c r="AO235" s="14" t="s">
        <v>84</v>
      </c>
      <c r="AP235" s="14" t="s">
        <v>593</v>
      </c>
      <c r="AQ235" s="16">
        <v>0.0</v>
      </c>
      <c r="AR235" s="14" t="s">
        <v>196</v>
      </c>
    </row>
    <row r="236" ht="15.75" customHeight="1">
      <c r="A236" s="14" t="s">
        <v>39</v>
      </c>
      <c r="B236" s="14" t="s">
        <v>44</v>
      </c>
      <c r="C236" s="14" t="s">
        <v>102</v>
      </c>
      <c r="D236" s="14" t="s">
        <v>513</v>
      </c>
      <c r="E236" s="14" t="s">
        <v>68</v>
      </c>
      <c r="F236" s="14" t="s">
        <v>224</v>
      </c>
      <c r="G236" s="14" t="s">
        <v>69</v>
      </c>
      <c r="H236" s="14" t="s">
        <v>69</v>
      </c>
      <c r="I236" s="15" t="s">
        <v>122</v>
      </c>
      <c r="J236" s="14" t="s">
        <v>71</v>
      </c>
      <c r="K236" s="27">
        <v>3.0</v>
      </c>
      <c r="L236" s="27"/>
      <c r="M236" s="14"/>
      <c r="N236" s="14"/>
      <c r="O236" s="28"/>
      <c r="P236" s="14">
        <v>520.0</v>
      </c>
      <c r="Q236" s="14" t="s">
        <v>74</v>
      </c>
      <c r="R236" s="14" t="s">
        <v>75</v>
      </c>
      <c r="S236" s="14" t="s">
        <v>76</v>
      </c>
      <c r="T236" s="14" t="s">
        <v>39</v>
      </c>
      <c r="U236" s="14" t="s">
        <v>59</v>
      </c>
      <c r="V236" s="14" t="s">
        <v>225</v>
      </c>
      <c r="W236" s="14">
        <v>2.0</v>
      </c>
      <c r="X236" s="14">
        <v>2.0</v>
      </c>
      <c r="Y236" s="14">
        <v>4.0</v>
      </c>
      <c r="Z236" s="14">
        <v>3.0</v>
      </c>
      <c r="AA236" s="14">
        <v>4.0</v>
      </c>
      <c r="AB236" s="14">
        <v>0.0</v>
      </c>
      <c r="AC236" s="16">
        <v>2.5</v>
      </c>
      <c r="AD236" s="14"/>
      <c r="AE236" s="14" t="s">
        <v>122</v>
      </c>
      <c r="AF236" s="14"/>
      <c r="AG236" s="15"/>
      <c r="AH236" s="14"/>
      <c r="AI236" s="14"/>
      <c r="AJ236" s="15"/>
      <c r="AK236" s="14"/>
      <c r="AL236" s="14"/>
      <c r="AM236" s="14" t="s">
        <v>225</v>
      </c>
      <c r="AN236" s="14" t="s">
        <v>592</v>
      </c>
      <c r="AO236" s="14" t="s">
        <v>84</v>
      </c>
      <c r="AP236" s="14" t="s">
        <v>593</v>
      </c>
      <c r="AQ236" s="16">
        <v>0.0</v>
      </c>
      <c r="AR236" s="14" t="s">
        <v>196</v>
      </c>
    </row>
    <row r="237" ht="15.75" customHeight="1">
      <c r="A237" s="14" t="s">
        <v>39</v>
      </c>
      <c r="B237" s="14" t="s">
        <v>44</v>
      </c>
      <c r="C237" s="14" t="s">
        <v>102</v>
      </c>
      <c r="D237" s="14" t="s">
        <v>514</v>
      </c>
      <c r="E237" s="14" t="s">
        <v>202</v>
      </c>
      <c r="F237" s="14" t="s">
        <v>224</v>
      </c>
      <c r="G237" s="14" t="s">
        <v>69</v>
      </c>
      <c r="H237" s="14" t="s">
        <v>69</v>
      </c>
      <c r="I237" s="15" t="s">
        <v>122</v>
      </c>
      <c r="J237" s="14" t="s">
        <v>71</v>
      </c>
      <c r="K237" s="27">
        <v>3.0</v>
      </c>
      <c r="L237" s="27"/>
      <c r="M237" s="14"/>
      <c r="N237" s="14"/>
      <c r="O237" s="28"/>
      <c r="P237" s="14">
        <v>500.0</v>
      </c>
      <c r="Q237" s="14" t="s">
        <v>74</v>
      </c>
      <c r="R237" s="14" t="s">
        <v>75</v>
      </c>
      <c r="S237" s="14" t="s">
        <v>142</v>
      </c>
      <c r="T237" s="14" t="s">
        <v>39</v>
      </c>
      <c r="U237" s="14" t="s">
        <v>90</v>
      </c>
      <c r="V237" s="14" t="s">
        <v>225</v>
      </c>
      <c r="W237" s="14">
        <v>2.0</v>
      </c>
      <c r="X237" s="14">
        <v>2.0</v>
      </c>
      <c r="Y237" s="14">
        <v>4.0</v>
      </c>
      <c r="Z237" s="14">
        <v>3.0</v>
      </c>
      <c r="AA237" s="14">
        <v>2.0</v>
      </c>
      <c r="AB237" s="14">
        <v>0.0</v>
      </c>
      <c r="AC237" s="16">
        <v>2.3</v>
      </c>
      <c r="AD237" s="14"/>
      <c r="AE237" s="14" t="s">
        <v>122</v>
      </c>
      <c r="AF237" s="14"/>
      <c r="AG237" s="15"/>
      <c r="AH237" s="14"/>
      <c r="AI237" s="14"/>
      <c r="AJ237" s="15"/>
      <c r="AK237" s="14"/>
      <c r="AL237" s="14"/>
      <c r="AM237" s="14" t="s">
        <v>225</v>
      </c>
      <c r="AN237" s="14" t="s">
        <v>594</v>
      </c>
      <c r="AO237" s="14" t="s">
        <v>84</v>
      </c>
      <c r="AP237" s="14" t="s">
        <v>595</v>
      </c>
      <c r="AQ237" s="16">
        <v>0.0</v>
      </c>
      <c r="AR237" s="14" t="s">
        <v>196</v>
      </c>
    </row>
    <row r="238" ht="15.75" customHeight="1">
      <c r="A238" s="14" t="s">
        <v>39</v>
      </c>
      <c r="B238" s="14" t="s">
        <v>44</v>
      </c>
      <c r="C238" s="14" t="s">
        <v>102</v>
      </c>
      <c r="D238" s="14" t="s">
        <v>340</v>
      </c>
      <c r="E238" s="14" t="s">
        <v>181</v>
      </c>
      <c r="F238" s="14" t="s">
        <v>219</v>
      </c>
      <c r="G238" s="14" t="s">
        <v>69</v>
      </c>
      <c r="H238" s="14" t="s">
        <v>69</v>
      </c>
      <c r="I238" s="15" t="s">
        <v>122</v>
      </c>
      <c r="J238" s="14" t="s">
        <v>71</v>
      </c>
      <c r="K238" s="27">
        <v>3.0</v>
      </c>
      <c r="L238" s="27"/>
      <c r="M238" s="14"/>
      <c r="N238" s="14"/>
      <c r="O238" s="28"/>
      <c r="P238" s="14">
        <v>520.0</v>
      </c>
      <c r="Q238" s="14" t="s">
        <v>74</v>
      </c>
      <c r="R238" s="14" t="s">
        <v>75</v>
      </c>
      <c r="S238" s="14" t="s">
        <v>142</v>
      </c>
      <c r="T238" s="14" t="s">
        <v>39</v>
      </c>
      <c r="U238" s="14" t="s">
        <v>90</v>
      </c>
      <c r="V238" s="14" t="s">
        <v>220</v>
      </c>
      <c r="W238" s="14">
        <v>2.0</v>
      </c>
      <c r="X238" s="14">
        <v>2.0</v>
      </c>
      <c r="Y238" s="14">
        <v>4.0</v>
      </c>
      <c r="Z238" s="14">
        <v>3.0</v>
      </c>
      <c r="AA238" s="14">
        <v>2.0</v>
      </c>
      <c r="AB238" s="14">
        <v>0.0</v>
      </c>
      <c r="AC238" s="16">
        <v>2.3</v>
      </c>
      <c r="AD238" s="14"/>
      <c r="AE238" s="14" t="s">
        <v>122</v>
      </c>
      <c r="AF238" s="14"/>
      <c r="AG238" s="15"/>
      <c r="AH238" s="14"/>
      <c r="AI238" s="14"/>
      <c r="AJ238" s="15"/>
      <c r="AK238" s="14"/>
      <c r="AL238" s="14"/>
      <c r="AM238" s="14" t="s">
        <v>220</v>
      </c>
      <c r="AN238" s="14" t="s">
        <v>377</v>
      </c>
      <c r="AO238" s="14" t="s">
        <v>84</v>
      </c>
      <c r="AP238" s="14" t="s">
        <v>378</v>
      </c>
      <c r="AQ238" s="16">
        <v>0.0</v>
      </c>
      <c r="AR238" s="14" t="s">
        <v>196</v>
      </c>
    </row>
    <row r="239" ht="15.75" customHeight="1">
      <c r="A239" s="14" t="s">
        <v>39</v>
      </c>
      <c r="B239" s="14" t="s">
        <v>44</v>
      </c>
      <c r="C239" s="14" t="s">
        <v>102</v>
      </c>
      <c r="D239" s="14" t="s">
        <v>515</v>
      </c>
      <c r="E239" s="14" t="s">
        <v>164</v>
      </c>
      <c r="F239" s="14" t="s">
        <v>402</v>
      </c>
      <c r="G239" s="14" t="s">
        <v>69</v>
      </c>
      <c r="H239" s="14" t="s">
        <v>69</v>
      </c>
      <c r="I239" s="15" t="s">
        <v>122</v>
      </c>
      <c r="J239" s="14" t="s">
        <v>71</v>
      </c>
      <c r="K239" s="27">
        <v>3.0</v>
      </c>
      <c r="L239" s="27"/>
      <c r="M239" s="14"/>
      <c r="N239" s="14"/>
      <c r="O239" s="28"/>
      <c r="P239" s="14">
        <v>490.0</v>
      </c>
      <c r="Q239" s="14" t="s">
        <v>74</v>
      </c>
      <c r="R239" s="14" t="s">
        <v>75</v>
      </c>
      <c r="S239" s="14" t="s">
        <v>142</v>
      </c>
      <c r="T239" s="14" t="s">
        <v>39</v>
      </c>
      <c r="U239" s="14" t="s">
        <v>90</v>
      </c>
      <c r="V239" s="14" t="s">
        <v>403</v>
      </c>
      <c r="W239" s="14">
        <v>2.0</v>
      </c>
      <c r="X239" s="14">
        <v>2.0</v>
      </c>
      <c r="Y239" s="14">
        <v>4.0</v>
      </c>
      <c r="Z239" s="14">
        <v>3.0</v>
      </c>
      <c r="AA239" s="14">
        <v>2.0</v>
      </c>
      <c r="AB239" s="14">
        <v>0.0</v>
      </c>
      <c r="AC239" s="16">
        <v>2.3</v>
      </c>
      <c r="AD239" s="14"/>
      <c r="AE239" s="14" t="s">
        <v>122</v>
      </c>
      <c r="AF239" s="14"/>
      <c r="AG239" s="15"/>
      <c r="AH239" s="14"/>
      <c r="AI239" s="14"/>
      <c r="AJ239" s="15"/>
      <c r="AK239" s="14"/>
      <c r="AL239" s="14"/>
      <c r="AM239" s="14" t="s">
        <v>403</v>
      </c>
      <c r="AN239" s="14" t="s">
        <v>596</v>
      </c>
      <c r="AO239" s="14" t="s">
        <v>84</v>
      </c>
      <c r="AP239" s="14" t="s">
        <v>597</v>
      </c>
      <c r="AQ239" s="16">
        <v>0.0</v>
      </c>
      <c r="AR239" s="14" t="s">
        <v>196</v>
      </c>
    </row>
    <row r="240" ht="15.75" customHeight="1">
      <c r="A240" s="14" t="s">
        <v>39</v>
      </c>
      <c r="B240" s="14" t="s">
        <v>44</v>
      </c>
      <c r="C240" s="14" t="s">
        <v>102</v>
      </c>
      <c r="D240" s="14" t="s">
        <v>237</v>
      </c>
      <c r="E240" s="14" t="s">
        <v>106</v>
      </c>
      <c r="F240" s="14" t="s">
        <v>224</v>
      </c>
      <c r="G240" s="14" t="s">
        <v>69</v>
      </c>
      <c r="H240" s="14" t="s">
        <v>69</v>
      </c>
      <c r="I240" s="15" t="s">
        <v>122</v>
      </c>
      <c r="J240" s="14" t="s">
        <v>71</v>
      </c>
      <c r="K240" s="27">
        <v>3.0</v>
      </c>
      <c r="L240" s="27"/>
      <c r="M240" s="14"/>
      <c r="N240" s="14"/>
      <c r="O240" s="28"/>
      <c r="P240" s="14">
        <v>130.0</v>
      </c>
      <c r="Q240" s="14" t="s">
        <v>121</v>
      </c>
      <c r="R240" s="14" t="s">
        <v>75</v>
      </c>
      <c r="S240" s="14" t="s">
        <v>76</v>
      </c>
      <c r="T240" s="14" t="s">
        <v>39</v>
      </c>
      <c r="U240" s="14" t="s">
        <v>90</v>
      </c>
      <c r="V240" s="14" t="s">
        <v>225</v>
      </c>
      <c r="W240" s="14">
        <v>2.0</v>
      </c>
      <c r="X240" s="14">
        <v>5.0</v>
      </c>
      <c r="Y240" s="14">
        <v>4.0</v>
      </c>
      <c r="Z240" s="14">
        <v>3.0</v>
      </c>
      <c r="AA240" s="14">
        <v>4.0</v>
      </c>
      <c r="AB240" s="14">
        <v>0.0</v>
      </c>
      <c r="AC240" s="16">
        <v>2.9</v>
      </c>
      <c r="AD240" s="14"/>
      <c r="AE240" s="14" t="s">
        <v>122</v>
      </c>
      <c r="AF240" s="14"/>
      <c r="AG240" s="15"/>
      <c r="AH240" s="14"/>
      <c r="AI240" s="14"/>
      <c r="AJ240" s="15"/>
      <c r="AK240" s="14"/>
      <c r="AL240" s="14"/>
      <c r="AM240" s="14" t="s">
        <v>225</v>
      </c>
      <c r="AN240" s="14" t="s">
        <v>598</v>
      </c>
      <c r="AO240" s="14" t="s">
        <v>84</v>
      </c>
      <c r="AP240" s="14" t="s">
        <v>599</v>
      </c>
      <c r="AQ240" s="16">
        <v>0.0</v>
      </c>
      <c r="AR240" s="14" t="s">
        <v>196</v>
      </c>
    </row>
    <row r="241" ht="15.75" customHeight="1">
      <c r="A241" s="14" t="s">
        <v>39</v>
      </c>
      <c r="B241" s="14" t="s">
        <v>44</v>
      </c>
      <c r="C241" s="14" t="s">
        <v>102</v>
      </c>
      <c r="D241" s="14" t="s">
        <v>518</v>
      </c>
      <c r="E241" s="14" t="s">
        <v>271</v>
      </c>
      <c r="F241" s="14" t="s">
        <v>367</v>
      </c>
      <c r="G241" s="14" t="s">
        <v>69</v>
      </c>
      <c r="H241" s="14" t="s">
        <v>69</v>
      </c>
      <c r="I241" s="15" t="s">
        <v>122</v>
      </c>
      <c r="J241" s="14" t="s">
        <v>71</v>
      </c>
      <c r="K241" s="27">
        <v>3.0</v>
      </c>
      <c r="L241" s="27"/>
      <c r="M241" s="14"/>
      <c r="N241" s="14"/>
      <c r="O241" s="28"/>
      <c r="P241" s="14">
        <v>570.0</v>
      </c>
      <c r="Q241" s="14" t="s">
        <v>74</v>
      </c>
      <c r="R241" s="14" t="s">
        <v>75</v>
      </c>
      <c r="S241" s="14" t="s">
        <v>142</v>
      </c>
      <c r="T241" s="14" t="s">
        <v>39</v>
      </c>
      <c r="U241" s="14" t="s">
        <v>226</v>
      </c>
      <c r="V241" s="14" t="s">
        <v>368</v>
      </c>
      <c r="W241" s="14">
        <v>2.0</v>
      </c>
      <c r="X241" s="14">
        <v>2.0</v>
      </c>
      <c r="Y241" s="14">
        <v>4.0</v>
      </c>
      <c r="Z241" s="14">
        <v>3.0</v>
      </c>
      <c r="AA241" s="14">
        <v>2.0</v>
      </c>
      <c r="AB241" s="14">
        <v>0.0</v>
      </c>
      <c r="AC241" s="16">
        <v>2.3</v>
      </c>
      <c r="AD241" s="14"/>
      <c r="AE241" s="14" t="s">
        <v>122</v>
      </c>
      <c r="AF241" s="14"/>
      <c r="AG241" s="15"/>
      <c r="AH241" s="14"/>
      <c r="AI241" s="14"/>
      <c r="AJ241" s="15"/>
      <c r="AK241" s="14"/>
      <c r="AL241" s="14"/>
      <c r="AM241" s="14" t="s">
        <v>368</v>
      </c>
      <c r="AN241" s="14" t="s">
        <v>600</v>
      </c>
      <c r="AO241" s="14" t="s">
        <v>84</v>
      </c>
      <c r="AP241" s="14" t="s">
        <v>601</v>
      </c>
      <c r="AQ241" s="16">
        <v>0.0</v>
      </c>
      <c r="AR241" s="14" t="s">
        <v>196</v>
      </c>
    </row>
    <row r="242" ht="15.75" customHeight="1">
      <c r="A242" s="14" t="s">
        <v>39</v>
      </c>
      <c r="B242" s="14" t="s">
        <v>44</v>
      </c>
      <c r="C242" s="14" t="s">
        <v>102</v>
      </c>
      <c r="D242" s="14" t="s">
        <v>347</v>
      </c>
      <c r="E242" s="14" t="s">
        <v>271</v>
      </c>
      <c r="F242" s="14" t="s">
        <v>367</v>
      </c>
      <c r="G242" s="14" t="s">
        <v>69</v>
      </c>
      <c r="H242" s="14" t="s">
        <v>69</v>
      </c>
      <c r="I242" s="15" t="s">
        <v>122</v>
      </c>
      <c r="J242" s="14" t="s">
        <v>71</v>
      </c>
      <c r="K242" s="27">
        <v>3.0</v>
      </c>
      <c r="L242" s="27"/>
      <c r="M242" s="14"/>
      <c r="N242" s="14"/>
      <c r="O242" s="28"/>
      <c r="P242" s="14">
        <v>570.0</v>
      </c>
      <c r="Q242" s="14" t="s">
        <v>74</v>
      </c>
      <c r="R242" s="14" t="s">
        <v>75</v>
      </c>
      <c r="S242" s="14" t="s">
        <v>142</v>
      </c>
      <c r="T242" s="14" t="s">
        <v>39</v>
      </c>
      <c r="U242" s="14" t="s">
        <v>226</v>
      </c>
      <c r="V242" s="14" t="s">
        <v>368</v>
      </c>
      <c r="W242" s="14">
        <v>2.0</v>
      </c>
      <c r="X242" s="14">
        <v>2.0</v>
      </c>
      <c r="Y242" s="14">
        <v>4.0</v>
      </c>
      <c r="Z242" s="14">
        <v>3.0</v>
      </c>
      <c r="AA242" s="14">
        <v>2.0</v>
      </c>
      <c r="AB242" s="14">
        <v>0.0</v>
      </c>
      <c r="AC242" s="16">
        <v>2.3</v>
      </c>
      <c r="AD242" s="14"/>
      <c r="AE242" s="14" t="s">
        <v>122</v>
      </c>
      <c r="AF242" s="14"/>
      <c r="AG242" s="15"/>
      <c r="AH242" s="14"/>
      <c r="AI242" s="14"/>
      <c r="AJ242" s="15"/>
      <c r="AK242" s="14"/>
      <c r="AL242" s="14"/>
      <c r="AM242" s="14" t="s">
        <v>368</v>
      </c>
      <c r="AN242" s="14" t="s">
        <v>470</v>
      </c>
      <c r="AO242" s="14" t="s">
        <v>84</v>
      </c>
      <c r="AP242" s="14" t="s">
        <v>471</v>
      </c>
      <c r="AQ242" s="16">
        <v>0.0</v>
      </c>
      <c r="AR242" s="14" t="s">
        <v>196</v>
      </c>
    </row>
    <row r="243" ht="15.75" customHeight="1">
      <c r="A243" s="14" t="s">
        <v>39</v>
      </c>
      <c r="B243" s="14" t="s">
        <v>44</v>
      </c>
      <c r="C243" s="14" t="s">
        <v>102</v>
      </c>
      <c r="D243" s="14" t="s">
        <v>521</v>
      </c>
      <c r="E243" s="14" t="s">
        <v>271</v>
      </c>
      <c r="F243" s="14" t="s">
        <v>367</v>
      </c>
      <c r="G243" s="14" t="s">
        <v>69</v>
      </c>
      <c r="H243" s="14" t="s">
        <v>69</v>
      </c>
      <c r="I243" s="15" t="s">
        <v>122</v>
      </c>
      <c r="J243" s="14" t="s">
        <v>71</v>
      </c>
      <c r="K243" s="27">
        <v>3.0</v>
      </c>
      <c r="L243" s="27"/>
      <c r="M243" s="14"/>
      <c r="N243" s="14"/>
      <c r="O243" s="28"/>
      <c r="P243" s="14">
        <v>570.0</v>
      </c>
      <c r="Q243" s="14" t="s">
        <v>74</v>
      </c>
      <c r="R243" s="14" t="s">
        <v>75</v>
      </c>
      <c r="S243" s="14" t="s">
        <v>142</v>
      </c>
      <c r="T243" s="14" t="s">
        <v>39</v>
      </c>
      <c r="U243" s="14" t="s">
        <v>226</v>
      </c>
      <c r="V243" s="14" t="s">
        <v>368</v>
      </c>
      <c r="W243" s="14">
        <v>2.0</v>
      </c>
      <c r="X243" s="14">
        <v>2.0</v>
      </c>
      <c r="Y243" s="14">
        <v>4.0</v>
      </c>
      <c r="Z243" s="14">
        <v>3.0</v>
      </c>
      <c r="AA243" s="14">
        <v>2.0</v>
      </c>
      <c r="AB243" s="14">
        <v>0.0</v>
      </c>
      <c r="AC243" s="16">
        <v>2.3</v>
      </c>
      <c r="AD243" s="14"/>
      <c r="AE243" s="14" t="s">
        <v>122</v>
      </c>
      <c r="AF243" s="14"/>
      <c r="AG243" s="15"/>
      <c r="AH243" s="14"/>
      <c r="AI243" s="14"/>
      <c r="AJ243" s="15"/>
      <c r="AK243" s="14"/>
      <c r="AL243" s="14"/>
      <c r="AM243" s="14" t="s">
        <v>368</v>
      </c>
      <c r="AN243" s="14" t="s">
        <v>602</v>
      </c>
      <c r="AO243" s="14" t="s">
        <v>84</v>
      </c>
      <c r="AP243" s="14" t="s">
        <v>603</v>
      </c>
      <c r="AQ243" s="16">
        <v>0.0</v>
      </c>
      <c r="AR243" s="14" t="s">
        <v>196</v>
      </c>
    </row>
    <row r="244" ht="15.75" customHeight="1">
      <c r="A244" s="14" t="s">
        <v>39</v>
      </c>
      <c r="B244" s="14" t="s">
        <v>44</v>
      </c>
      <c r="C244" s="14" t="s">
        <v>102</v>
      </c>
      <c r="D244" s="14" t="s">
        <v>348</v>
      </c>
      <c r="E244" s="14" t="s">
        <v>271</v>
      </c>
      <c r="F244" s="14" t="s">
        <v>367</v>
      </c>
      <c r="G244" s="14" t="s">
        <v>69</v>
      </c>
      <c r="H244" s="14" t="s">
        <v>69</v>
      </c>
      <c r="I244" s="15" t="s">
        <v>122</v>
      </c>
      <c r="J244" s="14" t="s">
        <v>71</v>
      </c>
      <c r="K244" s="27">
        <v>3.0</v>
      </c>
      <c r="L244" s="27"/>
      <c r="M244" s="14"/>
      <c r="N244" s="14"/>
      <c r="O244" s="28"/>
      <c r="P244" s="14">
        <v>570.0</v>
      </c>
      <c r="Q244" s="14" t="s">
        <v>74</v>
      </c>
      <c r="R244" s="14" t="s">
        <v>75</v>
      </c>
      <c r="S244" s="14" t="s">
        <v>142</v>
      </c>
      <c r="T244" s="14" t="s">
        <v>39</v>
      </c>
      <c r="U244" s="14" t="s">
        <v>226</v>
      </c>
      <c r="V244" s="14" t="s">
        <v>368</v>
      </c>
      <c r="W244" s="14">
        <v>2.0</v>
      </c>
      <c r="X244" s="14">
        <v>2.0</v>
      </c>
      <c r="Y244" s="14">
        <v>4.0</v>
      </c>
      <c r="Z244" s="14">
        <v>3.0</v>
      </c>
      <c r="AA244" s="14">
        <v>2.0</v>
      </c>
      <c r="AB244" s="14">
        <v>0.0</v>
      </c>
      <c r="AC244" s="16">
        <v>2.3</v>
      </c>
      <c r="AD244" s="14"/>
      <c r="AE244" s="14" t="s">
        <v>122</v>
      </c>
      <c r="AF244" s="14"/>
      <c r="AG244" s="15"/>
      <c r="AH244" s="14"/>
      <c r="AI244" s="14"/>
      <c r="AJ244" s="15"/>
      <c r="AK244" s="14"/>
      <c r="AL244" s="14"/>
      <c r="AM244" s="14" t="s">
        <v>368</v>
      </c>
      <c r="AN244" s="14" t="s">
        <v>472</v>
      </c>
      <c r="AO244" s="14" t="s">
        <v>84</v>
      </c>
      <c r="AP244" s="14" t="s">
        <v>473</v>
      </c>
      <c r="AQ244" s="16">
        <v>0.0</v>
      </c>
      <c r="AR244" s="14" t="s">
        <v>196</v>
      </c>
    </row>
    <row r="245" ht="15.75" customHeight="1">
      <c r="A245" s="14" t="s">
        <v>39</v>
      </c>
      <c r="B245" s="14" t="s">
        <v>44</v>
      </c>
      <c r="C245" s="14" t="s">
        <v>102</v>
      </c>
      <c r="D245" s="14" t="s">
        <v>522</v>
      </c>
      <c r="E245" s="14" t="s">
        <v>271</v>
      </c>
      <c r="F245" s="14" t="s">
        <v>367</v>
      </c>
      <c r="G245" s="14" t="s">
        <v>69</v>
      </c>
      <c r="H245" s="14" t="s">
        <v>69</v>
      </c>
      <c r="I245" s="15" t="s">
        <v>122</v>
      </c>
      <c r="J245" s="14" t="s">
        <v>71</v>
      </c>
      <c r="K245" s="27">
        <v>3.0</v>
      </c>
      <c r="L245" s="27"/>
      <c r="M245" s="14"/>
      <c r="N245" s="14"/>
      <c r="O245" s="28"/>
      <c r="P245" s="14">
        <v>570.0</v>
      </c>
      <c r="Q245" s="14" t="s">
        <v>74</v>
      </c>
      <c r="R245" s="14" t="s">
        <v>75</v>
      </c>
      <c r="S245" s="14" t="s">
        <v>142</v>
      </c>
      <c r="T245" s="14" t="s">
        <v>39</v>
      </c>
      <c r="U245" s="14" t="s">
        <v>226</v>
      </c>
      <c r="V245" s="14" t="s">
        <v>368</v>
      </c>
      <c r="W245" s="14">
        <v>2.0</v>
      </c>
      <c r="X245" s="14">
        <v>2.0</v>
      </c>
      <c r="Y245" s="14">
        <v>4.0</v>
      </c>
      <c r="Z245" s="14">
        <v>3.0</v>
      </c>
      <c r="AA245" s="14">
        <v>2.0</v>
      </c>
      <c r="AB245" s="14">
        <v>0.0</v>
      </c>
      <c r="AC245" s="16">
        <v>2.3</v>
      </c>
      <c r="AD245" s="14"/>
      <c r="AE245" s="14" t="s">
        <v>122</v>
      </c>
      <c r="AF245" s="14"/>
      <c r="AG245" s="15"/>
      <c r="AH245" s="14"/>
      <c r="AI245" s="14"/>
      <c r="AJ245" s="15"/>
      <c r="AK245" s="14"/>
      <c r="AL245" s="14"/>
      <c r="AM245" s="14" t="s">
        <v>368</v>
      </c>
      <c r="AN245" s="14" t="s">
        <v>604</v>
      </c>
      <c r="AO245" s="14" t="s">
        <v>84</v>
      </c>
      <c r="AP245" s="14" t="s">
        <v>605</v>
      </c>
      <c r="AQ245" s="16">
        <v>0.0</v>
      </c>
      <c r="AR245" s="14" t="s">
        <v>196</v>
      </c>
    </row>
    <row r="246" ht="15.75" customHeight="1">
      <c r="A246" s="14" t="s">
        <v>39</v>
      </c>
      <c r="B246" s="14" t="s">
        <v>44</v>
      </c>
      <c r="C246" s="14" t="s">
        <v>102</v>
      </c>
      <c r="D246" s="14" t="s">
        <v>523</v>
      </c>
      <c r="E246" s="14" t="s">
        <v>271</v>
      </c>
      <c r="F246" s="14" t="s">
        <v>367</v>
      </c>
      <c r="G246" s="14" t="s">
        <v>69</v>
      </c>
      <c r="H246" s="14" t="s">
        <v>69</v>
      </c>
      <c r="I246" s="15" t="s">
        <v>122</v>
      </c>
      <c r="J246" s="14" t="s">
        <v>71</v>
      </c>
      <c r="K246" s="27">
        <v>3.0</v>
      </c>
      <c r="L246" s="27"/>
      <c r="M246" s="14"/>
      <c r="N246" s="14"/>
      <c r="O246" s="28"/>
      <c r="P246" s="14">
        <v>570.0</v>
      </c>
      <c r="Q246" s="14" t="s">
        <v>74</v>
      </c>
      <c r="R246" s="14" t="s">
        <v>75</v>
      </c>
      <c r="S246" s="14" t="s">
        <v>142</v>
      </c>
      <c r="T246" s="14" t="s">
        <v>39</v>
      </c>
      <c r="U246" s="14" t="s">
        <v>226</v>
      </c>
      <c r="V246" s="14" t="s">
        <v>368</v>
      </c>
      <c r="W246" s="14">
        <v>2.0</v>
      </c>
      <c r="X246" s="14">
        <v>2.0</v>
      </c>
      <c r="Y246" s="14">
        <v>4.0</v>
      </c>
      <c r="Z246" s="14">
        <v>3.0</v>
      </c>
      <c r="AA246" s="14">
        <v>2.0</v>
      </c>
      <c r="AB246" s="14">
        <v>0.0</v>
      </c>
      <c r="AC246" s="16">
        <v>2.3</v>
      </c>
      <c r="AD246" s="14"/>
      <c r="AE246" s="14" t="s">
        <v>122</v>
      </c>
      <c r="AF246" s="14"/>
      <c r="AG246" s="15"/>
      <c r="AH246" s="14"/>
      <c r="AI246" s="14"/>
      <c r="AJ246" s="15"/>
      <c r="AK246" s="14"/>
      <c r="AL246" s="14"/>
      <c r="AM246" s="14" t="s">
        <v>368</v>
      </c>
      <c r="AN246" s="14" t="s">
        <v>606</v>
      </c>
      <c r="AO246" s="14" t="s">
        <v>84</v>
      </c>
      <c r="AP246" s="14" t="s">
        <v>607</v>
      </c>
      <c r="AQ246" s="16">
        <v>0.0</v>
      </c>
      <c r="AR246" s="14" t="s">
        <v>196</v>
      </c>
    </row>
    <row r="247" ht="15.75" customHeight="1">
      <c r="A247" s="14" t="s">
        <v>39</v>
      </c>
      <c r="B247" s="14" t="s">
        <v>44</v>
      </c>
      <c r="C247" s="14" t="s">
        <v>102</v>
      </c>
      <c r="D247" s="14" t="s">
        <v>351</v>
      </c>
      <c r="E247" s="14" t="s">
        <v>271</v>
      </c>
      <c r="F247" s="14" t="s">
        <v>219</v>
      </c>
      <c r="G247" s="14" t="s">
        <v>69</v>
      </c>
      <c r="H247" s="14" t="s">
        <v>69</v>
      </c>
      <c r="I247" s="15" t="s">
        <v>122</v>
      </c>
      <c r="J247" s="14" t="s">
        <v>71</v>
      </c>
      <c r="K247" s="27">
        <v>3.0</v>
      </c>
      <c r="L247" s="27"/>
      <c r="M247" s="14"/>
      <c r="N247" s="14"/>
      <c r="O247" s="28"/>
      <c r="P247" s="14">
        <v>570.0</v>
      </c>
      <c r="Q247" s="14" t="s">
        <v>74</v>
      </c>
      <c r="R247" s="14" t="s">
        <v>75</v>
      </c>
      <c r="S247" s="14" t="s">
        <v>142</v>
      </c>
      <c r="T247" s="14" t="s">
        <v>39</v>
      </c>
      <c r="U247" s="14" t="s">
        <v>90</v>
      </c>
      <c r="V247" s="14" t="s">
        <v>220</v>
      </c>
      <c r="W247" s="14">
        <v>2.0</v>
      </c>
      <c r="X247" s="14">
        <v>2.0</v>
      </c>
      <c r="Y247" s="14">
        <v>4.0</v>
      </c>
      <c r="Z247" s="14">
        <v>3.0</v>
      </c>
      <c r="AA247" s="14">
        <v>2.0</v>
      </c>
      <c r="AB247" s="14">
        <v>0.0</v>
      </c>
      <c r="AC247" s="16">
        <v>2.3</v>
      </c>
      <c r="AD247" s="14"/>
      <c r="AE247" s="14" t="s">
        <v>122</v>
      </c>
      <c r="AF247" s="14"/>
      <c r="AG247" s="15"/>
      <c r="AH247" s="14"/>
      <c r="AI247" s="14"/>
      <c r="AJ247" s="15"/>
      <c r="AK247" s="14"/>
      <c r="AL247" s="14"/>
      <c r="AM247" s="14" t="s">
        <v>220</v>
      </c>
      <c r="AN247" s="14" t="s">
        <v>384</v>
      </c>
      <c r="AO247" s="14" t="s">
        <v>84</v>
      </c>
      <c r="AP247" s="14" t="s">
        <v>385</v>
      </c>
      <c r="AQ247" s="16">
        <v>0.0</v>
      </c>
      <c r="AR247" s="14" t="s">
        <v>196</v>
      </c>
    </row>
    <row r="248" ht="15.75" customHeight="1">
      <c r="A248" s="14" t="s">
        <v>39</v>
      </c>
      <c r="B248" s="14" t="s">
        <v>44</v>
      </c>
      <c r="C248" s="14" t="s">
        <v>102</v>
      </c>
      <c r="D248" s="14" t="s">
        <v>352</v>
      </c>
      <c r="E248" s="14" t="s">
        <v>271</v>
      </c>
      <c r="F248" s="14" t="s">
        <v>224</v>
      </c>
      <c r="G248" s="14" t="s">
        <v>69</v>
      </c>
      <c r="H248" s="14" t="s">
        <v>69</v>
      </c>
      <c r="I248" s="15" t="s">
        <v>122</v>
      </c>
      <c r="J248" s="14" t="s">
        <v>71</v>
      </c>
      <c r="K248" s="27">
        <v>3.0</v>
      </c>
      <c r="L248" s="27"/>
      <c r="M248" s="14"/>
      <c r="N248" s="14"/>
      <c r="O248" s="28"/>
      <c r="P248" s="14">
        <v>570.0</v>
      </c>
      <c r="Q248" s="14" t="s">
        <v>74</v>
      </c>
      <c r="R248" s="14" t="s">
        <v>75</v>
      </c>
      <c r="S248" s="14" t="s">
        <v>142</v>
      </c>
      <c r="T248" s="14" t="s">
        <v>39</v>
      </c>
      <c r="U248" s="14" t="s">
        <v>90</v>
      </c>
      <c r="V248" s="14" t="s">
        <v>225</v>
      </c>
      <c r="W248" s="14">
        <v>2.0</v>
      </c>
      <c r="X248" s="14">
        <v>2.0</v>
      </c>
      <c r="Y248" s="14">
        <v>4.0</v>
      </c>
      <c r="Z248" s="14">
        <v>3.0</v>
      </c>
      <c r="AA248" s="14">
        <v>2.0</v>
      </c>
      <c r="AB248" s="14">
        <v>0.0</v>
      </c>
      <c r="AC248" s="16">
        <v>2.3</v>
      </c>
      <c r="AD248" s="14"/>
      <c r="AE248" s="14" t="s">
        <v>122</v>
      </c>
      <c r="AF248" s="14"/>
      <c r="AG248" s="15"/>
      <c r="AH248" s="14"/>
      <c r="AI248" s="14"/>
      <c r="AJ248" s="15"/>
      <c r="AK248" s="14"/>
      <c r="AL248" s="14"/>
      <c r="AM248" s="14" t="s">
        <v>225</v>
      </c>
      <c r="AN248" s="14" t="s">
        <v>386</v>
      </c>
      <c r="AO248" s="14" t="s">
        <v>84</v>
      </c>
      <c r="AP248" s="14" t="s">
        <v>387</v>
      </c>
      <c r="AQ248" s="16">
        <v>0.0</v>
      </c>
      <c r="AR248" s="14" t="s">
        <v>196</v>
      </c>
    </row>
    <row r="249" ht="15.75" customHeight="1">
      <c r="A249" s="14" t="s">
        <v>39</v>
      </c>
      <c r="B249" s="14" t="s">
        <v>44</v>
      </c>
      <c r="C249" s="14" t="s">
        <v>102</v>
      </c>
      <c r="D249" s="14" t="s">
        <v>355</v>
      </c>
      <c r="E249" s="14" t="s">
        <v>271</v>
      </c>
      <c r="F249" s="14" t="s">
        <v>224</v>
      </c>
      <c r="G249" s="14" t="s">
        <v>69</v>
      </c>
      <c r="H249" s="14" t="s">
        <v>69</v>
      </c>
      <c r="I249" s="15" t="s">
        <v>122</v>
      </c>
      <c r="J249" s="14" t="s">
        <v>71</v>
      </c>
      <c r="K249" s="27">
        <v>3.0</v>
      </c>
      <c r="L249" s="27"/>
      <c r="M249" s="14"/>
      <c r="N249" s="14"/>
      <c r="O249" s="28"/>
      <c r="P249" s="14">
        <v>570.0</v>
      </c>
      <c r="Q249" s="14" t="s">
        <v>74</v>
      </c>
      <c r="R249" s="14" t="s">
        <v>75</v>
      </c>
      <c r="S249" s="14" t="s">
        <v>142</v>
      </c>
      <c r="T249" s="14" t="s">
        <v>39</v>
      </c>
      <c r="U249" s="14" t="s">
        <v>90</v>
      </c>
      <c r="V249" s="14" t="s">
        <v>225</v>
      </c>
      <c r="W249" s="14">
        <v>2.0</v>
      </c>
      <c r="X249" s="14">
        <v>2.0</v>
      </c>
      <c r="Y249" s="14">
        <v>4.0</v>
      </c>
      <c r="Z249" s="14">
        <v>3.0</v>
      </c>
      <c r="AA249" s="14">
        <v>2.0</v>
      </c>
      <c r="AB249" s="14">
        <v>0.0</v>
      </c>
      <c r="AC249" s="16">
        <v>2.3</v>
      </c>
      <c r="AD249" s="14"/>
      <c r="AE249" s="14" t="s">
        <v>122</v>
      </c>
      <c r="AF249" s="14"/>
      <c r="AG249" s="15"/>
      <c r="AH249" s="14"/>
      <c r="AI249" s="14"/>
      <c r="AJ249" s="15"/>
      <c r="AK249" s="14"/>
      <c r="AL249" s="14"/>
      <c r="AM249" s="14" t="s">
        <v>225</v>
      </c>
      <c r="AN249" s="14" t="s">
        <v>389</v>
      </c>
      <c r="AO249" s="14" t="s">
        <v>84</v>
      </c>
      <c r="AP249" s="14" t="s">
        <v>390</v>
      </c>
      <c r="AQ249" s="16">
        <v>0.0</v>
      </c>
      <c r="AR249" s="14" t="s">
        <v>196</v>
      </c>
    </row>
    <row r="250" ht="15.75" customHeight="1">
      <c r="A250" s="14" t="s">
        <v>39</v>
      </c>
      <c r="B250" s="14" t="s">
        <v>44</v>
      </c>
      <c r="C250" s="14" t="s">
        <v>102</v>
      </c>
      <c r="D250" s="14" t="s">
        <v>230</v>
      </c>
      <c r="E250" s="14" t="s">
        <v>202</v>
      </c>
      <c r="F250" s="14" t="s">
        <v>175</v>
      </c>
      <c r="G250" s="14" t="s">
        <v>39</v>
      </c>
      <c r="H250" s="14" t="s">
        <v>69</v>
      </c>
      <c r="I250" s="15" t="s">
        <v>176</v>
      </c>
      <c r="J250" s="14" t="s">
        <v>71</v>
      </c>
      <c r="K250" s="27">
        <v>0.0</v>
      </c>
      <c r="L250" s="27">
        <v>0.0</v>
      </c>
      <c r="M250" s="14"/>
      <c r="N250" s="14"/>
      <c r="O250" s="28"/>
      <c r="P250" s="14">
        <v>500.0</v>
      </c>
      <c r="Q250" s="14" t="s">
        <v>74</v>
      </c>
      <c r="R250" s="14" t="s">
        <v>75</v>
      </c>
      <c r="S250" s="14" t="s">
        <v>142</v>
      </c>
      <c r="T250" s="14" t="s">
        <v>39</v>
      </c>
      <c r="U250" s="14" t="s">
        <v>226</v>
      </c>
      <c r="V250" s="14" t="s">
        <v>177</v>
      </c>
      <c r="W250" s="14">
        <v>2.0</v>
      </c>
      <c r="X250" s="14">
        <v>2.0</v>
      </c>
      <c r="Y250" s="14">
        <v>5.0</v>
      </c>
      <c r="Z250" s="14">
        <v>3.0</v>
      </c>
      <c r="AA250" s="14">
        <v>2.0</v>
      </c>
      <c r="AB250" s="14">
        <v>0.0</v>
      </c>
      <c r="AC250" s="16">
        <v>2.5</v>
      </c>
      <c r="AD250" s="14">
        <v>0.0</v>
      </c>
      <c r="AE250" s="14" t="s">
        <v>176</v>
      </c>
      <c r="AF250" s="14"/>
      <c r="AG250" s="15"/>
      <c r="AH250" s="14"/>
      <c r="AI250" s="14"/>
      <c r="AJ250" s="15"/>
      <c r="AK250" s="14"/>
      <c r="AL250" s="14"/>
      <c r="AM250" s="14" t="s">
        <v>177</v>
      </c>
      <c r="AN250" s="14" t="s">
        <v>395</v>
      </c>
      <c r="AO250" s="14" t="s">
        <v>84</v>
      </c>
      <c r="AP250" s="14" t="s">
        <v>396</v>
      </c>
      <c r="AQ250" s="16">
        <v>0.0</v>
      </c>
      <c r="AR250" s="14" t="s">
        <v>196</v>
      </c>
    </row>
    <row r="251" ht="15.75" customHeight="1">
      <c r="A251" s="14" t="s">
        <v>39</v>
      </c>
      <c r="B251" s="14" t="s">
        <v>44</v>
      </c>
      <c r="C251" s="14" t="s">
        <v>102</v>
      </c>
      <c r="D251" s="14" t="s">
        <v>174</v>
      </c>
      <c r="E251" s="14" t="s">
        <v>106</v>
      </c>
      <c r="F251" s="14" t="s">
        <v>175</v>
      </c>
      <c r="G251" s="14" t="s">
        <v>39</v>
      </c>
      <c r="H251" s="14" t="s">
        <v>69</v>
      </c>
      <c r="I251" s="15" t="s">
        <v>176</v>
      </c>
      <c r="J251" s="14" t="s">
        <v>71</v>
      </c>
      <c r="K251" s="27">
        <v>0.0</v>
      </c>
      <c r="L251" s="27">
        <v>0.0</v>
      </c>
      <c r="M251" s="14"/>
      <c r="N251" s="14"/>
      <c r="O251" s="28"/>
      <c r="P251" s="14">
        <v>130.0</v>
      </c>
      <c r="Q251" s="14" t="s">
        <v>121</v>
      </c>
      <c r="R251" s="14" t="s">
        <v>75</v>
      </c>
      <c r="S251" s="14" t="s">
        <v>76</v>
      </c>
      <c r="T251" s="14" t="s">
        <v>39</v>
      </c>
      <c r="U251" s="14" t="s">
        <v>226</v>
      </c>
      <c r="V251" s="14" t="s">
        <v>177</v>
      </c>
      <c r="W251" s="14">
        <v>2.0</v>
      </c>
      <c r="X251" s="14">
        <v>5.0</v>
      </c>
      <c r="Y251" s="14">
        <v>5.0</v>
      </c>
      <c r="Z251" s="14">
        <v>3.0</v>
      </c>
      <c r="AA251" s="14">
        <v>4.0</v>
      </c>
      <c r="AB251" s="14">
        <v>0.0</v>
      </c>
      <c r="AC251" s="16">
        <v>3.2</v>
      </c>
      <c r="AD251" s="14">
        <v>0.0</v>
      </c>
      <c r="AE251" s="14" t="s">
        <v>176</v>
      </c>
      <c r="AF251" s="14"/>
      <c r="AG251" s="15"/>
      <c r="AH251" s="14"/>
      <c r="AI251" s="14"/>
      <c r="AJ251" s="15"/>
      <c r="AK251" s="14"/>
      <c r="AL251" s="14"/>
      <c r="AM251" s="14" t="s">
        <v>177</v>
      </c>
      <c r="AN251" s="14" t="s">
        <v>404</v>
      </c>
      <c r="AO251" s="14" t="s">
        <v>84</v>
      </c>
      <c r="AP251" s="14" t="s">
        <v>405</v>
      </c>
      <c r="AQ251" s="16">
        <v>0.0</v>
      </c>
      <c r="AR251" s="14" t="s">
        <v>196</v>
      </c>
    </row>
    <row r="252" ht="15.75" customHeight="1">
      <c r="A252" s="14" t="s">
        <v>39</v>
      </c>
      <c r="B252" s="14" t="s">
        <v>44</v>
      </c>
      <c r="C252" s="14" t="s">
        <v>102</v>
      </c>
      <c r="D252" s="14" t="s">
        <v>388</v>
      </c>
      <c r="E252" s="14" t="s">
        <v>271</v>
      </c>
      <c r="F252" s="14" t="s">
        <v>175</v>
      </c>
      <c r="G252" s="14" t="s">
        <v>39</v>
      </c>
      <c r="H252" s="14" t="s">
        <v>69</v>
      </c>
      <c r="I252" s="15" t="s">
        <v>176</v>
      </c>
      <c r="J252" s="14" t="s">
        <v>71</v>
      </c>
      <c r="K252" s="27">
        <v>0.0</v>
      </c>
      <c r="L252" s="27">
        <v>0.0</v>
      </c>
      <c r="M252" s="14"/>
      <c r="N252" s="14"/>
      <c r="O252" s="28"/>
      <c r="P252" s="14">
        <v>570.0</v>
      </c>
      <c r="Q252" s="14" t="s">
        <v>74</v>
      </c>
      <c r="R252" s="14" t="s">
        <v>75</v>
      </c>
      <c r="S252" s="14" t="s">
        <v>142</v>
      </c>
      <c r="T252" s="14" t="s">
        <v>39</v>
      </c>
      <c r="U252" s="14" t="s">
        <v>226</v>
      </c>
      <c r="V252" s="14" t="s">
        <v>177</v>
      </c>
      <c r="W252" s="14">
        <v>2.0</v>
      </c>
      <c r="X252" s="14">
        <v>2.0</v>
      </c>
      <c r="Y252" s="14">
        <v>5.0</v>
      </c>
      <c r="Z252" s="14">
        <v>3.0</v>
      </c>
      <c r="AA252" s="14">
        <v>2.0</v>
      </c>
      <c r="AB252" s="14">
        <v>0.0</v>
      </c>
      <c r="AC252" s="16">
        <v>2.5</v>
      </c>
      <c r="AD252" s="14">
        <v>0.0</v>
      </c>
      <c r="AE252" s="14" t="s">
        <v>176</v>
      </c>
      <c r="AF252" s="14"/>
      <c r="AG252" s="15"/>
      <c r="AH252" s="14"/>
      <c r="AI252" s="14"/>
      <c r="AJ252" s="15"/>
      <c r="AK252" s="14"/>
      <c r="AL252" s="14"/>
      <c r="AM252" s="14" t="s">
        <v>177</v>
      </c>
      <c r="AN252" s="14" t="s">
        <v>559</v>
      </c>
      <c r="AO252" s="14" t="s">
        <v>84</v>
      </c>
      <c r="AP252" s="14" t="s">
        <v>560</v>
      </c>
      <c r="AQ252" s="16">
        <v>0.0</v>
      </c>
      <c r="AR252" s="14" t="s">
        <v>196</v>
      </c>
    </row>
    <row r="253" ht="15.75" customHeight="1">
      <c r="A253" s="14" t="s">
        <v>39</v>
      </c>
      <c r="B253" s="14" t="s">
        <v>44</v>
      </c>
      <c r="C253" s="14" t="s">
        <v>102</v>
      </c>
      <c r="D253" s="14" t="s">
        <v>300</v>
      </c>
      <c r="E253" s="14" t="s">
        <v>150</v>
      </c>
      <c r="F253" s="14" t="s">
        <v>175</v>
      </c>
      <c r="G253" s="14" t="s">
        <v>39</v>
      </c>
      <c r="H253" s="14" t="s">
        <v>69</v>
      </c>
      <c r="I253" s="15" t="s">
        <v>176</v>
      </c>
      <c r="J253" s="14" t="s">
        <v>71</v>
      </c>
      <c r="K253" s="27">
        <v>0.0</v>
      </c>
      <c r="L253" s="27">
        <v>0.0</v>
      </c>
      <c r="M253" s="14"/>
      <c r="N253" s="14"/>
      <c r="O253" s="28"/>
      <c r="P253" s="14">
        <v>700.0</v>
      </c>
      <c r="Q253" s="14" t="s">
        <v>153</v>
      </c>
      <c r="R253" s="14" t="s">
        <v>75</v>
      </c>
      <c r="S253" s="14" t="s">
        <v>142</v>
      </c>
      <c r="T253" s="14" t="s">
        <v>39</v>
      </c>
      <c r="U253" s="14" t="s">
        <v>226</v>
      </c>
      <c r="V253" s="14" t="s">
        <v>177</v>
      </c>
      <c r="W253" s="14">
        <v>2.0</v>
      </c>
      <c r="X253" s="14">
        <v>1.0</v>
      </c>
      <c r="Y253" s="14">
        <v>5.0</v>
      </c>
      <c r="Z253" s="14">
        <v>3.0</v>
      </c>
      <c r="AA253" s="14">
        <v>2.0</v>
      </c>
      <c r="AB253" s="14">
        <v>0.0</v>
      </c>
      <c r="AC253" s="16">
        <v>2.4</v>
      </c>
      <c r="AD253" s="14">
        <v>0.0</v>
      </c>
      <c r="AE253" s="14" t="s">
        <v>176</v>
      </c>
      <c r="AF253" s="14"/>
      <c r="AG253" s="15"/>
      <c r="AH253" s="14"/>
      <c r="AI253" s="14"/>
      <c r="AJ253" s="15"/>
      <c r="AK253" s="14"/>
      <c r="AL253" s="14"/>
      <c r="AM253" s="14" t="s">
        <v>177</v>
      </c>
      <c r="AN253" s="14" t="s">
        <v>421</v>
      </c>
      <c r="AO253" s="14" t="s">
        <v>84</v>
      </c>
      <c r="AP253" s="14" t="s">
        <v>422</v>
      </c>
      <c r="AQ253" s="16">
        <v>0.0</v>
      </c>
      <c r="AR253" s="14" t="s">
        <v>196</v>
      </c>
    </row>
    <row r="254" ht="15.75" customHeight="1">
      <c r="A254" s="14" t="s">
        <v>39</v>
      </c>
      <c r="B254" s="14" t="s">
        <v>44</v>
      </c>
      <c r="C254" s="14" t="s">
        <v>102</v>
      </c>
      <c r="D254" s="14" t="s">
        <v>308</v>
      </c>
      <c r="E254" s="14" t="s">
        <v>150</v>
      </c>
      <c r="F254" s="14" t="s">
        <v>175</v>
      </c>
      <c r="G254" s="14" t="s">
        <v>39</v>
      </c>
      <c r="H254" s="14" t="s">
        <v>69</v>
      </c>
      <c r="I254" s="15" t="s">
        <v>176</v>
      </c>
      <c r="J254" s="14" t="s">
        <v>71</v>
      </c>
      <c r="K254" s="27">
        <v>0.0</v>
      </c>
      <c r="L254" s="27">
        <v>0.0</v>
      </c>
      <c r="M254" s="14"/>
      <c r="N254" s="14"/>
      <c r="O254" s="28"/>
      <c r="P254" s="14">
        <v>700.0</v>
      </c>
      <c r="Q254" s="14" t="s">
        <v>153</v>
      </c>
      <c r="R254" s="14" t="s">
        <v>75</v>
      </c>
      <c r="S254" s="14" t="s">
        <v>142</v>
      </c>
      <c r="T254" s="14" t="s">
        <v>39</v>
      </c>
      <c r="U254" s="14" t="s">
        <v>226</v>
      </c>
      <c r="V254" s="14" t="s">
        <v>177</v>
      </c>
      <c r="W254" s="14">
        <v>2.0</v>
      </c>
      <c r="X254" s="14">
        <v>1.0</v>
      </c>
      <c r="Y254" s="14">
        <v>5.0</v>
      </c>
      <c r="Z254" s="14">
        <v>3.0</v>
      </c>
      <c r="AA254" s="14">
        <v>2.0</v>
      </c>
      <c r="AB254" s="14">
        <v>0.0</v>
      </c>
      <c r="AC254" s="16">
        <v>2.4</v>
      </c>
      <c r="AD254" s="14">
        <v>0.0</v>
      </c>
      <c r="AE254" s="14" t="s">
        <v>176</v>
      </c>
      <c r="AF254" s="14"/>
      <c r="AG254" s="15"/>
      <c r="AH254" s="14"/>
      <c r="AI254" s="14"/>
      <c r="AJ254" s="15"/>
      <c r="AK254" s="14"/>
      <c r="AL254" s="14"/>
      <c r="AM254" s="14" t="s">
        <v>177</v>
      </c>
      <c r="AN254" s="14" t="s">
        <v>438</v>
      </c>
      <c r="AO254" s="14" t="s">
        <v>84</v>
      </c>
      <c r="AP254" s="14" t="s">
        <v>440</v>
      </c>
      <c r="AQ254" s="16">
        <v>0.0</v>
      </c>
      <c r="AR254" s="14" t="s">
        <v>196</v>
      </c>
    </row>
    <row r="255" ht="15.75" customHeight="1">
      <c r="A255" s="14" t="s">
        <v>39</v>
      </c>
      <c r="B255" s="14" t="s">
        <v>44</v>
      </c>
      <c r="C255" s="14" t="s">
        <v>46</v>
      </c>
      <c r="D255" s="14" t="s">
        <v>48</v>
      </c>
      <c r="E255" s="14" t="s">
        <v>68</v>
      </c>
      <c r="F255" s="14" t="s">
        <v>242</v>
      </c>
      <c r="G255" s="14" t="s">
        <v>69</v>
      </c>
      <c r="H255" s="14" t="s">
        <v>69</v>
      </c>
      <c r="I255" s="15" t="s">
        <v>176</v>
      </c>
      <c r="J255" s="14" t="s">
        <v>71</v>
      </c>
      <c r="K255" s="27">
        <v>3.0</v>
      </c>
      <c r="L255" s="27"/>
      <c r="M255" s="14"/>
      <c r="N255" s="14"/>
      <c r="O255" s="28"/>
      <c r="P255" s="14">
        <v>520.0</v>
      </c>
      <c r="Q255" s="14" t="s">
        <v>74</v>
      </c>
      <c r="R255" s="14" t="s">
        <v>75</v>
      </c>
      <c r="S255" s="14" t="s">
        <v>76</v>
      </c>
      <c r="T255" s="14" t="s">
        <v>39</v>
      </c>
      <c r="U255" s="14" t="s">
        <v>59</v>
      </c>
      <c r="V255" s="14" t="s">
        <v>243</v>
      </c>
      <c r="W255" s="14">
        <v>2.0</v>
      </c>
      <c r="X255" s="14">
        <v>2.0</v>
      </c>
      <c r="Y255" s="14">
        <v>4.0</v>
      </c>
      <c r="Z255" s="14">
        <v>3.0</v>
      </c>
      <c r="AA255" s="14">
        <v>4.0</v>
      </c>
      <c r="AB255" s="14">
        <v>0.0</v>
      </c>
      <c r="AC255" s="16">
        <v>2.5</v>
      </c>
      <c r="AD255" s="14"/>
      <c r="AE255" s="14" t="s">
        <v>176</v>
      </c>
      <c r="AF255" s="14"/>
      <c r="AG255" s="15"/>
      <c r="AH255" s="14"/>
      <c r="AI255" s="14"/>
      <c r="AJ255" s="15"/>
      <c r="AK255" s="14"/>
      <c r="AL255" s="14"/>
      <c r="AM255" s="14" t="s">
        <v>243</v>
      </c>
      <c r="AN255" s="14" t="s">
        <v>83</v>
      </c>
      <c r="AO255" s="14" t="s">
        <v>84</v>
      </c>
      <c r="AP255" s="14" t="s">
        <v>85</v>
      </c>
      <c r="AQ255" s="16">
        <v>0.0</v>
      </c>
      <c r="AR255" s="14" t="s">
        <v>196</v>
      </c>
    </row>
    <row r="256" ht="15.75" customHeight="1">
      <c r="A256" s="14" t="s">
        <v>39</v>
      </c>
      <c r="B256" s="14" t="s">
        <v>44</v>
      </c>
      <c r="C256" s="14" t="s">
        <v>46</v>
      </c>
      <c r="D256" s="14" t="s">
        <v>70</v>
      </c>
      <c r="E256" s="14" t="s">
        <v>68</v>
      </c>
      <c r="F256" s="14" t="s">
        <v>242</v>
      </c>
      <c r="G256" s="14" t="s">
        <v>69</v>
      </c>
      <c r="H256" s="14" t="s">
        <v>69</v>
      </c>
      <c r="I256" s="15" t="s">
        <v>176</v>
      </c>
      <c r="J256" s="14" t="s">
        <v>71</v>
      </c>
      <c r="K256" s="27">
        <v>3.0</v>
      </c>
      <c r="L256" s="27"/>
      <c r="M256" s="14"/>
      <c r="N256" s="14"/>
      <c r="O256" s="28"/>
      <c r="P256" s="14">
        <v>520.0</v>
      </c>
      <c r="Q256" s="14" t="s">
        <v>74</v>
      </c>
      <c r="R256" s="14" t="s">
        <v>75</v>
      </c>
      <c r="S256" s="14" t="s">
        <v>76</v>
      </c>
      <c r="T256" s="14" t="s">
        <v>39</v>
      </c>
      <c r="U256" s="14" t="s">
        <v>59</v>
      </c>
      <c r="V256" s="14" t="s">
        <v>243</v>
      </c>
      <c r="W256" s="14">
        <v>2.0</v>
      </c>
      <c r="X256" s="14">
        <v>2.0</v>
      </c>
      <c r="Y256" s="14">
        <v>4.0</v>
      </c>
      <c r="Z256" s="14">
        <v>3.0</v>
      </c>
      <c r="AA256" s="14">
        <v>4.0</v>
      </c>
      <c r="AB256" s="14">
        <v>0.0</v>
      </c>
      <c r="AC256" s="16">
        <v>2.5</v>
      </c>
      <c r="AD256" s="14"/>
      <c r="AE256" s="14" t="s">
        <v>176</v>
      </c>
      <c r="AF256" s="14"/>
      <c r="AG256" s="15"/>
      <c r="AH256" s="14"/>
      <c r="AI256" s="14"/>
      <c r="AJ256" s="15"/>
      <c r="AK256" s="14"/>
      <c r="AL256" s="14"/>
      <c r="AM256" s="14" t="s">
        <v>243</v>
      </c>
      <c r="AN256" s="14" t="s">
        <v>98</v>
      </c>
      <c r="AO256" s="14" t="s">
        <v>84</v>
      </c>
      <c r="AP256" s="14" t="s">
        <v>99</v>
      </c>
      <c r="AQ256" s="16">
        <v>0.0</v>
      </c>
      <c r="AR256" s="14" t="s">
        <v>196</v>
      </c>
    </row>
    <row r="257" ht="15.75" customHeight="1">
      <c r="A257" s="14" t="s">
        <v>39</v>
      </c>
      <c r="B257" s="14" t="s">
        <v>44</v>
      </c>
      <c r="C257" s="14" t="s">
        <v>46</v>
      </c>
      <c r="D257" s="14" t="s">
        <v>105</v>
      </c>
      <c r="E257" s="14" t="s">
        <v>106</v>
      </c>
      <c r="F257" s="14" t="s">
        <v>242</v>
      </c>
      <c r="G257" s="14" t="s">
        <v>69</v>
      </c>
      <c r="H257" s="14" t="s">
        <v>69</v>
      </c>
      <c r="I257" s="15" t="s">
        <v>176</v>
      </c>
      <c r="J257" s="14" t="s">
        <v>71</v>
      </c>
      <c r="K257" s="27">
        <v>3.0</v>
      </c>
      <c r="L257" s="27"/>
      <c r="M257" s="14"/>
      <c r="N257" s="14"/>
      <c r="O257" s="28"/>
      <c r="P257" s="14">
        <v>130.0</v>
      </c>
      <c r="Q257" s="14" t="s">
        <v>121</v>
      </c>
      <c r="R257" s="14" t="s">
        <v>75</v>
      </c>
      <c r="S257" s="14" t="s">
        <v>76</v>
      </c>
      <c r="T257" s="14" t="s">
        <v>39</v>
      </c>
      <c r="U257" s="14" t="s">
        <v>90</v>
      </c>
      <c r="V257" s="14" t="s">
        <v>243</v>
      </c>
      <c r="W257" s="14">
        <v>2.0</v>
      </c>
      <c r="X257" s="14">
        <v>5.0</v>
      </c>
      <c r="Y257" s="14">
        <v>4.0</v>
      </c>
      <c r="Z257" s="14">
        <v>3.0</v>
      </c>
      <c r="AA257" s="14">
        <v>4.0</v>
      </c>
      <c r="AB257" s="14">
        <v>0.0</v>
      </c>
      <c r="AC257" s="16">
        <v>2.9</v>
      </c>
      <c r="AD257" s="14"/>
      <c r="AE257" s="14" t="s">
        <v>176</v>
      </c>
      <c r="AF257" s="14"/>
      <c r="AG257" s="15"/>
      <c r="AH257" s="14"/>
      <c r="AI257" s="14"/>
      <c r="AJ257" s="15"/>
      <c r="AK257" s="14"/>
      <c r="AL257" s="14"/>
      <c r="AM257" s="14" t="s">
        <v>243</v>
      </c>
      <c r="AN257" s="14" t="s">
        <v>266</v>
      </c>
      <c r="AO257" s="14" t="s">
        <v>84</v>
      </c>
      <c r="AP257" s="14" t="s">
        <v>267</v>
      </c>
      <c r="AQ257" s="16">
        <v>0.0</v>
      </c>
      <c r="AR257" s="14" t="s">
        <v>196</v>
      </c>
    </row>
    <row r="258" ht="15.75" customHeight="1">
      <c r="A258" s="14" t="s">
        <v>39</v>
      </c>
      <c r="B258" s="14" t="s">
        <v>44</v>
      </c>
      <c r="C258" s="14" t="s">
        <v>46</v>
      </c>
      <c r="D258" s="14" t="s">
        <v>80</v>
      </c>
      <c r="E258" s="14" t="s">
        <v>68</v>
      </c>
      <c r="F258" s="14" t="s">
        <v>242</v>
      </c>
      <c r="G258" s="14" t="s">
        <v>69</v>
      </c>
      <c r="H258" s="14" t="s">
        <v>69</v>
      </c>
      <c r="I258" s="15" t="s">
        <v>176</v>
      </c>
      <c r="J258" s="14" t="s">
        <v>71</v>
      </c>
      <c r="K258" s="27">
        <v>3.0</v>
      </c>
      <c r="L258" s="27"/>
      <c r="M258" s="14"/>
      <c r="N258" s="14"/>
      <c r="O258" s="28"/>
      <c r="P258" s="14">
        <v>520.0</v>
      </c>
      <c r="Q258" s="14" t="s">
        <v>74</v>
      </c>
      <c r="R258" s="14" t="s">
        <v>75</v>
      </c>
      <c r="S258" s="14" t="s">
        <v>76</v>
      </c>
      <c r="T258" s="14" t="s">
        <v>39</v>
      </c>
      <c r="U258" s="14" t="s">
        <v>59</v>
      </c>
      <c r="V258" s="14" t="s">
        <v>243</v>
      </c>
      <c r="W258" s="14">
        <v>2.0</v>
      </c>
      <c r="X258" s="14">
        <v>2.0</v>
      </c>
      <c r="Y258" s="14">
        <v>4.0</v>
      </c>
      <c r="Z258" s="14">
        <v>3.0</v>
      </c>
      <c r="AA258" s="14">
        <v>4.0</v>
      </c>
      <c r="AB258" s="14">
        <v>0.0</v>
      </c>
      <c r="AC258" s="16">
        <v>2.5</v>
      </c>
      <c r="AD258" s="14"/>
      <c r="AE258" s="14" t="s">
        <v>176</v>
      </c>
      <c r="AF258" s="14"/>
      <c r="AG258" s="15"/>
      <c r="AH258" s="14"/>
      <c r="AI258" s="14"/>
      <c r="AJ258" s="15"/>
      <c r="AK258" s="14"/>
      <c r="AL258" s="14"/>
      <c r="AM258" s="14" t="s">
        <v>243</v>
      </c>
      <c r="AN258" s="14" t="s">
        <v>112</v>
      </c>
      <c r="AO258" s="14" t="s">
        <v>84</v>
      </c>
      <c r="AP258" s="14" t="s">
        <v>115</v>
      </c>
      <c r="AQ258" s="16">
        <v>0.0</v>
      </c>
      <c r="AR258" s="14" t="s">
        <v>196</v>
      </c>
    </row>
    <row r="259" ht="15.75" customHeight="1">
      <c r="A259" s="14" t="s">
        <v>39</v>
      </c>
      <c r="B259" s="14" t="s">
        <v>44</v>
      </c>
      <c r="C259" s="14" t="s">
        <v>46</v>
      </c>
      <c r="D259" s="14" t="s">
        <v>133</v>
      </c>
      <c r="E259" s="14" t="s">
        <v>106</v>
      </c>
      <c r="F259" s="14" t="s">
        <v>242</v>
      </c>
      <c r="G259" s="14" t="s">
        <v>69</v>
      </c>
      <c r="H259" s="14" t="s">
        <v>69</v>
      </c>
      <c r="I259" s="15" t="s">
        <v>176</v>
      </c>
      <c r="J259" s="14" t="s">
        <v>71</v>
      </c>
      <c r="K259" s="27">
        <v>3.0</v>
      </c>
      <c r="L259" s="27"/>
      <c r="M259" s="14"/>
      <c r="N259" s="14"/>
      <c r="O259" s="28"/>
      <c r="P259" s="14">
        <v>130.0</v>
      </c>
      <c r="Q259" s="14" t="s">
        <v>121</v>
      </c>
      <c r="R259" s="14" t="s">
        <v>75</v>
      </c>
      <c r="S259" s="14" t="s">
        <v>76</v>
      </c>
      <c r="T259" s="14" t="s">
        <v>39</v>
      </c>
      <c r="U259" s="14" t="s">
        <v>90</v>
      </c>
      <c r="V259" s="14" t="s">
        <v>243</v>
      </c>
      <c r="W259" s="14">
        <v>2.0</v>
      </c>
      <c r="X259" s="14">
        <v>5.0</v>
      </c>
      <c r="Y259" s="14">
        <v>4.0</v>
      </c>
      <c r="Z259" s="14">
        <v>3.0</v>
      </c>
      <c r="AA259" s="14">
        <v>4.0</v>
      </c>
      <c r="AB259" s="14">
        <v>0.0</v>
      </c>
      <c r="AC259" s="16">
        <v>2.9</v>
      </c>
      <c r="AD259" s="14"/>
      <c r="AE259" s="14" t="s">
        <v>176</v>
      </c>
      <c r="AF259" s="14"/>
      <c r="AG259" s="15"/>
      <c r="AH259" s="14"/>
      <c r="AI259" s="14"/>
      <c r="AJ259" s="15"/>
      <c r="AK259" s="14"/>
      <c r="AL259" s="14"/>
      <c r="AM259" s="14" t="s">
        <v>243</v>
      </c>
      <c r="AN259" s="14" t="s">
        <v>194</v>
      </c>
      <c r="AO259" s="14" t="s">
        <v>84</v>
      </c>
      <c r="AP259" s="14" t="s">
        <v>195</v>
      </c>
      <c r="AQ259" s="16">
        <v>0.0</v>
      </c>
      <c r="AR259" s="14" t="s">
        <v>196</v>
      </c>
    </row>
    <row r="260" ht="15.75" customHeight="1">
      <c r="A260" s="14" t="s">
        <v>39</v>
      </c>
      <c r="B260" s="14" t="s">
        <v>44</v>
      </c>
      <c r="C260" s="14" t="s">
        <v>46</v>
      </c>
      <c r="D260" s="14" t="s">
        <v>89</v>
      </c>
      <c r="E260" s="14" t="s">
        <v>106</v>
      </c>
      <c r="F260" s="14" t="s">
        <v>242</v>
      </c>
      <c r="G260" s="14" t="s">
        <v>69</v>
      </c>
      <c r="H260" s="14" t="s">
        <v>69</v>
      </c>
      <c r="I260" s="15" t="s">
        <v>176</v>
      </c>
      <c r="J260" s="14" t="s">
        <v>71</v>
      </c>
      <c r="K260" s="27">
        <v>3.0</v>
      </c>
      <c r="L260" s="27"/>
      <c r="M260" s="14"/>
      <c r="N260" s="14"/>
      <c r="O260" s="28"/>
      <c r="P260" s="14">
        <v>130.0</v>
      </c>
      <c r="Q260" s="14" t="s">
        <v>121</v>
      </c>
      <c r="R260" s="14" t="s">
        <v>75</v>
      </c>
      <c r="S260" s="14" t="s">
        <v>76</v>
      </c>
      <c r="T260" s="14" t="s">
        <v>39</v>
      </c>
      <c r="U260" s="14" t="s">
        <v>90</v>
      </c>
      <c r="V260" s="14" t="s">
        <v>243</v>
      </c>
      <c r="W260" s="14">
        <v>2.0</v>
      </c>
      <c r="X260" s="14">
        <v>5.0</v>
      </c>
      <c r="Y260" s="14">
        <v>4.0</v>
      </c>
      <c r="Z260" s="14">
        <v>3.0</v>
      </c>
      <c r="AA260" s="14">
        <v>4.0</v>
      </c>
      <c r="AB260" s="14">
        <v>0.0</v>
      </c>
      <c r="AC260" s="16">
        <v>2.9</v>
      </c>
      <c r="AD260" s="14"/>
      <c r="AE260" s="14" t="s">
        <v>176</v>
      </c>
      <c r="AF260" s="14"/>
      <c r="AG260" s="15"/>
      <c r="AH260" s="14"/>
      <c r="AI260" s="14"/>
      <c r="AJ260" s="15"/>
      <c r="AK260" s="14"/>
      <c r="AL260" s="14"/>
      <c r="AM260" s="14" t="s">
        <v>243</v>
      </c>
      <c r="AN260" s="14" t="s">
        <v>127</v>
      </c>
      <c r="AO260" s="14" t="s">
        <v>84</v>
      </c>
      <c r="AP260" s="14" t="s">
        <v>128</v>
      </c>
      <c r="AQ260" s="16">
        <v>0.0</v>
      </c>
      <c r="AR260" s="14" t="s">
        <v>196</v>
      </c>
    </row>
    <row r="261" ht="15.75" customHeight="1">
      <c r="A261" s="14" t="s">
        <v>39</v>
      </c>
      <c r="B261" s="14" t="s">
        <v>44</v>
      </c>
      <c r="C261" s="14" t="s">
        <v>46</v>
      </c>
      <c r="D261" s="14" t="s">
        <v>270</v>
      </c>
      <c r="E261" s="14" t="s">
        <v>68</v>
      </c>
      <c r="F261" s="14" t="s">
        <v>242</v>
      </c>
      <c r="G261" s="14" t="s">
        <v>69</v>
      </c>
      <c r="H261" s="14" t="s">
        <v>69</v>
      </c>
      <c r="I261" s="15" t="s">
        <v>176</v>
      </c>
      <c r="J261" s="14" t="s">
        <v>71</v>
      </c>
      <c r="K261" s="27">
        <v>3.0</v>
      </c>
      <c r="L261" s="27"/>
      <c r="M261" s="14"/>
      <c r="N261" s="14"/>
      <c r="O261" s="28"/>
      <c r="P261" s="14">
        <v>520.0</v>
      </c>
      <c r="Q261" s="14" t="s">
        <v>74</v>
      </c>
      <c r="R261" s="14" t="s">
        <v>75</v>
      </c>
      <c r="S261" s="14" t="s">
        <v>76</v>
      </c>
      <c r="T261" s="14" t="s">
        <v>39</v>
      </c>
      <c r="U261" s="14" t="s">
        <v>59</v>
      </c>
      <c r="V261" s="14" t="s">
        <v>243</v>
      </c>
      <c r="W261" s="14">
        <v>2.0</v>
      </c>
      <c r="X261" s="14">
        <v>2.0</v>
      </c>
      <c r="Y261" s="14">
        <v>4.0</v>
      </c>
      <c r="Z261" s="14">
        <v>3.0</v>
      </c>
      <c r="AA261" s="14">
        <v>4.0</v>
      </c>
      <c r="AB261" s="14">
        <v>0.0</v>
      </c>
      <c r="AC261" s="16">
        <v>2.5</v>
      </c>
      <c r="AD261" s="14"/>
      <c r="AE261" s="14" t="s">
        <v>176</v>
      </c>
      <c r="AF261" s="14"/>
      <c r="AG261" s="15"/>
      <c r="AH261" s="14"/>
      <c r="AI261" s="14"/>
      <c r="AJ261" s="15"/>
      <c r="AK261" s="14"/>
      <c r="AL261" s="14"/>
      <c r="AM261" s="14" t="s">
        <v>243</v>
      </c>
      <c r="AN261" s="14" t="s">
        <v>474</v>
      </c>
      <c r="AO261" s="14" t="s">
        <v>84</v>
      </c>
      <c r="AP261" s="14" t="s">
        <v>475</v>
      </c>
      <c r="AQ261" s="16">
        <v>0.0</v>
      </c>
      <c r="AR261" s="14" t="s">
        <v>196</v>
      </c>
    </row>
    <row r="262" ht="15.75" customHeight="1">
      <c r="A262" s="14" t="s">
        <v>39</v>
      </c>
      <c r="B262" s="14" t="s">
        <v>44</v>
      </c>
      <c r="C262" s="14" t="s">
        <v>46</v>
      </c>
      <c r="D262" s="14" t="s">
        <v>170</v>
      </c>
      <c r="E262" s="14" t="s">
        <v>106</v>
      </c>
      <c r="F262" s="14" t="s">
        <v>242</v>
      </c>
      <c r="G262" s="14" t="s">
        <v>69</v>
      </c>
      <c r="H262" s="14" t="s">
        <v>69</v>
      </c>
      <c r="I262" s="15" t="s">
        <v>176</v>
      </c>
      <c r="J262" s="14" t="s">
        <v>71</v>
      </c>
      <c r="K262" s="27">
        <v>3.0</v>
      </c>
      <c r="L262" s="27"/>
      <c r="M262" s="14"/>
      <c r="N262" s="14"/>
      <c r="O262" s="28"/>
      <c r="P262" s="14">
        <v>130.0</v>
      </c>
      <c r="Q262" s="14" t="s">
        <v>121</v>
      </c>
      <c r="R262" s="14" t="s">
        <v>75</v>
      </c>
      <c r="S262" s="14" t="s">
        <v>76</v>
      </c>
      <c r="T262" s="14" t="s">
        <v>39</v>
      </c>
      <c r="U262" s="14" t="s">
        <v>90</v>
      </c>
      <c r="V262" s="14" t="s">
        <v>243</v>
      </c>
      <c r="W262" s="14">
        <v>2.0</v>
      </c>
      <c r="X262" s="14">
        <v>5.0</v>
      </c>
      <c r="Y262" s="14">
        <v>4.0</v>
      </c>
      <c r="Z262" s="14">
        <v>3.0</v>
      </c>
      <c r="AA262" s="14">
        <v>4.0</v>
      </c>
      <c r="AB262" s="14">
        <v>0.0</v>
      </c>
      <c r="AC262" s="16">
        <v>2.9</v>
      </c>
      <c r="AD262" s="14"/>
      <c r="AE262" s="14" t="s">
        <v>176</v>
      </c>
      <c r="AF262" s="14"/>
      <c r="AG262" s="15"/>
      <c r="AH262" s="14"/>
      <c r="AI262" s="14"/>
      <c r="AJ262" s="15"/>
      <c r="AK262" s="14"/>
      <c r="AL262" s="14"/>
      <c r="AM262" s="14" t="s">
        <v>243</v>
      </c>
      <c r="AN262" s="14" t="s">
        <v>476</v>
      </c>
      <c r="AO262" s="14" t="s">
        <v>84</v>
      </c>
      <c r="AP262" s="14" t="s">
        <v>477</v>
      </c>
      <c r="AQ262" s="16">
        <v>0.0</v>
      </c>
      <c r="AR262" s="14" t="s">
        <v>196</v>
      </c>
    </row>
    <row r="263" ht="15.75" customHeight="1">
      <c r="A263" s="14" t="s">
        <v>39</v>
      </c>
      <c r="B263" s="14" t="s">
        <v>44</v>
      </c>
      <c r="C263" s="14" t="s">
        <v>102</v>
      </c>
      <c r="D263" s="14" t="s">
        <v>320</v>
      </c>
      <c r="E263" s="14" t="s">
        <v>271</v>
      </c>
      <c r="F263" s="14" t="s">
        <v>526</v>
      </c>
      <c r="G263" s="14" t="s">
        <v>69</v>
      </c>
      <c r="H263" s="14" t="s">
        <v>69</v>
      </c>
      <c r="I263" s="15" t="s">
        <v>176</v>
      </c>
      <c r="J263" s="14" t="s">
        <v>71</v>
      </c>
      <c r="K263" s="27">
        <v>3.0</v>
      </c>
      <c r="L263" s="27"/>
      <c r="M263" s="14"/>
      <c r="N263" s="14"/>
      <c r="O263" s="28"/>
      <c r="P263" s="14">
        <v>570.0</v>
      </c>
      <c r="Q263" s="14" t="s">
        <v>74</v>
      </c>
      <c r="R263" s="14" t="s">
        <v>75</v>
      </c>
      <c r="S263" s="14" t="s">
        <v>142</v>
      </c>
      <c r="T263" s="14" t="s">
        <v>39</v>
      </c>
      <c r="U263" s="14" t="s">
        <v>226</v>
      </c>
      <c r="V263" s="14" t="s">
        <v>527</v>
      </c>
      <c r="W263" s="14">
        <v>2.0</v>
      </c>
      <c r="X263" s="14">
        <v>2.0</v>
      </c>
      <c r="Y263" s="14">
        <v>4.0</v>
      </c>
      <c r="Z263" s="14">
        <v>3.0</v>
      </c>
      <c r="AA263" s="14">
        <v>2.0</v>
      </c>
      <c r="AB263" s="14">
        <v>0.0</v>
      </c>
      <c r="AC263" s="16">
        <v>2.3</v>
      </c>
      <c r="AD263" s="14"/>
      <c r="AE263" s="14" t="s">
        <v>176</v>
      </c>
      <c r="AF263" s="14"/>
      <c r="AG263" s="15"/>
      <c r="AH263" s="14"/>
      <c r="AI263" s="14"/>
      <c r="AJ263" s="15"/>
      <c r="AK263" s="14"/>
      <c r="AL263" s="14"/>
      <c r="AM263" s="14" t="s">
        <v>527</v>
      </c>
      <c r="AN263" s="14" t="s">
        <v>453</v>
      </c>
      <c r="AO263" s="14" t="s">
        <v>84</v>
      </c>
      <c r="AP263" s="14" t="s">
        <v>454</v>
      </c>
      <c r="AQ263" s="16">
        <v>0.0</v>
      </c>
      <c r="AR263" s="14" t="s">
        <v>196</v>
      </c>
    </row>
    <row r="264" ht="15.75" customHeight="1">
      <c r="A264" s="14" t="s">
        <v>39</v>
      </c>
      <c r="B264" s="14" t="s">
        <v>44</v>
      </c>
      <c r="C264" s="14" t="s">
        <v>102</v>
      </c>
      <c r="D264" s="14" t="s">
        <v>323</v>
      </c>
      <c r="E264" s="14" t="s">
        <v>271</v>
      </c>
      <c r="F264" s="14" t="s">
        <v>526</v>
      </c>
      <c r="G264" s="14" t="s">
        <v>69</v>
      </c>
      <c r="H264" s="14" t="s">
        <v>69</v>
      </c>
      <c r="I264" s="15" t="s">
        <v>176</v>
      </c>
      <c r="J264" s="14" t="s">
        <v>71</v>
      </c>
      <c r="K264" s="27">
        <v>3.0</v>
      </c>
      <c r="L264" s="27"/>
      <c r="M264" s="14"/>
      <c r="N264" s="14"/>
      <c r="O264" s="28"/>
      <c r="P264" s="14">
        <v>570.0</v>
      </c>
      <c r="Q264" s="14" t="s">
        <v>74</v>
      </c>
      <c r="R264" s="14" t="s">
        <v>75</v>
      </c>
      <c r="S264" s="14" t="s">
        <v>142</v>
      </c>
      <c r="T264" s="14" t="s">
        <v>39</v>
      </c>
      <c r="U264" s="14" t="s">
        <v>226</v>
      </c>
      <c r="V264" s="14" t="s">
        <v>527</v>
      </c>
      <c r="W264" s="14">
        <v>2.0</v>
      </c>
      <c r="X264" s="14">
        <v>2.0</v>
      </c>
      <c r="Y264" s="14">
        <v>4.0</v>
      </c>
      <c r="Z264" s="14">
        <v>3.0</v>
      </c>
      <c r="AA264" s="14">
        <v>2.0</v>
      </c>
      <c r="AB264" s="14">
        <v>0.0</v>
      </c>
      <c r="AC264" s="16">
        <v>2.3</v>
      </c>
      <c r="AD264" s="14"/>
      <c r="AE264" s="14" t="s">
        <v>176</v>
      </c>
      <c r="AF264" s="14"/>
      <c r="AG264" s="15"/>
      <c r="AH264" s="14"/>
      <c r="AI264" s="14"/>
      <c r="AJ264" s="15"/>
      <c r="AK264" s="14"/>
      <c r="AL264" s="14"/>
      <c r="AM264" s="14" t="s">
        <v>527</v>
      </c>
      <c r="AN264" s="14" t="s">
        <v>460</v>
      </c>
      <c r="AO264" s="14" t="s">
        <v>84</v>
      </c>
      <c r="AP264" s="14" t="s">
        <v>461</v>
      </c>
      <c r="AQ264" s="16">
        <v>0.0</v>
      </c>
      <c r="AR264" s="14" t="s">
        <v>196</v>
      </c>
    </row>
    <row r="265" ht="15.75" customHeight="1">
      <c r="A265" s="14" t="s">
        <v>39</v>
      </c>
      <c r="B265" s="14" t="s">
        <v>44</v>
      </c>
      <c r="C265" s="14" t="s">
        <v>102</v>
      </c>
      <c r="D265" s="14" t="s">
        <v>324</v>
      </c>
      <c r="E265" s="14" t="s">
        <v>271</v>
      </c>
      <c r="F265" s="14" t="s">
        <v>526</v>
      </c>
      <c r="G265" s="14" t="s">
        <v>69</v>
      </c>
      <c r="H265" s="14" t="s">
        <v>69</v>
      </c>
      <c r="I265" s="15" t="s">
        <v>176</v>
      </c>
      <c r="J265" s="14" t="s">
        <v>71</v>
      </c>
      <c r="K265" s="27">
        <v>3.0</v>
      </c>
      <c r="L265" s="27"/>
      <c r="M265" s="14"/>
      <c r="N265" s="14"/>
      <c r="O265" s="28"/>
      <c r="P265" s="14">
        <v>570.0</v>
      </c>
      <c r="Q265" s="14" t="s">
        <v>74</v>
      </c>
      <c r="R265" s="14" t="s">
        <v>75</v>
      </c>
      <c r="S265" s="14" t="s">
        <v>142</v>
      </c>
      <c r="T265" s="14" t="s">
        <v>39</v>
      </c>
      <c r="U265" s="14" t="s">
        <v>226</v>
      </c>
      <c r="V265" s="14" t="s">
        <v>527</v>
      </c>
      <c r="W265" s="14">
        <v>2.0</v>
      </c>
      <c r="X265" s="14">
        <v>2.0</v>
      </c>
      <c r="Y265" s="14">
        <v>4.0</v>
      </c>
      <c r="Z265" s="14">
        <v>3.0</v>
      </c>
      <c r="AA265" s="14">
        <v>2.0</v>
      </c>
      <c r="AB265" s="14">
        <v>0.0</v>
      </c>
      <c r="AC265" s="16">
        <v>2.3</v>
      </c>
      <c r="AD265" s="14"/>
      <c r="AE265" s="14" t="s">
        <v>176</v>
      </c>
      <c r="AF265" s="14"/>
      <c r="AG265" s="15"/>
      <c r="AH265" s="14"/>
      <c r="AI265" s="14"/>
      <c r="AJ265" s="15"/>
      <c r="AK265" s="14"/>
      <c r="AL265" s="14"/>
      <c r="AM265" s="14" t="s">
        <v>527</v>
      </c>
      <c r="AN265" s="14" t="s">
        <v>462</v>
      </c>
      <c r="AO265" s="14" t="s">
        <v>84</v>
      </c>
      <c r="AP265" s="14" t="s">
        <v>463</v>
      </c>
      <c r="AQ265" s="16">
        <v>0.0</v>
      </c>
      <c r="AR265" s="14" t="s">
        <v>196</v>
      </c>
    </row>
    <row r="266" ht="15.75" customHeight="1">
      <c r="A266" s="14" t="s">
        <v>39</v>
      </c>
      <c r="B266" s="14" t="s">
        <v>44</v>
      </c>
      <c r="C266" s="14" t="s">
        <v>102</v>
      </c>
      <c r="D266" s="14" t="s">
        <v>325</v>
      </c>
      <c r="E266" s="14" t="s">
        <v>271</v>
      </c>
      <c r="F266" s="14" t="s">
        <v>526</v>
      </c>
      <c r="G266" s="14" t="s">
        <v>69</v>
      </c>
      <c r="H266" s="14" t="s">
        <v>69</v>
      </c>
      <c r="I266" s="15" t="s">
        <v>176</v>
      </c>
      <c r="J266" s="14" t="s">
        <v>71</v>
      </c>
      <c r="K266" s="27">
        <v>3.0</v>
      </c>
      <c r="L266" s="27"/>
      <c r="M266" s="14"/>
      <c r="N266" s="14"/>
      <c r="O266" s="28"/>
      <c r="P266" s="14">
        <v>570.0</v>
      </c>
      <c r="Q266" s="14" t="s">
        <v>74</v>
      </c>
      <c r="R266" s="14" t="s">
        <v>75</v>
      </c>
      <c r="S266" s="14" t="s">
        <v>142</v>
      </c>
      <c r="T266" s="14" t="s">
        <v>39</v>
      </c>
      <c r="U266" s="14" t="s">
        <v>226</v>
      </c>
      <c r="V266" s="14" t="s">
        <v>527</v>
      </c>
      <c r="W266" s="14">
        <v>2.0</v>
      </c>
      <c r="X266" s="14">
        <v>2.0</v>
      </c>
      <c r="Y266" s="14">
        <v>4.0</v>
      </c>
      <c r="Z266" s="14">
        <v>3.0</v>
      </c>
      <c r="AA266" s="14">
        <v>2.0</v>
      </c>
      <c r="AB266" s="14">
        <v>0.0</v>
      </c>
      <c r="AC266" s="16">
        <v>2.3</v>
      </c>
      <c r="AD266" s="14"/>
      <c r="AE266" s="14" t="s">
        <v>176</v>
      </c>
      <c r="AF266" s="14"/>
      <c r="AG266" s="15"/>
      <c r="AH266" s="14"/>
      <c r="AI266" s="14"/>
      <c r="AJ266" s="15"/>
      <c r="AK266" s="14"/>
      <c r="AL266" s="14"/>
      <c r="AM266" s="14" t="s">
        <v>527</v>
      </c>
      <c r="AN266" s="14" t="s">
        <v>464</v>
      </c>
      <c r="AO266" s="14" t="s">
        <v>84</v>
      </c>
      <c r="AP266" s="14" t="s">
        <v>465</v>
      </c>
      <c r="AQ266" s="16">
        <v>0.0</v>
      </c>
      <c r="AR266" s="14" t="s">
        <v>196</v>
      </c>
    </row>
    <row r="267" ht="15.75" customHeight="1">
      <c r="A267" s="14" t="s">
        <v>39</v>
      </c>
      <c r="B267" s="14" t="s">
        <v>44</v>
      </c>
      <c r="C267" s="14" t="s">
        <v>102</v>
      </c>
      <c r="D267" s="14" t="s">
        <v>518</v>
      </c>
      <c r="E267" s="14" t="s">
        <v>271</v>
      </c>
      <c r="F267" s="14" t="s">
        <v>530</v>
      </c>
      <c r="G267" s="14" t="s">
        <v>69</v>
      </c>
      <c r="H267" s="14" t="s">
        <v>69</v>
      </c>
      <c r="I267" s="15" t="s">
        <v>446</v>
      </c>
      <c r="J267" s="14" t="s">
        <v>71</v>
      </c>
      <c r="K267" s="27">
        <v>3.0</v>
      </c>
      <c r="L267" s="27"/>
      <c r="M267" s="14"/>
      <c r="N267" s="14"/>
      <c r="O267" s="28"/>
      <c r="P267" s="14">
        <v>570.0</v>
      </c>
      <c r="Q267" s="14" t="s">
        <v>74</v>
      </c>
      <c r="R267" s="14" t="s">
        <v>75</v>
      </c>
      <c r="S267" s="14" t="s">
        <v>142</v>
      </c>
      <c r="T267" s="14" t="s">
        <v>39</v>
      </c>
      <c r="U267" s="14" t="s">
        <v>226</v>
      </c>
      <c r="V267" s="14" t="s">
        <v>533</v>
      </c>
      <c r="W267" s="14">
        <v>2.0</v>
      </c>
      <c r="X267" s="14">
        <v>2.0</v>
      </c>
      <c r="Y267" s="14">
        <v>4.0</v>
      </c>
      <c r="Z267" s="14">
        <v>3.0</v>
      </c>
      <c r="AA267" s="14">
        <v>2.0</v>
      </c>
      <c r="AB267" s="14">
        <v>0.0</v>
      </c>
      <c r="AC267" s="16">
        <v>2.3</v>
      </c>
      <c r="AD267" s="14"/>
      <c r="AE267" s="14" t="s">
        <v>446</v>
      </c>
      <c r="AF267" s="14"/>
      <c r="AG267" s="15"/>
      <c r="AH267" s="14"/>
      <c r="AI267" s="14"/>
      <c r="AJ267" s="15"/>
      <c r="AK267" s="14"/>
      <c r="AL267" s="14"/>
      <c r="AM267" s="14" t="s">
        <v>533</v>
      </c>
      <c r="AN267" s="14" t="s">
        <v>600</v>
      </c>
      <c r="AO267" s="14" t="s">
        <v>84</v>
      </c>
      <c r="AP267" s="14" t="s">
        <v>601</v>
      </c>
      <c r="AQ267" s="16">
        <v>0.0</v>
      </c>
      <c r="AR267" s="14" t="s">
        <v>196</v>
      </c>
    </row>
    <row r="268" ht="15.75" customHeight="1">
      <c r="A268" s="14" t="s">
        <v>39</v>
      </c>
      <c r="B268" s="14" t="s">
        <v>44</v>
      </c>
      <c r="C268" s="14" t="s">
        <v>102</v>
      </c>
      <c r="D268" s="14" t="s">
        <v>347</v>
      </c>
      <c r="E268" s="14" t="s">
        <v>271</v>
      </c>
      <c r="F268" s="14" t="s">
        <v>530</v>
      </c>
      <c r="G268" s="14" t="s">
        <v>69</v>
      </c>
      <c r="H268" s="14" t="s">
        <v>69</v>
      </c>
      <c r="I268" s="15" t="s">
        <v>446</v>
      </c>
      <c r="J268" s="14" t="s">
        <v>71</v>
      </c>
      <c r="K268" s="27">
        <v>3.0</v>
      </c>
      <c r="L268" s="27"/>
      <c r="M268" s="14"/>
      <c r="N268" s="14"/>
      <c r="O268" s="28"/>
      <c r="P268" s="14">
        <v>570.0</v>
      </c>
      <c r="Q268" s="14" t="s">
        <v>74</v>
      </c>
      <c r="R268" s="14" t="s">
        <v>75</v>
      </c>
      <c r="S268" s="14" t="s">
        <v>142</v>
      </c>
      <c r="T268" s="14" t="s">
        <v>39</v>
      </c>
      <c r="U268" s="14" t="s">
        <v>226</v>
      </c>
      <c r="V268" s="14" t="s">
        <v>533</v>
      </c>
      <c r="W268" s="14">
        <v>2.0</v>
      </c>
      <c r="X268" s="14">
        <v>2.0</v>
      </c>
      <c r="Y268" s="14">
        <v>4.0</v>
      </c>
      <c r="Z268" s="14">
        <v>3.0</v>
      </c>
      <c r="AA268" s="14">
        <v>2.0</v>
      </c>
      <c r="AB268" s="14">
        <v>0.0</v>
      </c>
      <c r="AC268" s="16">
        <v>2.3</v>
      </c>
      <c r="AD268" s="14"/>
      <c r="AE268" s="14" t="s">
        <v>446</v>
      </c>
      <c r="AF268" s="14"/>
      <c r="AG268" s="15"/>
      <c r="AH268" s="14"/>
      <c r="AI268" s="14"/>
      <c r="AJ268" s="15"/>
      <c r="AK268" s="14"/>
      <c r="AL268" s="14"/>
      <c r="AM268" s="14" t="s">
        <v>533</v>
      </c>
      <c r="AN268" s="14" t="s">
        <v>470</v>
      </c>
      <c r="AO268" s="14" t="s">
        <v>84</v>
      </c>
      <c r="AP268" s="14" t="s">
        <v>471</v>
      </c>
      <c r="AQ268" s="16">
        <v>0.0</v>
      </c>
      <c r="AR268" s="14" t="s">
        <v>196</v>
      </c>
    </row>
    <row r="269" ht="15.75" customHeight="1">
      <c r="A269" s="14" t="s">
        <v>39</v>
      </c>
      <c r="B269" s="14" t="s">
        <v>44</v>
      </c>
      <c r="C269" s="14" t="s">
        <v>102</v>
      </c>
      <c r="D269" s="14" t="s">
        <v>521</v>
      </c>
      <c r="E269" s="14" t="s">
        <v>271</v>
      </c>
      <c r="F269" s="14" t="s">
        <v>530</v>
      </c>
      <c r="G269" s="14" t="s">
        <v>69</v>
      </c>
      <c r="H269" s="14" t="s">
        <v>69</v>
      </c>
      <c r="I269" s="15" t="s">
        <v>446</v>
      </c>
      <c r="J269" s="14" t="s">
        <v>71</v>
      </c>
      <c r="K269" s="27">
        <v>3.0</v>
      </c>
      <c r="L269" s="27"/>
      <c r="M269" s="14"/>
      <c r="N269" s="14"/>
      <c r="O269" s="28"/>
      <c r="P269" s="14">
        <v>570.0</v>
      </c>
      <c r="Q269" s="14" t="s">
        <v>74</v>
      </c>
      <c r="R269" s="14" t="s">
        <v>75</v>
      </c>
      <c r="S269" s="14" t="s">
        <v>142</v>
      </c>
      <c r="T269" s="14" t="s">
        <v>39</v>
      </c>
      <c r="U269" s="14" t="s">
        <v>226</v>
      </c>
      <c r="V269" s="14" t="s">
        <v>533</v>
      </c>
      <c r="W269" s="14">
        <v>2.0</v>
      </c>
      <c r="X269" s="14">
        <v>2.0</v>
      </c>
      <c r="Y269" s="14">
        <v>4.0</v>
      </c>
      <c r="Z269" s="14">
        <v>3.0</v>
      </c>
      <c r="AA269" s="14">
        <v>2.0</v>
      </c>
      <c r="AB269" s="14">
        <v>0.0</v>
      </c>
      <c r="AC269" s="16">
        <v>2.3</v>
      </c>
      <c r="AD269" s="14"/>
      <c r="AE269" s="14" t="s">
        <v>446</v>
      </c>
      <c r="AF269" s="14"/>
      <c r="AG269" s="15"/>
      <c r="AH269" s="14"/>
      <c r="AI269" s="14"/>
      <c r="AJ269" s="15"/>
      <c r="AK269" s="14"/>
      <c r="AL269" s="14"/>
      <c r="AM269" s="14" t="s">
        <v>533</v>
      </c>
      <c r="AN269" s="14" t="s">
        <v>602</v>
      </c>
      <c r="AO269" s="14" t="s">
        <v>84</v>
      </c>
      <c r="AP269" s="14" t="s">
        <v>603</v>
      </c>
      <c r="AQ269" s="16">
        <v>0.0</v>
      </c>
      <c r="AR269" s="14" t="s">
        <v>196</v>
      </c>
    </row>
    <row r="270" ht="15.75" customHeight="1">
      <c r="A270" s="14" t="s">
        <v>39</v>
      </c>
      <c r="B270" s="14" t="s">
        <v>44</v>
      </c>
      <c r="C270" s="14" t="s">
        <v>102</v>
      </c>
      <c r="D270" s="14" t="s">
        <v>348</v>
      </c>
      <c r="E270" s="14" t="s">
        <v>271</v>
      </c>
      <c r="F270" s="14" t="s">
        <v>530</v>
      </c>
      <c r="G270" s="14" t="s">
        <v>69</v>
      </c>
      <c r="H270" s="14" t="s">
        <v>69</v>
      </c>
      <c r="I270" s="15" t="s">
        <v>446</v>
      </c>
      <c r="J270" s="14" t="s">
        <v>71</v>
      </c>
      <c r="K270" s="27">
        <v>3.0</v>
      </c>
      <c r="L270" s="27"/>
      <c r="M270" s="14"/>
      <c r="N270" s="14"/>
      <c r="O270" s="28"/>
      <c r="P270" s="14">
        <v>570.0</v>
      </c>
      <c r="Q270" s="14" t="s">
        <v>74</v>
      </c>
      <c r="R270" s="14" t="s">
        <v>75</v>
      </c>
      <c r="S270" s="14" t="s">
        <v>142</v>
      </c>
      <c r="T270" s="14" t="s">
        <v>39</v>
      </c>
      <c r="U270" s="14" t="s">
        <v>226</v>
      </c>
      <c r="V270" s="14" t="s">
        <v>533</v>
      </c>
      <c r="W270" s="14">
        <v>2.0</v>
      </c>
      <c r="X270" s="14">
        <v>2.0</v>
      </c>
      <c r="Y270" s="14">
        <v>4.0</v>
      </c>
      <c r="Z270" s="14">
        <v>3.0</v>
      </c>
      <c r="AA270" s="14">
        <v>2.0</v>
      </c>
      <c r="AB270" s="14">
        <v>0.0</v>
      </c>
      <c r="AC270" s="16">
        <v>2.3</v>
      </c>
      <c r="AD270" s="14"/>
      <c r="AE270" s="14" t="s">
        <v>446</v>
      </c>
      <c r="AF270" s="14"/>
      <c r="AG270" s="15"/>
      <c r="AH270" s="14"/>
      <c r="AI270" s="14"/>
      <c r="AJ270" s="15"/>
      <c r="AK270" s="14"/>
      <c r="AL270" s="14"/>
      <c r="AM270" s="14" t="s">
        <v>533</v>
      </c>
      <c r="AN270" s="14" t="s">
        <v>472</v>
      </c>
      <c r="AO270" s="14" t="s">
        <v>84</v>
      </c>
      <c r="AP270" s="14" t="s">
        <v>473</v>
      </c>
      <c r="AQ270" s="16">
        <v>0.0</v>
      </c>
      <c r="AR270" s="14" t="s">
        <v>196</v>
      </c>
    </row>
    <row r="271" ht="15.75" customHeight="1">
      <c r="A271" s="14" t="s">
        <v>39</v>
      </c>
      <c r="B271" s="14" t="s">
        <v>44</v>
      </c>
      <c r="C271" s="14" t="s">
        <v>102</v>
      </c>
      <c r="D271" s="14" t="s">
        <v>522</v>
      </c>
      <c r="E271" s="14" t="s">
        <v>271</v>
      </c>
      <c r="F271" s="14" t="s">
        <v>530</v>
      </c>
      <c r="G271" s="14" t="s">
        <v>69</v>
      </c>
      <c r="H271" s="14" t="s">
        <v>69</v>
      </c>
      <c r="I271" s="15" t="s">
        <v>446</v>
      </c>
      <c r="J271" s="14" t="s">
        <v>71</v>
      </c>
      <c r="K271" s="27">
        <v>3.0</v>
      </c>
      <c r="L271" s="27"/>
      <c r="M271" s="14"/>
      <c r="N271" s="14"/>
      <c r="O271" s="28"/>
      <c r="P271" s="14">
        <v>570.0</v>
      </c>
      <c r="Q271" s="14" t="s">
        <v>74</v>
      </c>
      <c r="R271" s="14" t="s">
        <v>75</v>
      </c>
      <c r="S271" s="14" t="s">
        <v>142</v>
      </c>
      <c r="T271" s="14" t="s">
        <v>39</v>
      </c>
      <c r="U271" s="14" t="s">
        <v>226</v>
      </c>
      <c r="V271" s="14" t="s">
        <v>533</v>
      </c>
      <c r="W271" s="14">
        <v>2.0</v>
      </c>
      <c r="X271" s="14">
        <v>2.0</v>
      </c>
      <c r="Y271" s="14">
        <v>4.0</v>
      </c>
      <c r="Z271" s="14">
        <v>3.0</v>
      </c>
      <c r="AA271" s="14">
        <v>2.0</v>
      </c>
      <c r="AB271" s="14">
        <v>0.0</v>
      </c>
      <c r="AC271" s="16">
        <v>2.3</v>
      </c>
      <c r="AD271" s="14"/>
      <c r="AE271" s="14" t="s">
        <v>446</v>
      </c>
      <c r="AF271" s="14"/>
      <c r="AG271" s="15"/>
      <c r="AH271" s="14"/>
      <c r="AI271" s="14"/>
      <c r="AJ271" s="15"/>
      <c r="AK271" s="14"/>
      <c r="AL271" s="14"/>
      <c r="AM271" s="14" t="s">
        <v>533</v>
      </c>
      <c r="AN271" s="14" t="s">
        <v>604</v>
      </c>
      <c r="AO271" s="14" t="s">
        <v>84</v>
      </c>
      <c r="AP271" s="14" t="s">
        <v>605</v>
      </c>
      <c r="AQ271" s="16">
        <v>0.0</v>
      </c>
      <c r="AR271" s="14" t="s">
        <v>196</v>
      </c>
    </row>
    <row r="272" ht="15.75" customHeight="1">
      <c r="A272" s="14" t="s">
        <v>39</v>
      </c>
      <c r="B272" s="14" t="s">
        <v>44</v>
      </c>
      <c r="C272" s="14" t="s">
        <v>102</v>
      </c>
      <c r="D272" s="14" t="s">
        <v>523</v>
      </c>
      <c r="E272" s="14" t="s">
        <v>271</v>
      </c>
      <c r="F272" s="14" t="s">
        <v>530</v>
      </c>
      <c r="G272" s="14" t="s">
        <v>69</v>
      </c>
      <c r="H272" s="14" t="s">
        <v>69</v>
      </c>
      <c r="I272" s="15" t="s">
        <v>446</v>
      </c>
      <c r="J272" s="14" t="s">
        <v>71</v>
      </c>
      <c r="K272" s="27">
        <v>3.0</v>
      </c>
      <c r="L272" s="27"/>
      <c r="M272" s="14"/>
      <c r="N272" s="14"/>
      <c r="O272" s="28"/>
      <c r="P272" s="14">
        <v>570.0</v>
      </c>
      <c r="Q272" s="14" t="s">
        <v>74</v>
      </c>
      <c r="R272" s="14" t="s">
        <v>75</v>
      </c>
      <c r="S272" s="14" t="s">
        <v>142</v>
      </c>
      <c r="T272" s="14" t="s">
        <v>39</v>
      </c>
      <c r="U272" s="14" t="s">
        <v>226</v>
      </c>
      <c r="V272" s="14" t="s">
        <v>533</v>
      </c>
      <c r="W272" s="14">
        <v>2.0</v>
      </c>
      <c r="X272" s="14">
        <v>2.0</v>
      </c>
      <c r="Y272" s="14">
        <v>4.0</v>
      </c>
      <c r="Z272" s="14">
        <v>3.0</v>
      </c>
      <c r="AA272" s="14">
        <v>2.0</v>
      </c>
      <c r="AB272" s="14">
        <v>0.0</v>
      </c>
      <c r="AC272" s="16">
        <v>2.3</v>
      </c>
      <c r="AD272" s="14"/>
      <c r="AE272" s="14" t="s">
        <v>446</v>
      </c>
      <c r="AF272" s="14"/>
      <c r="AG272" s="15"/>
      <c r="AH272" s="14"/>
      <c r="AI272" s="14"/>
      <c r="AJ272" s="15"/>
      <c r="AK272" s="14"/>
      <c r="AL272" s="14"/>
      <c r="AM272" s="14" t="s">
        <v>533</v>
      </c>
      <c r="AN272" s="14" t="s">
        <v>606</v>
      </c>
      <c r="AO272" s="14" t="s">
        <v>84</v>
      </c>
      <c r="AP272" s="14" t="s">
        <v>607</v>
      </c>
      <c r="AQ272" s="16">
        <v>0.0</v>
      </c>
      <c r="AR272" s="14" t="s">
        <v>196</v>
      </c>
    </row>
    <row r="273" ht="15.75" customHeight="1">
      <c r="A273" s="14" t="s">
        <v>39</v>
      </c>
      <c r="B273" s="14" t="s">
        <v>44</v>
      </c>
      <c r="C273" s="14" t="s">
        <v>506</v>
      </c>
      <c r="D273" s="14" t="s">
        <v>133</v>
      </c>
      <c r="E273" s="14" t="s">
        <v>608</v>
      </c>
      <c r="F273" s="14" t="s">
        <v>506</v>
      </c>
      <c r="G273" s="14" t="s">
        <v>69</v>
      </c>
      <c r="H273" s="14" t="s">
        <v>69</v>
      </c>
      <c r="I273" s="15" t="s">
        <v>450</v>
      </c>
      <c r="J273" s="14" t="s">
        <v>609</v>
      </c>
      <c r="K273" s="27">
        <v>3.0</v>
      </c>
      <c r="L273" s="27">
        <v>130.0</v>
      </c>
      <c r="M273" s="14">
        <v>6.0</v>
      </c>
      <c r="N273" s="14">
        <v>344.0</v>
      </c>
      <c r="O273" s="28">
        <v>0.33</v>
      </c>
      <c r="P273" s="14">
        <v>132.0</v>
      </c>
      <c r="Q273" s="14" t="s">
        <v>121</v>
      </c>
      <c r="R273" s="14" t="s">
        <v>610</v>
      </c>
      <c r="S273" s="14" t="s">
        <v>611</v>
      </c>
      <c r="T273" s="14" t="s">
        <v>39</v>
      </c>
      <c r="U273" s="14" t="s">
        <v>612</v>
      </c>
      <c r="V273" s="14" t="s">
        <v>508</v>
      </c>
      <c r="W273" s="14">
        <v>4.0</v>
      </c>
      <c r="X273" s="14">
        <v>4.0</v>
      </c>
      <c r="Y273" s="14">
        <v>5.0</v>
      </c>
      <c r="Z273" s="14">
        <v>4.0</v>
      </c>
      <c r="AA273" s="14">
        <v>3.0</v>
      </c>
      <c r="AB273" s="14">
        <v>0.0</v>
      </c>
      <c r="AC273" s="16">
        <v>3.7</v>
      </c>
      <c r="AD273" s="14">
        <v>133.0</v>
      </c>
      <c r="AE273" s="14" t="s">
        <v>450</v>
      </c>
      <c r="AF273" s="14"/>
      <c r="AG273" s="15"/>
      <c r="AH273" s="14"/>
      <c r="AI273" s="14"/>
      <c r="AJ273" s="15"/>
      <c r="AK273" s="14"/>
      <c r="AL273" s="14"/>
      <c r="AM273" s="14" t="s">
        <v>508</v>
      </c>
      <c r="AN273" s="14" t="s">
        <v>194</v>
      </c>
      <c r="AO273" s="14" t="s">
        <v>84</v>
      </c>
      <c r="AP273" s="14" t="s">
        <v>195</v>
      </c>
      <c r="AQ273" s="16">
        <v>0.0</v>
      </c>
      <c r="AR273" s="14" t="s">
        <v>196</v>
      </c>
    </row>
    <row r="274" ht="15.75" customHeight="1">
      <c r="A274" s="14" t="s">
        <v>39</v>
      </c>
      <c r="B274" s="14" t="s">
        <v>44</v>
      </c>
      <c r="C274" s="14" t="s">
        <v>613</v>
      </c>
      <c r="D274" s="14" t="s">
        <v>133</v>
      </c>
      <c r="E274" s="14" t="s">
        <v>608</v>
      </c>
      <c r="F274" s="14" t="s">
        <v>457</v>
      </c>
      <c r="G274" s="14" t="s">
        <v>69</v>
      </c>
      <c r="H274" s="14" t="s">
        <v>69</v>
      </c>
      <c r="I274" s="15" t="s">
        <v>456</v>
      </c>
      <c r="J274" s="14" t="s">
        <v>614</v>
      </c>
      <c r="K274" s="27">
        <v>3.0</v>
      </c>
      <c r="L274" s="27">
        <v>80.0</v>
      </c>
      <c r="M274" s="14"/>
      <c r="N274" s="14"/>
      <c r="O274" s="28"/>
      <c r="P274" s="14">
        <v>132.0</v>
      </c>
      <c r="Q274" s="14" t="s">
        <v>121</v>
      </c>
      <c r="R274" s="14" t="s">
        <v>610</v>
      </c>
      <c r="S274" s="14" t="s">
        <v>611</v>
      </c>
      <c r="T274" s="14" t="s">
        <v>39</v>
      </c>
      <c r="U274" s="14" t="s">
        <v>615</v>
      </c>
      <c r="V274" s="14" t="s">
        <v>616</v>
      </c>
      <c r="W274" s="14">
        <v>2.0</v>
      </c>
      <c r="X274" s="14">
        <v>4.0</v>
      </c>
      <c r="Y274" s="14">
        <v>5.0</v>
      </c>
      <c r="Z274" s="14">
        <v>4.0</v>
      </c>
      <c r="AA274" s="14">
        <v>3.0</v>
      </c>
      <c r="AB274" s="14">
        <v>0.0</v>
      </c>
      <c r="AC274" s="16">
        <v>3.0</v>
      </c>
      <c r="AD274" s="14">
        <v>83.0</v>
      </c>
      <c r="AE274" s="14" t="s">
        <v>456</v>
      </c>
      <c r="AF274" s="14"/>
      <c r="AG274" s="15"/>
      <c r="AH274" s="14"/>
      <c r="AI274" s="14"/>
      <c r="AJ274" s="15"/>
      <c r="AK274" s="14"/>
      <c r="AL274" s="14"/>
      <c r="AM274" s="14" t="s">
        <v>616</v>
      </c>
      <c r="AN274" s="14" t="s">
        <v>194</v>
      </c>
      <c r="AO274" s="14" t="s">
        <v>84</v>
      </c>
      <c r="AP274" s="14" t="s">
        <v>195</v>
      </c>
      <c r="AQ274" s="16">
        <v>0.0</v>
      </c>
      <c r="AR274" s="14" t="s">
        <v>196</v>
      </c>
    </row>
    <row r="275" ht="15.75" customHeight="1">
      <c r="A275" s="14" t="s">
        <v>39</v>
      </c>
      <c r="B275" s="14" t="s">
        <v>44</v>
      </c>
      <c r="C275" s="14" t="s">
        <v>506</v>
      </c>
      <c r="D275" s="14" t="s">
        <v>89</v>
      </c>
      <c r="E275" s="14" t="s">
        <v>617</v>
      </c>
      <c r="F275" s="14" t="s">
        <v>510</v>
      </c>
      <c r="G275" s="14" t="s">
        <v>39</v>
      </c>
      <c r="H275" s="14" t="s">
        <v>69</v>
      </c>
      <c r="I275" s="15" t="s">
        <v>450</v>
      </c>
      <c r="J275" s="14" t="s">
        <v>618</v>
      </c>
      <c r="K275" s="27">
        <v>0.0</v>
      </c>
      <c r="L275" s="27">
        <v>0.0</v>
      </c>
      <c r="M275" s="14">
        <v>26.0</v>
      </c>
      <c r="N275" s="14">
        <v>347.0</v>
      </c>
      <c r="O275" s="28">
        <v>0.18</v>
      </c>
      <c r="P275" s="14">
        <v>105.0</v>
      </c>
      <c r="Q275" s="14" t="s">
        <v>121</v>
      </c>
      <c r="R275" s="14" t="s">
        <v>619</v>
      </c>
      <c r="S275" s="14" t="s">
        <v>76</v>
      </c>
      <c r="T275" s="14" t="s">
        <v>39</v>
      </c>
      <c r="U275" s="14" t="s">
        <v>620</v>
      </c>
      <c r="V275" s="14" t="s">
        <v>512</v>
      </c>
      <c r="W275" s="14">
        <v>3.0</v>
      </c>
      <c r="X275" s="14">
        <v>4.0</v>
      </c>
      <c r="Y275" s="14">
        <v>5.0</v>
      </c>
      <c r="Z275" s="14">
        <v>4.0</v>
      </c>
      <c r="AA275" s="14">
        <v>5.0</v>
      </c>
      <c r="AB275" s="14">
        <v>0.0</v>
      </c>
      <c r="AC275" s="16">
        <v>3.6</v>
      </c>
      <c r="AD275" s="14">
        <v>0.0</v>
      </c>
      <c r="AE275" s="14" t="s">
        <v>450</v>
      </c>
      <c r="AF275" s="14"/>
      <c r="AG275" s="15"/>
      <c r="AH275" s="14"/>
      <c r="AI275" s="14"/>
      <c r="AJ275" s="15"/>
      <c r="AK275" s="14"/>
      <c r="AL275" s="14"/>
      <c r="AM275" s="14" t="s">
        <v>512</v>
      </c>
      <c r="AN275" s="14" t="s">
        <v>127</v>
      </c>
      <c r="AO275" s="14" t="s">
        <v>84</v>
      </c>
      <c r="AP275" s="14" t="s">
        <v>128</v>
      </c>
      <c r="AQ275" s="16">
        <v>0.0</v>
      </c>
      <c r="AR275" s="14" t="s">
        <v>196</v>
      </c>
    </row>
    <row r="276" ht="15.75" customHeight="1">
      <c r="A276" s="14" t="s">
        <v>39</v>
      </c>
      <c r="B276" s="14" t="s">
        <v>44</v>
      </c>
      <c r="C276" s="14" t="s">
        <v>506</v>
      </c>
      <c r="D276" s="14" t="s">
        <v>89</v>
      </c>
      <c r="E276" s="14" t="s">
        <v>617</v>
      </c>
      <c r="F276" s="14" t="s">
        <v>506</v>
      </c>
      <c r="G276" s="14" t="s">
        <v>69</v>
      </c>
      <c r="H276" s="14" t="s">
        <v>69</v>
      </c>
      <c r="I276" s="15" t="s">
        <v>450</v>
      </c>
      <c r="J276" s="14" t="s">
        <v>621</v>
      </c>
      <c r="K276" s="27">
        <v>3.0</v>
      </c>
      <c r="L276" s="27">
        <v>130.0</v>
      </c>
      <c r="M276" s="14">
        <v>21.0</v>
      </c>
      <c r="N276" s="14"/>
      <c r="O276" s="28"/>
      <c r="P276" s="14">
        <v>105.0</v>
      </c>
      <c r="Q276" s="14" t="s">
        <v>121</v>
      </c>
      <c r="R276" s="14" t="s">
        <v>619</v>
      </c>
      <c r="S276" s="14" t="s">
        <v>76</v>
      </c>
      <c r="T276" s="14" t="s">
        <v>39</v>
      </c>
      <c r="U276" s="14" t="s">
        <v>622</v>
      </c>
      <c r="V276" s="14" t="s">
        <v>508</v>
      </c>
      <c r="W276" s="14">
        <v>2.0</v>
      </c>
      <c r="X276" s="14">
        <v>4.0</v>
      </c>
      <c r="Y276" s="14">
        <v>5.0</v>
      </c>
      <c r="Z276" s="14">
        <v>4.0</v>
      </c>
      <c r="AA276" s="14">
        <v>5.0</v>
      </c>
      <c r="AB276" s="14">
        <v>0.0</v>
      </c>
      <c r="AC276" s="16">
        <v>3.2</v>
      </c>
      <c r="AD276" s="14">
        <v>133.0</v>
      </c>
      <c r="AE276" s="14" t="s">
        <v>450</v>
      </c>
      <c r="AF276" s="14"/>
      <c r="AG276" s="15"/>
      <c r="AH276" s="14"/>
      <c r="AI276" s="14"/>
      <c r="AJ276" s="15"/>
      <c r="AK276" s="14"/>
      <c r="AL276" s="14"/>
      <c r="AM276" s="14" t="s">
        <v>508</v>
      </c>
      <c r="AN276" s="14" t="s">
        <v>127</v>
      </c>
      <c r="AO276" s="14" t="s">
        <v>84</v>
      </c>
      <c r="AP276" s="14" t="s">
        <v>128</v>
      </c>
      <c r="AQ276" s="16">
        <v>0.0</v>
      </c>
      <c r="AR276" s="14" t="s">
        <v>196</v>
      </c>
    </row>
    <row r="277" ht="15.75" customHeight="1">
      <c r="A277" s="14" t="s">
        <v>39</v>
      </c>
      <c r="B277" s="14" t="s">
        <v>44</v>
      </c>
      <c r="C277" s="14" t="s">
        <v>613</v>
      </c>
      <c r="D277" s="14" t="s">
        <v>89</v>
      </c>
      <c r="E277" s="14" t="s">
        <v>617</v>
      </c>
      <c r="F277" s="14" t="s">
        <v>457</v>
      </c>
      <c r="G277" s="14" t="s">
        <v>69</v>
      </c>
      <c r="H277" s="14" t="s">
        <v>69</v>
      </c>
      <c r="I277" s="15" t="s">
        <v>456</v>
      </c>
      <c r="J277" s="14" t="s">
        <v>614</v>
      </c>
      <c r="K277" s="27">
        <v>3.0</v>
      </c>
      <c r="L277" s="27">
        <v>80.0</v>
      </c>
      <c r="M277" s="14"/>
      <c r="N277" s="14"/>
      <c r="O277" s="28"/>
      <c r="P277" s="14">
        <v>105.0</v>
      </c>
      <c r="Q277" s="14" t="s">
        <v>121</v>
      </c>
      <c r="R277" s="14" t="s">
        <v>619</v>
      </c>
      <c r="S277" s="14" t="s">
        <v>76</v>
      </c>
      <c r="T277" s="14" t="s">
        <v>39</v>
      </c>
      <c r="U277" s="14" t="s">
        <v>623</v>
      </c>
      <c r="V277" s="14" t="s">
        <v>624</v>
      </c>
      <c r="W277" s="14">
        <v>2.0</v>
      </c>
      <c r="X277" s="14">
        <v>4.0</v>
      </c>
      <c r="Y277" s="14">
        <v>5.0</v>
      </c>
      <c r="Z277" s="14">
        <v>4.0</v>
      </c>
      <c r="AA277" s="14">
        <v>5.0</v>
      </c>
      <c r="AB277" s="14">
        <v>0.0</v>
      </c>
      <c r="AC277" s="16">
        <v>3.2</v>
      </c>
      <c r="AD277" s="14">
        <v>83.0</v>
      </c>
      <c r="AE277" s="14" t="s">
        <v>456</v>
      </c>
      <c r="AF277" s="14"/>
      <c r="AG277" s="15"/>
      <c r="AH277" s="14"/>
      <c r="AI277" s="14"/>
      <c r="AJ277" s="15"/>
      <c r="AK277" s="14"/>
      <c r="AL277" s="14"/>
      <c r="AM277" s="14" t="s">
        <v>624</v>
      </c>
      <c r="AN277" s="14" t="s">
        <v>127</v>
      </c>
      <c r="AO277" s="14" t="s">
        <v>84</v>
      </c>
      <c r="AP277" s="14" t="s">
        <v>128</v>
      </c>
      <c r="AQ277" s="16">
        <v>0.0</v>
      </c>
      <c r="AR277" s="14" t="s">
        <v>196</v>
      </c>
    </row>
    <row r="278" ht="15.75" customHeight="1">
      <c r="A278" s="14" t="s">
        <v>39</v>
      </c>
      <c r="B278" s="14" t="s">
        <v>44</v>
      </c>
      <c r="C278" s="14" t="s">
        <v>506</v>
      </c>
      <c r="D278" s="14" t="s">
        <v>237</v>
      </c>
      <c r="E278" s="14" t="s">
        <v>617</v>
      </c>
      <c r="F278" s="14" t="s">
        <v>510</v>
      </c>
      <c r="G278" s="14" t="s">
        <v>39</v>
      </c>
      <c r="H278" s="14" t="s">
        <v>69</v>
      </c>
      <c r="I278" s="15" t="s">
        <v>450</v>
      </c>
      <c r="J278" s="14" t="s">
        <v>625</v>
      </c>
      <c r="K278" s="27">
        <v>0.0</v>
      </c>
      <c r="L278" s="27">
        <v>0.0</v>
      </c>
      <c r="M278" s="14">
        <v>8.0</v>
      </c>
      <c r="N278" s="14"/>
      <c r="O278" s="28"/>
      <c r="P278" s="14">
        <v>145.0</v>
      </c>
      <c r="Q278" s="14" t="s">
        <v>121</v>
      </c>
      <c r="R278" s="14" t="s">
        <v>619</v>
      </c>
      <c r="S278" s="14" t="s">
        <v>76</v>
      </c>
      <c r="T278" s="14" t="s">
        <v>39</v>
      </c>
      <c r="U278" s="14" t="s">
        <v>626</v>
      </c>
      <c r="V278" s="14" t="s">
        <v>512</v>
      </c>
      <c r="W278" s="14">
        <v>2.0</v>
      </c>
      <c r="X278" s="14">
        <v>4.0</v>
      </c>
      <c r="Y278" s="14">
        <v>5.0</v>
      </c>
      <c r="Z278" s="14">
        <v>4.0</v>
      </c>
      <c r="AA278" s="14">
        <v>5.0</v>
      </c>
      <c r="AB278" s="14">
        <v>0.0</v>
      </c>
      <c r="AC278" s="16">
        <v>3.2</v>
      </c>
      <c r="AD278" s="14">
        <v>0.0</v>
      </c>
      <c r="AE278" s="14" t="s">
        <v>450</v>
      </c>
      <c r="AF278" s="14"/>
      <c r="AG278" s="15"/>
      <c r="AH278" s="14"/>
      <c r="AI278" s="14"/>
      <c r="AJ278" s="15"/>
      <c r="AK278" s="14"/>
      <c r="AL278" s="14"/>
      <c r="AM278" s="14" t="s">
        <v>512</v>
      </c>
      <c r="AN278" s="14" t="s">
        <v>598</v>
      </c>
      <c r="AO278" s="14" t="s">
        <v>84</v>
      </c>
      <c r="AP278" s="14" t="s">
        <v>599</v>
      </c>
      <c r="AQ278" s="16">
        <v>0.0</v>
      </c>
      <c r="AR278" s="14" t="s">
        <v>196</v>
      </c>
    </row>
    <row r="279" ht="15.75" customHeight="1">
      <c r="A279" s="14" t="s">
        <v>39</v>
      </c>
      <c r="B279" s="14" t="s">
        <v>44</v>
      </c>
      <c r="C279" s="14" t="s">
        <v>506</v>
      </c>
      <c r="D279" s="14" t="s">
        <v>237</v>
      </c>
      <c r="E279" s="14" t="s">
        <v>617</v>
      </c>
      <c r="F279" s="14" t="s">
        <v>506</v>
      </c>
      <c r="G279" s="14" t="s">
        <v>69</v>
      </c>
      <c r="H279" s="14" t="s">
        <v>69</v>
      </c>
      <c r="I279" s="15" t="s">
        <v>450</v>
      </c>
      <c r="J279" s="14" t="s">
        <v>627</v>
      </c>
      <c r="K279" s="27">
        <v>3.0</v>
      </c>
      <c r="L279" s="27">
        <v>0.0</v>
      </c>
      <c r="M279" s="14">
        <v>16.0</v>
      </c>
      <c r="N279" s="14"/>
      <c r="O279" s="28"/>
      <c r="P279" s="14">
        <v>145.0</v>
      </c>
      <c r="Q279" s="14" t="s">
        <v>121</v>
      </c>
      <c r="R279" s="14" t="s">
        <v>619</v>
      </c>
      <c r="S279" s="14" t="s">
        <v>76</v>
      </c>
      <c r="T279" s="14" t="s">
        <v>39</v>
      </c>
      <c r="U279" s="14" t="s">
        <v>628</v>
      </c>
      <c r="V279" s="14" t="s">
        <v>508</v>
      </c>
      <c r="W279" s="14">
        <v>2.0</v>
      </c>
      <c r="X279" s="14">
        <v>4.0</v>
      </c>
      <c r="Y279" s="14">
        <v>5.0</v>
      </c>
      <c r="Z279" s="14">
        <v>4.0</v>
      </c>
      <c r="AA279" s="14">
        <v>5.0</v>
      </c>
      <c r="AB279" s="14">
        <v>0.0</v>
      </c>
      <c r="AC279" s="16">
        <v>3.2</v>
      </c>
      <c r="AD279" s="14">
        <v>3.0</v>
      </c>
      <c r="AE279" s="14" t="s">
        <v>450</v>
      </c>
      <c r="AF279" s="14"/>
      <c r="AG279" s="15"/>
      <c r="AH279" s="14"/>
      <c r="AI279" s="14"/>
      <c r="AJ279" s="15"/>
      <c r="AK279" s="14"/>
      <c r="AL279" s="14"/>
      <c r="AM279" s="14" t="s">
        <v>508</v>
      </c>
      <c r="AN279" s="14" t="s">
        <v>598</v>
      </c>
      <c r="AO279" s="14" t="s">
        <v>84</v>
      </c>
      <c r="AP279" s="14" t="s">
        <v>599</v>
      </c>
      <c r="AQ279" s="16">
        <v>0.0</v>
      </c>
      <c r="AR279" s="14" t="s">
        <v>196</v>
      </c>
    </row>
    <row r="280" ht="15.75" customHeight="1">
      <c r="A280" s="14" t="s">
        <v>39</v>
      </c>
      <c r="B280" s="14" t="s">
        <v>44</v>
      </c>
      <c r="C280" s="14" t="s">
        <v>613</v>
      </c>
      <c r="D280" s="14" t="s">
        <v>237</v>
      </c>
      <c r="E280" s="14" t="s">
        <v>617</v>
      </c>
      <c r="F280" s="14" t="s">
        <v>629</v>
      </c>
      <c r="G280" s="14" t="s">
        <v>69</v>
      </c>
      <c r="H280" s="14" t="s">
        <v>69</v>
      </c>
      <c r="I280" s="15" t="s">
        <v>52</v>
      </c>
      <c r="J280" s="14" t="s">
        <v>614</v>
      </c>
      <c r="K280" s="27">
        <v>0.0</v>
      </c>
      <c r="L280" s="27">
        <v>0.0</v>
      </c>
      <c r="M280" s="14"/>
      <c r="N280" s="14"/>
      <c r="O280" s="28"/>
      <c r="P280" s="14">
        <v>145.0</v>
      </c>
      <c r="Q280" s="14" t="s">
        <v>121</v>
      </c>
      <c r="R280" s="14" t="s">
        <v>619</v>
      </c>
      <c r="S280" s="14" t="s">
        <v>76</v>
      </c>
      <c r="T280" s="14" t="s">
        <v>39</v>
      </c>
      <c r="U280" s="14" t="s">
        <v>630</v>
      </c>
      <c r="V280" s="14" t="s">
        <v>631</v>
      </c>
      <c r="W280" s="14">
        <v>2.0</v>
      </c>
      <c r="X280" s="14">
        <v>4.0</v>
      </c>
      <c r="Y280" s="14">
        <v>5.0</v>
      </c>
      <c r="Z280" s="14">
        <v>4.0</v>
      </c>
      <c r="AA280" s="14">
        <v>5.0</v>
      </c>
      <c r="AB280" s="14">
        <v>0.0</v>
      </c>
      <c r="AC280" s="16">
        <v>3.2</v>
      </c>
      <c r="AD280" s="14">
        <v>0.0</v>
      </c>
      <c r="AE280" s="14" t="s">
        <v>52</v>
      </c>
      <c r="AF280" s="14"/>
      <c r="AG280" s="15"/>
      <c r="AH280" s="14"/>
      <c r="AI280" s="14"/>
      <c r="AJ280" s="15"/>
      <c r="AK280" s="14"/>
      <c r="AL280" s="14"/>
      <c r="AM280" s="14" t="s">
        <v>631</v>
      </c>
      <c r="AN280" s="14" t="s">
        <v>598</v>
      </c>
      <c r="AO280" s="14" t="s">
        <v>84</v>
      </c>
      <c r="AP280" s="14" t="s">
        <v>599</v>
      </c>
      <c r="AQ280" s="16">
        <v>0.0</v>
      </c>
      <c r="AR280" s="14" t="s">
        <v>196</v>
      </c>
    </row>
    <row r="281" ht="15.75" customHeight="1">
      <c r="A281" s="14" t="s">
        <v>39</v>
      </c>
      <c r="B281" s="14" t="s">
        <v>137</v>
      </c>
      <c r="C281" s="14" t="s">
        <v>632</v>
      </c>
      <c r="D281" s="14" t="s">
        <v>141</v>
      </c>
      <c r="E281" s="14" t="s">
        <v>617</v>
      </c>
      <c r="F281" s="14" t="s">
        <v>633</v>
      </c>
      <c r="G281" s="14" t="s">
        <v>69</v>
      </c>
      <c r="H281" s="14" t="s">
        <v>69</v>
      </c>
      <c r="I281" s="15" t="s">
        <v>52</v>
      </c>
      <c r="J281" s="14" t="s">
        <v>634</v>
      </c>
      <c r="K281" s="27">
        <v>0.0</v>
      </c>
      <c r="L281" s="27">
        <v>0.0</v>
      </c>
      <c r="M281" s="14"/>
      <c r="N281" s="14"/>
      <c r="O281" s="28"/>
      <c r="P281" s="14">
        <v>165.0</v>
      </c>
      <c r="Q281" s="14" t="s">
        <v>121</v>
      </c>
      <c r="R281" s="14" t="s">
        <v>635</v>
      </c>
      <c r="S281" s="14" t="s">
        <v>142</v>
      </c>
      <c r="T281" s="14" t="s">
        <v>39</v>
      </c>
      <c r="U281" s="14" t="s">
        <v>636</v>
      </c>
      <c r="V281" s="14" t="s">
        <v>637</v>
      </c>
      <c r="W281" s="14">
        <v>2.0</v>
      </c>
      <c r="X281" s="14">
        <v>4.0</v>
      </c>
      <c r="Y281" s="14">
        <v>5.0</v>
      </c>
      <c r="Z281" s="14">
        <v>5.0</v>
      </c>
      <c r="AA281" s="14">
        <v>1.0</v>
      </c>
      <c r="AB281" s="14">
        <v>0.0</v>
      </c>
      <c r="AC281" s="16">
        <v>2.9</v>
      </c>
      <c r="AD281" s="14">
        <v>0.0</v>
      </c>
      <c r="AE281" s="14" t="s">
        <v>52</v>
      </c>
      <c r="AF281" s="14"/>
      <c r="AG281" s="15"/>
      <c r="AH281" s="14"/>
      <c r="AI281" s="14"/>
      <c r="AJ281" s="15"/>
      <c r="AK281" s="14"/>
      <c r="AL281" s="14"/>
      <c r="AM281" s="14" t="s">
        <v>637</v>
      </c>
      <c r="AN281" s="14" t="s">
        <v>179</v>
      </c>
      <c r="AO281" s="14" t="s">
        <v>84</v>
      </c>
      <c r="AP281" s="14" t="s">
        <v>180</v>
      </c>
      <c r="AQ281" s="16">
        <v>0.0</v>
      </c>
      <c r="AR281" s="14" t="s">
        <v>196</v>
      </c>
    </row>
    <row r="282" ht="15.75" customHeight="1">
      <c r="A282" s="14" t="s">
        <v>39</v>
      </c>
      <c r="B282" s="14" t="s">
        <v>44</v>
      </c>
      <c r="C282" s="14" t="s">
        <v>632</v>
      </c>
      <c r="D282" s="14" t="s">
        <v>638</v>
      </c>
      <c r="E282" s="14" t="s">
        <v>639</v>
      </c>
      <c r="F282" s="14" t="s">
        <v>640</v>
      </c>
      <c r="G282" s="14" t="s">
        <v>69</v>
      </c>
      <c r="H282" s="14" t="s">
        <v>69</v>
      </c>
      <c r="I282" s="15" t="s">
        <v>52</v>
      </c>
      <c r="J282" s="14" t="s">
        <v>641</v>
      </c>
      <c r="K282" s="27">
        <v>0.0</v>
      </c>
      <c r="L282" s="27">
        <v>0.0</v>
      </c>
      <c r="M282" s="14"/>
      <c r="N282" s="14"/>
      <c r="O282" s="28"/>
      <c r="P282" s="14">
        <v>70.0</v>
      </c>
      <c r="Q282" s="14" t="s">
        <v>121</v>
      </c>
      <c r="R282" s="14" t="s">
        <v>642</v>
      </c>
      <c r="S282" s="14" t="s">
        <v>142</v>
      </c>
      <c r="T282" s="14" t="s">
        <v>39</v>
      </c>
      <c r="U282" s="14" t="s">
        <v>643</v>
      </c>
      <c r="V282" s="14" t="s">
        <v>644</v>
      </c>
      <c r="W282" s="14">
        <v>2.0</v>
      </c>
      <c r="X282" s="14">
        <v>5.0</v>
      </c>
      <c r="Y282" s="14">
        <v>5.0</v>
      </c>
      <c r="Z282" s="14">
        <v>3.0</v>
      </c>
      <c r="AA282" s="14">
        <v>1.0</v>
      </c>
      <c r="AB282" s="14">
        <v>0.0</v>
      </c>
      <c r="AC282" s="16">
        <v>2.9</v>
      </c>
      <c r="AD282" s="14">
        <v>0.0</v>
      </c>
      <c r="AE282" s="14" t="s">
        <v>52</v>
      </c>
      <c r="AF282" s="14"/>
      <c r="AG282" s="15"/>
      <c r="AH282" s="14"/>
      <c r="AI282" s="14"/>
      <c r="AJ282" s="15"/>
      <c r="AK282" s="14"/>
      <c r="AL282" s="14"/>
      <c r="AM282" s="14" t="s">
        <v>644</v>
      </c>
      <c r="AN282" s="14" t="s">
        <v>645</v>
      </c>
      <c r="AO282" s="14" t="s">
        <v>84</v>
      </c>
      <c r="AP282" s="14" t="s">
        <v>646</v>
      </c>
      <c r="AQ282" s="16">
        <v>0.0</v>
      </c>
      <c r="AR282" s="14" t="s">
        <v>196</v>
      </c>
    </row>
    <row r="283" ht="15.75" customHeight="1">
      <c r="A283" s="14" t="s">
        <v>39</v>
      </c>
      <c r="B283" s="14" t="s">
        <v>137</v>
      </c>
      <c r="C283" s="14" t="s">
        <v>632</v>
      </c>
      <c r="D283" s="14" t="s">
        <v>647</v>
      </c>
      <c r="E283" s="14" t="s">
        <v>639</v>
      </c>
      <c r="F283" s="14" t="s">
        <v>648</v>
      </c>
      <c r="G283" s="14" t="s">
        <v>69</v>
      </c>
      <c r="H283" s="14" t="s">
        <v>69</v>
      </c>
      <c r="I283" s="15" t="s">
        <v>52</v>
      </c>
      <c r="J283" s="14" t="s">
        <v>634</v>
      </c>
      <c r="K283" s="27">
        <v>0.0</v>
      </c>
      <c r="L283" s="27">
        <v>0.0</v>
      </c>
      <c r="M283" s="14"/>
      <c r="N283" s="14"/>
      <c r="O283" s="28"/>
      <c r="P283" s="14">
        <v>90.0</v>
      </c>
      <c r="Q283" s="14" t="s">
        <v>121</v>
      </c>
      <c r="R283" s="14" t="s">
        <v>649</v>
      </c>
      <c r="S283" s="14" t="s">
        <v>142</v>
      </c>
      <c r="T283" s="14" t="s">
        <v>39</v>
      </c>
      <c r="U283" s="14" t="s">
        <v>650</v>
      </c>
      <c r="V283" s="14" t="s">
        <v>651</v>
      </c>
      <c r="W283" s="14">
        <v>2.0</v>
      </c>
      <c r="X283" s="14">
        <v>5.0</v>
      </c>
      <c r="Y283" s="14">
        <v>5.0</v>
      </c>
      <c r="Z283" s="14">
        <v>3.0</v>
      </c>
      <c r="AA283" s="14">
        <v>1.0</v>
      </c>
      <c r="AB283" s="14">
        <v>0.0</v>
      </c>
      <c r="AC283" s="16">
        <v>2.9</v>
      </c>
      <c r="AD283" s="14">
        <v>0.0</v>
      </c>
      <c r="AE283" s="14" t="s">
        <v>52</v>
      </c>
      <c r="AF283" s="14"/>
      <c r="AG283" s="15"/>
      <c r="AH283" s="14"/>
      <c r="AI283" s="14"/>
      <c r="AJ283" s="15"/>
      <c r="AK283" s="14"/>
      <c r="AL283" s="14"/>
      <c r="AM283" s="14" t="s">
        <v>651</v>
      </c>
      <c r="AN283" s="14" t="s">
        <v>652</v>
      </c>
      <c r="AO283" s="14" t="s">
        <v>84</v>
      </c>
      <c r="AP283" s="14" t="s">
        <v>653</v>
      </c>
      <c r="AQ283" s="16">
        <v>0.0</v>
      </c>
      <c r="AR283" s="14" t="s">
        <v>196</v>
      </c>
    </row>
    <row r="284" ht="15.75" customHeight="1">
      <c r="A284" s="14" t="s">
        <v>39</v>
      </c>
      <c r="B284" s="14" t="s">
        <v>137</v>
      </c>
      <c r="C284" s="14" t="s">
        <v>613</v>
      </c>
      <c r="D284" s="14" t="s">
        <v>647</v>
      </c>
      <c r="E284" s="14" t="s">
        <v>639</v>
      </c>
      <c r="F284" s="14" t="s">
        <v>654</v>
      </c>
      <c r="G284" s="14" t="s">
        <v>39</v>
      </c>
      <c r="H284" s="14" t="s">
        <v>69</v>
      </c>
      <c r="I284" s="15" t="s">
        <v>456</v>
      </c>
      <c r="J284" s="14" t="s">
        <v>614</v>
      </c>
      <c r="K284" s="27">
        <v>0.0</v>
      </c>
      <c r="L284" s="27">
        <v>0.0</v>
      </c>
      <c r="M284" s="14"/>
      <c r="N284" s="14"/>
      <c r="O284" s="28"/>
      <c r="P284" s="14">
        <v>90.0</v>
      </c>
      <c r="Q284" s="14" t="s">
        <v>121</v>
      </c>
      <c r="R284" s="14" t="s">
        <v>649</v>
      </c>
      <c r="S284" s="14" t="s">
        <v>142</v>
      </c>
      <c r="T284" s="14" t="s">
        <v>39</v>
      </c>
      <c r="U284" s="14" t="s">
        <v>655</v>
      </c>
      <c r="V284" s="14" t="s">
        <v>651</v>
      </c>
      <c r="W284" s="14">
        <v>2.0</v>
      </c>
      <c r="X284" s="14">
        <v>5.0</v>
      </c>
      <c r="Y284" s="14">
        <v>5.0</v>
      </c>
      <c r="Z284" s="14">
        <v>3.0</v>
      </c>
      <c r="AA284" s="14">
        <v>1.0</v>
      </c>
      <c r="AB284" s="14">
        <v>0.0</v>
      </c>
      <c r="AC284" s="16">
        <v>2.9</v>
      </c>
      <c r="AD284" s="14">
        <v>0.0</v>
      </c>
      <c r="AE284" s="14" t="s">
        <v>456</v>
      </c>
      <c r="AF284" s="14"/>
      <c r="AG284" s="15"/>
      <c r="AH284" s="14"/>
      <c r="AI284" s="14"/>
      <c r="AJ284" s="15"/>
      <c r="AK284" s="14"/>
      <c r="AL284" s="14"/>
      <c r="AM284" s="14" t="s">
        <v>651</v>
      </c>
      <c r="AN284" s="14" t="s">
        <v>652</v>
      </c>
      <c r="AO284" s="14" t="s">
        <v>84</v>
      </c>
      <c r="AP284" s="14" t="s">
        <v>653</v>
      </c>
      <c r="AQ284" s="16">
        <v>0.0</v>
      </c>
      <c r="AR284" s="14" t="s">
        <v>196</v>
      </c>
    </row>
    <row r="285" ht="15.75" customHeight="1">
      <c r="A285" s="14" t="s">
        <v>39</v>
      </c>
      <c r="B285" s="14" t="s">
        <v>137</v>
      </c>
      <c r="C285" s="14" t="s">
        <v>632</v>
      </c>
      <c r="D285" s="14" t="s">
        <v>210</v>
      </c>
      <c r="E285" s="14" t="s">
        <v>639</v>
      </c>
      <c r="F285" s="14" t="s">
        <v>656</v>
      </c>
      <c r="G285" s="14" t="s">
        <v>69</v>
      </c>
      <c r="H285" s="14" t="s">
        <v>69</v>
      </c>
      <c r="I285" s="15" t="s">
        <v>110</v>
      </c>
      <c r="J285" s="14" t="s">
        <v>657</v>
      </c>
      <c r="K285" s="27">
        <v>3.0</v>
      </c>
      <c r="L285" s="27">
        <v>0.0</v>
      </c>
      <c r="M285" s="14"/>
      <c r="N285" s="14"/>
      <c r="O285" s="28"/>
      <c r="P285" s="14">
        <v>100.0</v>
      </c>
      <c r="Q285" s="14" t="s">
        <v>121</v>
      </c>
      <c r="R285" s="14" t="s">
        <v>649</v>
      </c>
      <c r="S285" s="14" t="s">
        <v>611</v>
      </c>
      <c r="T285" s="14" t="s">
        <v>39</v>
      </c>
      <c r="U285" s="14" t="s">
        <v>658</v>
      </c>
      <c r="V285" s="14" t="s">
        <v>659</v>
      </c>
      <c r="W285" s="14">
        <v>2.0</v>
      </c>
      <c r="X285" s="14">
        <v>5.0</v>
      </c>
      <c r="Y285" s="14">
        <v>5.0</v>
      </c>
      <c r="Z285" s="14">
        <v>3.0</v>
      </c>
      <c r="AA285" s="14">
        <v>3.0</v>
      </c>
      <c r="AB285" s="14">
        <v>0.0</v>
      </c>
      <c r="AC285" s="16">
        <v>3.1</v>
      </c>
      <c r="AD285" s="14">
        <v>3.0</v>
      </c>
      <c r="AE285" s="14" t="s">
        <v>110</v>
      </c>
      <c r="AF285" s="14"/>
      <c r="AG285" s="15"/>
      <c r="AH285" s="14"/>
      <c r="AI285" s="14"/>
      <c r="AJ285" s="15"/>
      <c r="AK285" s="14"/>
      <c r="AL285" s="14"/>
      <c r="AM285" s="14" t="s">
        <v>659</v>
      </c>
      <c r="AN285" s="14" t="s">
        <v>444</v>
      </c>
      <c r="AO285" s="14" t="s">
        <v>84</v>
      </c>
      <c r="AP285" s="14" t="s">
        <v>445</v>
      </c>
      <c r="AQ285" s="16">
        <v>0.0</v>
      </c>
      <c r="AR285" s="14" t="s">
        <v>196</v>
      </c>
    </row>
    <row r="286" ht="15.75" customHeight="1">
      <c r="A286" s="14" t="s">
        <v>39</v>
      </c>
      <c r="B286" s="14" t="s">
        <v>44</v>
      </c>
      <c r="C286" s="14" t="s">
        <v>660</v>
      </c>
      <c r="D286" s="14" t="s">
        <v>661</v>
      </c>
      <c r="E286" s="14" t="s">
        <v>639</v>
      </c>
      <c r="F286" s="14" t="s">
        <v>660</v>
      </c>
      <c r="G286" s="14" t="s">
        <v>69</v>
      </c>
      <c r="H286" s="14" t="s">
        <v>39</v>
      </c>
      <c r="I286" s="15" t="s">
        <v>52</v>
      </c>
      <c r="J286" s="14" t="s">
        <v>662</v>
      </c>
      <c r="K286" s="27">
        <v>3.0</v>
      </c>
      <c r="L286" s="27">
        <v>80.0</v>
      </c>
      <c r="M286" s="14"/>
      <c r="N286" s="14"/>
      <c r="O286" s="28"/>
      <c r="P286" s="14">
        <v>88.0</v>
      </c>
      <c r="Q286" s="14" t="s">
        <v>121</v>
      </c>
      <c r="R286" s="14" t="s">
        <v>663</v>
      </c>
      <c r="S286" s="14" t="s">
        <v>76</v>
      </c>
      <c r="T286" s="14" t="s">
        <v>39</v>
      </c>
      <c r="U286" s="14" t="s">
        <v>664</v>
      </c>
      <c r="V286" s="14" t="s">
        <v>665</v>
      </c>
      <c r="W286" s="14">
        <v>2.0</v>
      </c>
      <c r="X286" s="14">
        <v>5.0</v>
      </c>
      <c r="Y286" s="14">
        <v>2.0</v>
      </c>
      <c r="Z286" s="14">
        <v>4.0</v>
      </c>
      <c r="AA286" s="14">
        <v>5.0</v>
      </c>
      <c r="AB286" s="14">
        <v>0.0</v>
      </c>
      <c r="AC286" s="16">
        <v>2.8</v>
      </c>
      <c r="AD286" s="14">
        <v>83.0</v>
      </c>
      <c r="AE286" s="14" t="s">
        <v>52</v>
      </c>
      <c r="AF286" s="14"/>
      <c r="AG286" s="15"/>
      <c r="AH286" s="14"/>
      <c r="AI286" s="14"/>
      <c r="AJ286" s="15"/>
      <c r="AK286" s="14"/>
      <c r="AL286" s="14"/>
      <c r="AM286" s="14" t="s">
        <v>665</v>
      </c>
      <c r="AN286" s="14" t="s">
        <v>666</v>
      </c>
      <c r="AO286" s="14" t="s">
        <v>84</v>
      </c>
      <c r="AP286" s="14" t="s">
        <v>667</v>
      </c>
      <c r="AQ286" s="16">
        <v>0.0</v>
      </c>
      <c r="AR286" s="14" t="s">
        <v>196</v>
      </c>
    </row>
    <row r="287" ht="15.75" customHeight="1">
      <c r="A287" s="14" t="s">
        <v>39</v>
      </c>
      <c r="B287" s="14" t="s">
        <v>44</v>
      </c>
      <c r="C287" s="14" t="s">
        <v>660</v>
      </c>
      <c r="D287" s="14" t="s">
        <v>668</v>
      </c>
      <c r="E287" s="14" t="s">
        <v>639</v>
      </c>
      <c r="F287" s="14" t="s">
        <v>669</v>
      </c>
      <c r="G287" s="14" t="s">
        <v>69</v>
      </c>
      <c r="H287" s="14" t="s">
        <v>39</v>
      </c>
      <c r="I287" s="15" t="s">
        <v>52</v>
      </c>
      <c r="J287" s="14" t="s">
        <v>670</v>
      </c>
      <c r="K287" s="27">
        <v>10.0</v>
      </c>
      <c r="L287" s="27">
        <v>80.0</v>
      </c>
      <c r="M287" s="14"/>
      <c r="N287" s="14"/>
      <c r="O287" s="28"/>
      <c r="P287" s="14">
        <v>60.0</v>
      </c>
      <c r="Q287" s="14" t="s">
        <v>121</v>
      </c>
      <c r="R287" s="14" t="s">
        <v>671</v>
      </c>
      <c r="S287" s="14" t="s">
        <v>611</v>
      </c>
      <c r="T287" s="14" t="s">
        <v>39</v>
      </c>
      <c r="U287" s="14" t="s">
        <v>672</v>
      </c>
      <c r="V287" s="14" t="s">
        <v>673</v>
      </c>
      <c r="W287" s="14">
        <v>2.0</v>
      </c>
      <c r="X287" s="14">
        <v>5.0</v>
      </c>
      <c r="Y287" s="14">
        <v>2.0</v>
      </c>
      <c r="Z287" s="14">
        <v>2.0</v>
      </c>
      <c r="AA287" s="14">
        <v>3.0</v>
      </c>
      <c r="AB287" s="14">
        <v>0.0</v>
      </c>
      <c r="AC287" s="16">
        <v>2.4</v>
      </c>
      <c r="AD287" s="14">
        <v>90.0</v>
      </c>
      <c r="AE287" s="14" t="s">
        <v>52</v>
      </c>
      <c r="AF287" s="14"/>
      <c r="AG287" s="15"/>
      <c r="AH287" s="14"/>
      <c r="AI287" s="14"/>
      <c r="AJ287" s="15"/>
      <c r="AK287" s="14"/>
      <c r="AL287" s="14"/>
      <c r="AM287" s="14" t="s">
        <v>673</v>
      </c>
      <c r="AN287" s="14" t="s">
        <v>674</v>
      </c>
      <c r="AO287" s="14" t="s">
        <v>84</v>
      </c>
      <c r="AP287" s="14" t="s">
        <v>675</v>
      </c>
      <c r="AQ287" s="16">
        <v>0.0</v>
      </c>
      <c r="AR287" s="14" t="s">
        <v>196</v>
      </c>
    </row>
    <row r="288" ht="15.75" customHeight="1">
      <c r="A288" s="14" t="s">
        <v>39</v>
      </c>
      <c r="B288" s="14" t="s">
        <v>44</v>
      </c>
      <c r="C288" s="14" t="s">
        <v>660</v>
      </c>
      <c r="D288" s="14" t="s">
        <v>676</v>
      </c>
      <c r="E288" s="14" t="s">
        <v>639</v>
      </c>
      <c r="F288" s="14" t="s">
        <v>669</v>
      </c>
      <c r="G288" s="14" t="s">
        <v>69</v>
      </c>
      <c r="H288" s="14" t="s">
        <v>39</v>
      </c>
      <c r="I288" s="15" t="s">
        <v>52</v>
      </c>
      <c r="J288" s="14" t="s">
        <v>670</v>
      </c>
      <c r="K288" s="27">
        <v>10.0</v>
      </c>
      <c r="L288" s="27">
        <v>80.0</v>
      </c>
      <c r="M288" s="14"/>
      <c r="N288" s="14"/>
      <c r="O288" s="28"/>
      <c r="P288" s="14">
        <v>160.0</v>
      </c>
      <c r="Q288" s="14" t="s">
        <v>121</v>
      </c>
      <c r="R288" s="14" t="s">
        <v>671</v>
      </c>
      <c r="S288" s="14" t="s">
        <v>611</v>
      </c>
      <c r="T288" s="14" t="s">
        <v>39</v>
      </c>
      <c r="U288" s="14" t="s">
        <v>677</v>
      </c>
      <c r="V288" s="14" t="s">
        <v>678</v>
      </c>
      <c r="W288" s="14">
        <v>2.0</v>
      </c>
      <c r="X288" s="14">
        <v>4.0</v>
      </c>
      <c r="Y288" s="14">
        <v>2.0</v>
      </c>
      <c r="Z288" s="14">
        <v>2.0</v>
      </c>
      <c r="AA288" s="14">
        <v>3.0</v>
      </c>
      <c r="AB288" s="14">
        <v>0.0</v>
      </c>
      <c r="AC288" s="16">
        <v>2.2</v>
      </c>
      <c r="AD288" s="14">
        <v>90.0</v>
      </c>
      <c r="AE288" s="14" t="s">
        <v>52</v>
      </c>
      <c r="AF288" s="14"/>
      <c r="AG288" s="15"/>
      <c r="AH288" s="14"/>
      <c r="AI288" s="14"/>
      <c r="AJ288" s="15"/>
      <c r="AK288" s="14"/>
      <c r="AL288" s="14"/>
      <c r="AM288" s="14" t="s">
        <v>678</v>
      </c>
      <c r="AN288" s="14" t="s">
        <v>679</v>
      </c>
      <c r="AO288" s="14" t="s">
        <v>84</v>
      </c>
      <c r="AP288" s="14" t="s">
        <v>680</v>
      </c>
      <c r="AQ288" s="16">
        <v>0.0</v>
      </c>
      <c r="AR288" s="14" t="s">
        <v>196</v>
      </c>
    </row>
    <row r="289" ht="15.75" customHeight="1">
      <c r="A289" s="14" t="s">
        <v>39</v>
      </c>
      <c r="B289" s="14" t="s">
        <v>137</v>
      </c>
      <c r="C289" s="14" t="s">
        <v>632</v>
      </c>
      <c r="D289" s="14" t="s">
        <v>206</v>
      </c>
      <c r="E289" s="14" t="s">
        <v>639</v>
      </c>
      <c r="F289" s="14" t="s">
        <v>681</v>
      </c>
      <c r="G289" s="14" t="s">
        <v>69</v>
      </c>
      <c r="H289" s="14" t="s">
        <v>69</v>
      </c>
      <c r="I289" s="15" t="s">
        <v>176</v>
      </c>
      <c r="J289" s="14" t="s">
        <v>682</v>
      </c>
      <c r="K289" s="27">
        <v>10.0</v>
      </c>
      <c r="L289" s="27">
        <v>0.0</v>
      </c>
      <c r="M289" s="14"/>
      <c r="N289" s="14"/>
      <c r="O289" s="28"/>
      <c r="P289" s="14">
        <v>160.0</v>
      </c>
      <c r="Q289" s="14" t="s">
        <v>121</v>
      </c>
      <c r="R289" s="14" t="s">
        <v>671</v>
      </c>
      <c r="S289" s="14" t="s">
        <v>142</v>
      </c>
      <c r="T289" s="14" t="s">
        <v>39</v>
      </c>
      <c r="U289" s="14" t="s">
        <v>683</v>
      </c>
      <c r="V289" s="14" t="s">
        <v>684</v>
      </c>
      <c r="W289" s="14">
        <v>2.0</v>
      </c>
      <c r="X289" s="14">
        <v>4.0</v>
      </c>
      <c r="Y289" s="14">
        <v>5.0</v>
      </c>
      <c r="Z289" s="14">
        <v>2.0</v>
      </c>
      <c r="AA289" s="14">
        <v>1.0</v>
      </c>
      <c r="AB289" s="14">
        <v>0.0</v>
      </c>
      <c r="AC289" s="16">
        <v>2.6</v>
      </c>
      <c r="AD289" s="14">
        <v>10.0</v>
      </c>
      <c r="AE289" s="14" t="s">
        <v>176</v>
      </c>
      <c r="AF289" s="14"/>
      <c r="AG289" s="15"/>
      <c r="AH289" s="14"/>
      <c r="AI289" s="14"/>
      <c r="AJ289" s="15"/>
      <c r="AK289" s="14"/>
      <c r="AL289" s="14"/>
      <c r="AM289" s="14" t="s">
        <v>684</v>
      </c>
      <c r="AN289" s="14" t="s">
        <v>428</v>
      </c>
      <c r="AO289" s="14" t="s">
        <v>84</v>
      </c>
      <c r="AP289" s="14" t="s">
        <v>429</v>
      </c>
      <c r="AQ289" s="16">
        <v>0.0</v>
      </c>
      <c r="AR289" s="14" t="s">
        <v>196</v>
      </c>
    </row>
    <row r="290" ht="15.75" customHeight="1">
      <c r="A290" s="14" t="s">
        <v>39</v>
      </c>
      <c r="B290" s="14" t="s">
        <v>137</v>
      </c>
      <c r="C290" s="14" t="s">
        <v>506</v>
      </c>
      <c r="D290" s="14" t="s">
        <v>251</v>
      </c>
      <c r="E290" s="14" t="s">
        <v>685</v>
      </c>
      <c r="F290" s="14" t="s">
        <v>686</v>
      </c>
      <c r="G290" s="14" t="s">
        <v>69</v>
      </c>
      <c r="H290" s="14" t="s">
        <v>69</v>
      </c>
      <c r="I290" s="15" t="s">
        <v>450</v>
      </c>
      <c r="J290" s="14" t="s">
        <v>687</v>
      </c>
      <c r="K290" s="27">
        <v>3.0</v>
      </c>
      <c r="L290" s="27">
        <v>80.0</v>
      </c>
      <c r="M290" s="14"/>
      <c r="N290" s="14"/>
      <c r="O290" s="28"/>
      <c r="P290" s="14">
        <v>355.0</v>
      </c>
      <c r="Q290" s="14" t="s">
        <v>688</v>
      </c>
      <c r="R290" s="14" t="s">
        <v>689</v>
      </c>
      <c r="S290" s="14" t="s">
        <v>142</v>
      </c>
      <c r="T290" s="14" t="s">
        <v>39</v>
      </c>
      <c r="U290" s="14" t="s">
        <v>690</v>
      </c>
      <c r="V290" s="14" t="s">
        <v>691</v>
      </c>
      <c r="W290" s="14">
        <v>2.0</v>
      </c>
      <c r="X290" s="14">
        <v>2.0</v>
      </c>
      <c r="Y290" s="14">
        <v>5.0</v>
      </c>
      <c r="Z290" s="14">
        <v>5.0</v>
      </c>
      <c r="AA290" s="14">
        <v>1.0</v>
      </c>
      <c r="AB290" s="14">
        <v>0.0</v>
      </c>
      <c r="AC290" s="16">
        <v>2.6</v>
      </c>
      <c r="AD290" s="14">
        <v>83.0</v>
      </c>
      <c r="AE290" s="14" t="s">
        <v>450</v>
      </c>
      <c r="AF290" s="14"/>
      <c r="AG290" s="15"/>
      <c r="AH290" s="14"/>
      <c r="AI290" s="14"/>
      <c r="AJ290" s="15"/>
      <c r="AK290" s="14"/>
      <c r="AL290" s="14"/>
      <c r="AM290" s="14" t="s">
        <v>691</v>
      </c>
      <c r="AN290" s="14" t="s">
        <v>287</v>
      </c>
      <c r="AO290" s="14" t="s">
        <v>84</v>
      </c>
      <c r="AP290" s="14" t="s">
        <v>288</v>
      </c>
      <c r="AQ290" s="16">
        <v>0.0</v>
      </c>
      <c r="AR290" s="14" t="s">
        <v>196</v>
      </c>
    </row>
    <row r="291" ht="15.75" customHeight="1">
      <c r="A291" s="14" t="s">
        <v>39</v>
      </c>
      <c r="B291" s="14" t="s">
        <v>137</v>
      </c>
      <c r="C291" s="14" t="s">
        <v>632</v>
      </c>
      <c r="D291" s="14" t="s">
        <v>692</v>
      </c>
      <c r="E291" s="14" t="s">
        <v>685</v>
      </c>
      <c r="F291" s="14" t="s">
        <v>693</v>
      </c>
      <c r="G291" s="14" t="s">
        <v>69</v>
      </c>
      <c r="H291" s="14" t="s">
        <v>69</v>
      </c>
      <c r="I291" s="15" t="s">
        <v>52</v>
      </c>
      <c r="J291" s="14" t="s">
        <v>634</v>
      </c>
      <c r="K291" s="27">
        <v>0.0</v>
      </c>
      <c r="L291" s="27">
        <v>0.0</v>
      </c>
      <c r="M291" s="14"/>
      <c r="N291" s="14"/>
      <c r="O291" s="28"/>
      <c r="P291" s="14">
        <v>380.0</v>
      </c>
      <c r="Q291" s="14" t="s">
        <v>688</v>
      </c>
      <c r="R291" s="14" t="s">
        <v>694</v>
      </c>
      <c r="S291" s="14" t="s">
        <v>142</v>
      </c>
      <c r="T291" s="14" t="s">
        <v>39</v>
      </c>
      <c r="U291" s="14" t="s">
        <v>695</v>
      </c>
      <c r="V291" s="14" t="s">
        <v>696</v>
      </c>
      <c r="W291" s="14">
        <v>2.0</v>
      </c>
      <c r="X291" s="14">
        <v>2.0</v>
      </c>
      <c r="Y291" s="14">
        <v>5.0</v>
      </c>
      <c r="Z291" s="14">
        <v>5.0</v>
      </c>
      <c r="AA291" s="14">
        <v>1.0</v>
      </c>
      <c r="AB291" s="14">
        <v>0.0</v>
      </c>
      <c r="AC291" s="16">
        <v>2.6</v>
      </c>
      <c r="AD291" s="14">
        <v>0.0</v>
      </c>
      <c r="AE291" s="14" t="s">
        <v>52</v>
      </c>
      <c r="AF291" s="14"/>
      <c r="AG291" s="15"/>
      <c r="AH291" s="14"/>
      <c r="AI291" s="14"/>
      <c r="AJ291" s="15"/>
      <c r="AK291" s="14"/>
      <c r="AL291" s="14"/>
      <c r="AM291" s="14" t="s">
        <v>696</v>
      </c>
      <c r="AN291" s="14" t="s">
        <v>697</v>
      </c>
      <c r="AO291" s="14" t="s">
        <v>84</v>
      </c>
      <c r="AP291" s="14" t="s">
        <v>698</v>
      </c>
      <c r="AQ291" s="16">
        <v>0.0</v>
      </c>
      <c r="AR291" s="14" t="s">
        <v>196</v>
      </c>
    </row>
    <row r="292" ht="15.75" customHeight="1">
      <c r="A292" s="14" t="s">
        <v>39</v>
      </c>
      <c r="B292" s="14" t="s">
        <v>699</v>
      </c>
      <c r="C292" s="14" t="s">
        <v>506</v>
      </c>
      <c r="D292" s="14" t="s">
        <v>173</v>
      </c>
      <c r="E292" s="14" t="s">
        <v>700</v>
      </c>
      <c r="F292" s="14" t="s">
        <v>701</v>
      </c>
      <c r="G292" s="14" t="s">
        <v>69</v>
      </c>
      <c r="H292" s="14" t="s">
        <v>69</v>
      </c>
      <c r="I292" s="15" t="s">
        <v>122</v>
      </c>
      <c r="J292" s="14" t="s">
        <v>687</v>
      </c>
      <c r="K292" s="27">
        <v>3.0</v>
      </c>
      <c r="L292" s="27">
        <v>80.0</v>
      </c>
      <c r="M292" s="14"/>
      <c r="N292" s="14"/>
      <c r="O292" s="28"/>
      <c r="P292" s="14">
        <v>470.0</v>
      </c>
      <c r="Q292" s="14" t="s">
        <v>702</v>
      </c>
      <c r="R292" s="14" t="s">
        <v>663</v>
      </c>
      <c r="S292" s="14" t="s">
        <v>611</v>
      </c>
      <c r="T292" s="14" t="s">
        <v>39</v>
      </c>
      <c r="U292" s="14" t="s">
        <v>703</v>
      </c>
      <c r="V292" s="14" t="s">
        <v>704</v>
      </c>
      <c r="W292" s="14">
        <v>2.0</v>
      </c>
      <c r="X292" s="14">
        <v>1.0</v>
      </c>
      <c r="Y292" s="14">
        <v>5.0</v>
      </c>
      <c r="Z292" s="14">
        <v>4.0</v>
      </c>
      <c r="AA292" s="14">
        <v>3.0</v>
      </c>
      <c r="AB292" s="14">
        <v>0.0</v>
      </c>
      <c r="AC292" s="16">
        <v>2.6</v>
      </c>
      <c r="AD292" s="14">
        <v>83.0</v>
      </c>
      <c r="AE292" s="14" t="s">
        <v>122</v>
      </c>
      <c r="AF292" s="14"/>
      <c r="AG292" s="15"/>
      <c r="AH292" s="14"/>
      <c r="AI292" s="14"/>
      <c r="AJ292" s="15"/>
      <c r="AK292" s="14"/>
      <c r="AL292" s="14"/>
      <c r="AM292" s="14" t="s">
        <v>704</v>
      </c>
      <c r="AN292" s="14" t="s">
        <v>204</v>
      </c>
      <c r="AO292" s="14" t="s">
        <v>84</v>
      </c>
      <c r="AP292" s="14" t="s">
        <v>205</v>
      </c>
      <c r="AQ292" s="16">
        <v>0.0</v>
      </c>
      <c r="AR292" s="14" t="s">
        <v>196</v>
      </c>
    </row>
    <row r="293" ht="15.75" customHeight="1">
      <c r="A293" s="14" t="s">
        <v>39</v>
      </c>
      <c r="B293" s="14" t="s">
        <v>699</v>
      </c>
      <c r="C293" s="14" t="s">
        <v>506</v>
      </c>
      <c r="D293" s="14" t="s">
        <v>154</v>
      </c>
      <c r="E293" s="14" t="s">
        <v>700</v>
      </c>
      <c r="F293" s="14" t="s">
        <v>506</v>
      </c>
      <c r="G293" s="14" t="s">
        <v>69</v>
      </c>
      <c r="H293" s="14" t="s">
        <v>69</v>
      </c>
      <c r="I293" s="15" t="s">
        <v>450</v>
      </c>
      <c r="J293" s="14" t="s">
        <v>705</v>
      </c>
      <c r="K293" s="27">
        <v>3.0</v>
      </c>
      <c r="L293" s="27">
        <v>130.0</v>
      </c>
      <c r="M293" s="14">
        <v>5.0</v>
      </c>
      <c r="N293" s="14">
        <v>296.0</v>
      </c>
      <c r="O293" s="28">
        <v>0.2</v>
      </c>
      <c r="P293" s="14">
        <v>465.0</v>
      </c>
      <c r="Q293" s="14" t="s">
        <v>702</v>
      </c>
      <c r="R293" s="14" t="s">
        <v>635</v>
      </c>
      <c r="S293" s="14" t="s">
        <v>142</v>
      </c>
      <c r="T293" s="14" t="s">
        <v>39</v>
      </c>
      <c r="U293" s="14" t="s">
        <v>706</v>
      </c>
      <c r="V293" s="14" t="s">
        <v>508</v>
      </c>
      <c r="W293" s="14">
        <v>3.0</v>
      </c>
      <c r="X293" s="14">
        <v>1.0</v>
      </c>
      <c r="Y293" s="14">
        <v>5.0</v>
      </c>
      <c r="Z293" s="14">
        <v>5.0</v>
      </c>
      <c r="AA293" s="14">
        <v>1.0</v>
      </c>
      <c r="AB293" s="14">
        <v>0.0</v>
      </c>
      <c r="AC293" s="16">
        <v>2.8</v>
      </c>
      <c r="AD293" s="14">
        <v>133.0</v>
      </c>
      <c r="AE293" s="14" t="s">
        <v>450</v>
      </c>
      <c r="AF293" s="14"/>
      <c r="AG293" s="15"/>
      <c r="AH293" s="14"/>
      <c r="AI293" s="14"/>
      <c r="AJ293" s="15"/>
      <c r="AK293" s="14"/>
      <c r="AL293" s="14"/>
      <c r="AM293" s="14" t="s">
        <v>508</v>
      </c>
      <c r="AN293" s="14" t="s">
        <v>188</v>
      </c>
      <c r="AO293" s="14" t="s">
        <v>84</v>
      </c>
      <c r="AP293" s="14" t="s">
        <v>189</v>
      </c>
      <c r="AQ293" s="16">
        <v>0.0</v>
      </c>
      <c r="AR293" s="14" t="s">
        <v>196</v>
      </c>
    </row>
    <row r="294" ht="15.75" customHeight="1">
      <c r="A294" s="14" t="s">
        <v>39</v>
      </c>
      <c r="B294" s="14" t="s">
        <v>699</v>
      </c>
      <c r="C294" s="14" t="s">
        <v>506</v>
      </c>
      <c r="D294" s="14" t="s">
        <v>292</v>
      </c>
      <c r="E294" s="14" t="s">
        <v>707</v>
      </c>
      <c r="F294" s="14" t="s">
        <v>510</v>
      </c>
      <c r="G294" s="14" t="s">
        <v>39</v>
      </c>
      <c r="H294" s="14" t="s">
        <v>69</v>
      </c>
      <c r="I294" s="15" t="s">
        <v>450</v>
      </c>
      <c r="J294" s="14" t="s">
        <v>708</v>
      </c>
      <c r="K294" s="27">
        <v>0.0</v>
      </c>
      <c r="L294" s="27">
        <v>0.0</v>
      </c>
      <c r="M294" s="14">
        <v>30.0</v>
      </c>
      <c r="N294" s="14">
        <v>529.0</v>
      </c>
      <c r="O294" s="28">
        <v>0.62</v>
      </c>
      <c r="P294" s="14">
        <v>630.0</v>
      </c>
      <c r="Q294" s="14" t="s">
        <v>709</v>
      </c>
      <c r="R294" s="14" t="s">
        <v>710</v>
      </c>
      <c r="S294" s="14" t="s">
        <v>611</v>
      </c>
      <c r="T294" s="14" t="s">
        <v>39</v>
      </c>
      <c r="U294" s="14" t="s">
        <v>711</v>
      </c>
      <c r="V294" s="14" t="s">
        <v>512</v>
      </c>
      <c r="W294" s="14">
        <v>5.0</v>
      </c>
      <c r="X294" s="14">
        <v>1.0</v>
      </c>
      <c r="Y294" s="14">
        <v>5.0</v>
      </c>
      <c r="Z294" s="14">
        <v>4.0</v>
      </c>
      <c r="AA294" s="14">
        <v>3.0</v>
      </c>
      <c r="AB294" s="14">
        <v>0.0</v>
      </c>
      <c r="AC294" s="16">
        <v>3.6</v>
      </c>
      <c r="AD294" s="14">
        <v>0.0</v>
      </c>
      <c r="AE294" s="14" t="s">
        <v>450</v>
      </c>
      <c r="AF294" s="14"/>
      <c r="AG294" s="15"/>
      <c r="AH294" s="14"/>
      <c r="AI294" s="14"/>
      <c r="AJ294" s="15"/>
      <c r="AK294" s="14"/>
      <c r="AL294" s="14"/>
      <c r="AM294" s="14" t="s">
        <v>512</v>
      </c>
      <c r="AN294" s="14" t="s">
        <v>330</v>
      </c>
      <c r="AO294" s="14" t="s">
        <v>84</v>
      </c>
      <c r="AP294" s="14" t="s">
        <v>332</v>
      </c>
      <c r="AQ294" s="16">
        <v>0.0</v>
      </c>
      <c r="AR294" s="14" t="s">
        <v>196</v>
      </c>
    </row>
    <row r="295" ht="15.75" customHeight="1">
      <c r="A295" s="14" t="s">
        <v>39</v>
      </c>
      <c r="B295" s="14" t="s">
        <v>699</v>
      </c>
      <c r="C295" s="14" t="s">
        <v>712</v>
      </c>
      <c r="D295" s="14" t="s">
        <v>713</v>
      </c>
      <c r="E295" s="14" t="s">
        <v>714</v>
      </c>
      <c r="F295" s="14" t="s">
        <v>715</v>
      </c>
      <c r="G295" s="14" t="s">
        <v>69</v>
      </c>
      <c r="H295" s="14" t="s">
        <v>716</v>
      </c>
      <c r="I295" s="15" t="s">
        <v>717</v>
      </c>
      <c r="J295" s="14" t="s">
        <v>717</v>
      </c>
      <c r="K295" s="27">
        <v>10.0</v>
      </c>
      <c r="L295" s="27">
        <v>0.0</v>
      </c>
      <c r="M295" s="14"/>
      <c r="N295" s="14"/>
      <c r="O295" s="28"/>
      <c r="P295" s="14"/>
      <c r="Q295" s="14" t="s">
        <v>718</v>
      </c>
      <c r="R295" s="14" t="s">
        <v>717</v>
      </c>
      <c r="S295" s="14" t="s">
        <v>717</v>
      </c>
      <c r="T295" s="14" t="s">
        <v>39</v>
      </c>
      <c r="U295" s="14" t="s">
        <v>719</v>
      </c>
      <c r="V295" s="14" t="s">
        <v>720</v>
      </c>
      <c r="W295" s="14">
        <v>2.0</v>
      </c>
      <c r="X295" s="14">
        <v>2.0</v>
      </c>
      <c r="Y295" s="14">
        <v>2.0</v>
      </c>
      <c r="Z295" s="14">
        <v>2.0</v>
      </c>
      <c r="AA295" s="14">
        <v>2.0</v>
      </c>
      <c r="AB295" s="14">
        <v>0.0</v>
      </c>
      <c r="AC295" s="16">
        <v>1.8</v>
      </c>
      <c r="AD295" s="14">
        <v>10.0</v>
      </c>
      <c r="AE295" s="14" t="s">
        <v>717</v>
      </c>
      <c r="AF295" s="14"/>
      <c r="AG295" s="15"/>
      <c r="AH295" s="14"/>
      <c r="AI295" s="14"/>
      <c r="AJ295" s="15"/>
      <c r="AK295" s="14"/>
      <c r="AL295" s="14"/>
      <c r="AM295" s="14" t="s">
        <v>720</v>
      </c>
      <c r="AN295" s="14" t="s">
        <v>721</v>
      </c>
      <c r="AO295" s="14" t="s">
        <v>84</v>
      </c>
      <c r="AP295" s="14" t="s">
        <v>722</v>
      </c>
      <c r="AQ295" s="16">
        <v>0.0</v>
      </c>
      <c r="AR295" s="14" t="s">
        <v>196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C2:AC5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2:A54">
    <cfRule type="expression" dxfId="5" priority="2">
      <formula>A2="Yes"</formula>
    </cfRule>
  </conditionalFormatting>
  <conditionalFormatting sqref="A2:A54">
    <cfRule type="expression" dxfId="6" priority="3">
      <formula>$A2="Yes"</formula>
    </cfRule>
  </conditionalFormatting>
  <conditionalFormatting sqref="H2:H54">
    <cfRule type="expression" dxfId="5" priority="4">
      <formula>H2="Yes"</formula>
    </cfRule>
  </conditionalFormatting>
  <conditionalFormatting sqref="AI2:AI54">
    <cfRule type="expression" dxfId="6" priority="5">
      <formula>$AI2="Drawn"</formula>
    </cfRule>
  </conditionalFormatting>
  <conditionalFormatting sqref="AI2:AI54">
    <cfRule type="expression" dxfId="7" priority="6">
      <formula>$AI2="Not Drawn"</formula>
    </cfRule>
  </conditionalFormatting>
  <conditionalFormatting sqref="A2:A295">
    <cfRule type="expression" dxfId="4" priority="7">
      <formula>A2="Yes"</formula>
    </cfRule>
  </conditionalFormatting>
  <conditionalFormatting sqref="I2:I295">
    <cfRule type="expression" dxfId="8" priority="8">
      <formula>AND($A2="No",$I2&gt;=TODAY(),$I2&lt;=TODAY()+14)</formula>
    </cfRule>
  </conditionalFormatting>
  <conditionalFormatting sqref="I2:I295">
    <cfRule type="expression" dxfId="9" priority="9">
      <formula>AND($A2="No",$I2&lt;TODAY())</formula>
    </cfRule>
  </conditionalFormatting>
  <conditionalFormatting sqref="AQ2:AQ295">
    <cfRule type="cellIs" dxfId="10" priority="10" operator="lessThan">
      <formula>0</formula>
    </cfRule>
  </conditionalFormatting>
  <conditionalFormatting sqref="AQ2:AQ295">
    <cfRule type="cellIs" dxfId="11" priority="11" operator="greaterThan">
      <formula>0</formula>
    </cfRule>
  </conditionalFormatting>
  <dataValidations>
    <dataValidation type="list" allowBlank="1" sqref="AF2:AF54">
      <formula1>"Jamie,Son,Jamie + Son,Family/Party,Other"</formula1>
    </dataValidation>
    <dataValidation type="list" allowBlank="1" sqref="AI2:AI295">
      <formula1>"Pending,Drawn,Not Drawn,Alternate,Declined,Not Applied"</formula1>
    </dataValidation>
    <dataValidation type="list" allowBlank="1" sqref="A2:A295">
      <formula1>"No,Yes"</formula1>
    </dataValidation>
    <dataValidation type="list" allowBlank="1" sqref="B2:B295">
      <formula1>"A,B,C,Dream"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0"/>
    <col customWidth="1" min="3" max="3" width="16.0"/>
    <col customWidth="1" min="4" max="4" width="32.0"/>
    <col customWidth="1" min="5" max="5" width="36.0"/>
    <col customWidth="1" min="6" max="6" width="14.0"/>
    <col customWidth="1" min="7" max="7" width="12.0"/>
    <col customWidth="1" min="8" max="9" width="10.0"/>
    <col customWidth="1" min="10" max="10" width="12.0"/>
    <col customWidth="1" min="11" max="11" width="45.0"/>
    <col customWidth="1" min="12" max="12" width="42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</cols>
  <sheetData>
    <row r="1" ht="27.75" customHeight="1">
      <c r="A1" s="4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14</v>
      </c>
      <c r="K1" s="4" t="s">
        <v>16</v>
      </c>
      <c r="L1" s="4" t="s">
        <v>18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7" t="s">
        <v>39</v>
      </c>
      <c r="B2" s="7" t="s">
        <v>44</v>
      </c>
      <c r="C2" s="7" t="s">
        <v>46</v>
      </c>
      <c r="D2" s="7" t="s">
        <v>48</v>
      </c>
      <c r="E2" s="7" t="s">
        <v>50</v>
      </c>
      <c r="F2" s="9" t="s">
        <v>52</v>
      </c>
      <c r="G2" s="7">
        <v>520.0</v>
      </c>
      <c r="H2" s="10"/>
      <c r="I2" s="7"/>
      <c r="J2" s="7"/>
      <c r="K2" s="7" t="s">
        <v>59</v>
      </c>
      <c r="L2" s="7" t="s">
        <v>61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7" t="s">
        <v>39</v>
      </c>
      <c r="B3" s="7" t="s">
        <v>44</v>
      </c>
      <c r="C3" s="7" t="s">
        <v>46</v>
      </c>
      <c r="D3" s="7" t="s">
        <v>70</v>
      </c>
      <c r="E3" s="7" t="s">
        <v>50</v>
      </c>
      <c r="F3" s="9" t="s">
        <v>52</v>
      </c>
      <c r="G3" s="7">
        <v>520.0</v>
      </c>
      <c r="H3" s="10"/>
      <c r="I3" s="7"/>
      <c r="J3" s="7"/>
      <c r="K3" s="7" t="s">
        <v>59</v>
      </c>
      <c r="L3" s="7" t="s">
        <v>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7" t="s">
        <v>39</v>
      </c>
      <c r="B4" s="7" t="s">
        <v>44</v>
      </c>
      <c r="C4" s="7" t="s">
        <v>46</v>
      </c>
      <c r="D4" s="7" t="s">
        <v>80</v>
      </c>
      <c r="E4" s="7" t="s">
        <v>50</v>
      </c>
      <c r="F4" s="9" t="s">
        <v>52</v>
      </c>
      <c r="G4" s="7">
        <v>520.0</v>
      </c>
      <c r="H4" s="10"/>
      <c r="I4" s="7"/>
      <c r="J4" s="7"/>
      <c r="K4" s="7" t="s">
        <v>59</v>
      </c>
      <c r="L4" s="7" t="s">
        <v>61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7" t="s">
        <v>39</v>
      </c>
      <c r="B5" s="7" t="s">
        <v>44</v>
      </c>
      <c r="C5" s="7" t="s">
        <v>46</v>
      </c>
      <c r="D5" s="7" t="s">
        <v>89</v>
      </c>
      <c r="E5" s="7" t="s">
        <v>50</v>
      </c>
      <c r="F5" s="9" t="s">
        <v>52</v>
      </c>
      <c r="G5" s="7">
        <v>130.0</v>
      </c>
      <c r="H5" s="10"/>
      <c r="I5" s="7"/>
      <c r="J5" s="7"/>
      <c r="K5" s="7" t="s">
        <v>90</v>
      </c>
      <c r="L5" s="7" t="s">
        <v>61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7" t="s">
        <v>39</v>
      </c>
      <c r="B6" s="7" t="s">
        <v>44</v>
      </c>
      <c r="C6" s="7" t="s">
        <v>46</v>
      </c>
      <c r="D6" s="7" t="s">
        <v>95</v>
      </c>
      <c r="E6" s="7" t="s">
        <v>50</v>
      </c>
      <c r="F6" s="9" t="s">
        <v>52</v>
      </c>
      <c r="G6" s="7">
        <v>130.0</v>
      </c>
      <c r="H6" s="10"/>
      <c r="I6" s="7"/>
      <c r="J6" s="7"/>
      <c r="K6" s="7" t="s">
        <v>90</v>
      </c>
      <c r="L6" s="7" t="s">
        <v>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7" t="s">
        <v>39</v>
      </c>
      <c r="B7" s="7" t="s">
        <v>44</v>
      </c>
      <c r="C7" s="7" t="s">
        <v>102</v>
      </c>
      <c r="D7" s="7" t="s">
        <v>103</v>
      </c>
      <c r="E7" s="7" t="s">
        <v>104</v>
      </c>
      <c r="F7" s="9" t="s">
        <v>52</v>
      </c>
      <c r="G7" s="7">
        <v>300.0</v>
      </c>
      <c r="H7" s="10"/>
      <c r="I7" s="7"/>
      <c r="J7" s="7"/>
      <c r="K7" s="7" t="s">
        <v>90</v>
      </c>
      <c r="L7" s="7" t="s">
        <v>111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7" t="s">
        <v>39</v>
      </c>
      <c r="B8" s="7" t="s">
        <v>44</v>
      </c>
      <c r="C8" s="7" t="s">
        <v>102</v>
      </c>
      <c r="D8" s="7" t="s">
        <v>118</v>
      </c>
      <c r="E8" s="7" t="s">
        <v>104</v>
      </c>
      <c r="F8" s="9" t="s">
        <v>52</v>
      </c>
      <c r="G8" s="7">
        <v>700.0</v>
      </c>
      <c r="H8" s="10"/>
      <c r="I8" s="7"/>
      <c r="J8" s="7"/>
      <c r="K8" s="7" t="s">
        <v>90</v>
      </c>
      <c r="L8" s="7" t="s">
        <v>111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7" t="s">
        <v>39</v>
      </c>
      <c r="B9" s="7" t="s">
        <v>44</v>
      </c>
      <c r="C9" s="7" t="s">
        <v>102</v>
      </c>
      <c r="D9" s="7" t="s">
        <v>126</v>
      </c>
      <c r="E9" s="7" t="s">
        <v>104</v>
      </c>
      <c r="F9" s="9" t="s">
        <v>52</v>
      </c>
      <c r="G9" s="7">
        <v>700.0</v>
      </c>
      <c r="H9" s="10"/>
      <c r="I9" s="7"/>
      <c r="J9" s="7"/>
      <c r="K9" s="7" t="s">
        <v>90</v>
      </c>
      <c r="L9" s="7" t="s">
        <v>111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7" t="s">
        <v>39</v>
      </c>
      <c r="B10" s="7" t="s">
        <v>44</v>
      </c>
      <c r="C10" s="7" t="s">
        <v>102</v>
      </c>
      <c r="D10" s="7" t="s">
        <v>132</v>
      </c>
      <c r="E10" s="7" t="s">
        <v>104</v>
      </c>
      <c r="F10" s="9" t="s">
        <v>52</v>
      </c>
      <c r="G10" s="7">
        <v>490.0</v>
      </c>
      <c r="H10" s="10"/>
      <c r="I10" s="7"/>
      <c r="J10" s="7"/>
      <c r="K10" s="7" t="s">
        <v>90</v>
      </c>
      <c r="L10" s="7" t="s">
        <v>111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7" t="s">
        <v>39</v>
      </c>
      <c r="B11" s="7" t="s">
        <v>44</v>
      </c>
      <c r="C11" s="7" t="s">
        <v>102</v>
      </c>
      <c r="D11" s="7" t="s">
        <v>141</v>
      </c>
      <c r="E11" s="7" t="s">
        <v>104</v>
      </c>
      <c r="F11" s="9" t="s">
        <v>52</v>
      </c>
      <c r="G11" s="7">
        <v>300.0</v>
      </c>
      <c r="H11" s="10"/>
      <c r="I11" s="7"/>
      <c r="J11" s="7"/>
      <c r="K11" s="7" t="s">
        <v>90</v>
      </c>
      <c r="L11" s="7" t="s">
        <v>111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7" t="s">
        <v>39</v>
      </c>
      <c r="B12" s="7" t="s">
        <v>44</v>
      </c>
      <c r="C12" s="7" t="s">
        <v>102</v>
      </c>
      <c r="D12" s="7" t="s">
        <v>149</v>
      </c>
      <c r="E12" s="7" t="s">
        <v>104</v>
      </c>
      <c r="F12" s="9" t="s">
        <v>52</v>
      </c>
      <c r="G12" s="7">
        <v>520.0</v>
      </c>
      <c r="H12" s="10"/>
      <c r="I12" s="7"/>
      <c r="J12" s="7"/>
      <c r="K12" s="7" t="s">
        <v>90</v>
      </c>
      <c r="L12" s="7" t="s">
        <v>111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7" t="s">
        <v>39</v>
      </c>
      <c r="B13" s="7" t="s">
        <v>44</v>
      </c>
      <c r="C13" s="7" t="s">
        <v>102</v>
      </c>
      <c r="D13" s="7" t="s">
        <v>154</v>
      </c>
      <c r="E13" s="7" t="s">
        <v>104</v>
      </c>
      <c r="F13" s="9" t="s">
        <v>52</v>
      </c>
      <c r="G13" s="7">
        <v>360.0</v>
      </c>
      <c r="H13" s="10"/>
      <c r="I13" s="7"/>
      <c r="J13" s="7"/>
      <c r="K13" s="7" t="s">
        <v>90</v>
      </c>
      <c r="L13" s="7" t="s">
        <v>111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7" t="s">
        <v>39</v>
      </c>
      <c r="B14" s="7" t="s">
        <v>44</v>
      </c>
      <c r="C14" s="7" t="s">
        <v>102</v>
      </c>
      <c r="D14" s="7" t="s">
        <v>159</v>
      </c>
      <c r="E14" s="7" t="s">
        <v>104</v>
      </c>
      <c r="F14" s="9" t="s">
        <v>52</v>
      </c>
      <c r="G14" s="7">
        <v>520.0</v>
      </c>
      <c r="H14" s="10"/>
      <c r="I14" s="7"/>
      <c r="J14" s="7"/>
      <c r="K14" s="7" t="s">
        <v>90</v>
      </c>
      <c r="L14" s="7" t="s">
        <v>111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7" t="s">
        <v>39</v>
      </c>
      <c r="B15" s="7" t="s">
        <v>44</v>
      </c>
      <c r="C15" s="7" t="s">
        <v>102</v>
      </c>
      <c r="D15" s="7" t="s">
        <v>133</v>
      </c>
      <c r="E15" s="7" t="s">
        <v>104</v>
      </c>
      <c r="F15" s="9" t="s">
        <v>52</v>
      </c>
      <c r="G15" s="7">
        <v>130.0</v>
      </c>
      <c r="H15" s="10"/>
      <c r="I15" s="7"/>
      <c r="J15" s="7"/>
      <c r="K15" s="7" t="s">
        <v>90</v>
      </c>
      <c r="L15" s="7" t="s">
        <v>111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7" t="s">
        <v>39</v>
      </c>
      <c r="B16" s="7" t="s">
        <v>44</v>
      </c>
      <c r="C16" s="7" t="s">
        <v>102</v>
      </c>
      <c r="D16" s="7" t="s">
        <v>169</v>
      </c>
      <c r="E16" s="7" t="s">
        <v>104</v>
      </c>
      <c r="F16" s="9" t="s">
        <v>52</v>
      </c>
      <c r="G16" s="7">
        <v>520.0</v>
      </c>
      <c r="H16" s="10"/>
      <c r="I16" s="7"/>
      <c r="J16" s="7"/>
      <c r="K16" s="7" t="s">
        <v>90</v>
      </c>
      <c r="L16" s="7" t="s">
        <v>111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7" t="s">
        <v>39</v>
      </c>
      <c r="B17" s="7" t="s">
        <v>44</v>
      </c>
      <c r="C17" s="7" t="s">
        <v>102</v>
      </c>
      <c r="D17" s="7" t="s">
        <v>173</v>
      </c>
      <c r="E17" s="7" t="s">
        <v>104</v>
      </c>
      <c r="F17" s="9" t="s">
        <v>52</v>
      </c>
      <c r="G17" s="7">
        <v>500.0</v>
      </c>
      <c r="H17" s="10"/>
      <c r="I17" s="7"/>
      <c r="J17" s="7"/>
      <c r="K17" s="7" t="s">
        <v>90</v>
      </c>
      <c r="L17" s="7" t="s">
        <v>111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7" t="s">
        <v>39</v>
      </c>
      <c r="B18" s="7" t="s">
        <v>44</v>
      </c>
      <c r="C18" s="7" t="s">
        <v>102</v>
      </c>
      <c r="D18" s="7" t="s">
        <v>178</v>
      </c>
      <c r="E18" s="7" t="s">
        <v>104</v>
      </c>
      <c r="F18" s="9" t="s">
        <v>52</v>
      </c>
      <c r="G18" s="7">
        <v>700.0</v>
      </c>
      <c r="H18" s="10"/>
      <c r="I18" s="7"/>
      <c r="J18" s="7"/>
      <c r="K18" s="7" t="s">
        <v>90</v>
      </c>
      <c r="L18" s="7" t="s">
        <v>111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7" t="s">
        <v>39</v>
      </c>
      <c r="B19" s="7" t="s">
        <v>44</v>
      </c>
      <c r="C19" s="7" t="s">
        <v>102</v>
      </c>
      <c r="D19" s="7" t="s">
        <v>182</v>
      </c>
      <c r="E19" s="7" t="s">
        <v>104</v>
      </c>
      <c r="F19" s="9" t="s">
        <v>52</v>
      </c>
      <c r="G19" s="7">
        <v>300.0</v>
      </c>
      <c r="H19" s="10"/>
      <c r="I19" s="7"/>
      <c r="J19" s="7"/>
      <c r="K19" s="7" t="s">
        <v>90</v>
      </c>
      <c r="L19" s="7" t="s">
        <v>111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7" t="s">
        <v>39</v>
      </c>
      <c r="B20" s="7" t="s">
        <v>44</v>
      </c>
      <c r="C20" s="7" t="s">
        <v>102</v>
      </c>
      <c r="D20" s="7" t="s">
        <v>184</v>
      </c>
      <c r="E20" s="7" t="s">
        <v>104</v>
      </c>
      <c r="F20" s="9" t="s">
        <v>52</v>
      </c>
      <c r="G20" s="7">
        <v>360.0</v>
      </c>
      <c r="H20" s="10"/>
      <c r="I20" s="7"/>
      <c r="J20" s="7"/>
      <c r="K20" s="7" t="s">
        <v>90</v>
      </c>
      <c r="L20" s="7" t="s">
        <v>111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7" t="s">
        <v>39</v>
      </c>
      <c r="B21" s="7" t="s">
        <v>44</v>
      </c>
      <c r="C21" s="7" t="s">
        <v>102</v>
      </c>
      <c r="D21" s="7" t="s">
        <v>187</v>
      </c>
      <c r="E21" s="7" t="s">
        <v>104</v>
      </c>
      <c r="F21" s="9" t="s">
        <v>52</v>
      </c>
      <c r="G21" s="7">
        <v>700.0</v>
      </c>
      <c r="H21" s="10"/>
      <c r="I21" s="7"/>
      <c r="J21" s="7"/>
      <c r="K21" s="7" t="s">
        <v>90</v>
      </c>
      <c r="L21" s="7" t="s">
        <v>111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7" t="s">
        <v>39</v>
      </c>
      <c r="B22" s="7" t="s">
        <v>44</v>
      </c>
      <c r="C22" s="7" t="s">
        <v>102</v>
      </c>
      <c r="D22" s="7" t="s">
        <v>89</v>
      </c>
      <c r="E22" s="7" t="s">
        <v>104</v>
      </c>
      <c r="F22" s="9" t="s">
        <v>52</v>
      </c>
      <c r="G22" s="7">
        <v>130.0</v>
      </c>
      <c r="H22" s="10"/>
      <c r="I22" s="7"/>
      <c r="J22" s="7"/>
      <c r="K22" s="7" t="s">
        <v>90</v>
      </c>
      <c r="L22" s="7" t="s">
        <v>111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7" t="s">
        <v>39</v>
      </c>
      <c r="B23" s="7" t="s">
        <v>44</v>
      </c>
      <c r="C23" s="7" t="s">
        <v>102</v>
      </c>
      <c r="D23" s="7" t="s">
        <v>190</v>
      </c>
      <c r="E23" s="7" t="s">
        <v>104</v>
      </c>
      <c r="F23" s="9" t="s">
        <v>52</v>
      </c>
      <c r="G23" s="7">
        <v>500.0</v>
      </c>
      <c r="H23" s="10"/>
      <c r="I23" s="7"/>
      <c r="J23" s="7"/>
      <c r="K23" s="7" t="s">
        <v>90</v>
      </c>
      <c r="L23" s="7" t="s">
        <v>111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7" t="s">
        <v>39</v>
      </c>
      <c r="B24" s="7" t="s">
        <v>44</v>
      </c>
      <c r="C24" s="7" t="s">
        <v>102</v>
      </c>
      <c r="D24" s="7" t="s">
        <v>193</v>
      </c>
      <c r="E24" s="7" t="s">
        <v>104</v>
      </c>
      <c r="F24" s="9" t="s">
        <v>52</v>
      </c>
      <c r="G24" s="7">
        <v>610.0</v>
      </c>
      <c r="H24" s="10"/>
      <c r="I24" s="7"/>
      <c r="J24" s="7"/>
      <c r="K24" s="7" t="s">
        <v>90</v>
      </c>
      <c r="L24" s="7" t="s">
        <v>111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7" t="s">
        <v>39</v>
      </c>
      <c r="B25" s="7" t="s">
        <v>44</v>
      </c>
      <c r="C25" s="7" t="s">
        <v>102</v>
      </c>
      <c r="D25" s="7" t="s">
        <v>160</v>
      </c>
      <c r="E25" s="7" t="s">
        <v>104</v>
      </c>
      <c r="F25" s="9" t="s">
        <v>52</v>
      </c>
      <c r="G25" s="7">
        <v>130.0</v>
      </c>
      <c r="H25" s="10"/>
      <c r="I25" s="7"/>
      <c r="J25" s="7"/>
      <c r="K25" s="7" t="s">
        <v>90</v>
      </c>
      <c r="L25" s="7" t="s">
        <v>111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7" t="s">
        <v>39</v>
      </c>
      <c r="B26" s="7" t="s">
        <v>44</v>
      </c>
      <c r="C26" s="7" t="s">
        <v>102</v>
      </c>
      <c r="D26" s="7" t="s">
        <v>197</v>
      </c>
      <c r="E26" s="7" t="s">
        <v>104</v>
      </c>
      <c r="F26" s="9" t="s">
        <v>52</v>
      </c>
      <c r="G26" s="7">
        <v>500.0</v>
      </c>
      <c r="H26" s="10"/>
      <c r="I26" s="7"/>
      <c r="J26" s="7"/>
      <c r="K26" s="7" t="s">
        <v>90</v>
      </c>
      <c r="L26" s="7" t="s">
        <v>111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7" t="s">
        <v>39</v>
      </c>
      <c r="B27" s="7" t="s">
        <v>44</v>
      </c>
      <c r="C27" s="7" t="s">
        <v>102</v>
      </c>
      <c r="D27" s="7" t="s">
        <v>95</v>
      </c>
      <c r="E27" s="7" t="s">
        <v>104</v>
      </c>
      <c r="F27" s="9" t="s">
        <v>52</v>
      </c>
      <c r="G27" s="7">
        <v>130.0</v>
      </c>
      <c r="H27" s="10"/>
      <c r="I27" s="7"/>
      <c r="J27" s="7"/>
      <c r="K27" s="7" t="s">
        <v>90</v>
      </c>
      <c r="L27" s="7" t="s">
        <v>111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7" t="s">
        <v>39</v>
      </c>
      <c r="B28" s="7" t="s">
        <v>44</v>
      </c>
      <c r="C28" s="7" t="s">
        <v>102</v>
      </c>
      <c r="D28" s="7" t="s">
        <v>203</v>
      </c>
      <c r="E28" s="7" t="s">
        <v>104</v>
      </c>
      <c r="F28" s="9" t="s">
        <v>52</v>
      </c>
      <c r="G28" s="7">
        <v>500.0</v>
      </c>
      <c r="H28" s="10"/>
      <c r="I28" s="7"/>
      <c r="J28" s="7"/>
      <c r="K28" s="7" t="s">
        <v>90</v>
      </c>
      <c r="L28" s="7" t="s">
        <v>111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7" t="s">
        <v>39</v>
      </c>
      <c r="B29" s="7" t="s">
        <v>44</v>
      </c>
      <c r="C29" s="7" t="s">
        <v>102</v>
      </c>
      <c r="D29" s="7" t="s">
        <v>209</v>
      </c>
      <c r="E29" s="7" t="s">
        <v>104</v>
      </c>
      <c r="F29" s="9" t="s">
        <v>52</v>
      </c>
      <c r="G29" s="7">
        <v>300.0</v>
      </c>
      <c r="H29" s="10"/>
      <c r="I29" s="7"/>
      <c r="J29" s="7"/>
      <c r="K29" s="7" t="s">
        <v>90</v>
      </c>
      <c r="L29" s="7" t="s">
        <v>111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7" t="s">
        <v>39</v>
      </c>
      <c r="B30" s="7" t="s">
        <v>44</v>
      </c>
      <c r="C30" s="7" t="s">
        <v>46</v>
      </c>
      <c r="D30" s="7" t="s">
        <v>48</v>
      </c>
      <c r="E30" s="7" t="s">
        <v>108</v>
      </c>
      <c r="F30" s="9" t="s">
        <v>110</v>
      </c>
      <c r="G30" s="7">
        <v>520.0</v>
      </c>
      <c r="H30" s="10"/>
      <c r="I30" s="7"/>
      <c r="J30" s="7"/>
      <c r="K30" s="7" t="s">
        <v>59</v>
      </c>
      <c r="L30" s="7" t="s">
        <v>114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7" t="s">
        <v>39</v>
      </c>
      <c r="B31" s="7" t="s">
        <v>44</v>
      </c>
      <c r="C31" s="7" t="s">
        <v>46</v>
      </c>
      <c r="D31" s="7" t="s">
        <v>105</v>
      </c>
      <c r="E31" s="7" t="s">
        <v>108</v>
      </c>
      <c r="F31" s="9" t="s">
        <v>110</v>
      </c>
      <c r="G31" s="7">
        <v>130.0</v>
      </c>
      <c r="H31" s="10"/>
      <c r="I31" s="7"/>
      <c r="J31" s="7"/>
      <c r="K31" s="7" t="s">
        <v>90</v>
      </c>
      <c r="L31" s="7" t="s">
        <v>114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7" t="s">
        <v>39</v>
      </c>
      <c r="B32" s="7" t="s">
        <v>44</v>
      </c>
      <c r="C32" s="7" t="s">
        <v>102</v>
      </c>
      <c r="D32" s="7" t="s">
        <v>103</v>
      </c>
      <c r="E32" s="7" t="s">
        <v>108</v>
      </c>
      <c r="F32" s="9" t="s">
        <v>110</v>
      </c>
      <c r="G32" s="7">
        <v>300.0</v>
      </c>
      <c r="H32" s="10"/>
      <c r="I32" s="7"/>
      <c r="J32" s="7"/>
      <c r="K32" s="7" t="s">
        <v>90</v>
      </c>
      <c r="L32" s="7" t="s">
        <v>114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7" t="s">
        <v>39</v>
      </c>
      <c r="B33" s="7" t="s">
        <v>44</v>
      </c>
      <c r="C33" s="7" t="s">
        <v>102</v>
      </c>
      <c r="D33" s="7" t="s">
        <v>218</v>
      </c>
      <c r="E33" s="7" t="s">
        <v>108</v>
      </c>
      <c r="F33" s="9" t="s">
        <v>110</v>
      </c>
      <c r="G33" s="7">
        <v>570.0</v>
      </c>
      <c r="H33" s="10"/>
      <c r="I33" s="7"/>
      <c r="J33" s="7"/>
      <c r="K33" s="7" t="s">
        <v>90</v>
      </c>
      <c r="L33" s="7" t="s">
        <v>114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7" t="s">
        <v>39</v>
      </c>
      <c r="B34" s="7" t="s">
        <v>44</v>
      </c>
      <c r="C34" s="7" t="s">
        <v>102</v>
      </c>
      <c r="D34" s="7" t="s">
        <v>223</v>
      </c>
      <c r="E34" s="7" t="s">
        <v>198</v>
      </c>
      <c r="F34" s="9" t="s">
        <v>110</v>
      </c>
      <c r="G34" s="7">
        <v>610.0</v>
      </c>
      <c r="H34" s="10"/>
      <c r="I34" s="7"/>
      <c r="J34" s="7"/>
      <c r="K34" s="7" t="s">
        <v>226</v>
      </c>
      <c r="L34" s="7" t="s">
        <v>201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7" t="s">
        <v>39</v>
      </c>
      <c r="B35" s="7" t="s">
        <v>44</v>
      </c>
      <c r="C35" s="7" t="s">
        <v>102</v>
      </c>
      <c r="D35" s="7" t="s">
        <v>228</v>
      </c>
      <c r="E35" s="7" t="s">
        <v>108</v>
      </c>
      <c r="F35" s="9" t="s">
        <v>110</v>
      </c>
      <c r="G35" s="7">
        <v>570.0</v>
      </c>
      <c r="H35" s="10"/>
      <c r="I35" s="7"/>
      <c r="J35" s="7"/>
      <c r="K35" s="7" t="s">
        <v>90</v>
      </c>
      <c r="L35" s="7" t="s">
        <v>114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7" t="s">
        <v>39</v>
      </c>
      <c r="B36" s="7" t="s">
        <v>44</v>
      </c>
      <c r="C36" s="7" t="s">
        <v>102</v>
      </c>
      <c r="D36" s="7" t="s">
        <v>230</v>
      </c>
      <c r="E36" s="7" t="s">
        <v>231</v>
      </c>
      <c r="F36" s="9" t="s">
        <v>110</v>
      </c>
      <c r="G36" s="7">
        <v>500.0</v>
      </c>
      <c r="H36" s="10"/>
      <c r="I36" s="7"/>
      <c r="J36" s="7"/>
      <c r="K36" s="7" t="s">
        <v>232</v>
      </c>
      <c r="L36" s="7" t="s">
        <v>233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7" t="s">
        <v>39</v>
      </c>
      <c r="B37" s="7" t="s">
        <v>44</v>
      </c>
      <c r="C37" s="7" t="s">
        <v>102</v>
      </c>
      <c r="D37" s="7" t="s">
        <v>234</v>
      </c>
      <c r="E37" s="7" t="s">
        <v>235</v>
      </c>
      <c r="F37" s="9" t="s">
        <v>110</v>
      </c>
      <c r="G37" s="7">
        <v>520.0</v>
      </c>
      <c r="H37" s="10"/>
      <c r="I37" s="7"/>
      <c r="J37" s="7"/>
      <c r="K37" s="7" t="s">
        <v>90</v>
      </c>
      <c r="L37" s="7" t="s">
        <v>236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7" t="s">
        <v>39</v>
      </c>
      <c r="B38" s="7" t="s">
        <v>44</v>
      </c>
      <c r="C38" s="7" t="s">
        <v>102</v>
      </c>
      <c r="D38" s="7" t="s">
        <v>234</v>
      </c>
      <c r="E38" s="7" t="s">
        <v>207</v>
      </c>
      <c r="F38" s="9" t="s">
        <v>110</v>
      </c>
      <c r="G38" s="7">
        <v>520.0</v>
      </c>
      <c r="H38" s="10"/>
      <c r="I38" s="7"/>
      <c r="J38" s="7"/>
      <c r="K38" s="7" t="s">
        <v>90</v>
      </c>
      <c r="L38" s="7" t="s">
        <v>208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7" t="s">
        <v>39</v>
      </c>
      <c r="B39" s="7" t="s">
        <v>44</v>
      </c>
      <c r="C39" s="7" t="s">
        <v>102</v>
      </c>
      <c r="D39" s="7" t="s">
        <v>241</v>
      </c>
      <c r="E39" s="7" t="s">
        <v>108</v>
      </c>
      <c r="F39" s="9" t="s">
        <v>110</v>
      </c>
      <c r="G39" s="7">
        <v>490.0</v>
      </c>
      <c r="H39" s="10"/>
      <c r="I39" s="7"/>
      <c r="J39" s="7"/>
      <c r="K39" s="7" t="s">
        <v>90</v>
      </c>
      <c r="L39" s="7" t="s">
        <v>114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7" t="s">
        <v>39</v>
      </c>
      <c r="B40" s="7" t="s">
        <v>44</v>
      </c>
      <c r="C40" s="7" t="s">
        <v>102</v>
      </c>
      <c r="D40" s="7" t="s">
        <v>246</v>
      </c>
      <c r="E40" s="7" t="s">
        <v>231</v>
      </c>
      <c r="F40" s="9" t="s">
        <v>110</v>
      </c>
      <c r="G40" s="7">
        <v>500.0</v>
      </c>
      <c r="H40" s="10"/>
      <c r="I40" s="7"/>
      <c r="J40" s="7"/>
      <c r="K40" s="7" t="s">
        <v>232</v>
      </c>
      <c r="L40" s="7" t="s">
        <v>233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7" t="s">
        <v>39</v>
      </c>
      <c r="B41" s="7" t="s">
        <v>44</v>
      </c>
      <c r="C41" s="7" t="s">
        <v>102</v>
      </c>
      <c r="D41" s="7" t="s">
        <v>174</v>
      </c>
      <c r="E41" s="7" t="s">
        <v>198</v>
      </c>
      <c r="F41" s="9" t="s">
        <v>110</v>
      </c>
      <c r="G41" s="7">
        <v>130.0</v>
      </c>
      <c r="H41" s="10"/>
      <c r="I41" s="7"/>
      <c r="J41" s="7"/>
      <c r="K41" s="7" t="s">
        <v>226</v>
      </c>
      <c r="L41" s="7" t="s">
        <v>201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 t="s">
        <v>39</v>
      </c>
      <c r="B42" s="3" t="s">
        <v>44</v>
      </c>
      <c r="C42" s="3" t="s">
        <v>102</v>
      </c>
      <c r="D42" s="3" t="s">
        <v>118</v>
      </c>
      <c r="E42" s="3" t="s">
        <v>108</v>
      </c>
      <c r="F42" s="19" t="s">
        <v>110</v>
      </c>
      <c r="G42" s="3">
        <v>700.0</v>
      </c>
      <c r="H42" s="3"/>
      <c r="I42" s="3"/>
      <c r="J42" s="3"/>
      <c r="K42" s="3" t="s">
        <v>90</v>
      </c>
      <c r="L42" s="3" t="s">
        <v>114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 t="s">
        <v>39</v>
      </c>
      <c r="B43" s="3" t="s">
        <v>44</v>
      </c>
      <c r="C43" s="3" t="s">
        <v>102</v>
      </c>
      <c r="D43" s="3" t="s">
        <v>126</v>
      </c>
      <c r="E43" s="3" t="s">
        <v>108</v>
      </c>
      <c r="F43" s="19" t="s">
        <v>110</v>
      </c>
      <c r="G43" s="3">
        <v>700.0</v>
      </c>
      <c r="H43" s="3"/>
      <c r="I43" s="3"/>
      <c r="J43" s="3"/>
      <c r="K43" s="3" t="s">
        <v>90</v>
      </c>
      <c r="L43" s="3" t="s">
        <v>114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 t="s">
        <v>39</v>
      </c>
      <c r="B44" s="3" t="s">
        <v>44</v>
      </c>
      <c r="C44" s="3" t="s">
        <v>102</v>
      </c>
      <c r="D44" s="3" t="s">
        <v>132</v>
      </c>
      <c r="E44" s="3" t="s">
        <v>108</v>
      </c>
      <c r="F44" s="19" t="s">
        <v>110</v>
      </c>
      <c r="G44" s="3">
        <v>490.0</v>
      </c>
      <c r="H44" s="3"/>
      <c r="I44" s="3"/>
      <c r="J44" s="3"/>
      <c r="K44" s="3" t="s">
        <v>90</v>
      </c>
      <c r="L44" s="3" t="s">
        <v>114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 t="s">
        <v>39</v>
      </c>
      <c r="B45" s="3" t="s">
        <v>44</v>
      </c>
      <c r="C45" s="3" t="s">
        <v>102</v>
      </c>
      <c r="D45" s="3" t="s">
        <v>252</v>
      </c>
      <c r="E45" s="3" t="s">
        <v>235</v>
      </c>
      <c r="F45" s="19" t="s">
        <v>110</v>
      </c>
      <c r="G45" s="3">
        <v>520.0</v>
      </c>
      <c r="H45" s="3"/>
      <c r="I45" s="3"/>
      <c r="J45" s="3"/>
      <c r="K45" s="3" t="s">
        <v>90</v>
      </c>
      <c r="L45" s="3" t="s">
        <v>236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 t="s">
        <v>39</v>
      </c>
      <c r="B46" s="3" t="s">
        <v>44</v>
      </c>
      <c r="C46" s="3" t="s">
        <v>102</v>
      </c>
      <c r="D46" s="3" t="s">
        <v>252</v>
      </c>
      <c r="E46" s="3" t="s">
        <v>207</v>
      </c>
      <c r="F46" s="19" t="s">
        <v>110</v>
      </c>
      <c r="G46" s="3">
        <v>520.0</v>
      </c>
      <c r="H46" s="3"/>
      <c r="I46" s="3"/>
      <c r="J46" s="3"/>
      <c r="K46" s="3" t="s">
        <v>90</v>
      </c>
      <c r="L46" s="3" t="s">
        <v>208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 t="s">
        <v>39</v>
      </c>
      <c r="B47" s="3" t="s">
        <v>44</v>
      </c>
      <c r="C47" s="3" t="s">
        <v>102</v>
      </c>
      <c r="D47" s="3" t="s">
        <v>251</v>
      </c>
      <c r="E47" s="3" t="s">
        <v>108</v>
      </c>
      <c r="F47" s="19" t="s">
        <v>110</v>
      </c>
      <c r="G47" s="3">
        <v>360.0</v>
      </c>
      <c r="H47" s="3"/>
      <c r="I47" s="3"/>
      <c r="J47" s="3"/>
      <c r="K47" s="3" t="s">
        <v>90</v>
      </c>
      <c r="L47" s="3" t="s">
        <v>114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 t="s">
        <v>39</v>
      </c>
      <c r="B48" s="3" t="s">
        <v>44</v>
      </c>
      <c r="C48" s="3" t="s">
        <v>102</v>
      </c>
      <c r="D48" s="3" t="s">
        <v>260</v>
      </c>
      <c r="E48" s="3" t="s">
        <v>235</v>
      </c>
      <c r="F48" s="19" t="s">
        <v>110</v>
      </c>
      <c r="G48" s="3">
        <v>610.0</v>
      </c>
      <c r="H48" s="3"/>
      <c r="I48" s="3"/>
      <c r="J48" s="3"/>
      <c r="K48" s="3" t="s">
        <v>90</v>
      </c>
      <c r="L48" s="3" t="s">
        <v>236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 t="s">
        <v>39</v>
      </c>
      <c r="B49" s="3" t="s">
        <v>44</v>
      </c>
      <c r="C49" s="3" t="s">
        <v>102</v>
      </c>
      <c r="D49" s="3" t="s">
        <v>260</v>
      </c>
      <c r="E49" s="3" t="s">
        <v>207</v>
      </c>
      <c r="F49" s="19" t="s">
        <v>110</v>
      </c>
      <c r="G49" s="3">
        <v>610.0</v>
      </c>
      <c r="H49" s="3"/>
      <c r="I49" s="3"/>
      <c r="J49" s="3"/>
      <c r="K49" s="3" t="s">
        <v>90</v>
      </c>
      <c r="L49" s="3" t="s">
        <v>208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 t="s">
        <v>39</v>
      </c>
      <c r="B50" s="3" t="s">
        <v>44</v>
      </c>
      <c r="C50" s="3" t="s">
        <v>102</v>
      </c>
      <c r="D50" s="3" t="s">
        <v>264</v>
      </c>
      <c r="E50" s="3" t="s">
        <v>108</v>
      </c>
      <c r="F50" s="19" t="s">
        <v>110</v>
      </c>
      <c r="G50" s="3">
        <v>520.0</v>
      </c>
      <c r="H50" s="3"/>
      <c r="I50" s="3"/>
      <c r="J50" s="3"/>
      <c r="K50" s="3" t="s">
        <v>90</v>
      </c>
      <c r="L50" s="3" t="s">
        <v>114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 t="s">
        <v>39</v>
      </c>
      <c r="B51" s="3" t="s">
        <v>44</v>
      </c>
      <c r="C51" s="3" t="s">
        <v>102</v>
      </c>
      <c r="D51" s="3" t="s">
        <v>253</v>
      </c>
      <c r="E51" s="3" t="s">
        <v>108</v>
      </c>
      <c r="F51" s="19" t="s">
        <v>110</v>
      </c>
      <c r="G51" s="3">
        <v>520.0</v>
      </c>
      <c r="H51" s="3"/>
      <c r="I51" s="3"/>
      <c r="J51" s="3"/>
      <c r="K51" s="3" t="s">
        <v>59</v>
      </c>
      <c r="L51" s="3" t="s">
        <v>114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 t="s">
        <v>39</v>
      </c>
      <c r="B52" s="3" t="s">
        <v>44</v>
      </c>
      <c r="C52" s="3" t="s">
        <v>102</v>
      </c>
      <c r="D52" s="3" t="s">
        <v>268</v>
      </c>
      <c r="E52" s="3" t="s">
        <v>108</v>
      </c>
      <c r="F52" s="19" t="s">
        <v>110</v>
      </c>
      <c r="G52" s="3">
        <v>570.0</v>
      </c>
      <c r="H52" s="3"/>
      <c r="I52" s="3"/>
      <c r="J52" s="3"/>
      <c r="K52" s="3" t="s">
        <v>90</v>
      </c>
      <c r="L52" s="3" t="s">
        <v>114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 t="s">
        <v>39</v>
      </c>
      <c r="B53" s="3" t="s">
        <v>44</v>
      </c>
      <c r="C53" s="3" t="s">
        <v>102</v>
      </c>
      <c r="D53" s="3" t="s">
        <v>149</v>
      </c>
      <c r="E53" s="3" t="s">
        <v>108</v>
      </c>
      <c r="F53" s="19" t="s">
        <v>110</v>
      </c>
      <c r="G53" s="3">
        <v>520.0</v>
      </c>
      <c r="H53" s="3"/>
      <c r="I53" s="3"/>
      <c r="J53" s="3"/>
      <c r="K53" s="3" t="s">
        <v>90</v>
      </c>
      <c r="L53" s="3" t="s">
        <v>114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 t="s">
        <v>39</v>
      </c>
      <c r="B54" s="3" t="s">
        <v>44</v>
      </c>
      <c r="C54" s="3" t="s">
        <v>102</v>
      </c>
      <c r="D54" s="3" t="s">
        <v>159</v>
      </c>
      <c r="E54" s="3" t="s">
        <v>108</v>
      </c>
      <c r="F54" s="19" t="s">
        <v>110</v>
      </c>
      <c r="G54" s="3">
        <v>520.0</v>
      </c>
      <c r="H54" s="3"/>
      <c r="I54" s="3"/>
      <c r="J54" s="3"/>
      <c r="K54" s="3" t="s">
        <v>90</v>
      </c>
      <c r="L54" s="3" t="s">
        <v>114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 t="s">
        <v>39</v>
      </c>
      <c r="B55" s="3" t="s">
        <v>44</v>
      </c>
      <c r="C55" s="3" t="s">
        <v>102</v>
      </c>
      <c r="D55" s="3" t="s">
        <v>133</v>
      </c>
      <c r="E55" s="3" t="s">
        <v>108</v>
      </c>
      <c r="F55" s="19" t="s">
        <v>110</v>
      </c>
      <c r="G55" s="3">
        <v>130.0</v>
      </c>
      <c r="H55" s="3"/>
      <c r="I55" s="3"/>
      <c r="J55" s="3"/>
      <c r="K55" s="3" t="s">
        <v>90</v>
      </c>
      <c r="L55" s="3" t="s">
        <v>114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 t="s">
        <v>39</v>
      </c>
      <c r="B56" s="3" t="s">
        <v>44</v>
      </c>
      <c r="C56" s="3" t="s">
        <v>102</v>
      </c>
      <c r="D56" s="3" t="s">
        <v>169</v>
      </c>
      <c r="E56" s="3" t="s">
        <v>108</v>
      </c>
      <c r="F56" s="19" t="s">
        <v>110</v>
      </c>
      <c r="G56" s="3">
        <v>520.0</v>
      </c>
      <c r="H56" s="3"/>
      <c r="I56" s="3"/>
      <c r="J56" s="3"/>
      <c r="K56" s="3" t="s">
        <v>90</v>
      </c>
      <c r="L56" s="3" t="s">
        <v>114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 t="s">
        <v>39</v>
      </c>
      <c r="B57" s="3" t="s">
        <v>44</v>
      </c>
      <c r="C57" s="3" t="s">
        <v>102</v>
      </c>
      <c r="D57" s="3" t="s">
        <v>276</v>
      </c>
      <c r="E57" s="3" t="s">
        <v>231</v>
      </c>
      <c r="F57" s="19" t="s">
        <v>110</v>
      </c>
      <c r="G57" s="3">
        <v>490.0</v>
      </c>
      <c r="H57" s="3"/>
      <c r="I57" s="3"/>
      <c r="J57" s="3"/>
      <c r="K57" s="3" t="s">
        <v>232</v>
      </c>
      <c r="L57" s="3" t="s">
        <v>233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 t="s">
        <v>39</v>
      </c>
      <c r="B58" s="3" t="s">
        <v>44</v>
      </c>
      <c r="C58" s="3" t="s">
        <v>102</v>
      </c>
      <c r="D58" s="3" t="s">
        <v>277</v>
      </c>
      <c r="E58" s="3" t="s">
        <v>108</v>
      </c>
      <c r="F58" s="19" t="s">
        <v>110</v>
      </c>
      <c r="G58" s="3">
        <v>520.0</v>
      </c>
      <c r="H58" s="3"/>
      <c r="I58" s="3"/>
      <c r="J58" s="3"/>
      <c r="K58" s="3" t="s">
        <v>90</v>
      </c>
      <c r="L58" s="3" t="s">
        <v>114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 t="s">
        <v>39</v>
      </c>
      <c r="B59" s="3" t="s">
        <v>44</v>
      </c>
      <c r="C59" s="3" t="s">
        <v>102</v>
      </c>
      <c r="D59" s="3" t="s">
        <v>173</v>
      </c>
      <c r="E59" s="3" t="s">
        <v>108</v>
      </c>
      <c r="F59" s="19" t="s">
        <v>110</v>
      </c>
      <c r="G59" s="3">
        <v>500.0</v>
      </c>
      <c r="H59" s="3"/>
      <c r="I59" s="3"/>
      <c r="J59" s="3"/>
      <c r="K59" s="3" t="s">
        <v>90</v>
      </c>
      <c r="L59" s="3" t="s">
        <v>114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 t="s">
        <v>39</v>
      </c>
      <c r="B60" s="3" t="s">
        <v>44</v>
      </c>
      <c r="C60" s="3" t="s">
        <v>102</v>
      </c>
      <c r="D60" s="3" t="s">
        <v>280</v>
      </c>
      <c r="E60" s="3" t="s">
        <v>198</v>
      </c>
      <c r="F60" s="19" t="s">
        <v>110</v>
      </c>
      <c r="G60" s="3">
        <v>360.0</v>
      </c>
      <c r="H60" s="3"/>
      <c r="I60" s="3"/>
      <c r="J60" s="3"/>
      <c r="K60" s="3" t="s">
        <v>226</v>
      </c>
      <c r="L60" s="3" t="s">
        <v>201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 t="s">
        <v>39</v>
      </c>
      <c r="B61" s="3" t="s">
        <v>44</v>
      </c>
      <c r="C61" s="3" t="s">
        <v>102</v>
      </c>
      <c r="D61" s="3" t="s">
        <v>281</v>
      </c>
      <c r="E61" s="3" t="s">
        <v>108</v>
      </c>
      <c r="F61" s="19" t="s">
        <v>110</v>
      </c>
      <c r="G61" s="3">
        <v>520.0</v>
      </c>
      <c r="H61" s="3"/>
      <c r="I61" s="3"/>
      <c r="J61" s="3"/>
      <c r="K61" s="3" t="s">
        <v>90</v>
      </c>
      <c r="L61" s="3" t="s">
        <v>114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 t="s">
        <v>39</v>
      </c>
      <c r="B62" s="3" t="s">
        <v>44</v>
      </c>
      <c r="C62" s="3" t="s">
        <v>102</v>
      </c>
      <c r="D62" s="3" t="s">
        <v>282</v>
      </c>
      <c r="E62" s="3" t="s">
        <v>108</v>
      </c>
      <c r="F62" s="19" t="s">
        <v>110</v>
      </c>
      <c r="G62" s="3">
        <v>520.0</v>
      </c>
      <c r="H62" s="3"/>
      <c r="I62" s="3"/>
      <c r="J62" s="3"/>
      <c r="K62" s="3" t="s">
        <v>90</v>
      </c>
      <c r="L62" s="3" t="s">
        <v>114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 t="s">
        <v>39</v>
      </c>
      <c r="B63" s="3" t="s">
        <v>44</v>
      </c>
      <c r="C63" s="3" t="s">
        <v>102</v>
      </c>
      <c r="D63" s="3" t="s">
        <v>283</v>
      </c>
      <c r="E63" s="3" t="s">
        <v>108</v>
      </c>
      <c r="F63" s="19" t="s">
        <v>110</v>
      </c>
      <c r="G63" s="3">
        <v>570.0</v>
      </c>
      <c r="H63" s="3"/>
      <c r="I63" s="3"/>
      <c r="J63" s="3"/>
      <c r="K63" s="3" t="s">
        <v>90</v>
      </c>
      <c r="L63" s="3" t="s">
        <v>114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 t="s">
        <v>39</v>
      </c>
      <c r="B64" s="3" t="s">
        <v>44</v>
      </c>
      <c r="C64" s="3" t="s">
        <v>102</v>
      </c>
      <c r="D64" s="3" t="s">
        <v>284</v>
      </c>
      <c r="E64" s="3" t="s">
        <v>108</v>
      </c>
      <c r="F64" s="19" t="s">
        <v>110</v>
      </c>
      <c r="G64" s="3">
        <v>570.0</v>
      </c>
      <c r="H64" s="3"/>
      <c r="I64" s="3"/>
      <c r="J64" s="3"/>
      <c r="K64" s="3" t="s">
        <v>90</v>
      </c>
      <c r="L64" s="3" t="s">
        <v>114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 t="s">
        <v>39</v>
      </c>
      <c r="B65" s="3" t="s">
        <v>44</v>
      </c>
      <c r="C65" s="3" t="s">
        <v>102</v>
      </c>
      <c r="D65" s="3" t="s">
        <v>286</v>
      </c>
      <c r="E65" s="3" t="s">
        <v>108</v>
      </c>
      <c r="F65" s="19" t="s">
        <v>110</v>
      </c>
      <c r="G65" s="3">
        <v>490.0</v>
      </c>
      <c r="H65" s="3"/>
      <c r="I65" s="3"/>
      <c r="J65" s="3"/>
      <c r="K65" s="3" t="s">
        <v>90</v>
      </c>
      <c r="L65" s="3" t="s">
        <v>114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 t="s">
        <v>39</v>
      </c>
      <c r="B66" s="3" t="s">
        <v>44</v>
      </c>
      <c r="C66" s="3" t="s">
        <v>102</v>
      </c>
      <c r="D66" s="3" t="s">
        <v>178</v>
      </c>
      <c r="E66" s="3" t="s">
        <v>108</v>
      </c>
      <c r="F66" s="19" t="s">
        <v>110</v>
      </c>
      <c r="G66" s="3">
        <v>700.0</v>
      </c>
      <c r="H66" s="3"/>
      <c r="I66" s="3"/>
      <c r="J66" s="3"/>
      <c r="K66" s="3" t="s">
        <v>90</v>
      </c>
      <c r="L66" s="3" t="s">
        <v>114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 t="s">
        <v>39</v>
      </c>
      <c r="B67" s="3" t="s">
        <v>44</v>
      </c>
      <c r="C67" s="3" t="s">
        <v>102</v>
      </c>
      <c r="D67" s="3" t="s">
        <v>289</v>
      </c>
      <c r="E67" s="3" t="s">
        <v>108</v>
      </c>
      <c r="F67" s="19" t="s">
        <v>110</v>
      </c>
      <c r="G67" s="3">
        <v>570.0</v>
      </c>
      <c r="H67" s="3"/>
      <c r="I67" s="3"/>
      <c r="J67" s="3"/>
      <c r="K67" s="3" t="s">
        <v>90</v>
      </c>
      <c r="L67" s="3" t="s">
        <v>114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 t="s">
        <v>39</v>
      </c>
      <c r="B68" s="3" t="s">
        <v>44</v>
      </c>
      <c r="C68" s="3" t="s">
        <v>102</v>
      </c>
      <c r="D68" s="3" t="s">
        <v>292</v>
      </c>
      <c r="E68" s="3" t="s">
        <v>108</v>
      </c>
      <c r="F68" s="19" t="s">
        <v>110</v>
      </c>
      <c r="G68" s="3">
        <v>610.0</v>
      </c>
      <c r="H68" s="3"/>
      <c r="I68" s="3"/>
      <c r="J68" s="3"/>
      <c r="K68" s="3" t="s">
        <v>90</v>
      </c>
      <c r="L68" s="3" t="s">
        <v>114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 t="s">
        <v>39</v>
      </c>
      <c r="B69" s="3" t="s">
        <v>44</v>
      </c>
      <c r="C69" s="3" t="s">
        <v>102</v>
      </c>
      <c r="D69" s="3" t="s">
        <v>293</v>
      </c>
      <c r="E69" s="3" t="s">
        <v>231</v>
      </c>
      <c r="F69" s="19" t="s">
        <v>110</v>
      </c>
      <c r="G69" s="3">
        <v>500.0</v>
      </c>
      <c r="H69" s="3"/>
      <c r="I69" s="3"/>
      <c r="J69" s="3"/>
      <c r="K69" s="3" t="s">
        <v>232</v>
      </c>
      <c r="L69" s="3" t="s">
        <v>233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 t="s">
        <v>39</v>
      </c>
      <c r="B70" s="3" t="s">
        <v>44</v>
      </c>
      <c r="C70" s="3" t="s">
        <v>102</v>
      </c>
      <c r="D70" s="3" t="s">
        <v>296</v>
      </c>
      <c r="E70" s="3" t="s">
        <v>108</v>
      </c>
      <c r="F70" s="19" t="s">
        <v>110</v>
      </c>
      <c r="G70" s="3">
        <v>520.0</v>
      </c>
      <c r="H70" s="3"/>
      <c r="I70" s="3"/>
      <c r="J70" s="3"/>
      <c r="K70" s="3" t="s">
        <v>90</v>
      </c>
      <c r="L70" s="3" t="s">
        <v>114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 t="s">
        <v>39</v>
      </c>
      <c r="B71" s="3" t="s">
        <v>44</v>
      </c>
      <c r="C71" s="3" t="s">
        <v>102</v>
      </c>
      <c r="D71" s="3" t="s">
        <v>297</v>
      </c>
      <c r="E71" s="3" t="s">
        <v>207</v>
      </c>
      <c r="F71" s="19" t="s">
        <v>110</v>
      </c>
      <c r="G71" s="3">
        <v>700.0</v>
      </c>
      <c r="H71" s="3"/>
      <c r="I71" s="3"/>
      <c r="J71" s="3"/>
      <c r="K71" s="3" t="s">
        <v>90</v>
      </c>
      <c r="L71" s="3" t="s">
        <v>208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 t="s">
        <v>39</v>
      </c>
      <c r="B72" s="3" t="s">
        <v>44</v>
      </c>
      <c r="C72" s="3" t="s">
        <v>102</v>
      </c>
      <c r="D72" s="3" t="s">
        <v>300</v>
      </c>
      <c r="E72" s="3" t="s">
        <v>198</v>
      </c>
      <c r="F72" s="19" t="s">
        <v>110</v>
      </c>
      <c r="G72" s="3">
        <v>700.0</v>
      </c>
      <c r="H72" s="3"/>
      <c r="I72" s="3"/>
      <c r="J72" s="3"/>
      <c r="K72" s="3" t="s">
        <v>226</v>
      </c>
      <c r="L72" s="3" t="s">
        <v>201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 t="s">
        <v>39</v>
      </c>
      <c r="B73" s="3" t="s">
        <v>44</v>
      </c>
      <c r="C73" s="3" t="s">
        <v>102</v>
      </c>
      <c r="D73" s="3" t="s">
        <v>182</v>
      </c>
      <c r="E73" s="3" t="s">
        <v>108</v>
      </c>
      <c r="F73" s="19" t="s">
        <v>110</v>
      </c>
      <c r="G73" s="3">
        <v>300.0</v>
      </c>
      <c r="H73" s="3"/>
      <c r="I73" s="3"/>
      <c r="J73" s="3"/>
      <c r="K73" s="3" t="s">
        <v>90</v>
      </c>
      <c r="L73" s="3" t="s">
        <v>114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 t="s">
        <v>39</v>
      </c>
      <c r="B74" s="3" t="s">
        <v>44</v>
      </c>
      <c r="C74" s="3" t="s">
        <v>102</v>
      </c>
      <c r="D74" s="3" t="s">
        <v>119</v>
      </c>
      <c r="E74" s="3" t="s">
        <v>108</v>
      </c>
      <c r="F74" s="19" t="s">
        <v>110</v>
      </c>
      <c r="G74" s="3">
        <v>130.0</v>
      </c>
      <c r="H74" s="3"/>
      <c r="I74" s="3"/>
      <c r="J74" s="3"/>
      <c r="K74" s="3" t="s">
        <v>90</v>
      </c>
      <c r="L74" s="3" t="s">
        <v>114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 t="s">
        <v>39</v>
      </c>
      <c r="B75" s="3" t="s">
        <v>44</v>
      </c>
      <c r="C75" s="3" t="s">
        <v>102</v>
      </c>
      <c r="D75" s="3" t="s">
        <v>184</v>
      </c>
      <c r="E75" s="3" t="s">
        <v>108</v>
      </c>
      <c r="F75" s="19" t="s">
        <v>110</v>
      </c>
      <c r="G75" s="3">
        <v>360.0</v>
      </c>
      <c r="H75" s="3"/>
      <c r="I75" s="3"/>
      <c r="J75" s="3"/>
      <c r="K75" s="3" t="s">
        <v>90</v>
      </c>
      <c r="L75" s="3" t="s">
        <v>114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 t="s">
        <v>39</v>
      </c>
      <c r="B76" s="3" t="s">
        <v>44</v>
      </c>
      <c r="C76" s="3" t="s">
        <v>102</v>
      </c>
      <c r="D76" s="3" t="s">
        <v>301</v>
      </c>
      <c r="E76" s="3" t="s">
        <v>231</v>
      </c>
      <c r="F76" s="19" t="s">
        <v>110</v>
      </c>
      <c r="G76" s="3">
        <v>490.0</v>
      </c>
      <c r="H76" s="3"/>
      <c r="I76" s="3"/>
      <c r="J76" s="3"/>
      <c r="K76" s="3" t="s">
        <v>232</v>
      </c>
      <c r="L76" s="3" t="s">
        <v>233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 t="s">
        <v>39</v>
      </c>
      <c r="B77" s="3" t="s">
        <v>44</v>
      </c>
      <c r="C77" s="3" t="s">
        <v>102</v>
      </c>
      <c r="D77" s="3" t="s">
        <v>301</v>
      </c>
      <c r="E77" s="3" t="s">
        <v>108</v>
      </c>
      <c r="F77" s="19" t="s">
        <v>110</v>
      </c>
      <c r="G77" s="3">
        <v>490.0</v>
      </c>
      <c r="H77" s="3"/>
      <c r="I77" s="3"/>
      <c r="J77" s="3"/>
      <c r="K77" s="3" t="s">
        <v>90</v>
      </c>
      <c r="L77" s="3" t="s">
        <v>114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 t="s">
        <v>39</v>
      </c>
      <c r="B78" s="3" t="s">
        <v>44</v>
      </c>
      <c r="C78" s="3" t="s">
        <v>102</v>
      </c>
      <c r="D78" s="3" t="s">
        <v>302</v>
      </c>
      <c r="E78" s="3" t="s">
        <v>303</v>
      </c>
      <c r="F78" s="19" t="s">
        <v>110</v>
      </c>
      <c r="G78" s="3">
        <v>490.0</v>
      </c>
      <c r="H78" s="3"/>
      <c r="I78" s="3"/>
      <c r="J78" s="3"/>
      <c r="K78" s="3" t="s">
        <v>232</v>
      </c>
      <c r="L78" s="3" t="s">
        <v>304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 t="s">
        <v>39</v>
      </c>
      <c r="B79" s="3" t="s">
        <v>44</v>
      </c>
      <c r="C79" s="3" t="s">
        <v>102</v>
      </c>
      <c r="D79" s="3" t="s">
        <v>206</v>
      </c>
      <c r="E79" s="3" t="s">
        <v>207</v>
      </c>
      <c r="F79" s="19" t="s">
        <v>110</v>
      </c>
      <c r="G79" s="3">
        <v>130.0</v>
      </c>
      <c r="H79" s="3"/>
      <c r="I79" s="3"/>
      <c r="J79" s="3"/>
      <c r="K79" s="3" t="s">
        <v>90</v>
      </c>
      <c r="L79" s="3" t="s">
        <v>208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 t="s">
        <v>39</v>
      </c>
      <c r="B80" s="3" t="s">
        <v>44</v>
      </c>
      <c r="C80" s="3" t="s">
        <v>102</v>
      </c>
      <c r="D80" s="3" t="s">
        <v>307</v>
      </c>
      <c r="E80" s="3" t="s">
        <v>198</v>
      </c>
      <c r="F80" s="19" t="s">
        <v>110</v>
      </c>
      <c r="G80" s="3">
        <v>700.0</v>
      </c>
      <c r="H80" s="3"/>
      <c r="I80" s="3"/>
      <c r="J80" s="3"/>
      <c r="K80" s="3" t="s">
        <v>226</v>
      </c>
      <c r="L80" s="3" t="s">
        <v>201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 t="s">
        <v>39</v>
      </c>
      <c r="B81" s="3" t="s">
        <v>44</v>
      </c>
      <c r="C81" s="3" t="s">
        <v>102</v>
      </c>
      <c r="D81" s="3" t="s">
        <v>308</v>
      </c>
      <c r="E81" s="3" t="s">
        <v>198</v>
      </c>
      <c r="F81" s="19" t="s">
        <v>110</v>
      </c>
      <c r="G81" s="3">
        <v>700.0</v>
      </c>
      <c r="H81" s="3"/>
      <c r="I81" s="3"/>
      <c r="J81" s="3"/>
      <c r="K81" s="3" t="s">
        <v>226</v>
      </c>
      <c r="L81" s="3" t="s">
        <v>201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 t="s">
        <v>39</v>
      </c>
      <c r="B82" s="3" t="s">
        <v>44</v>
      </c>
      <c r="C82" s="3" t="s">
        <v>102</v>
      </c>
      <c r="D82" s="3" t="s">
        <v>311</v>
      </c>
      <c r="E82" s="3" t="s">
        <v>303</v>
      </c>
      <c r="F82" s="19" t="s">
        <v>110</v>
      </c>
      <c r="G82" s="3">
        <v>610.0</v>
      </c>
      <c r="H82" s="3"/>
      <c r="I82" s="3"/>
      <c r="J82" s="3"/>
      <c r="K82" s="3" t="s">
        <v>232</v>
      </c>
      <c r="L82" s="3" t="s">
        <v>304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 t="s">
        <v>39</v>
      </c>
      <c r="B83" s="3" t="s">
        <v>44</v>
      </c>
      <c r="C83" s="3" t="s">
        <v>102</v>
      </c>
      <c r="D83" s="3" t="s">
        <v>314</v>
      </c>
      <c r="E83" s="3" t="s">
        <v>108</v>
      </c>
      <c r="F83" s="19" t="s">
        <v>110</v>
      </c>
      <c r="G83" s="3">
        <v>570.0</v>
      </c>
      <c r="H83" s="3"/>
      <c r="I83" s="3"/>
      <c r="J83" s="3"/>
      <c r="K83" s="3" t="s">
        <v>90</v>
      </c>
      <c r="L83" s="3" t="s">
        <v>114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 t="s">
        <v>39</v>
      </c>
      <c r="B84" s="3" t="s">
        <v>44</v>
      </c>
      <c r="C84" s="3" t="s">
        <v>102</v>
      </c>
      <c r="D84" s="3" t="s">
        <v>315</v>
      </c>
      <c r="E84" s="3" t="s">
        <v>108</v>
      </c>
      <c r="F84" s="19" t="s">
        <v>110</v>
      </c>
      <c r="G84" s="3">
        <v>610.0</v>
      </c>
      <c r="H84" s="3"/>
      <c r="I84" s="3"/>
      <c r="J84" s="3"/>
      <c r="K84" s="3" t="s">
        <v>90</v>
      </c>
      <c r="L84" s="3" t="s">
        <v>114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 t="s">
        <v>39</v>
      </c>
      <c r="B85" s="3" t="s">
        <v>44</v>
      </c>
      <c r="C85" s="3" t="s">
        <v>102</v>
      </c>
      <c r="D85" s="3" t="s">
        <v>210</v>
      </c>
      <c r="E85" s="3" t="s">
        <v>198</v>
      </c>
      <c r="F85" s="19" t="s">
        <v>110</v>
      </c>
      <c r="G85" s="3">
        <v>130.0</v>
      </c>
      <c r="H85" s="3"/>
      <c r="I85" s="3"/>
      <c r="J85" s="3"/>
      <c r="K85" s="3" t="s">
        <v>226</v>
      </c>
      <c r="L85" s="3" t="s">
        <v>201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 t="s">
        <v>39</v>
      </c>
      <c r="B86" s="3" t="s">
        <v>44</v>
      </c>
      <c r="C86" s="3" t="s">
        <v>102</v>
      </c>
      <c r="D86" s="3" t="s">
        <v>193</v>
      </c>
      <c r="E86" s="3" t="s">
        <v>108</v>
      </c>
      <c r="F86" s="19" t="s">
        <v>110</v>
      </c>
      <c r="G86" s="3">
        <v>610.0</v>
      </c>
      <c r="H86" s="3"/>
      <c r="I86" s="3"/>
      <c r="J86" s="3"/>
      <c r="K86" s="3" t="s">
        <v>90</v>
      </c>
      <c r="L86" s="3" t="s">
        <v>114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 t="s">
        <v>39</v>
      </c>
      <c r="B87" s="3" t="s">
        <v>44</v>
      </c>
      <c r="C87" s="3" t="s">
        <v>102</v>
      </c>
      <c r="D87" s="3" t="s">
        <v>320</v>
      </c>
      <c r="E87" s="3" t="s">
        <v>198</v>
      </c>
      <c r="F87" s="19" t="s">
        <v>110</v>
      </c>
      <c r="G87" s="3">
        <v>570.0</v>
      </c>
      <c r="H87" s="3"/>
      <c r="I87" s="3"/>
      <c r="J87" s="3"/>
      <c r="K87" s="3" t="s">
        <v>226</v>
      </c>
      <c r="L87" s="3" t="s">
        <v>201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 t="s">
        <v>39</v>
      </c>
      <c r="B88" s="3" t="s">
        <v>44</v>
      </c>
      <c r="C88" s="3" t="s">
        <v>102</v>
      </c>
      <c r="D88" s="3" t="s">
        <v>323</v>
      </c>
      <c r="E88" s="3" t="s">
        <v>198</v>
      </c>
      <c r="F88" s="19" t="s">
        <v>110</v>
      </c>
      <c r="G88" s="3">
        <v>570.0</v>
      </c>
      <c r="H88" s="3"/>
      <c r="I88" s="3"/>
      <c r="J88" s="3"/>
      <c r="K88" s="3" t="s">
        <v>226</v>
      </c>
      <c r="L88" s="3" t="s">
        <v>201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 t="s">
        <v>39</v>
      </c>
      <c r="B89" s="3" t="s">
        <v>44</v>
      </c>
      <c r="C89" s="3" t="s">
        <v>102</v>
      </c>
      <c r="D89" s="3" t="s">
        <v>324</v>
      </c>
      <c r="E89" s="3" t="s">
        <v>198</v>
      </c>
      <c r="F89" s="19" t="s">
        <v>110</v>
      </c>
      <c r="G89" s="3">
        <v>570.0</v>
      </c>
      <c r="H89" s="3"/>
      <c r="I89" s="3"/>
      <c r="J89" s="3"/>
      <c r="K89" s="3" t="s">
        <v>226</v>
      </c>
      <c r="L89" s="3" t="s">
        <v>201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 t="s">
        <v>39</v>
      </c>
      <c r="B90" s="3" t="s">
        <v>44</v>
      </c>
      <c r="C90" s="3" t="s">
        <v>102</v>
      </c>
      <c r="D90" s="3" t="s">
        <v>325</v>
      </c>
      <c r="E90" s="3" t="s">
        <v>198</v>
      </c>
      <c r="F90" s="19" t="s">
        <v>110</v>
      </c>
      <c r="G90" s="3">
        <v>570.0</v>
      </c>
      <c r="H90" s="3"/>
      <c r="I90" s="3"/>
      <c r="J90" s="3"/>
      <c r="K90" s="3" t="s">
        <v>226</v>
      </c>
      <c r="L90" s="3" t="s">
        <v>201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 t="s">
        <v>39</v>
      </c>
      <c r="B91" s="3" t="s">
        <v>44</v>
      </c>
      <c r="C91" s="3" t="s">
        <v>102</v>
      </c>
      <c r="D91" s="3" t="s">
        <v>326</v>
      </c>
      <c r="E91" s="3" t="s">
        <v>108</v>
      </c>
      <c r="F91" s="19" t="s">
        <v>110</v>
      </c>
      <c r="G91" s="3">
        <v>570.0</v>
      </c>
      <c r="H91" s="3"/>
      <c r="I91" s="3"/>
      <c r="J91" s="3"/>
      <c r="K91" s="3" t="s">
        <v>90</v>
      </c>
      <c r="L91" s="3" t="s">
        <v>114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 t="s">
        <v>39</v>
      </c>
      <c r="B92" s="3" t="s">
        <v>44</v>
      </c>
      <c r="C92" s="3" t="s">
        <v>102</v>
      </c>
      <c r="D92" s="3" t="s">
        <v>329</v>
      </c>
      <c r="E92" s="3" t="s">
        <v>207</v>
      </c>
      <c r="F92" s="19" t="s">
        <v>110</v>
      </c>
      <c r="G92" s="3">
        <v>520.0</v>
      </c>
      <c r="H92" s="3"/>
      <c r="I92" s="3"/>
      <c r="J92" s="3"/>
      <c r="K92" s="3" t="s">
        <v>59</v>
      </c>
      <c r="L92" s="3" t="s">
        <v>208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 t="s">
        <v>39</v>
      </c>
      <c r="B93" s="3" t="s">
        <v>44</v>
      </c>
      <c r="C93" s="3" t="s">
        <v>102</v>
      </c>
      <c r="D93" s="3" t="s">
        <v>331</v>
      </c>
      <c r="E93" s="3" t="s">
        <v>108</v>
      </c>
      <c r="F93" s="19" t="s">
        <v>110</v>
      </c>
      <c r="G93" s="3">
        <v>520.0</v>
      </c>
      <c r="H93" s="3"/>
      <c r="I93" s="3"/>
      <c r="J93" s="3"/>
      <c r="K93" s="3" t="s">
        <v>90</v>
      </c>
      <c r="L93" s="3" t="s">
        <v>114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 t="s">
        <v>39</v>
      </c>
      <c r="B94" s="3" t="s">
        <v>44</v>
      </c>
      <c r="C94" s="3" t="s">
        <v>102</v>
      </c>
      <c r="D94" s="3" t="s">
        <v>197</v>
      </c>
      <c r="E94" s="3" t="s">
        <v>108</v>
      </c>
      <c r="F94" s="19" t="s">
        <v>110</v>
      </c>
      <c r="G94" s="3">
        <v>500.0</v>
      </c>
      <c r="H94" s="3"/>
      <c r="I94" s="3"/>
      <c r="J94" s="3"/>
      <c r="K94" s="3" t="s">
        <v>90</v>
      </c>
      <c r="L94" s="3" t="s">
        <v>114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 t="s">
        <v>39</v>
      </c>
      <c r="B95" s="3" t="s">
        <v>44</v>
      </c>
      <c r="C95" s="3" t="s">
        <v>102</v>
      </c>
      <c r="D95" s="3" t="s">
        <v>335</v>
      </c>
      <c r="E95" s="3" t="s">
        <v>108</v>
      </c>
      <c r="F95" s="19" t="s">
        <v>110</v>
      </c>
      <c r="G95" s="3">
        <v>610.0</v>
      </c>
      <c r="H95" s="3"/>
      <c r="I95" s="3"/>
      <c r="J95" s="3"/>
      <c r="K95" s="3" t="s">
        <v>90</v>
      </c>
      <c r="L95" s="3" t="s">
        <v>114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 t="s">
        <v>39</v>
      </c>
      <c r="B96" s="3" t="s">
        <v>44</v>
      </c>
      <c r="C96" s="3" t="s">
        <v>102</v>
      </c>
      <c r="D96" s="3" t="s">
        <v>336</v>
      </c>
      <c r="E96" s="3" t="s">
        <v>108</v>
      </c>
      <c r="F96" s="19" t="s">
        <v>110</v>
      </c>
      <c r="G96" s="3">
        <v>610.0</v>
      </c>
      <c r="H96" s="3"/>
      <c r="I96" s="3"/>
      <c r="J96" s="3"/>
      <c r="K96" s="3" t="s">
        <v>90</v>
      </c>
      <c r="L96" s="3" t="s">
        <v>114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 t="s">
        <v>39</v>
      </c>
      <c r="B97" s="3" t="s">
        <v>44</v>
      </c>
      <c r="C97" s="3" t="s">
        <v>102</v>
      </c>
      <c r="D97" s="3" t="s">
        <v>203</v>
      </c>
      <c r="E97" s="3" t="s">
        <v>108</v>
      </c>
      <c r="F97" s="19" t="s">
        <v>110</v>
      </c>
      <c r="G97" s="3">
        <v>500.0</v>
      </c>
      <c r="H97" s="3"/>
      <c r="I97" s="3"/>
      <c r="J97" s="3"/>
      <c r="K97" s="3" t="s">
        <v>90</v>
      </c>
      <c r="L97" s="3" t="s">
        <v>114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 t="s">
        <v>39</v>
      </c>
      <c r="B98" s="3" t="s">
        <v>44</v>
      </c>
      <c r="C98" s="3" t="s">
        <v>102</v>
      </c>
      <c r="D98" s="3" t="s">
        <v>339</v>
      </c>
      <c r="E98" s="3" t="s">
        <v>108</v>
      </c>
      <c r="F98" s="19" t="s">
        <v>110</v>
      </c>
      <c r="G98" s="3">
        <v>500.0</v>
      </c>
      <c r="H98" s="3"/>
      <c r="I98" s="3"/>
      <c r="J98" s="3"/>
      <c r="K98" s="3" t="s">
        <v>90</v>
      </c>
      <c r="L98" s="3" t="s">
        <v>114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 t="s">
        <v>39</v>
      </c>
      <c r="B99" s="3" t="s">
        <v>44</v>
      </c>
      <c r="C99" s="3" t="s">
        <v>102</v>
      </c>
      <c r="D99" s="3" t="s">
        <v>213</v>
      </c>
      <c r="E99" s="3" t="s">
        <v>108</v>
      </c>
      <c r="F99" s="19" t="s">
        <v>110</v>
      </c>
      <c r="G99" s="3">
        <v>300.0</v>
      </c>
      <c r="H99" s="3"/>
      <c r="I99" s="3"/>
      <c r="J99" s="3"/>
      <c r="K99" s="3" t="s">
        <v>90</v>
      </c>
      <c r="L99" s="3" t="s">
        <v>114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 t="s">
        <v>39</v>
      </c>
      <c r="B100" s="3" t="s">
        <v>44</v>
      </c>
      <c r="C100" s="3" t="s">
        <v>102</v>
      </c>
      <c r="D100" s="3" t="s">
        <v>340</v>
      </c>
      <c r="E100" s="3" t="s">
        <v>108</v>
      </c>
      <c r="F100" s="19" t="s">
        <v>110</v>
      </c>
      <c r="G100" s="3">
        <v>520.0</v>
      </c>
      <c r="H100" s="3"/>
      <c r="I100" s="3"/>
      <c r="J100" s="3"/>
      <c r="K100" s="3" t="s">
        <v>90</v>
      </c>
      <c r="L100" s="3" t="s">
        <v>114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 t="s">
        <v>39</v>
      </c>
      <c r="B101" s="3" t="s">
        <v>44</v>
      </c>
      <c r="C101" s="3" t="s">
        <v>102</v>
      </c>
      <c r="D101" s="3" t="s">
        <v>151</v>
      </c>
      <c r="E101" s="3" t="s">
        <v>108</v>
      </c>
      <c r="F101" s="19" t="s">
        <v>110</v>
      </c>
      <c r="G101" s="3">
        <v>130.0</v>
      </c>
      <c r="H101" s="3"/>
      <c r="I101" s="3"/>
      <c r="J101" s="3"/>
      <c r="K101" s="3" t="s">
        <v>90</v>
      </c>
      <c r="L101" s="3" t="s">
        <v>114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 t="s">
        <v>39</v>
      </c>
      <c r="B102" s="3" t="s">
        <v>44</v>
      </c>
      <c r="C102" s="3" t="s">
        <v>102</v>
      </c>
      <c r="D102" s="3" t="s">
        <v>343</v>
      </c>
      <c r="E102" s="3" t="s">
        <v>235</v>
      </c>
      <c r="F102" s="19" t="s">
        <v>110</v>
      </c>
      <c r="G102" s="3">
        <v>490.0</v>
      </c>
      <c r="H102" s="3"/>
      <c r="I102" s="3"/>
      <c r="J102" s="3"/>
      <c r="K102" s="3" t="s">
        <v>90</v>
      </c>
      <c r="L102" s="3" t="s">
        <v>236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 t="s">
        <v>39</v>
      </c>
      <c r="B103" s="3" t="s">
        <v>44</v>
      </c>
      <c r="C103" s="3" t="s">
        <v>102</v>
      </c>
      <c r="D103" s="3" t="s">
        <v>343</v>
      </c>
      <c r="E103" s="3" t="s">
        <v>207</v>
      </c>
      <c r="F103" s="19" t="s">
        <v>110</v>
      </c>
      <c r="G103" s="3">
        <v>490.0</v>
      </c>
      <c r="H103" s="3"/>
      <c r="I103" s="3"/>
      <c r="J103" s="3"/>
      <c r="K103" s="3" t="s">
        <v>90</v>
      </c>
      <c r="L103" s="3" t="s">
        <v>208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 t="s">
        <v>39</v>
      </c>
      <c r="B104" s="3" t="s">
        <v>44</v>
      </c>
      <c r="C104" s="3" t="s">
        <v>102</v>
      </c>
      <c r="D104" s="3" t="s">
        <v>347</v>
      </c>
      <c r="E104" s="3" t="s">
        <v>198</v>
      </c>
      <c r="F104" s="19" t="s">
        <v>110</v>
      </c>
      <c r="G104" s="3">
        <v>570.0</v>
      </c>
      <c r="H104" s="3"/>
      <c r="I104" s="3"/>
      <c r="J104" s="3"/>
      <c r="K104" s="3" t="s">
        <v>226</v>
      </c>
      <c r="L104" s="3" t="s">
        <v>201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 t="s">
        <v>39</v>
      </c>
      <c r="B105" s="3" t="s">
        <v>44</v>
      </c>
      <c r="C105" s="3" t="s">
        <v>102</v>
      </c>
      <c r="D105" s="3" t="s">
        <v>348</v>
      </c>
      <c r="E105" s="3" t="s">
        <v>198</v>
      </c>
      <c r="F105" s="19" t="s">
        <v>110</v>
      </c>
      <c r="G105" s="3">
        <v>570.0</v>
      </c>
      <c r="H105" s="3"/>
      <c r="I105" s="3"/>
      <c r="J105" s="3"/>
      <c r="K105" s="3" t="s">
        <v>226</v>
      </c>
      <c r="L105" s="3" t="s">
        <v>201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 t="s">
        <v>39</v>
      </c>
      <c r="B106" s="3" t="s">
        <v>44</v>
      </c>
      <c r="C106" s="3" t="s">
        <v>102</v>
      </c>
      <c r="D106" s="3" t="s">
        <v>351</v>
      </c>
      <c r="E106" s="3" t="s">
        <v>108</v>
      </c>
      <c r="F106" s="19" t="s">
        <v>110</v>
      </c>
      <c r="G106" s="3">
        <v>570.0</v>
      </c>
      <c r="H106" s="3"/>
      <c r="I106" s="3"/>
      <c r="J106" s="3"/>
      <c r="K106" s="3" t="s">
        <v>90</v>
      </c>
      <c r="L106" s="3" t="s">
        <v>114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 t="s">
        <v>39</v>
      </c>
      <c r="B107" s="3" t="s">
        <v>44</v>
      </c>
      <c r="C107" s="3" t="s">
        <v>102</v>
      </c>
      <c r="D107" s="3" t="s">
        <v>352</v>
      </c>
      <c r="E107" s="3" t="s">
        <v>108</v>
      </c>
      <c r="F107" s="19" t="s">
        <v>110</v>
      </c>
      <c r="G107" s="3">
        <v>570.0</v>
      </c>
      <c r="H107" s="3"/>
      <c r="I107" s="3"/>
      <c r="J107" s="3"/>
      <c r="K107" s="3" t="s">
        <v>90</v>
      </c>
      <c r="L107" s="3" t="s">
        <v>114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 t="s">
        <v>39</v>
      </c>
      <c r="B108" s="3" t="s">
        <v>44</v>
      </c>
      <c r="C108" s="3" t="s">
        <v>102</v>
      </c>
      <c r="D108" s="3" t="s">
        <v>355</v>
      </c>
      <c r="E108" s="3" t="s">
        <v>108</v>
      </c>
      <c r="F108" s="19" t="s">
        <v>110</v>
      </c>
      <c r="G108" s="3">
        <v>570.0</v>
      </c>
      <c r="H108" s="3"/>
      <c r="I108" s="3"/>
      <c r="J108" s="3"/>
      <c r="K108" s="3" t="s">
        <v>90</v>
      </c>
      <c r="L108" s="3" t="s">
        <v>114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 t="s">
        <v>39</v>
      </c>
      <c r="B109" s="3" t="s">
        <v>44</v>
      </c>
      <c r="C109" s="3" t="s">
        <v>46</v>
      </c>
      <c r="D109" s="3" t="s">
        <v>80</v>
      </c>
      <c r="E109" s="3" t="s">
        <v>165</v>
      </c>
      <c r="F109" s="19" t="s">
        <v>122</v>
      </c>
      <c r="G109" s="3">
        <v>520.0</v>
      </c>
      <c r="H109" s="3"/>
      <c r="I109" s="3"/>
      <c r="J109" s="3"/>
      <c r="K109" s="3" t="s">
        <v>59</v>
      </c>
      <c r="L109" s="3" t="s">
        <v>166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 t="s">
        <v>39</v>
      </c>
      <c r="B110" s="3" t="s">
        <v>44</v>
      </c>
      <c r="C110" s="3" t="s">
        <v>46</v>
      </c>
      <c r="D110" s="3" t="s">
        <v>270</v>
      </c>
      <c r="E110" s="3" t="s">
        <v>165</v>
      </c>
      <c r="F110" s="19" t="s">
        <v>122</v>
      </c>
      <c r="G110" s="3">
        <v>520.0</v>
      </c>
      <c r="H110" s="3"/>
      <c r="I110" s="3"/>
      <c r="J110" s="3"/>
      <c r="K110" s="3" t="s">
        <v>59</v>
      </c>
      <c r="L110" s="3" t="s">
        <v>166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 t="s">
        <v>39</v>
      </c>
      <c r="B111" s="3" t="s">
        <v>44</v>
      </c>
      <c r="C111" s="3" t="s">
        <v>46</v>
      </c>
      <c r="D111" s="3" t="s">
        <v>170</v>
      </c>
      <c r="E111" s="3" t="s">
        <v>165</v>
      </c>
      <c r="F111" s="19" t="s">
        <v>122</v>
      </c>
      <c r="G111" s="3">
        <v>130.0</v>
      </c>
      <c r="H111" s="3"/>
      <c r="I111" s="3"/>
      <c r="J111" s="3"/>
      <c r="K111" s="3" t="s">
        <v>90</v>
      </c>
      <c r="L111" s="3" t="s">
        <v>166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 t="s">
        <v>39</v>
      </c>
      <c r="B112" s="3" t="s">
        <v>44</v>
      </c>
      <c r="C112" s="3" t="s">
        <v>102</v>
      </c>
      <c r="D112" s="3" t="s">
        <v>103</v>
      </c>
      <c r="E112" s="3" t="s">
        <v>224</v>
      </c>
      <c r="F112" s="19" t="s">
        <v>122</v>
      </c>
      <c r="G112" s="3">
        <v>300.0</v>
      </c>
      <c r="H112" s="3"/>
      <c r="I112" s="3"/>
      <c r="J112" s="3"/>
      <c r="K112" s="3" t="s">
        <v>90</v>
      </c>
      <c r="L112" s="3" t="s">
        <v>225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 t="s">
        <v>39</v>
      </c>
      <c r="B113" s="3" t="s">
        <v>44</v>
      </c>
      <c r="C113" s="3" t="s">
        <v>102</v>
      </c>
      <c r="D113" s="3" t="s">
        <v>362</v>
      </c>
      <c r="E113" s="3" t="s">
        <v>257</v>
      </c>
      <c r="F113" s="19" t="s">
        <v>122</v>
      </c>
      <c r="G113" s="3">
        <v>570.0</v>
      </c>
      <c r="H113" s="3"/>
      <c r="I113" s="3"/>
      <c r="J113" s="3"/>
      <c r="K113" s="3" t="s">
        <v>232</v>
      </c>
      <c r="L113" s="3" t="s">
        <v>258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 t="s">
        <v>39</v>
      </c>
      <c r="B114" s="3" t="s">
        <v>44</v>
      </c>
      <c r="C114" s="3" t="s">
        <v>102</v>
      </c>
      <c r="D114" s="3" t="s">
        <v>362</v>
      </c>
      <c r="E114" s="3" t="s">
        <v>363</v>
      </c>
      <c r="F114" s="19" t="s">
        <v>122</v>
      </c>
      <c r="G114" s="3">
        <v>570.0</v>
      </c>
      <c r="H114" s="3"/>
      <c r="I114" s="3"/>
      <c r="J114" s="3"/>
      <c r="K114" s="3" t="s">
        <v>232</v>
      </c>
      <c r="L114" s="3" t="s">
        <v>364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 t="s">
        <v>39</v>
      </c>
      <c r="B115" s="3" t="s">
        <v>44</v>
      </c>
      <c r="C115" s="3" t="s">
        <v>102</v>
      </c>
      <c r="D115" s="3" t="s">
        <v>218</v>
      </c>
      <c r="E115" s="3" t="s">
        <v>224</v>
      </c>
      <c r="F115" s="19" t="s">
        <v>122</v>
      </c>
      <c r="G115" s="3">
        <v>570.0</v>
      </c>
      <c r="H115" s="3"/>
      <c r="I115" s="3"/>
      <c r="J115" s="3"/>
      <c r="K115" s="3" t="s">
        <v>90</v>
      </c>
      <c r="L115" s="3" t="s">
        <v>225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 t="s">
        <v>39</v>
      </c>
      <c r="B116" s="3" t="s">
        <v>44</v>
      </c>
      <c r="C116" s="3" t="s">
        <v>102</v>
      </c>
      <c r="D116" s="3" t="s">
        <v>223</v>
      </c>
      <c r="E116" s="3" t="s">
        <v>367</v>
      </c>
      <c r="F116" s="19" t="s">
        <v>122</v>
      </c>
      <c r="G116" s="3">
        <v>610.0</v>
      </c>
      <c r="H116" s="3"/>
      <c r="I116" s="3"/>
      <c r="J116" s="3"/>
      <c r="K116" s="3" t="s">
        <v>226</v>
      </c>
      <c r="L116" s="3" t="s">
        <v>368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 t="s">
        <v>39</v>
      </c>
      <c r="B117" s="3" t="s">
        <v>44</v>
      </c>
      <c r="C117" s="3" t="s">
        <v>102</v>
      </c>
      <c r="D117" s="3" t="s">
        <v>228</v>
      </c>
      <c r="E117" s="3" t="s">
        <v>219</v>
      </c>
      <c r="F117" s="19" t="s">
        <v>122</v>
      </c>
      <c r="G117" s="3">
        <v>570.0</v>
      </c>
      <c r="H117" s="3"/>
      <c r="I117" s="3"/>
      <c r="J117" s="3"/>
      <c r="K117" s="3" t="s">
        <v>90</v>
      </c>
      <c r="L117" s="3" t="s">
        <v>220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 t="s">
        <v>39</v>
      </c>
      <c r="B118" s="3" t="s">
        <v>44</v>
      </c>
      <c r="C118" s="3" t="s">
        <v>102</v>
      </c>
      <c r="D118" s="3" t="s">
        <v>228</v>
      </c>
      <c r="E118" s="3" t="s">
        <v>224</v>
      </c>
      <c r="F118" s="19" t="s">
        <v>122</v>
      </c>
      <c r="G118" s="3">
        <v>570.0</v>
      </c>
      <c r="H118" s="3"/>
      <c r="I118" s="3"/>
      <c r="J118" s="3"/>
      <c r="K118" s="3" t="s">
        <v>90</v>
      </c>
      <c r="L118" s="3" t="s">
        <v>225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 t="s">
        <v>39</v>
      </c>
      <c r="B119" s="3" t="s">
        <v>44</v>
      </c>
      <c r="C119" s="3" t="s">
        <v>102</v>
      </c>
      <c r="D119" s="3" t="s">
        <v>230</v>
      </c>
      <c r="E119" s="3" t="s">
        <v>367</v>
      </c>
      <c r="F119" s="19" t="s">
        <v>122</v>
      </c>
      <c r="G119" s="3">
        <v>500.0</v>
      </c>
      <c r="H119" s="3"/>
      <c r="I119" s="3"/>
      <c r="J119" s="3"/>
      <c r="K119" s="3" t="s">
        <v>226</v>
      </c>
      <c r="L119" s="3" t="s">
        <v>368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 t="s">
        <v>39</v>
      </c>
      <c r="B120" s="3" t="s">
        <v>44</v>
      </c>
      <c r="C120" s="3" t="s">
        <v>102</v>
      </c>
      <c r="D120" s="3" t="s">
        <v>371</v>
      </c>
      <c r="E120" s="3" t="s">
        <v>257</v>
      </c>
      <c r="F120" s="19" t="s">
        <v>122</v>
      </c>
      <c r="G120" s="3">
        <v>570.0</v>
      </c>
      <c r="H120" s="3"/>
      <c r="I120" s="3"/>
      <c r="J120" s="3"/>
      <c r="K120" s="3" t="s">
        <v>232</v>
      </c>
      <c r="L120" s="3" t="s">
        <v>258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 t="s">
        <v>39</v>
      </c>
      <c r="B121" s="3" t="s">
        <v>44</v>
      </c>
      <c r="C121" s="3" t="s">
        <v>102</v>
      </c>
      <c r="D121" s="3" t="s">
        <v>241</v>
      </c>
      <c r="E121" s="3" t="s">
        <v>219</v>
      </c>
      <c r="F121" s="19" t="s">
        <v>122</v>
      </c>
      <c r="G121" s="3">
        <v>490.0</v>
      </c>
      <c r="H121" s="3"/>
      <c r="I121" s="3"/>
      <c r="J121" s="3"/>
      <c r="K121" s="3" t="s">
        <v>90</v>
      </c>
      <c r="L121" s="3" t="s">
        <v>220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 t="s">
        <v>39</v>
      </c>
      <c r="B122" s="3" t="s">
        <v>44</v>
      </c>
      <c r="C122" s="3" t="s">
        <v>102</v>
      </c>
      <c r="D122" s="3" t="s">
        <v>376</v>
      </c>
      <c r="E122" s="3" t="s">
        <v>224</v>
      </c>
      <c r="F122" s="19" t="s">
        <v>122</v>
      </c>
      <c r="G122" s="3">
        <v>570.0</v>
      </c>
      <c r="H122" s="3"/>
      <c r="I122" s="3"/>
      <c r="J122" s="3"/>
      <c r="K122" s="3" t="s">
        <v>90</v>
      </c>
      <c r="L122" s="3" t="s">
        <v>225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 t="s">
        <v>39</v>
      </c>
      <c r="B123" s="3" t="s">
        <v>44</v>
      </c>
      <c r="C123" s="3" t="s">
        <v>102</v>
      </c>
      <c r="D123" s="3" t="s">
        <v>246</v>
      </c>
      <c r="E123" s="3" t="s">
        <v>216</v>
      </c>
      <c r="F123" s="19" t="s">
        <v>122</v>
      </c>
      <c r="G123" s="3">
        <v>500.0</v>
      </c>
      <c r="H123" s="3"/>
      <c r="I123" s="3"/>
      <c r="J123" s="3"/>
      <c r="K123" s="3" t="s">
        <v>232</v>
      </c>
      <c r="L123" s="3" t="s">
        <v>217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 t="s">
        <v>39</v>
      </c>
      <c r="B124" s="3" t="s">
        <v>44</v>
      </c>
      <c r="C124" s="3" t="s">
        <v>102</v>
      </c>
      <c r="D124" s="3" t="s">
        <v>246</v>
      </c>
      <c r="E124" s="3" t="s">
        <v>379</v>
      </c>
      <c r="F124" s="19" t="s">
        <v>122</v>
      </c>
      <c r="G124" s="3">
        <v>500.0</v>
      </c>
      <c r="H124" s="3"/>
      <c r="I124" s="3"/>
      <c r="J124" s="3"/>
      <c r="K124" s="3" t="s">
        <v>232</v>
      </c>
      <c r="L124" s="3" t="s">
        <v>382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 t="s">
        <v>39</v>
      </c>
      <c r="B125" s="3" t="s">
        <v>44</v>
      </c>
      <c r="C125" s="3" t="s">
        <v>102</v>
      </c>
      <c r="D125" s="3" t="s">
        <v>383</v>
      </c>
      <c r="E125" s="3" t="s">
        <v>219</v>
      </c>
      <c r="F125" s="19" t="s">
        <v>122</v>
      </c>
      <c r="G125" s="3">
        <v>610.0</v>
      </c>
      <c r="H125" s="3"/>
      <c r="I125" s="3"/>
      <c r="J125" s="3"/>
      <c r="K125" s="3" t="s">
        <v>90</v>
      </c>
      <c r="L125" s="3" t="s">
        <v>220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 t="s">
        <v>39</v>
      </c>
      <c r="B126" s="3" t="s">
        <v>44</v>
      </c>
      <c r="C126" s="3" t="s">
        <v>102</v>
      </c>
      <c r="D126" s="3" t="s">
        <v>383</v>
      </c>
      <c r="E126" s="3" t="s">
        <v>224</v>
      </c>
      <c r="F126" s="19" t="s">
        <v>122</v>
      </c>
      <c r="G126" s="3">
        <v>610.0</v>
      </c>
      <c r="H126" s="3"/>
      <c r="I126" s="3"/>
      <c r="J126" s="3"/>
      <c r="K126" s="3" t="s">
        <v>90</v>
      </c>
      <c r="L126" s="3" t="s">
        <v>225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 t="s">
        <v>39</v>
      </c>
      <c r="B127" s="3" t="s">
        <v>44</v>
      </c>
      <c r="C127" s="3" t="s">
        <v>102</v>
      </c>
      <c r="D127" s="3" t="s">
        <v>383</v>
      </c>
      <c r="E127" s="3" t="s">
        <v>120</v>
      </c>
      <c r="F127" s="19" t="s">
        <v>122</v>
      </c>
      <c r="G127" s="3">
        <v>610.0</v>
      </c>
      <c r="H127" s="3"/>
      <c r="I127" s="3"/>
      <c r="J127" s="3"/>
      <c r="K127" s="3" t="s">
        <v>90</v>
      </c>
      <c r="L127" s="3" t="s">
        <v>125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 t="s">
        <v>39</v>
      </c>
      <c r="B128" s="3" t="s">
        <v>44</v>
      </c>
      <c r="C128" s="3" t="s">
        <v>102</v>
      </c>
      <c r="D128" s="3" t="s">
        <v>388</v>
      </c>
      <c r="E128" s="3" t="s">
        <v>367</v>
      </c>
      <c r="F128" s="19" t="s">
        <v>122</v>
      </c>
      <c r="G128" s="3">
        <v>570.0</v>
      </c>
      <c r="H128" s="3"/>
      <c r="I128" s="3"/>
      <c r="J128" s="3"/>
      <c r="K128" s="3" t="s">
        <v>226</v>
      </c>
      <c r="L128" s="3" t="s">
        <v>368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 t="s">
        <v>39</v>
      </c>
      <c r="B129" s="3" t="s">
        <v>44</v>
      </c>
      <c r="C129" s="3" t="s">
        <v>102</v>
      </c>
      <c r="D129" s="3" t="s">
        <v>391</v>
      </c>
      <c r="E129" s="3" t="s">
        <v>216</v>
      </c>
      <c r="F129" s="19" t="s">
        <v>122</v>
      </c>
      <c r="G129" s="3">
        <v>570.0</v>
      </c>
      <c r="H129" s="3"/>
      <c r="I129" s="3"/>
      <c r="J129" s="3"/>
      <c r="K129" s="3" t="s">
        <v>232</v>
      </c>
      <c r="L129" s="3" t="s">
        <v>217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 t="s">
        <v>39</v>
      </c>
      <c r="B130" s="3" t="s">
        <v>44</v>
      </c>
      <c r="C130" s="3" t="s">
        <v>102</v>
      </c>
      <c r="D130" s="3" t="s">
        <v>391</v>
      </c>
      <c r="E130" s="3" t="s">
        <v>379</v>
      </c>
      <c r="F130" s="19" t="s">
        <v>122</v>
      </c>
      <c r="G130" s="3">
        <v>570.0</v>
      </c>
      <c r="H130" s="3"/>
      <c r="I130" s="3"/>
      <c r="J130" s="3"/>
      <c r="K130" s="3" t="s">
        <v>232</v>
      </c>
      <c r="L130" s="3" t="s">
        <v>382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 t="s">
        <v>39</v>
      </c>
      <c r="B131" s="3" t="s">
        <v>44</v>
      </c>
      <c r="C131" s="3" t="s">
        <v>102</v>
      </c>
      <c r="D131" s="3" t="s">
        <v>256</v>
      </c>
      <c r="E131" s="3" t="s">
        <v>257</v>
      </c>
      <c r="F131" s="19" t="s">
        <v>122</v>
      </c>
      <c r="G131" s="3">
        <v>360.0</v>
      </c>
      <c r="H131" s="3"/>
      <c r="I131" s="3"/>
      <c r="J131" s="3"/>
      <c r="K131" s="3" t="s">
        <v>232</v>
      </c>
      <c r="L131" s="3" t="s">
        <v>258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 t="s">
        <v>39</v>
      </c>
      <c r="B132" s="3" t="s">
        <v>44</v>
      </c>
      <c r="C132" s="3" t="s">
        <v>102</v>
      </c>
      <c r="D132" s="3" t="s">
        <v>262</v>
      </c>
      <c r="E132" s="3" t="s">
        <v>257</v>
      </c>
      <c r="F132" s="19" t="s">
        <v>122</v>
      </c>
      <c r="G132" s="3">
        <v>360.0</v>
      </c>
      <c r="H132" s="3"/>
      <c r="I132" s="3"/>
      <c r="J132" s="3"/>
      <c r="K132" s="3" t="s">
        <v>232</v>
      </c>
      <c r="L132" s="3" t="s">
        <v>258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 t="s">
        <v>39</v>
      </c>
      <c r="B133" s="3" t="s">
        <v>44</v>
      </c>
      <c r="C133" s="3" t="s">
        <v>102</v>
      </c>
      <c r="D133" s="3" t="s">
        <v>105</v>
      </c>
      <c r="E133" s="3" t="s">
        <v>216</v>
      </c>
      <c r="F133" s="19" t="s">
        <v>122</v>
      </c>
      <c r="G133" s="3">
        <v>130.0</v>
      </c>
      <c r="H133" s="3"/>
      <c r="I133" s="3"/>
      <c r="J133" s="3"/>
      <c r="K133" s="3" t="s">
        <v>232</v>
      </c>
      <c r="L133" s="3" t="s">
        <v>217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 t="s">
        <v>39</v>
      </c>
      <c r="B134" s="3" t="s">
        <v>44</v>
      </c>
      <c r="C134" s="3" t="s">
        <v>102</v>
      </c>
      <c r="D134" s="3" t="s">
        <v>118</v>
      </c>
      <c r="E134" s="3" t="s">
        <v>224</v>
      </c>
      <c r="F134" s="19" t="s">
        <v>122</v>
      </c>
      <c r="G134" s="3">
        <v>700.0</v>
      </c>
      <c r="H134" s="3"/>
      <c r="I134" s="3"/>
      <c r="J134" s="3"/>
      <c r="K134" s="3" t="s">
        <v>90</v>
      </c>
      <c r="L134" s="3" t="s">
        <v>225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 t="s">
        <v>39</v>
      </c>
      <c r="B135" s="3" t="s">
        <v>44</v>
      </c>
      <c r="C135" s="3" t="s">
        <v>102</v>
      </c>
      <c r="D135" s="3" t="s">
        <v>118</v>
      </c>
      <c r="E135" s="3" t="s">
        <v>120</v>
      </c>
      <c r="F135" s="19" t="s">
        <v>122</v>
      </c>
      <c r="G135" s="3">
        <v>700.0</v>
      </c>
      <c r="H135" s="3"/>
      <c r="I135" s="3"/>
      <c r="J135" s="3"/>
      <c r="K135" s="3" t="s">
        <v>90</v>
      </c>
      <c r="L135" s="3" t="s">
        <v>125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 t="s">
        <v>39</v>
      </c>
      <c r="B136" s="3" t="s">
        <v>44</v>
      </c>
      <c r="C136" s="3" t="s">
        <v>102</v>
      </c>
      <c r="D136" s="3" t="s">
        <v>400</v>
      </c>
      <c r="E136" s="3" t="s">
        <v>402</v>
      </c>
      <c r="F136" s="19" t="s">
        <v>122</v>
      </c>
      <c r="G136" s="3">
        <v>700.0</v>
      </c>
      <c r="H136" s="3"/>
      <c r="I136" s="3"/>
      <c r="J136" s="3"/>
      <c r="K136" s="3" t="s">
        <v>90</v>
      </c>
      <c r="L136" s="3" t="s">
        <v>403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 t="s">
        <v>39</v>
      </c>
      <c r="B137" s="3" t="s">
        <v>44</v>
      </c>
      <c r="C137" s="3" t="s">
        <v>102</v>
      </c>
      <c r="D137" s="3" t="s">
        <v>126</v>
      </c>
      <c r="E137" s="3" t="s">
        <v>224</v>
      </c>
      <c r="F137" s="19" t="s">
        <v>122</v>
      </c>
      <c r="G137" s="3">
        <v>700.0</v>
      </c>
      <c r="H137" s="3"/>
      <c r="I137" s="3"/>
      <c r="J137" s="3"/>
      <c r="K137" s="3" t="s">
        <v>90</v>
      </c>
      <c r="L137" s="3" t="s">
        <v>225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 t="s">
        <v>39</v>
      </c>
      <c r="B138" s="3" t="s">
        <v>44</v>
      </c>
      <c r="C138" s="3" t="s">
        <v>102</v>
      </c>
      <c r="D138" s="3" t="s">
        <v>126</v>
      </c>
      <c r="E138" s="3" t="s">
        <v>402</v>
      </c>
      <c r="F138" s="19" t="s">
        <v>122</v>
      </c>
      <c r="G138" s="3">
        <v>700.0</v>
      </c>
      <c r="H138" s="3"/>
      <c r="I138" s="3"/>
      <c r="J138" s="3"/>
      <c r="K138" s="3" t="s">
        <v>90</v>
      </c>
      <c r="L138" s="3" t="s">
        <v>403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 t="s">
        <v>39</v>
      </c>
      <c r="B139" s="3" t="s">
        <v>44</v>
      </c>
      <c r="C139" s="3" t="s">
        <v>102</v>
      </c>
      <c r="D139" s="3" t="s">
        <v>126</v>
      </c>
      <c r="E139" s="3" t="s">
        <v>120</v>
      </c>
      <c r="F139" s="19" t="s">
        <v>122</v>
      </c>
      <c r="G139" s="3">
        <v>700.0</v>
      </c>
      <c r="H139" s="3"/>
      <c r="I139" s="3"/>
      <c r="J139" s="3"/>
      <c r="K139" s="3" t="s">
        <v>90</v>
      </c>
      <c r="L139" s="3" t="s">
        <v>125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 t="s">
        <v>39</v>
      </c>
      <c r="B140" s="3" t="s">
        <v>44</v>
      </c>
      <c r="C140" s="3" t="s">
        <v>102</v>
      </c>
      <c r="D140" s="3" t="s">
        <v>126</v>
      </c>
      <c r="E140" s="3" t="s">
        <v>165</v>
      </c>
      <c r="F140" s="19" t="s">
        <v>122</v>
      </c>
      <c r="G140" s="3">
        <v>700.0</v>
      </c>
      <c r="H140" s="3"/>
      <c r="I140" s="3"/>
      <c r="J140" s="3"/>
      <c r="K140" s="3" t="s">
        <v>90</v>
      </c>
      <c r="L140" s="3" t="s">
        <v>166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 t="s">
        <v>39</v>
      </c>
      <c r="B141" s="3" t="s">
        <v>44</v>
      </c>
      <c r="C141" s="3" t="s">
        <v>102</v>
      </c>
      <c r="D141" s="3" t="s">
        <v>408</v>
      </c>
      <c r="E141" s="3" t="s">
        <v>402</v>
      </c>
      <c r="F141" s="19" t="s">
        <v>122</v>
      </c>
      <c r="G141" s="3">
        <v>700.0</v>
      </c>
      <c r="H141" s="3"/>
      <c r="I141" s="3"/>
      <c r="J141" s="3"/>
      <c r="K141" s="3" t="s">
        <v>90</v>
      </c>
      <c r="L141" s="3" t="s">
        <v>403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 t="s">
        <v>39</v>
      </c>
      <c r="B142" s="3" t="s">
        <v>44</v>
      </c>
      <c r="C142" s="3" t="s">
        <v>102</v>
      </c>
      <c r="D142" s="3" t="s">
        <v>132</v>
      </c>
      <c r="E142" s="3" t="s">
        <v>219</v>
      </c>
      <c r="F142" s="19" t="s">
        <v>122</v>
      </c>
      <c r="G142" s="3">
        <v>490.0</v>
      </c>
      <c r="H142" s="3"/>
      <c r="I142" s="3"/>
      <c r="J142" s="3"/>
      <c r="K142" s="3" t="s">
        <v>90</v>
      </c>
      <c r="L142" s="3" t="s">
        <v>220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 t="s">
        <v>39</v>
      </c>
      <c r="B143" s="3" t="s">
        <v>44</v>
      </c>
      <c r="C143" s="3" t="s">
        <v>102</v>
      </c>
      <c r="D143" s="3" t="s">
        <v>263</v>
      </c>
      <c r="E143" s="3" t="s">
        <v>120</v>
      </c>
      <c r="F143" s="19" t="s">
        <v>122</v>
      </c>
      <c r="G143" s="3">
        <v>360.0</v>
      </c>
      <c r="H143" s="3"/>
      <c r="I143" s="3"/>
      <c r="J143" s="3"/>
      <c r="K143" s="3" t="s">
        <v>90</v>
      </c>
      <c r="L143" s="3" t="s">
        <v>125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 t="s">
        <v>39</v>
      </c>
      <c r="B144" s="3" t="s">
        <v>44</v>
      </c>
      <c r="C144" s="3" t="s">
        <v>102</v>
      </c>
      <c r="D144" s="3" t="s">
        <v>251</v>
      </c>
      <c r="E144" s="3" t="s">
        <v>219</v>
      </c>
      <c r="F144" s="19" t="s">
        <v>122</v>
      </c>
      <c r="G144" s="3">
        <v>360.0</v>
      </c>
      <c r="H144" s="3"/>
      <c r="I144" s="3"/>
      <c r="J144" s="3"/>
      <c r="K144" s="3" t="s">
        <v>90</v>
      </c>
      <c r="L144" s="3" t="s">
        <v>220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 t="s">
        <v>39</v>
      </c>
      <c r="B145" s="3" t="s">
        <v>44</v>
      </c>
      <c r="C145" s="3" t="s">
        <v>102</v>
      </c>
      <c r="D145" s="3" t="s">
        <v>141</v>
      </c>
      <c r="E145" s="3" t="s">
        <v>219</v>
      </c>
      <c r="F145" s="19" t="s">
        <v>122</v>
      </c>
      <c r="G145" s="3">
        <v>300.0</v>
      </c>
      <c r="H145" s="3"/>
      <c r="I145" s="3"/>
      <c r="J145" s="3"/>
      <c r="K145" s="3" t="s">
        <v>90</v>
      </c>
      <c r="L145" s="3" t="s">
        <v>220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 t="s">
        <v>39</v>
      </c>
      <c r="B146" s="3" t="s">
        <v>44</v>
      </c>
      <c r="C146" s="3" t="s">
        <v>102</v>
      </c>
      <c r="D146" s="3" t="s">
        <v>264</v>
      </c>
      <c r="E146" s="3" t="s">
        <v>219</v>
      </c>
      <c r="F146" s="19" t="s">
        <v>122</v>
      </c>
      <c r="G146" s="3">
        <v>520.0</v>
      </c>
      <c r="H146" s="3"/>
      <c r="I146" s="3"/>
      <c r="J146" s="3"/>
      <c r="K146" s="3" t="s">
        <v>90</v>
      </c>
      <c r="L146" s="3" t="s">
        <v>220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 t="s">
        <v>39</v>
      </c>
      <c r="B147" s="3" t="s">
        <v>44</v>
      </c>
      <c r="C147" s="3" t="s">
        <v>102</v>
      </c>
      <c r="D147" s="3" t="s">
        <v>415</v>
      </c>
      <c r="E147" s="3" t="s">
        <v>402</v>
      </c>
      <c r="F147" s="19" t="s">
        <v>122</v>
      </c>
      <c r="G147" s="3">
        <v>520.0</v>
      </c>
      <c r="H147" s="3"/>
      <c r="I147" s="3"/>
      <c r="J147" s="3"/>
      <c r="K147" s="3" t="s">
        <v>59</v>
      </c>
      <c r="L147" s="3" t="s">
        <v>403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 t="s">
        <v>39</v>
      </c>
      <c r="B148" s="3" t="s">
        <v>44</v>
      </c>
      <c r="C148" s="3" t="s">
        <v>102</v>
      </c>
      <c r="D148" s="3" t="s">
        <v>418</v>
      </c>
      <c r="E148" s="3" t="s">
        <v>219</v>
      </c>
      <c r="F148" s="19" t="s">
        <v>122</v>
      </c>
      <c r="G148" s="3">
        <v>500.0</v>
      </c>
      <c r="H148" s="3"/>
      <c r="I148" s="3"/>
      <c r="J148" s="3"/>
      <c r="K148" s="3" t="s">
        <v>90</v>
      </c>
      <c r="L148" s="3" t="s">
        <v>220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 t="s">
        <v>39</v>
      </c>
      <c r="B149" s="3" t="s">
        <v>44</v>
      </c>
      <c r="C149" s="3" t="s">
        <v>102</v>
      </c>
      <c r="D149" s="3" t="s">
        <v>418</v>
      </c>
      <c r="E149" s="3" t="s">
        <v>224</v>
      </c>
      <c r="F149" s="19" t="s">
        <v>122</v>
      </c>
      <c r="G149" s="3">
        <v>500.0</v>
      </c>
      <c r="H149" s="3"/>
      <c r="I149" s="3"/>
      <c r="J149" s="3"/>
      <c r="K149" s="3" t="s">
        <v>90</v>
      </c>
      <c r="L149" s="3" t="s">
        <v>225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 t="s">
        <v>39</v>
      </c>
      <c r="B150" s="3" t="s">
        <v>44</v>
      </c>
      <c r="C150" s="3" t="s">
        <v>102</v>
      </c>
      <c r="D150" s="3" t="s">
        <v>80</v>
      </c>
      <c r="E150" s="3" t="s">
        <v>402</v>
      </c>
      <c r="F150" s="19" t="s">
        <v>122</v>
      </c>
      <c r="G150" s="3">
        <v>520.0</v>
      </c>
      <c r="H150" s="3"/>
      <c r="I150" s="3"/>
      <c r="J150" s="3"/>
      <c r="K150" s="3" t="s">
        <v>59</v>
      </c>
      <c r="L150" s="3" t="s">
        <v>403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 t="s">
        <v>39</v>
      </c>
      <c r="B151" s="3" t="s">
        <v>44</v>
      </c>
      <c r="C151" s="3" t="s">
        <v>102</v>
      </c>
      <c r="D151" s="3" t="s">
        <v>149</v>
      </c>
      <c r="E151" s="3" t="s">
        <v>219</v>
      </c>
      <c r="F151" s="19" t="s">
        <v>122</v>
      </c>
      <c r="G151" s="3">
        <v>520.0</v>
      </c>
      <c r="H151" s="3"/>
      <c r="I151" s="3"/>
      <c r="J151" s="3"/>
      <c r="K151" s="3" t="s">
        <v>90</v>
      </c>
      <c r="L151" s="3" t="s">
        <v>220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 t="s">
        <v>39</v>
      </c>
      <c r="B152" s="3" t="s">
        <v>44</v>
      </c>
      <c r="C152" s="3" t="s">
        <v>102</v>
      </c>
      <c r="D152" s="3" t="s">
        <v>149</v>
      </c>
      <c r="E152" s="3" t="s">
        <v>224</v>
      </c>
      <c r="F152" s="19" t="s">
        <v>122</v>
      </c>
      <c r="G152" s="3">
        <v>520.0</v>
      </c>
      <c r="H152" s="3"/>
      <c r="I152" s="3"/>
      <c r="J152" s="3"/>
      <c r="K152" s="3" t="s">
        <v>90</v>
      </c>
      <c r="L152" s="3" t="s">
        <v>225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 t="s">
        <v>39</v>
      </c>
      <c r="B153" s="3" t="s">
        <v>44</v>
      </c>
      <c r="C153" s="3" t="s">
        <v>102</v>
      </c>
      <c r="D153" s="3" t="s">
        <v>154</v>
      </c>
      <c r="E153" s="3" t="s">
        <v>224</v>
      </c>
      <c r="F153" s="19" t="s">
        <v>122</v>
      </c>
      <c r="G153" s="3">
        <v>360.0</v>
      </c>
      <c r="H153" s="3"/>
      <c r="I153" s="3"/>
      <c r="J153" s="3"/>
      <c r="K153" s="3" t="s">
        <v>90</v>
      </c>
      <c r="L153" s="3" t="s">
        <v>225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 t="s">
        <v>39</v>
      </c>
      <c r="B154" s="3" t="s">
        <v>44</v>
      </c>
      <c r="C154" s="3" t="s">
        <v>102</v>
      </c>
      <c r="D154" s="3" t="s">
        <v>133</v>
      </c>
      <c r="E154" s="3" t="s">
        <v>219</v>
      </c>
      <c r="F154" s="19" t="s">
        <v>122</v>
      </c>
      <c r="G154" s="3">
        <v>130.0</v>
      </c>
      <c r="H154" s="3"/>
      <c r="I154" s="3"/>
      <c r="J154" s="3"/>
      <c r="K154" s="3" t="s">
        <v>90</v>
      </c>
      <c r="L154" s="3" t="s">
        <v>220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 t="s">
        <v>39</v>
      </c>
      <c r="B155" s="3" t="s">
        <v>44</v>
      </c>
      <c r="C155" s="3" t="s">
        <v>102</v>
      </c>
      <c r="D155" s="3" t="s">
        <v>133</v>
      </c>
      <c r="E155" s="3" t="s">
        <v>224</v>
      </c>
      <c r="F155" s="19" t="s">
        <v>122</v>
      </c>
      <c r="G155" s="3">
        <v>130.0</v>
      </c>
      <c r="H155" s="3"/>
      <c r="I155" s="3"/>
      <c r="J155" s="3"/>
      <c r="K155" s="3" t="s">
        <v>90</v>
      </c>
      <c r="L155" s="3" t="s">
        <v>225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 t="s">
        <v>39</v>
      </c>
      <c r="B156" s="3" t="s">
        <v>44</v>
      </c>
      <c r="C156" s="3" t="s">
        <v>102</v>
      </c>
      <c r="D156" s="3" t="s">
        <v>133</v>
      </c>
      <c r="E156" s="3" t="s">
        <v>120</v>
      </c>
      <c r="F156" s="19" t="s">
        <v>122</v>
      </c>
      <c r="G156" s="3">
        <v>130.0</v>
      </c>
      <c r="H156" s="3"/>
      <c r="I156" s="3"/>
      <c r="J156" s="3"/>
      <c r="K156" s="3" t="s">
        <v>90</v>
      </c>
      <c r="L156" s="3" t="s">
        <v>125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 t="s">
        <v>39</v>
      </c>
      <c r="B157" s="3" t="s">
        <v>44</v>
      </c>
      <c r="C157" s="3" t="s">
        <v>102</v>
      </c>
      <c r="D157" s="3" t="s">
        <v>169</v>
      </c>
      <c r="E157" s="3" t="s">
        <v>224</v>
      </c>
      <c r="F157" s="19" t="s">
        <v>122</v>
      </c>
      <c r="G157" s="3">
        <v>520.0</v>
      </c>
      <c r="H157" s="3"/>
      <c r="I157" s="3"/>
      <c r="J157" s="3"/>
      <c r="K157" s="3" t="s">
        <v>90</v>
      </c>
      <c r="L157" s="3" t="s">
        <v>225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 t="s">
        <v>39</v>
      </c>
      <c r="B158" s="3" t="s">
        <v>44</v>
      </c>
      <c r="C158" s="3" t="s">
        <v>102</v>
      </c>
      <c r="D158" s="3" t="s">
        <v>276</v>
      </c>
      <c r="E158" s="3" t="s">
        <v>120</v>
      </c>
      <c r="F158" s="19" t="s">
        <v>122</v>
      </c>
      <c r="G158" s="3">
        <v>490.0</v>
      </c>
      <c r="H158" s="3"/>
      <c r="I158" s="3"/>
      <c r="J158" s="3"/>
      <c r="K158" s="3" t="s">
        <v>90</v>
      </c>
      <c r="L158" s="3" t="s">
        <v>125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 t="s">
        <v>39</v>
      </c>
      <c r="B159" s="3" t="s">
        <v>44</v>
      </c>
      <c r="C159" s="3" t="s">
        <v>102</v>
      </c>
      <c r="D159" s="3" t="s">
        <v>276</v>
      </c>
      <c r="E159" s="3" t="s">
        <v>165</v>
      </c>
      <c r="F159" s="19" t="s">
        <v>122</v>
      </c>
      <c r="G159" s="3">
        <v>490.0</v>
      </c>
      <c r="H159" s="3"/>
      <c r="I159" s="3"/>
      <c r="J159" s="3"/>
      <c r="K159" s="3" t="s">
        <v>90</v>
      </c>
      <c r="L159" s="3" t="s">
        <v>166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 t="s">
        <v>39</v>
      </c>
      <c r="B160" s="3" t="s">
        <v>44</v>
      </c>
      <c r="C160" s="3" t="s">
        <v>102</v>
      </c>
      <c r="D160" s="3" t="s">
        <v>277</v>
      </c>
      <c r="E160" s="3" t="s">
        <v>224</v>
      </c>
      <c r="F160" s="19" t="s">
        <v>122</v>
      </c>
      <c r="G160" s="3">
        <v>520.0</v>
      </c>
      <c r="H160" s="3"/>
      <c r="I160" s="3"/>
      <c r="J160" s="3"/>
      <c r="K160" s="3" t="s">
        <v>90</v>
      </c>
      <c r="L160" s="3" t="s">
        <v>225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 t="s">
        <v>39</v>
      </c>
      <c r="B161" s="3" t="s">
        <v>44</v>
      </c>
      <c r="C161" s="3" t="s">
        <v>102</v>
      </c>
      <c r="D161" s="3" t="s">
        <v>173</v>
      </c>
      <c r="E161" s="3" t="s">
        <v>219</v>
      </c>
      <c r="F161" s="19" t="s">
        <v>122</v>
      </c>
      <c r="G161" s="3">
        <v>500.0</v>
      </c>
      <c r="H161" s="3"/>
      <c r="I161" s="3"/>
      <c r="J161" s="3"/>
      <c r="K161" s="3" t="s">
        <v>90</v>
      </c>
      <c r="L161" s="3" t="s">
        <v>220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 t="s">
        <v>39</v>
      </c>
      <c r="B162" s="3" t="s">
        <v>44</v>
      </c>
      <c r="C162" s="3" t="s">
        <v>102</v>
      </c>
      <c r="D162" s="3" t="s">
        <v>173</v>
      </c>
      <c r="E162" s="3" t="s">
        <v>224</v>
      </c>
      <c r="F162" s="19" t="s">
        <v>122</v>
      </c>
      <c r="G162" s="3">
        <v>500.0</v>
      </c>
      <c r="H162" s="3"/>
      <c r="I162" s="3"/>
      <c r="J162" s="3"/>
      <c r="K162" s="3" t="s">
        <v>90</v>
      </c>
      <c r="L162" s="3" t="s">
        <v>225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 t="s">
        <v>39</v>
      </c>
      <c r="B163" s="3" t="s">
        <v>44</v>
      </c>
      <c r="C163" s="3" t="s">
        <v>102</v>
      </c>
      <c r="D163" s="3" t="s">
        <v>173</v>
      </c>
      <c r="E163" s="3" t="s">
        <v>120</v>
      </c>
      <c r="F163" s="19" t="s">
        <v>122</v>
      </c>
      <c r="G163" s="3">
        <v>500.0</v>
      </c>
      <c r="H163" s="3"/>
      <c r="I163" s="3"/>
      <c r="J163" s="3"/>
      <c r="K163" s="3" t="s">
        <v>90</v>
      </c>
      <c r="L163" s="3" t="s">
        <v>125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 t="s">
        <v>39</v>
      </c>
      <c r="B164" s="3" t="s">
        <v>44</v>
      </c>
      <c r="C164" s="3" t="s">
        <v>102</v>
      </c>
      <c r="D164" s="3" t="s">
        <v>281</v>
      </c>
      <c r="E164" s="3" t="s">
        <v>219</v>
      </c>
      <c r="F164" s="19" t="s">
        <v>122</v>
      </c>
      <c r="G164" s="3">
        <v>520.0</v>
      </c>
      <c r="H164" s="3"/>
      <c r="I164" s="3"/>
      <c r="J164" s="3"/>
      <c r="K164" s="3" t="s">
        <v>90</v>
      </c>
      <c r="L164" s="3" t="s">
        <v>220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 t="s">
        <v>39</v>
      </c>
      <c r="B165" s="3" t="s">
        <v>44</v>
      </c>
      <c r="C165" s="3" t="s">
        <v>102</v>
      </c>
      <c r="D165" s="3" t="s">
        <v>282</v>
      </c>
      <c r="E165" s="3" t="s">
        <v>224</v>
      </c>
      <c r="F165" s="19" t="s">
        <v>122</v>
      </c>
      <c r="G165" s="3">
        <v>520.0</v>
      </c>
      <c r="H165" s="3"/>
      <c r="I165" s="3"/>
      <c r="J165" s="3"/>
      <c r="K165" s="3" t="s">
        <v>90</v>
      </c>
      <c r="L165" s="3" t="s">
        <v>225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 t="s">
        <v>39</v>
      </c>
      <c r="B166" s="3" t="s">
        <v>44</v>
      </c>
      <c r="C166" s="3" t="s">
        <v>102</v>
      </c>
      <c r="D166" s="3" t="s">
        <v>283</v>
      </c>
      <c r="E166" s="3" t="s">
        <v>224</v>
      </c>
      <c r="F166" s="19" t="s">
        <v>122</v>
      </c>
      <c r="G166" s="3">
        <v>570.0</v>
      </c>
      <c r="H166" s="3"/>
      <c r="I166" s="3"/>
      <c r="J166" s="3"/>
      <c r="K166" s="3" t="s">
        <v>90</v>
      </c>
      <c r="L166" s="3" t="s">
        <v>225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 t="s">
        <v>39</v>
      </c>
      <c r="B167" s="3" t="s">
        <v>44</v>
      </c>
      <c r="C167" s="3" t="s">
        <v>102</v>
      </c>
      <c r="D167" s="3" t="s">
        <v>286</v>
      </c>
      <c r="E167" s="3" t="s">
        <v>219</v>
      </c>
      <c r="F167" s="19" t="s">
        <v>122</v>
      </c>
      <c r="G167" s="3">
        <v>490.0</v>
      </c>
      <c r="H167" s="3"/>
      <c r="I167" s="3"/>
      <c r="J167" s="3"/>
      <c r="K167" s="3" t="s">
        <v>90</v>
      </c>
      <c r="L167" s="3" t="s">
        <v>220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 t="s">
        <v>39</v>
      </c>
      <c r="B168" s="3" t="s">
        <v>44</v>
      </c>
      <c r="C168" s="3" t="s">
        <v>102</v>
      </c>
      <c r="D168" s="3" t="s">
        <v>286</v>
      </c>
      <c r="E168" s="3" t="s">
        <v>224</v>
      </c>
      <c r="F168" s="19" t="s">
        <v>122</v>
      </c>
      <c r="G168" s="3">
        <v>490.0</v>
      </c>
      <c r="H168" s="3"/>
      <c r="I168" s="3"/>
      <c r="J168" s="3"/>
      <c r="K168" s="3" t="s">
        <v>90</v>
      </c>
      <c r="L168" s="3" t="s">
        <v>225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 t="s">
        <v>39</v>
      </c>
      <c r="B169" s="3" t="s">
        <v>44</v>
      </c>
      <c r="C169" s="3" t="s">
        <v>102</v>
      </c>
      <c r="D169" s="3" t="s">
        <v>178</v>
      </c>
      <c r="E169" s="3" t="s">
        <v>224</v>
      </c>
      <c r="F169" s="19" t="s">
        <v>122</v>
      </c>
      <c r="G169" s="3">
        <v>700.0</v>
      </c>
      <c r="H169" s="3"/>
      <c r="I169" s="3"/>
      <c r="J169" s="3"/>
      <c r="K169" s="3" t="s">
        <v>90</v>
      </c>
      <c r="L169" s="3" t="s">
        <v>225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 t="s">
        <v>39</v>
      </c>
      <c r="B170" s="3" t="s">
        <v>44</v>
      </c>
      <c r="C170" s="3" t="s">
        <v>102</v>
      </c>
      <c r="D170" s="3" t="s">
        <v>178</v>
      </c>
      <c r="E170" s="3" t="s">
        <v>402</v>
      </c>
      <c r="F170" s="19" t="s">
        <v>122</v>
      </c>
      <c r="G170" s="3">
        <v>700.0</v>
      </c>
      <c r="H170" s="3"/>
      <c r="I170" s="3"/>
      <c r="J170" s="3"/>
      <c r="K170" s="3" t="s">
        <v>90</v>
      </c>
      <c r="L170" s="3" t="s">
        <v>403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 t="s">
        <v>39</v>
      </c>
      <c r="B171" s="3" t="s">
        <v>44</v>
      </c>
      <c r="C171" s="3" t="s">
        <v>102</v>
      </c>
      <c r="D171" s="3" t="s">
        <v>178</v>
      </c>
      <c r="E171" s="3" t="s">
        <v>120</v>
      </c>
      <c r="F171" s="19" t="s">
        <v>122</v>
      </c>
      <c r="G171" s="3">
        <v>700.0</v>
      </c>
      <c r="H171" s="3"/>
      <c r="I171" s="3"/>
      <c r="J171" s="3"/>
      <c r="K171" s="3" t="s">
        <v>90</v>
      </c>
      <c r="L171" s="3" t="s">
        <v>125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 t="s">
        <v>39</v>
      </c>
      <c r="B172" s="3" t="s">
        <v>44</v>
      </c>
      <c r="C172" s="3" t="s">
        <v>102</v>
      </c>
      <c r="D172" s="3" t="s">
        <v>178</v>
      </c>
      <c r="E172" s="3" t="s">
        <v>165</v>
      </c>
      <c r="F172" s="19" t="s">
        <v>122</v>
      </c>
      <c r="G172" s="3">
        <v>700.0</v>
      </c>
      <c r="H172" s="3"/>
      <c r="I172" s="3"/>
      <c r="J172" s="3"/>
      <c r="K172" s="3" t="s">
        <v>90</v>
      </c>
      <c r="L172" s="3" t="s">
        <v>166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 t="s">
        <v>39</v>
      </c>
      <c r="B173" s="3" t="s">
        <v>44</v>
      </c>
      <c r="C173" s="3" t="s">
        <v>102</v>
      </c>
      <c r="D173" s="3" t="s">
        <v>292</v>
      </c>
      <c r="E173" s="3" t="s">
        <v>120</v>
      </c>
      <c r="F173" s="19" t="s">
        <v>122</v>
      </c>
      <c r="G173" s="3">
        <v>610.0</v>
      </c>
      <c r="H173" s="3"/>
      <c r="I173" s="3"/>
      <c r="J173" s="3"/>
      <c r="K173" s="3" t="s">
        <v>90</v>
      </c>
      <c r="L173" s="3" t="s">
        <v>125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 t="s">
        <v>39</v>
      </c>
      <c r="B174" s="3" t="s">
        <v>44</v>
      </c>
      <c r="C174" s="3" t="s">
        <v>102</v>
      </c>
      <c r="D174" s="3" t="s">
        <v>293</v>
      </c>
      <c r="E174" s="3" t="s">
        <v>216</v>
      </c>
      <c r="F174" s="19" t="s">
        <v>122</v>
      </c>
      <c r="G174" s="3">
        <v>500.0</v>
      </c>
      <c r="H174" s="3"/>
      <c r="I174" s="3"/>
      <c r="J174" s="3"/>
      <c r="K174" s="3" t="s">
        <v>232</v>
      </c>
      <c r="L174" s="3" t="s">
        <v>217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 t="s">
        <v>39</v>
      </c>
      <c r="B175" s="3" t="s">
        <v>44</v>
      </c>
      <c r="C175" s="3" t="s">
        <v>102</v>
      </c>
      <c r="D175" s="3" t="s">
        <v>296</v>
      </c>
      <c r="E175" s="3" t="s">
        <v>224</v>
      </c>
      <c r="F175" s="19" t="s">
        <v>122</v>
      </c>
      <c r="G175" s="3">
        <v>520.0</v>
      </c>
      <c r="H175" s="3"/>
      <c r="I175" s="3"/>
      <c r="J175" s="3"/>
      <c r="K175" s="3" t="s">
        <v>90</v>
      </c>
      <c r="L175" s="3" t="s">
        <v>225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 t="s">
        <v>39</v>
      </c>
      <c r="B176" s="3" t="s">
        <v>44</v>
      </c>
      <c r="C176" s="3" t="s">
        <v>102</v>
      </c>
      <c r="D176" s="3" t="s">
        <v>296</v>
      </c>
      <c r="E176" s="3" t="s">
        <v>402</v>
      </c>
      <c r="F176" s="19" t="s">
        <v>122</v>
      </c>
      <c r="G176" s="3">
        <v>520.0</v>
      </c>
      <c r="H176" s="3"/>
      <c r="I176" s="3"/>
      <c r="J176" s="3"/>
      <c r="K176" s="3" t="s">
        <v>90</v>
      </c>
      <c r="L176" s="3" t="s">
        <v>403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 t="s">
        <v>39</v>
      </c>
      <c r="B177" s="3" t="s">
        <v>44</v>
      </c>
      <c r="C177" s="3" t="s">
        <v>102</v>
      </c>
      <c r="D177" s="3" t="s">
        <v>300</v>
      </c>
      <c r="E177" s="3" t="s">
        <v>367</v>
      </c>
      <c r="F177" s="19" t="s">
        <v>122</v>
      </c>
      <c r="G177" s="3">
        <v>700.0</v>
      </c>
      <c r="H177" s="3"/>
      <c r="I177" s="3"/>
      <c r="J177" s="3"/>
      <c r="K177" s="3" t="s">
        <v>226</v>
      </c>
      <c r="L177" s="3" t="s">
        <v>368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 t="s">
        <v>39</v>
      </c>
      <c r="B178" s="3" t="s">
        <v>44</v>
      </c>
      <c r="C178" s="3" t="s">
        <v>102</v>
      </c>
      <c r="D178" s="3" t="s">
        <v>182</v>
      </c>
      <c r="E178" s="3" t="s">
        <v>219</v>
      </c>
      <c r="F178" s="19" t="s">
        <v>122</v>
      </c>
      <c r="G178" s="3">
        <v>300.0</v>
      </c>
      <c r="H178" s="3"/>
      <c r="I178" s="3"/>
      <c r="J178" s="3"/>
      <c r="K178" s="3" t="s">
        <v>90</v>
      </c>
      <c r="L178" s="3" t="s">
        <v>220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 t="s">
        <v>39</v>
      </c>
      <c r="B179" s="3" t="s">
        <v>44</v>
      </c>
      <c r="C179" s="3" t="s">
        <v>102</v>
      </c>
      <c r="D179" s="3" t="s">
        <v>119</v>
      </c>
      <c r="E179" s="3" t="s">
        <v>120</v>
      </c>
      <c r="F179" s="19" t="s">
        <v>122</v>
      </c>
      <c r="G179" s="3">
        <v>130.0</v>
      </c>
      <c r="H179" s="3"/>
      <c r="I179" s="3"/>
      <c r="J179" s="3"/>
      <c r="K179" s="3" t="s">
        <v>90</v>
      </c>
      <c r="L179" s="3" t="s">
        <v>125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 t="s">
        <v>39</v>
      </c>
      <c r="B180" s="3" t="s">
        <v>44</v>
      </c>
      <c r="C180" s="3" t="s">
        <v>102</v>
      </c>
      <c r="D180" s="3" t="s">
        <v>184</v>
      </c>
      <c r="E180" s="3" t="s">
        <v>224</v>
      </c>
      <c r="F180" s="19" t="s">
        <v>122</v>
      </c>
      <c r="G180" s="3">
        <v>360.0</v>
      </c>
      <c r="H180" s="3"/>
      <c r="I180" s="3"/>
      <c r="J180" s="3"/>
      <c r="K180" s="3" t="s">
        <v>90</v>
      </c>
      <c r="L180" s="3" t="s">
        <v>225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 t="s">
        <v>39</v>
      </c>
      <c r="B181" s="3" t="s">
        <v>44</v>
      </c>
      <c r="C181" s="3" t="s">
        <v>102</v>
      </c>
      <c r="D181" s="3" t="s">
        <v>480</v>
      </c>
      <c r="E181" s="3" t="s">
        <v>219</v>
      </c>
      <c r="F181" s="19" t="s">
        <v>122</v>
      </c>
      <c r="G181" s="3">
        <v>490.0</v>
      </c>
      <c r="H181" s="3"/>
      <c r="I181" s="3"/>
      <c r="J181" s="3"/>
      <c r="K181" s="3" t="s">
        <v>90</v>
      </c>
      <c r="L181" s="3" t="s">
        <v>220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 t="s">
        <v>39</v>
      </c>
      <c r="B182" s="3" t="s">
        <v>44</v>
      </c>
      <c r="C182" s="3" t="s">
        <v>102</v>
      </c>
      <c r="D182" s="3" t="s">
        <v>301</v>
      </c>
      <c r="E182" s="3" t="s">
        <v>219</v>
      </c>
      <c r="F182" s="19" t="s">
        <v>122</v>
      </c>
      <c r="G182" s="3">
        <v>490.0</v>
      </c>
      <c r="H182" s="3"/>
      <c r="I182" s="3"/>
      <c r="J182" s="3"/>
      <c r="K182" s="3" t="s">
        <v>90</v>
      </c>
      <c r="L182" s="3" t="s">
        <v>220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 t="s">
        <v>39</v>
      </c>
      <c r="B183" s="3" t="s">
        <v>44</v>
      </c>
      <c r="C183" s="3" t="s">
        <v>102</v>
      </c>
      <c r="D183" s="3" t="s">
        <v>265</v>
      </c>
      <c r="E183" s="3" t="s">
        <v>120</v>
      </c>
      <c r="F183" s="19" t="s">
        <v>122</v>
      </c>
      <c r="G183" s="3">
        <v>360.0</v>
      </c>
      <c r="H183" s="3"/>
      <c r="I183" s="3"/>
      <c r="J183" s="3"/>
      <c r="K183" s="3" t="s">
        <v>90</v>
      </c>
      <c r="L183" s="3" t="s">
        <v>125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 t="s">
        <v>39</v>
      </c>
      <c r="B184" s="3" t="s">
        <v>44</v>
      </c>
      <c r="C184" s="3" t="s">
        <v>102</v>
      </c>
      <c r="D184" s="3" t="s">
        <v>302</v>
      </c>
      <c r="E184" s="3" t="s">
        <v>219</v>
      </c>
      <c r="F184" s="19" t="s">
        <v>122</v>
      </c>
      <c r="G184" s="3">
        <v>490.0</v>
      </c>
      <c r="H184" s="3"/>
      <c r="I184" s="3"/>
      <c r="J184" s="3"/>
      <c r="K184" s="3" t="s">
        <v>90</v>
      </c>
      <c r="L184" s="3" t="s">
        <v>220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 t="s">
        <v>39</v>
      </c>
      <c r="B185" s="3" t="s">
        <v>44</v>
      </c>
      <c r="C185" s="3" t="s">
        <v>102</v>
      </c>
      <c r="D185" s="3" t="s">
        <v>187</v>
      </c>
      <c r="E185" s="3" t="s">
        <v>224</v>
      </c>
      <c r="F185" s="19" t="s">
        <v>122</v>
      </c>
      <c r="G185" s="3">
        <v>700.0</v>
      </c>
      <c r="H185" s="3"/>
      <c r="I185" s="3"/>
      <c r="J185" s="3"/>
      <c r="K185" s="3" t="s">
        <v>90</v>
      </c>
      <c r="L185" s="3" t="s">
        <v>225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 t="s">
        <v>39</v>
      </c>
      <c r="B186" s="3" t="s">
        <v>44</v>
      </c>
      <c r="C186" s="3" t="s">
        <v>102</v>
      </c>
      <c r="D186" s="3" t="s">
        <v>187</v>
      </c>
      <c r="E186" s="3" t="s">
        <v>165</v>
      </c>
      <c r="F186" s="19" t="s">
        <v>122</v>
      </c>
      <c r="G186" s="3">
        <v>700.0</v>
      </c>
      <c r="H186" s="3"/>
      <c r="I186" s="3"/>
      <c r="J186" s="3"/>
      <c r="K186" s="3" t="s">
        <v>90</v>
      </c>
      <c r="L186" s="3" t="s">
        <v>166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 t="s">
        <v>39</v>
      </c>
      <c r="B187" s="3" t="s">
        <v>44</v>
      </c>
      <c r="C187" s="3" t="s">
        <v>102</v>
      </c>
      <c r="D187" s="3" t="s">
        <v>485</v>
      </c>
      <c r="E187" s="3" t="s">
        <v>219</v>
      </c>
      <c r="F187" s="19" t="s">
        <v>122</v>
      </c>
      <c r="G187" s="3">
        <v>520.0</v>
      </c>
      <c r="H187" s="3"/>
      <c r="I187" s="3"/>
      <c r="J187" s="3"/>
      <c r="K187" s="3" t="s">
        <v>90</v>
      </c>
      <c r="L187" s="3" t="s">
        <v>220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 t="s">
        <v>39</v>
      </c>
      <c r="B188" s="3" t="s">
        <v>44</v>
      </c>
      <c r="C188" s="3" t="s">
        <v>102</v>
      </c>
      <c r="D188" s="3" t="s">
        <v>488</v>
      </c>
      <c r="E188" s="3" t="s">
        <v>367</v>
      </c>
      <c r="F188" s="19" t="s">
        <v>122</v>
      </c>
      <c r="G188" s="3">
        <v>700.0</v>
      </c>
      <c r="H188" s="3"/>
      <c r="I188" s="3"/>
      <c r="J188" s="3"/>
      <c r="K188" s="3" t="s">
        <v>226</v>
      </c>
      <c r="L188" s="3" t="s">
        <v>368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 t="s">
        <v>39</v>
      </c>
      <c r="B189" s="3" t="s">
        <v>44</v>
      </c>
      <c r="C189" s="3" t="s">
        <v>102</v>
      </c>
      <c r="D189" s="3" t="s">
        <v>311</v>
      </c>
      <c r="E189" s="3" t="s">
        <v>379</v>
      </c>
      <c r="F189" s="19" t="s">
        <v>122</v>
      </c>
      <c r="G189" s="3">
        <v>610.0</v>
      </c>
      <c r="H189" s="3"/>
      <c r="I189" s="3"/>
      <c r="J189" s="3"/>
      <c r="K189" s="3" t="s">
        <v>232</v>
      </c>
      <c r="L189" s="3" t="s">
        <v>382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 t="s">
        <v>39</v>
      </c>
      <c r="B190" s="3" t="s">
        <v>44</v>
      </c>
      <c r="C190" s="3" t="s">
        <v>102</v>
      </c>
      <c r="D190" s="3" t="s">
        <v>491</v>
      </c>
      <c r="E190" s="3" t="s">
        <v>224</v>
      </c>
      <c r="F190" s="19" t="s">
        <v>122</v>
      </c>
      <c r="G190" s="3">
        <v>520.0</v>
      </c>
      <c r="H190" s="3"/>
      <c r="I190" s="3"/>
      <c r="J190" s="3"/>
      <c r="K190" s="3" t="s">
        <v>90</v>
      </c>
      <c r="L190" s="3" t="s">
        <v>225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 t="s">
        <v>39</v>
      </c>
      <c r="B191" s="3" t="s">
        <v>44</v>
      </c>
      <c r="C191" s="3" t="s">
        <v>102</v>
      </c>
      <c r="D191" s="3" t="s">
        <v>491</v>
      </c>
      <c r="E191" s="3" t="s">
        <v>402</v>
      </c>
      <c r="F191" s="19" t="s">
        <v>122</v>
      </c>
      <c r="G191" s="3">
        <v>520.0</v>
      </c>
      <c r="H191" s="3"/>
      <c r="I191" s="3"/>
      <c r="J191" s="3"/>
      <c r="K191" s="3" t="s">
        <v>90</v>
      </c>
      <c r="L191" s="3" t="s">
        <v>403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 t="s">
        <v>39</v>
      </c>
      <c r="B192" s="3" t="s">
        <v>44</v>
      </c>
      <c r="C192" s="3" t="s">
        <v>102</v>
      </c>
      <c r="D192" s="3" t="s">
        <v>491</v>
      </c>
      <c r="E192" s="3" t="s">
        <v>165</v>
      </c>
      <c r="F192" s="19" t="s">
        <v>122</v>
      </c>
      <c r="G192" s="3">
        <v>520.0</v>
      </c>
      <c r="H192" s="3"/>
      <c r="I192" s="3"/>
      <c r="J192" s="3"/>
      <c r="K192" s="3" t="s">
        <v>90</v>
      </c>
      <c r="L192" s="3" t="s">
        <v>166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 t="s">
        <v>39</v>
      </c>
      <c r="B193" s="3" t="s">
        <v>44</v>
      </c>
      <c r="C193" s="3" t="s">
        <v>102</v>
      </c>
      <c r="D193" s="3" t="s">
        <v>89</v>
      </c>
      <c r="E193" s="3" t="s">
        <v>224</v>
      </c>
      <c r="F193" s="19" t="s">
        <v>122</v>
      </c>
      <c r="G193" s="3">
        <v>130.0</v>
      </c>
      <c r="H193" s="3"/>
      <c r="I193" s="3"/>
      <c r="J193" s="3"/>
      <c r="K193" s="3" t="s">
        <v>90</v>
      </c>
      <c r="L193" s="3" t="s">
        <v>225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 t="s">
        <v>39</v>
      </c>
      <c r="B194" s="3" t="s">
        <v>44</v>
      </c>
      <c r="C194" s="3" t="s">
        <v>102</v>
      </c>
      <c r="D194" s="3" t="s">
        <v>315</v>
      </c>
      <c r="E194" s="3" t="s">
        <v>224</v>
      </c>
      <c r="F194" s="19" t="s">
        <v>122</v>
      </c>
      <c r="G194" s="3">
        <v>610.0</v>
      </c>
      <c r="H194" s="3"/>
      <c r="I194" s="3"/>
      <c r="J194" s="3"/>
      <c r="K194" s="3" t="s">
        <v>90</v>
      </c>
      <c r="L194" s="3" t="s">
        <v>225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 t="s">
        <v>39</v>
      </c>
      <c r="B195" s="3" t="s">
        <v>44</v>
      </c>
      <c r="C195" s="3" t="s">
        <v>102</v>
      </c>
      <c r="D195" s="3" t="s">
        <v>494</v>
      </c>
      <c r="E195" s="3" t="s">
        <v>257</v>
      </c>
      <c r="F195" s="19" t="s">
        <v>122</v>
      </c>
      <c r="G195" s="3">
        <v>570.0</v>
      </c>
      <c r="H195" s="3"/>
      <c r="I195" s="3"/>
      <c r="J195" s="3"/>
      <c r="K195" s="3" t="s">
        <v>232</v>
      </c>
      <c r="L195" s="3" t="s">
        <v>258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 t="s">
        <v>39</v>
      </c>
      <c r="B196" s="3" t="s">
        <v>44</v>
      </c>
      <c r="C196" s="3" t="s">
        <v>102</v>
      </c>
      <c r="D196" s="3" t="s">
        <v>190</v>
      </c>
      <c r="E196" s="3" t="s">
        <v>224</v>
      </c>
      <c r="F196" s="19" t="s">
        <v>122</v>
      </c>
      <c r="G196" s="3">
        <v>500.0</v>
      </c>
      <c r="H196" s="3"/>
      <c r="I196" s="3"/>
      <c r="J196" s="3"/>
      <c r="K196" s="3" t="s">
        <v>90</v>
      </c>
      <c r="L196" s="3" t="s">
        <v>225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 t="s">
        <v>39</v>
      </c>
      <c r="B197" s="3" t="s">
        <v>44</v>
      </c>
      <c r="C197" s="3" t="s">
        <v>102</v>
      </c>
      <c r="D197" s="3" t="s">
        <v>190</v>
      </c>
      <c r="E197" s="3" t="s">
        <v>120</v>
      </c>
      <c r="F197" s="19" t="s">
        <v>122</v>
      </c>
      <c r="G197" s="3">
        <v>500.0</v>
      </c>
      <c r="H197" s="3"/>
      <c r="I197" s="3"/>
      <c r="J197" s="3"/>
      <c r="K197" s="3" t="s">
        <v>90</v>
      </c>
      <c r="L197" s="3" t="s">
        <v>125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 t="s">
        <v>39</v>
      </c>
      <c r="B198" s="3" t="s">
        <v>44</v>
      </c>
      <c r="C198" s="3" t="s">
        <v>102</v>
      </c>
      <c r="D198" s="3" t="s">
        <v>193</v>
      </c>
      <c r="E198" s="3" t="s">
        <v>219</v>
      </c>
      <c r="F198" s="19" t="s">
        <v>122</v>
      </c>
      <c r="G198" s="3">
        <v>610.0</v>
      </c>
      <c r="H198" s="3"/>
      <c r="I198" s="3"/>
      <c r="J198" s="3"/>
      <c r="K198" s="3" t="s">
        <v>90</v>
      </c>
      <c r="L198" s="3" t="s">
        <v>220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 t="s">
        <v>39</v>
      </c>
      <c r="B199" s="3" t="s">
        <v>44</v>
      </c>
      <c r="C199" s="3" t="s">
        <v>102</v>
      </c>
      <c r="D199" s="3" t="s">
        <v>193</v>
      </c>
      <c r="E199" s="3" t="s">
        <v>120</v>
      </c>
      <c r="F199" s="19" t="s">
        <v>122</v>
      </c>
      <c r="G199" s="3">
        <v>610.0</v>
      </c>
      <c r="H199" s="3"/>
      <c r="I199" s="3"/>
      <c r="J199" s="3"/>
      <c r="K199" s="3" t="s">
        <v>90</v>
      </c>
      <c r="L199" s="3" t="s">
        <v>125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 t="s">
        <v>39</v>
      </c>
      <c r="B200" s="3" t="s">
        <v>44</v>
      </c>
      <c r="C200" s="3" t="s">
        <v>102</v>
      </c>
      <c r="D200" s="3" t="s">
        <v>320</v>
      </c>
      <c r="E200" s="3" t="s">
        <v>367</v>
      </c>
      <c r="F200" s="19" t="s">
        <v>122</v>
      </c>
      <c r="G200" s="3">
        <v>570.0</v>
      </c>
      <c r="H200" s="3"/>
      <c r="I200" s="3"/>
      <c r="J200" s="3"/>
      <c r="K200" s="3" t="s">
        <v>226</v>
      </c>
      <c r="L200" s="3" t="s">
        <v>368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14" t="s">
        <v>39</v>
      </c>
      <c r="B201" s="14" t="s">
        <v>44</v>
      </c>
      <c r="C201" s="14" t="s">
        <v>102</v>
      </c>
      <c r="D201" s="14" t="s">
        <v>323</v>
      </c>
      <c r="E201" s="14" t="s">
        <v>367</v>
      </c>
      <c r="F201" s="15" t="s">
        <v>122</v>
      </c>
      <c r="G201" s="14">
        <v>570.0</v>
      </c>
      <c r="H201" s="14"/>
      <c r="I201" s="14"/>
      <c r="J201" s="14"/>
      <c r="K201" s="14" t="s">
        <v>226</v>
      </c>
      <c r="L201" s="14" t="s">
        <v>368</v>
      </c>
    </row>
    <row r="202" ht="15.75" customHeight="1">
      <c r="A202" s="14" t="s">
        <v>39</v>
      </c>
      <c r="B202" s="14" t="s">
        <v>44</v>
      </c>
      <c r="C202" s="14" t="s">
        <v>102</v>
      </c>
      <c r="D202" s="14" t="s">
        <v>324</v>
      </c>
      <c r="E202" s="14" t="s">
        <v>367</v>
      </c>
      <c r="F202" s="15" t="s">
        <v>122</v>
      </c>
      <c r="G202" s="14">
        <v>570.0</v>
      </c>
      <c r="H202" s="14"/>
      <c r="I202" s="14"/>
      <c r="J202" s="14"/>
      <c r="K202" s="14" t="s">
        <v>226</v>
      </c>
      <c r="L202" s="14" t="s">
        <v>368</v>
      </c>
    </row>
    <row r="203" ht="15.75" customHeight="1">
      <c r="A203" s="14" t="s">
        <v>39</v>
      </c>
      <c r="B203" s="14" t="s">
        <v>44</v>
      </c>
      <c r="C203" s="14" t="s">
        <v>102</v>
      </c>
      <c r="D203" s="14" t="s">
        <v>325</v>
      </c>
      <c r="E203" s="14" t="s">
        <v>367</v>
      </c>
      <c r="F203" s="15" t="s">
        <v>122</v>
      </c>
      <c r="G203" s="14">
        <v>570.0</v>
      </c>
      <c r="H203" s="14"/>
      <c r="I203" s="14"/>
      <c r="J203" s="14"/>
      <c r="K203" s="14" t="s">
        <v>226</v>
      </c>
      <c r="L203" s="14" t="s">
        <v>368</v>
      </c>
    </row>
    <row r="204" ht="15.75" customHeight="1">
      <c r="A204" s="14" t="s">
        <v>39</v>
      </c>
      <c r="B204" s="14" t="s">
        <v>44</v>
      </c>
      <c r="C204" s="14" t="s">
        <v>102</v>
      </c>
      <c r="D204" s="14" t="s">
        <v>326</v>
      </c>
      <c r="E204" s="14" t="s">
        <v>216</v>
      </c>
      <c r="F204" s="15" t="s">
        <v>122</v>
      </c>
      <c r="G204" s="14">
        <v>570.0</v>
      </c>
      <c r="H204" s="14"/>
      <c r="I204" s="14"/>
      <c r="J204" s="14"/>
      <c r="K204" s="14" t="s">
        <v>232</v>
      </c>
      <c r="L204" s="14" t="s">
        <v>217</v>
      </c>
    </row>
    <row r="205" ht="15.75" customHeight="1">
      <c r="A205" s="14" t="s">
        <v>39</v>
      </c>
      <c r="B205" s="14" t="s">
        <v>44</v>
      </c>
      <c r="C205" s="14" t="s">
        <v>102</v>
      </c>
      <c r="D205" s="14" t="s">
        <v>326</v>
      </c>
      <c r="E205" s="14" t="s">
        <v>224</v>
      </c>
      <c r="F205" s="15" t="s">
        <v>122</v>
      </c>
      <c r="G205" s="14">
        <v>570.0</v>
      </c>
      <c r="H205" s="14"/>
      <c r="I205" s="14"/>
      <c r="J205" s="14"/>
      <c r="K205" s="14" t="s">
        <v>90</v>
      </c>
      <c r="L205" s="14" t="s">
        <v>225</v>
      </c>
    </row>
    <row r="206" ht="15.75" customHeight="1">
      <c r="A206" s="14" t="s">
        <v>39</v>
      </c>
      <c r="B206" s="14" t="s">
        <v>44</v>
      </c>
      <c r="C206" s="14" t="s">
        <v>102</v>
      </c>
      <c r="D206" s="14" t="s">
        <v>497</v>
      </c>
      <c r="E206" s="14" t="s">
        <v>120</v>
      </c>
      <c r="F206" s="15" t="s">
        <v>122</v>
      </c>
      <c r="G206" s="14">
        <v>490.0</v>
      </c>
      <c r="H206" s="14"/>
      <c r="I206" s="14"/>
      <c r="J206" s="14"/>
      <c r="K206" s="14" t="s">
        <v>90</v>
      </c>
      <c r="L206" s="14" t="s">
        <v>125</v>
      </c>
    </row>
    <row r="207" ht="15.75" customHeight="1">
      <c r="A207" s="14" t="s">
        <v>39</v>
      </c>
      <c r="B207" s="14" t="s">
        <v>44</v>
      </c>
      <c r="C207" s="14" t="s">
        <v>102</v>
      </c>
      <c r="D207" s="14" t="s">
        <v>160</v>
      </c>
      <c r="E207" s="14" t="s">
        <v>120</v>
      </c>
      <c r="F207" s="15" t="s">
        <v>122</v>
      </c>
      <c r="G207" s="14">
        <v>130.0</v>
      </c>
      <c r="H207" s="14"/>
      <c r="I207" s="14"/>
      <c r="J207" s="14"/>
      <c r="K207" s="14" t="s">
        <v>90</v>
      </c>
      <c r="L207" s="14" t="s">
        <v>125</v>
      </c>
    </row>
    <row r="208" ht="15.75" customHeight="1">
      <c r="A208" s="14" t="s">
        <v>39</v>
      </c>
      <c r="B208" s="14" t="s">
        <v>44</v>
      </c>
      <c r="C208" s="14" t="s">
        <v>102</v>
      </c>
      <c r="D208" s="14" t="s">
        <v>160</v>
      </c>
      <c r="E208" s="14" t="s">
        <v>165</v>
      </c>
      <c r="F208" s="15" t="s">
        <v>122</v>
      </c>
      <c r="G208" s="14">
        <v>130.0</v>
      </c>
      <c r="H208" s="14"/>
      <c r="I208" s="14"/>
      <c r="J208" s="14"/>
      <c r="K208" s="14" t="s">
        <v>90</v>
      </c>
      <c r="L208" s="14" t="s">
        <v>166</v>
      </c>
    </row>
    <row r="209" ht="15.75" customHeight="1">
      <c r="A209" s="14" t="s">
        <v>39</v>
      </c>
      <c r="B209" s="14" t="s">
        <v>44</v>
      </c>
      <c r="C209" s="14" t="s">
        <v>102</v>
      </c>
      <c r="D209" s="14" t="s">
        <v>498</v>
      </c>
      <c r="E209" s="14" t="s">
        <v>224</v>
      </c>
      <c r="F209" s="15" t="s">
        <v>122</v>
      </c>
      <c r="G209" s="14">
        <v>360.0</v>
      </c>
      <c r="H209" s="14"/>
      <c r="I209" s="14"/>
      <c r="J209" s="14"/>
      <c r="K209" s="14" t="s">
        <v>90</v>
      </c>
      <c r="L209" s="14" t="s">
        <v>225</v>
      </c>
    </row>
    <row r="210" ht="15.75" customHeight="1">
      <c r="A210" s="14" t="s">
        <v>39</v>
      </c>
      <c r="B210" s="14" t="s">
        <v>44</v>
      </c>
      <c r="C210" s="14" t="s">
        <v>102</v>
      </c>
      <c r="D210" s="14" t="s">
        <v>499</v>
      </c>
      <c r="E210" s="14" t="s">
        <v>120</v>
      </c>
      <c r="F210" s="15" t="s">
        <v>122</v>
      </c>
      <c r="G210" s="14">
        <v>500.0</v>
      </c>
      <c r="H210" s="14"/>
      <c r="I210" s="14"/>
      <c r="J210" s="14"/>
      <c r="K210" s="14" t="s">
        <v>90</v>
      </c>
      <c r="L210" s="14" t="s">
        <v>125</v>
      </c>
    </row>
    <row r="211" ht="15.75" customHeight="1">
      <c r="A211" s="14" t="s">
        <v>39</v>
      </c>
      <c r="B211" s="14" t="s">
        <v>44</v>
      </c>
      <c r="C211" s="14" t="s">
        <v>102</v>
      </c>
      <c r="D211" s="14" t="s">
        <v>331</v>
      </c>
      <c r="E211" s="14" t="s">
        <v>219</v>
      </c>
      <c r="F211" s="15" t="s">
        <v>122</v>
      </c>
      <c r="G211" s="14">
        <v>520.0</v>
      </c>
      <c r="H211" s="14"/>
      <c r="I211" s="14"/>
      <c r="J211" s="14"/>
      <c r="K211" s="14" t="s">
        <v>90</v>
      </c>
      <c r="L211" s="14" t="s">
        <v>220</v>
      </c>
    </row>
    <row r="212" ht="15.75" customHeight="1">
      <c r="A212" s="14" t="s">
        <v>39</v>
      </c>
      <c r="B212" s="14" t="s">
        <v>44</v>
      </c>
      <c r="C212" s="14" t="s">
        <v>102</v>
      </c>
      <c r="D212" s="14" t="s">
        <v>500</v>
      </c>
      <c r="E212" s="14" t="s">
        <v>224</v>
      </c>
      <c r="F212" s="15" t="s">
        <v>122</v>
      </c>
      <c r="G212" s="14">
        <v>520.0</v>
      </c>
      <c r="H212" s="14"/>
      <c r="I212" s="14"/>
      <c r="J212" s="14"/>
      <c r="K212" s="14" t="s">
        <v>90</v>
      </c>
      <c r="L212" s="14" t="s">
        <v>225</v>
      </c>
    </row>
    <row r="213" ht="15.75" customHeight="1">
      <c r="A213" s="14" t="s">
        <v>39</v>
      </c>
      <c r="B213" s="14" t="s">
        <v>44</v>
      </c>
      <c r="C213" s="14" t="s">
        <v>102</v>
      </c>
      <c r="D213" s="14" t="s">
        <v>501</v>
      </c>
      <c r="E213" s="14" t="s">
        <v>120</v>
      </c>
      <c r="F213" s="15" t="s">
        <v>122</v>
      </c>
      <c r="G213" s="14">
        <v>500.0</v>
      </c>
      <c r="H213" s="14"/>
      <c r="I213" s="14"/>
      <c r="J213" s="14"/>
      <c r="K213" s="14" t="s">
        <v>90</v>
      </c>
      <c r="L213" s="14" t="s">
        <v>125</v>
      </c>
    </row>
    <row r="214" ht="15.75" customHeight="1">
      <c r="A214" s="14" t="s">
        <v>39</v>
      </c>
      <c r="B214" s="14" t="s">
        <v>44</v>
      </c>
      <c r="C214" s="14" t="s">
        <v>102</v>
      </c>
      <c r="D214" s="14" t="s">
        <v>197</v>
      </c>
      <c r="E214" s="14" t="s">
        <v>219</v>
      </c>
      <c r="F214" s="15" t="s">
        <v>122</v>
      </c>
      <c r="G214" s="14">
        <v>500.0</v>
      </c>
      <c r="H214" s="14"/>
      <c r="I214" s="14"/>
      <c r="J214" s="14"/>
      <c r="K214" s="14" t="s">
        <v>90</v>
      </c>
      <c r="L214" s="14" t="s">
        <v>220</v>
      </c>
    </row>
    <row r="215" ht="15.75" customHeight="1">
      <c r="A215" s="14" t="s">
        <v>39</v>
      </c>
      <c r="B215" s="14" t="s">
        <v>44</v>
      </c>
      <c r="C215" s="14" t="s">
        <v>102</v>
      </c>
      <c r="D215" s="14" t="s">
        <v>197</v>
      </c>
      <c r="E215" s="14" t="s">
        <v>224</v>
      </c>
      <c r="F215" s="15" t="s">
        <v>122</v>
      </c>
      <c r="G215" s="14">
        <v>500.0</v>
      </c>
      <c r="H215" s="14"/>
      <c r="I215" s="14"/>
      <c r="J215" s="14"/>
      <c r="K215" s="14" t="s">
        <v>90</v>
      </c>
      <c r="L215" s="14" t="s">
        <v>225</v>
      </c>
    </row>
    <row r="216" ht="15.75" customHeight="1">
      <c r="A216" s="14" t="s">
        <v>39</v>
      </c>
      <c r="B216" s="14" t="s">
        <v>44</v>
      </c>
      <c r="C216" s="14" t="s">
        <v>102</v>
      </c>
      <c r="D216" s="14" t="s">
        <v>336</v>
      </c>
      <c r="E216" s="14" t="s">
        <v>224</v>
      </c>
      <c r="F216" s="15" t="s">
        <v>122</v>
      </c>
      <c r="G216" s="14">
        <v>610.0</v>
      </c>
      <c r="H216" s="14"/>
      <c r="I216" s="14"/>
      <c r="J216" s="14"/>
      <c r="K216" s="14" t="s">
        <v>90</v>
      </c>
      <c r="L216" s="14" t="s">
        <v>225</v>
      </c>
    </row>
    <row r="217" ht="15.75" customHeight="1">
      <c r="A217" s="14" t="s">
        <v>39</v>
      </c>
      <c r="B217" s="14" t="s">
        <v>44</v>
      </c>
      <c r="C217" s="14" t="s">
        <v>102</v>
      </c>
      <c r="D217" s="14" t="s">
        <v>269</v>
      </c>
      <c r="E217" s="14" t="s">
        <v>120</v>
      </c>
      <c r="F217" s="15" t="s">
        <v>122</v>
      </c>
      <c r="G217" s="14">
        <v>360.0</v>
      </c>
      <c r="H217" s="14"/>
      <c r="I217" s="14"/>
      <c r="J217" s="14"/>
      <c r="K217" s="14" t="s">
        <v>90</v>
      </c>
      <c r="L217" s="14" t="s">
        <v>125</v>
      </c>
    </row>
    <row r="218" ht="15.75" customHeight="1">
      <c r="A218" s="14" t="s">
        <v>39</v>
      </c>
      <c r="B218" s="14" t="s">
        <v>44</v>
      </c>
      <c r="C218" s="14" t="s">
        <v>102</v>
      </c>
      <c r="D218" s="14" t="s">
        <v>203</v>
      </c>
      <c r="E218" s="14" t="s">
        <v>219</v>
      </c>
      <c r="F218" s="15" t="s">
        <v>122</v>
      </c>
      <c r="G218" s="14">
        <v>500.0</v>
      </c>
      <c r="H218" s="14"/>
      <c r="I218" s="14"/>
      <c r="J218" s="14"/>
      <c r="K218" s="14" t="s">
        <v>90</v>
      </c>
      <c r="L218" s="14" t="s">
        <v>220</v>
      </c>
    </row>
    <row r="219" ht="15.75" customHeight="1">
      <c r="A219" s="14" t="s">
        <v>39</v>
      </c>
      <c r="B219" s="14" t="s">
        <v>44</v>
      </c>
      <c r="C219" s="14" t="s">
        <v>102</v>
      </c>
      <c r="D219" s="14" t="s">
        <v>203</v>
      </c>
      <c r="E219" s="14" t="s">
        <v>224</v>
      </c>
      <c r="F219" s="15" t="s">
        <v>122</v>
      </c>
      <c r="G219" s="14">
        <v>500.0</v>
      </c>
      <c r="H219" s="14"/>
      <c r="I219" s="14"/>
      <c r="J219" s="14"/>
      <c r="K219" s="14" t="s">
        <v>90</v>
      </c>
      <c r="L219" s="14" t="s">
        <v>225</v>
      </c>
    </row>
    <row r="220" ht="15.75" customHeight="1">
      <c r="A220" s="14" t="s">
        <v>39</v>
      </c>
      <c r="B220" s="14" t="s">
        <v>44</v>
      </c>
      <c r="C220" s="14" t="s">
        <v>102</v>
      </c>
      <c r="D220" s="14" t="s">
        <v>339</v>
      </c>
      <c r="E220" s="14" t="s">
        <v>219</v>
      </c>
      <c r="F220" s="15" t="s">
        <v>122</v>
      </c>
      <c r="G220" s="14">
        <v>500.0</v>
      </c>
      <c r="H220" s="14"/>
      <c r="I220" s="14"/>
      <c r="J220" s="14"/>
      <c r="K220" s="14" t="s">
        <v>90</v>
      </c>
      <c r="L220" s="14" t="s">
        <v>220</v>
      </c>
    </row>
    <row r="221" ht="15.75" customHeight="1">
      <c r="A221" s="14" t="s">
        <v>39</v>
      </c>
      <c r="B221" s="14" t="s">
        <v>44</v>
      </c>
      <c r="C221" s="14" t="s">
        <v>102</v>
      </c>
      <c r="D221" s="14" t="s">
        <v>339</v>
      </c>
      <c r="E221" s="14" t="s">
        <v>224</v>
      </c>
      <c r="F221" s="15" t="s">
        <v>122</v>
      </c>
      <c r="G221" s="14">
        <v>500.0</v>
      </c>
      <c r="H221" s="14"/>
      <c r="I221" s="14"/>
      <c r="J221" s="14"/>
      <c r="K221" s="14" t="s">
        <v>90</v>
      </c>
      <c r="L221" s="14" t="s">
        <v>225</v>
      </c>
    </row>
    <row r="222" ht="15.75" customHeight="1">
      <c r="A222" s="14" t="s">
        <v>39</v>
      </c>
      <c r="B222" s="14" t="s">
        <v>44</v>
      </c>
      <c r="C222" s="14" t="s">
        <v>102</v>
      </c>
      <c r="D222" s="14" t="s">
        <v>209</v>
      </c>
      <c r="E222" s="14" t="s">
        <v>224</v>
      </c>
      <c r="F222" s="15" t="s">
        <v>122</v>
      </c>
      <c r="G222" s="14">
        <v>300.0</v>
      </c>
      <c r="H222" s="14"/>
      <c r="I222" s="14"/>
      <c r="J222" s="14"/>
      <c r="K222" s="14" t="s">
        <v>90</v>
      </c>
      <c r="L222" s="14" t="s">
        <v>225</v>
      </c>
    </row>
    <row r="223" ht="15.75" customHeight="1">
      <c r="A223" s="14" t="s">
        <v>39</v>
      </c>
      <c r="B223" s="14" t="s">
        <v>44</v>
      </c>
      <c r="C223" s="14" t="s">
        <v>102</v>
      </c>
      <c r="D223" s="14" t="s">
        <v>209</v>
      </c>
      <c r="E223" s="14" t="s">
        <v>120</v>
      </c>
      <c r="F223" s="15" t="s">
        <v>122</v>
      </c>
      <c r="G223" s="14">
        <v>300.0</v>
      </c>
      <c r="H223" s="14"/>
      <c r="I223" s="14"/>
      <c r="J223" s="14"/>
      <c r="K223" s="14" t="s">
        <v>90</v>
      </c>
      <c r="L223" s="14" t="s">
        <v>125</v>
      </c>
    </row>
    <row r="224" ht="15.75" customHeight="1">
      <c r="A224" s="14" t="s">
        <v>39</v>
      </c>
      <c r="B224" s="14" t="s">
        <v>44</v>
      </c>
      <c r="C224" s="14" t="s">
        <v>102</v>
      </c>
      <c r="D224" s="14" t="s">
        <v>509</v>
      </c>
      <c r="E224" s="14" t="s">
        <v>257</v>
      </c>
      <c r="F224" s="15" t="s">
        <v>122</v>
      </c>
      <c r="G224" s="14">
        <v>570.0</v>
      </c>
      <c r="H224" s="14"/>
      <c r="I224" s="14"/>
      <c r="J224" s="14"/>
      <c r="K224" s="14" t="s">
        <v>232</v>
      </c>
      <c r="L224" s="14" t="s">
        <v>258</v>
      </c>
    </row>
    <row r="225" ht="15.75" customHeight="1">
      <c r="A225" s="14" t="s">
        <v>39</v>
      </c>
      <c r="B225" s="14" t="s">
        <v>44</v>
      </c>
      <c r="C225" s="14" t="s">
        <v>102</v>
      </c>
      <c r="D225" s="14" t="s">
        <v>213</v>
      </c>
      <c r="E225" s="14" t="s">
        <v>219</v>
      </c>
      <c r="F225" s="15" t="s">
        <v>122</v>
      </c>
      <c r="G225" s="14">
        <v>300.0</v>
      </c>
      <c r="H225" s="14"/>
      <c r="I225" s="14"/>
      <c r="J225" s="14"/>
      <c r="K225" s="14" t="s">
        <v>90</v>
      </c>
      <c r="L225" s="14" t="s">
        <v>220</v>
      </c>
    </row>
    <row r="226" ht="15.75" customHeight="1">
      <c r="A226" s="14" t="s">
        <v>39</v>
      </c>
      <c r="B226" s="14" t="s">
        <v>44</v>
      </c>
      <c r="C226" s="14" t="s">
        <v>102</v>
      </c>
      <c r="D226" s="14" t="s">
        <v>213</v>
      </c>
      <c r="E226" s="14" t="s">
        <v>224</v>
      </c>
      <c r="F226" s="15" t="s">
        <v>122</v>
      </c>
      <c r="G226" s="14">
        <v>300.0</v>
      </c>
      <c r="H226" s="14"/>
      <c r="I226" s="14"/>
      <c r="J226" s="14"/>
      <c r="K226" s="14" t="s">
        <v>90</v>
      </c>
      <c r="L226" s="14" t="s">
        <v>225</v>
      </c>
    </row>
    <row r="227" ht="15.75" customHeight="1">
      <c r="A227" s="14" t="s">
        <v>39</v>
      </c>
      <c r="B227" s="14" t="s">
        <v>44</v>
      </c>
      <c r="C227" s="14" t="s">
        <v>102</v>
      </c>
      <c r="D227" s="14" t="s">
        <v>213</v>
      </c>
      <c r="E227" s="14" t="s">
        <v>120</v>
      </c>
      <c r="F227" s="15" t="s">
        <v>122</v>
      </c>
      <c r="G227" s="14">
        <v>300.0</v>
      </c>
      <c r="H227" s="14"/>
      <c r="I227" s="14"/>
      <c r="J227" s="14"/>
      <c r="K227" s="14" t="s">
        <v>90</v>
      </c>
      <c r="L227" s="14" t="s">
        <v>125</v>
      </c>
    </row>
    <row r="228" ht="15.75" customHeight="1">
      <c r="A228" s="14" t="s">
        <v>39</v>
      </c>
      <c r="B228" s="14" t="s">
        <v>44</v>
      </c>
      <c r="C228" s="14" t="s">
        <v>102</v>
      </c>
      <c r="D228" s="14" t="s">
        <v>513</v>
      </c>
      <c r="E228" s="14" t="s">
        <v>219</v>
      </c>
      <c r="F228" s="15" t="s">
        <v>122</v>
      </c>
      <c r="G228" s="14">
        <v>520.0</v>
      </c>
      <c r="H228" s="14"/>
      <c r="I228" s="14"/>
      <c r="J228" s="14"/>
      <c r="K228" s="14" t="s">
        <v>59</v>
      </c>
      <c r="L228" s="14" t="s">
        <v>220</v>
      </c>
    </row>
    <row r="229" ht="15.75" customHeight="1">
      <c r="A229" s="14" t="s">
        <v>39</v>
      </c>
      <c r="B229" s="14" t="s">
        <v>44</v>
      </c>
      <c r="C229" s="14" t="s">
        <v>102</v>
      </c>
      <c r="D229" s="14" t="s">
        <v>513</v>
      </c>
      <c r="E229" s="14" t="s">
        <v>224</v>
      </c>
      <c r="F229" s="15" t="s">
        <v>122</v>
      </c>
      <c r="G229" s="14">
        <v>520.0</v>
      </c>
      <c r="H229" s="14"/>
      <c r="I229" s="14"/>
      <c r="J229" s="14"/>
      <c r="K229" s="14" t="s">
        <v>59</v>
      </c>
      <c r="L229" s="14" t="s">
        <v>225</v>
      </c>
    </row>
    <row r="230" ht="15.75" customHeight="1">
      <c r="A230" s="14" t="s">
        <v>39</v>
      </c>
      <c r="B230" s="14" t="s">
        <v>44</v>
      </c>
      <c r="C230" s="14" t="s">
        <v>102</v>
      </c>
      <c r="D230" s="14" t="s">
        <v>514</v>
      </c>
      <c r="E230" s="14" t="s">
        <v>224</v>
      </c>
      <c r="F230" s="15" t="s">
        <v>122</v>
      </c>
      <c r="G230" s="14">
        <v>500.0</v>
      </c>
      <c r="H230" s="14"/>
      <c r="I230" s="14"/>
      <c r="J230" s="14"/>
      <c r="K230" s="14" t="s">
        <v>90</v>
      </c>
      <c r="L230" s="14" t="s">
        <v>225</v>
      </c>
    </row>
    <row r="231" ht="15.75" customHeight="1">
      <c r="A231" s="14" t="s">
        <v>39</v>
      </c>
      <c r="B231" s="14" t="s">
        <v>44</v>
      </c>
      <c r="C231" s="14" t="s">
        <v>102</v>
      </c>
      <c r="D231" s="14" t="s">
        <v>340</v>
      </c>
      <c r="E231" s="14" t="s">
        <v>219</v>
      </c>
      <c r="F231" s="15" t="s">
        <v>122</v>
      </c>
      <c r="G231" s="14">
        <v>520.0</v>
      </c>
      <c r="H231" s="14"/>
      <c r="I231" s="14"/>
      <c r="J231" s="14"/>
      <c r="K231" s="14" t="s">
        <v>90</v>
      </c>
      <c r="L231" s="14" t="s">
        <v>220</v>
      </c>
    </row>
    <row r="232" ht="15.75" customHeight="1">
      <c r="A232" s="14" t="s">
        <v>39</v>
      </c>
      <c r="B232" s="14" t="s">
        <v>44</v>
      </c>
      <c r="C232" s="14" t="s">
        <v>102</v>
      </c>
      <c r="D232" s="14" t="s">
        <v>515</v>
      </c>
      <c r="E232" s="14" t="s">
        <v>402</v>
      </c>
      <c r="F232" s="15" t="s">
        <v>122</v>
      </c>
      <c r="G232" s="14">
        <v>490.0</v>
      </c>
      <c r="H232" s="14"/>
      <c r="I232" s="14"/>
      <c r="J232" s="14"/>
      <c r="K232" s="14" t="s">
        <v>90</v>
      </c>
      <c r="L232" s="14" t="s">
        <v>403</v>
      </c>
    </row>
    <row r="233" ht="15.75" customHeight="1">
      <c r="A233" s="14" t="s">
        <v>39</v>
      </c>
      <c r="B233" s="14" t="s">
        <v>44</v>
      </c>
      <c r="C233" s="14" t="s">
        <v>102</v>
      </c>
      <c r="D233" s="14" t="s">
        <v>237</v>
      </c>
      <c r="E233" s="14" t="s">
        <v>224</v>
      </c>
      <c r="F233" s="15" t="s">
        <v>122</v>
      </c>
      <c r="G233" s="14">
        <v>130.0</v>
      </c>
      <c r="H233" s="14"/>
      <c r="I233" s="14"/>
      <c r="J233" s="14"/>
      <c r="K233" s="14" t="s">
        <v>90</v>
      </c>
      <c r="L233" s="14" t="s">
        <v>225</v>
      </c>
    </row>
    <row r="234" ht="15.75" customHeight="1">
      <c r="A234" s="14" t="s">
        <v>39</v>
      </c>
      <c r="B234" s="14" t="s">
        <v>44</v>
      </c>
      <c r="C234" s="14" t="s">
        <v>102</v>
      </c>
      <c r="D234" s="14" t="s">
        <v>518</v>
      </c>
      <c r="E234" s="14" t="s">
        <v>367</v>
      </c>
      <c r="F234" s="15" t="s">
        <v>122</v>
      </c>
      <c r="G234" s="14">
        <v>570.0</v>
      </c>
      <c r="H234" s="14"/>
      <c r="I234" s="14"/>
      <c r="J234" s="14"/>
      <c r="K234" s="14" t="s">
        <v>226</v>
      </c>
      <c r="L234" s="14" t="s">
        <v>368</v>
      </c>
    </row>
    <row r="235" ht="15.75" customHeight="1">
      <c r="A235" s="14" t="s">
        <v>39</v>
      </c>
      <c r="B235" s="14" t="s">
        <v>44</v>
      </c>
      <c r="C235" s="14" t="s">
        <v>102</v>
      </c>
      <c r="D235" s="14" t="s">
        <v>347</v>
      </c>
      <c r="E235" s="14" t="s">
        <v>367</v>
      </c>
      <c r="F235" s="15" t="s">
        <v>122</v>
      </c>
      <c r="G235" s="14">
        <v>570.0</v>
      </c>
      <c r="H235" s="14"/>
      <c r="I235" s="14"/>
      <c r="J235" s="14"/>
      <c r="K235" s="14" t="s">
        <v>226</v>
      </c>
      <c r="L235" s="14" t="s">
        <v>368</v>
      </c>
    </row>
    <row r="236" ht="15.75" customHeight="1">
      <c r="A236" s="14" t="s">
        <v>39</v>
      </c>
      <c r="B236" s="14" t="s">
        <v>44</v>
      </c>
      <c r="C236" s="14" t="s">
        <v>102</v>
      </c>
      <c r="D236" s="14" t="s">
        <v>521</v>
      </c>
      <c r="E236" s="14" t="s">
        <v>367</v>
      </c>
      <c r="F236" s="15" t="s">
        <v>122</v>
      </c>
      <c r="G236" s="14">
        <v>570.0</v>
      </c>
      <c r="H236" s="14"/>
      <c r="I236" s="14"/>
      <c r="J236" s="14"/>
      <c r="K236" s="14" t="s">
        <v>226</v>
      </c>
      <c r="L236" s="14" t="s">
        <v>368</v>
      </c>
    </row>
    <row r="237" ht="15.75" customHeight="1">
      <c r="A237" s="14" t="s">
        <v>39</v>
      </c>
      <c r="B237" s="14" t="s">
        <v>44</v>
      </c>
      <c r="C237" s="14" t="s">
        <v>102</v>
      </c>
      <c r="D237" s="14" t="s">
        <v>348</v>
      </c>
      <c r="E237" s="14" t="s">
        <v>367</v>
      </c>
      <c r="F237" s="15" t="s">
        <v>122</v>
      </c>
      <c r="G237" s="14">
        <v>570.0</v>
      </c>
      <c r="H237" s="14"/>
      <c r="I237" s="14"/>
      <c r="J237" s="14"/>
      <c r="K237" s="14" t="s">
        <v>226</v>
      </c>
      <c r="L237" s="14" t="s">
        <v>368</v>
      </c>
    </row>
    <row r="238" ht="15.75" customHeight="1">
      <c r="A238" s="14" t="s">
        <v>39</v>
      </c>
      <c r="B238" s="14" t="s">
        <v>44</v>
      </c>
      <c r="C238" s="14" t="s">
        <v>102</v>
      </c>
      <c r="D238" s="14" t="s">
        <v>522</v>
      </c>
      <c r="E238" s="14" t="s">
        <v>367</v>
      </c>
      <c r="F238" s="15" t="s">
        <v>122</v>
      </c>
      <c r="G238" s="14">
        <v>570.0</v>
      </c>
      <c r="H238" s="14"/>
      <c r="I238" s="14"/>
      <c r="J238" s="14"/>
      <c r="K238" s="14" t="s">
        <v>226</v>
      </c>
      <c r="L238" s="14" t="s">
        <v>368</v>
      </c>
    </row>
    <row r="239" ht="15.75" customHeight="1">
      <c r="A239" s="14" t="s">
        <v>39</v>
      </c>
      <c r="B239" s="14" t="s">
        <v>44</v>
      </c>
      <c r="C239" s="14" t="s">
        <v>102</v>
      </c>
      <c r="D239" s="14" t="s">
        <v>523</v>
      </c>
      <c r="E239" s="14" t="s">
        <v>367</v>
      </c>
      <c r="F239" s="15" t="s">
        <v>122</v>
      </c>
      <c r="G239" s="14">
        <v>570.0</v>
      </c>
      <c r="H239" s="14"/>
      <c r="I239" s="14"/>
      <c r="J239" s="14"/>
      <c r="K239" s="14" t="s">
        <v>226</v>
      </c>
      <c r="L239" s="14" t="s">
        <v>368</v>
      </c>
    </row>
    <row r="240" ht="15.75" customHeight="1">
      <c r="A240" s="14" t="s">
        <v>39</v>
      </c>
      <c r="B240" s="14" t="s">
        <v>44</v>
      </c>
      <c r="C240" s="14" t="s">
        <v>102</v>
      </c>
      <c r="D240" s="14" t="s">
        <v>351</v>
      </c>
      <c r="E240" s="14" t="s">
        <v>219</v>
      </c>
      <c r="F240" s="15" t="s">
        <v>122</v>
      </c>
      <c r="G240" s="14">
        <v>570.0</v>
      </c>
      <c r="H240" s="14"/>
      <c r="I240" s="14"/>
      <c r="J240" s="14"/>
      <c r="K240" s="14" t="s">
        <v>90</v>
      </c>
      <c r="L240" s="14" t="s">
        <v>220</v>
      </c>
    </row>
    <row r="241" ht="15.75" customHeight="1">
      <c r="A241" s="14" t="s">
        <v>39</v>
      </c>
      <c r="B241" s="14" t="s">
        <v>44</v>
      </c>
      <c r="C241" s="14" t="s">
        <v>102</v>
      </c>
      <c r="D241" s="14" t="s">
        <v>352</v>
      </c>
      <c r="E241" s="14" t="s">
        <v>224</v>
      </c>
      <c r="F241" s="15" t="s">
        <v>122</v>
      </c>
      <c r="G241" s="14">
        <v>570.0</v>
      </c>
      <c r="H241" s="14"/>
      <c r="I241" s="14"/>
      <c r="J241" s="14"/>
      <c r="K241" s="14" t="s">
        <v>90</v>
      </c>
      <c r="L241" s="14" t="s">
        <v>225</v>
      </c>
    </row>
    <row r="242" ht="15.75" customHeight="1">
      <c r="A242" s="14" t="s">
        <v>39</v>
      </c>
      <c r="B242" s="14" t="s">
        <v>44</v>
      </c>
      <c r="C242" s="14" t="s">
        <v>102</v>
      </c>
      <c r="D242" s="14" t="s">
        <v>355</v>
      </c>
      <c r="E242" s="14" t="s">
        <v>224</v>
      </c>
      <c r="F242" s="15" t="s">
        <v>122</v>
      </c>
      <c r="G242" s="14">
        <v>570.0</v>
      </c>
      <c r="H242" s="14"/>
      <c r="I242" s="14"/>
      <c r="J242" s="14"/>
      <c r="K242" s="14" t="s">
        <v>90</v>
      </c>
      <c r="L242" s="14" t="s">
        <v>225</v>
      </c>
    </row>
    <row r="243" ht="15.75" customHeight="1">
      <c r="A243" s="14" t="s">
        <v>39</v>
      </c>
      <c r="B243" s="14" t="s">
        <v>44</v>
      </c>
      <c r="C243" s="14" t="s">
        <v>46</v>
      </c>
      <c r="D243" s="14" t="s">
        <v>48</v>
      </c>
      <c r="E243" s="14" t="s">
        <v>242</v>
      </c>
      <c r="F243" s="15" t="s">
        <v>176</v>
      </c>
      <c r="G243" s="14">
        <v>520.0</v>
      </c>
      <c r="H243" s="14"/>
      <c r="I243" s="14"/>
      <c r="J243" s="14"/>
      <c r="K243" s="14" t="s">
        <v>59</v>
      </c>
      <c r="L243" s="14" t="s">
        <v>243</v>
      </c>
    </row>
    <row r="244" ht="15.75" customHeight="1">
      <c r="A244" s="14" t="s">
        <v>39</v>
      </c>
      <c r="B244" s="14" t="s">
        <v>44</v>
      </c>
      <c r="C244" s="14" t="s">
        <v>46</v>
      </c>
      <c r="D244" s="14" t="s">
        <v>70</v>
      </c>
      <c r="E244" s="14" t="s">
        <v>242</v>
      </c>
      <c r="F244" s="15" t="s">
        <v>176</v>
      </c>
      <c r="G244" s="14">
        <v>520.0</v>
      </c>
      <c r="H244" s="14"/>
      <c r="I244" s="14"/>
      <c r="J244" s="14"/>
      <c r="K244" s="14" t="s">
        <v>59</v>
      </c>
      <c r="L244" s="14" t="s">
        <v>243</v>
      </c>
    </row>
    <row r="245" ht="15.75" customHeight="1">
      <c r="A245" s="14" t="s">
        <v>39</v>
      </c>
      <c r="B245" s="14" t="s">
        <v>44</v>
      </c>
      <c r="C245" s="14" t="s">
        <v>46</v>
      </c>
      <c r="D245" s="14" t="s">
        <v>105</v>
      </c>
      <c r="E245" s="14" t="s">
        <v>242</v>
      </c>
      <c r="F245" s="15" t="s">
        <v>176</v>
      </c>
      <c r="G245" s="14">
        <v>130.0</v>
      </c>
      <c r="H245" s="14"/>
      <c r="I245" s="14"/>
      <c r="J245" s="14"/>
      <c r="K245" s="14" t="s">
        <v>90</v>
      </c>
      <c r="L245" s="14" t="s">
        <v>243</v>
      </c>
    </row>
    <row r="246" ht="15.75" customHeight="1">
      <c r="A246" s="14" t="s">
        <v>39</v>
      </c>
      <c r="B246" s="14" t="s">
        <v>44</v>
      </c>
      <c r="C246" s="14" t="s">
        <v>46</v>
      </c>
      <c r="D246" s="14" t="s">
        <v>80</v>
      </c>
      <c r="E246" s="14" t="s">
        <v>242</v>
      </c>
      <c r="F246" s="15" t="s">
        <v>176</v>
      </c>
      <c r="G246" s="14">
        <v>520.0</v>
      </c>
      <c r="H246" s="14"/>
      <c r="I246" s="14"/>
      <c r="J246" s="14"/>
      <c r="K246" s="14" t="s">
        <v>59</v>
      </c>
      <c r="L246" s="14" t="s">
        <v>243</v>
      </c>
    </row>
    <row r="247" ht="15.75" customHeight="1">
      <c r="A247" s="14" t="s">
        <v>39</v>
      </c>
      <c r="B247" s="14" t="s">
        <v>44</v>
      </c>
      <c r="C247" s="14" t="s">
        <v>46</v>
      </c>
      <c r="D247" s="14" t="s">
        <v>133</v>
      </c>
      <c r="E247" s="14" t="s">
        <v>242</v>
      </c>
      <c r="F247" s="15" t="s">
        <v>176</v>
      </c>
      <c r="G247" s="14">
        <v>130.0</v>
      </c>
      <c r="H247" s="14"/>
      <c r="I247" s="14"/>
      <c r="J247" s="14"/>
      <c r="K247" s="14" t="s">
        <v>90</v>
      </c>
      <c r="L247" s="14" t="s">
        <v>243</v>
      </c>
    </row>
    <row r="248" ht="15.75" customHeight="1">
      <c r="A248" s="14" t="s">
        <v>39</v>
      </c>
      <c r="B248" s="14" t="s">
        <v>44</v>
      </c>
      <c r="C248" s="14" t="s">
        <v>46</v>
      </c>
      <c r="D248" s="14" t="s">
        <v>89</v>
      </c>
      <c r="E248" s="14" t="s">
        <v>242</v>
      </c>
      <c r="F248" s="15" t="s">
        <v>176</v>
      </c>
      <c r="G248" s="14">
        <v>130.0</v>
      </c>
      <c r="H248" s="14"/>
      <c r="I248" s="14"/>
      <c r="J248" s="14"/>
      <c r="K248" s="14" t="s">
        <v>90</v>
      </c>
      <c r="L248" s="14" t="s">
        <v>243</v>
      </c>
    </row>
    <row r="249" ht="15.75" customHeight="1">
      <c r="A249" s="14" t="s">
        <v>39</v>
      </c>
      <c r="B249" s="14" t="s">
        <v>44</v>
      </c>
      <c r="C249" s="14" t="s">
        <v>46</v>
      </c>
      <c r="D249" s="14" t="s">
        <v>270</v>
      </c>
      <c r="E249" s="14" t="s">
        <v>242</v>
      </c>
      <c r="F249" s="15" t="s">
        <v>176</v>
      </c>
      <c r="G249" s="14">
        <v>520.0</v>
      </c>
      <c r="H249" s="14"/>
      <c r="I249" s="14"/>
      <c r="J249" s="14"/>
      <c r="K249" s="14" t="s">
        <v>59</v>
      </c>
      <c r="L249" s="14" t="s">
        <v>243</v>
      </c>
    </row>
    <row r="250" ht="15.75" customHeight="1">
      <c r="A250" s="14" t="s">
        <v>39</v>
      </c>
      <c r="B250" s="14" t="s">
        <v>44</v>
      </c>
      <c r="C250" s="14" t="s">
        <v>46</v>
      </c>
      <c r="D250" s="14" t="s">
        <v>170</v>
      </c>
      <c r="E250" s="14" t="s">
        <v>242</v>
      </c>
      <c r="F250" s="15" t="s">
        <v>176</v>
      </c>
      <c r="G250" s="14">
        <v>130.0</v>
      </c>
      <c r="H250" s="14"/>
      <c r="I250" s="14"/>
      <c r="J250" s="14"/>
      <c r="K250" s="14" t="s">
        <v>90</v>
      </c>
      <c r="L250" s="14" t="s">
        <v>243</v>
      </c>
    </row>
    <row r="251" ht="15.75" customHeight="1">
      <c r="A251" s="14" t="s">
        <v>39</v>
      </c>
      <c r="B251" s="14" t="s">
        <v>44</v>
      </c>
      <c r="C251" s="14" t="s">
        <v>102</v>
      </c>
      <c r="D251" s="14" t="s">
        <v>230</v>
      </c>
      <c r="E251" s="14" t="s">
        <v>175</v>
      </c>
      <c r="F251" s="15" t="s">
        <v>176</v>
      </c>
      <c r="G251" s="14">
        <v>500.0</v>
      </c>
      <c r="H251" s="14"/>
      <c r="I251" s="14"/>
      <c r="J251" s="14"/>
      <c r="K251" s="14" t="s">
        <v>226</v>
      </c>
      <c r="L251" s="14" t="s">
        <v>177</v>
      </c>
    </row>
    <row r="252" ht="15.75" customHeight="1">
      <c r="A252" s="14" t="s">
        <v>39</v>
      </c>
      <c r="B252" s="14" t="s">
        <v>44</v>
      </c>
      <c r="C252" s="14" t="s">
        <v>102</v>
      </c>
      <c r="D252" s="14" t="s">
        <v>174</v>
      </c>
      <c r="E252" s="14" t="s">
        <v>175</v>
      </c>
      <c r="F252" s="15" t="s">
        <v>176</v>
      </c>
      <c r="G252" s="14">
        <v>130.0</v>
      </c>
      <c r="H252" s="14"/>
      <c r="I252" s="14"/>
      <c r="J252" s="14"/>
      <c r="K252" s="14" t="s">
        <v>226</v>
      </c>
      <c r="L252" s="14" t="s">
        <v>177</v>
      </c>
    </row>
    <row r="253" ht="15.75" customHeight="1">
      <c r="A253" s="14" t="s">
        <v>39</v>
      </c>
      <c r="B253" s="14" t="s">
        <v>44</v>
      </c>
      <c r="C253" s="14" t="s">
        <v>102</v>
      </c>
      <c r="D253" s="14" t="s">
        <v>388</v>
      </c>
      <c r="E253" s="14" t="s">
        <v>175</v>
      </c>
      <c r="F253" s="15" t="s">
        <v>176</v>
      </c>
      <c r="G253" s="14">
        <v>570.0</v>
      </c>
      <c r="H253" s="14"/>
      <c r="I253" s="14"/>
      <c r="J253" s="14"/>
      <c r="K253" s="14" t="s">
        <v>226</v>
      </c>
      <c r="L253" s="14" t="s">
        <v>177</v>
      </c>
    </row>
    <row r="254" ht="15.75" customHeight="1">
      <c r="A254" s="14" t="s">
        <v>39</v>
      </c>
      <c r="B254" s="14" t="s">
        <v>44</v>
      </c>
      <c r="C254" s="14" t="s">
        <v>102</v>
      </c>
      <c r="D254" s="14" t="s">
        <v>300</v>
      </c>
      <c r="E254" s="14" t="s">
        <v>175</v>
      </c>
      <c r="F254" s="15" t="s">
        <v>176</v>
      </c>
      <c r="G254" s="14">
        <v>700.0</v>
      </c>
      <c r="H254" s="14"/>
      <c r="I254" s="14"/>
      <c r="J254" s="14"/>
      <c r="K254" s="14" t="s">
        <v>226</v>
      </c>
      <c r="L254" s="14" t="s">
        <v>177</v>
      </c>
    </row>
    <row r="255" ht="15.75" customHeight="1">
      <c r="A255" s="14" t="s">
        <v>39</v>
      </c>
      <c r="B255" s="14" t="s">
        <v>44</v>
      </c>
      <c r="C255" s="14" t="s">
        <v>102</v>
      </c>
      <c r="D255" s="14" t="s">
        <v>308</v>
      </c>
      <c r="E255" s="14" t="s">
        <v>175</v>
      </c>
      <c r="F255" s="15" t="s">
        <v>176</v>
      </c>
      <c r="G255" s="14">
        <v>700.0</v>
      </c>
      <c r="H255" s="14"/>
      <c r="I255" s="14"/>
      <c r="J255" s="14"/>
      <c r="K255" s="14" t="s">
        <v>226</v>
      </c>
      <c r="L255" s="14" t="s">
        <v>177</v>
      </c>
    </row>
    <row r="256" ht="15.75" customHeight="1">
      <c r="A256" s="14" t="s">
        <v>39</v>
      </c>
      <c r="B256" s="14" t="s">
        <v>44</v>
      </c>
      <c r="C256" s="14" t="s">
        <v>102</v>
      </c>
      <c r="D256" s="14" t="s">
        <v>320</v>
      </c>
      <c r="E256" s="14" t="s">
        <v>526</v>
      </c>
      <c r="F256" s="15" t="s">
        <v>176</v>
      </c>
      <c r="G256" s="14">
        <v>570.0</v>
      </c>
      <c r="H256" s="14"/>
      <c r="I256" s="14"/>
      <c r="J256" s="14"/>
      <c r="K256" s="14" t="s">
        <v>226</v>
      </c>
      <c r="L256" s="14" t="s">
        <v>527</v>
      </c>
    </row>
    <row r="257" ht="15.75" customHeight="1">
      <c r="A257" s="14" t="s">
        <v>39</v>
      </c>
      <c r="B257" s="14" t="s">
        <v>44</v>
      </c>
      <c r="C257" s="14" t="s">
        <v>102</v>
      </c>
      <c r="D257" s="14" t="s">
        <v>323</v>
      </c>
      <c r="E257" s="14" t="s">
        <v>526</v>
      </c>
      <c r="F257" s="15" t="s">
        <v>176</v>
      </c>
      <c r="G257" s="14">
        <v>570.0</v>
      </c>
      <c r="H257" s="14"/>
      <c r="I257" s="14"/>
      <c r="J257" s="14"/>
      <c r="K257" s="14" t="s">
        <v>226</v>
      </c>
      <c r="L257" s="14" t="s">
        <v>527</v>
      </c>
    </row>
    <row r="258" ht="15.75" customHeight="1">
      <c r="A258" s="14" t="s">
        <v>39</v>
      </c>
      <c r="B258" s="14" t="s">
        <v>44</v>
      </c>
      <c r="C258" s="14" t="s">
        <v>102</v>
      </c>
      <c r="D258" s="14" t="s">
        <v>324</v>
      </c>
      <c r="E258" s="14" t="s">
        <v>526</v>
      </c>
      <c r="F258" s="15" t="s">
        <v>176</v>
      </c>
      <c r="G258" s="14">
        <v>570.0</v>
      </c>
      <c r="H258" s="14"/>
      <c r="I258" s="14"/>
      <c r="J258" s="14"/>
      <c r="K258" s="14" t="s">
        <v>226</v>
      </c>
      <c r="L258" s="14" t="s">
        <v>527</v>
      </c>
    </row>
    <row r="259" ht="15.75" customHeight="1">
      <c r="A259" s="14" t="s">
        <v>39</v>
      </c>
      <c r="B259" s="14" t="s">
        <v>44</v>
      </c>
      <c r="C259" s="14" t="s">
        <v>102</v>
      </c>
      <c r="D259" s="14" t="s">
        <v>325</v>
      </c>
      <c r="E259" s="14" t="s">
        <v>526</v>
      </c>
      <c r="F259" s="15" t="s">
        <v>176</v>
      </c>
      <c r="G259" s="14">
        <v>570.0</v>
      </c>
      <c r="H259" s="14"/>
      <c r="I259" s="14"/>
      <c r="J259" s="14"/>
      <c r="K259" s="14" t="s">
        <v>226</v>
      </c>
      <c r="L259" s="14" t="s">
        <v>527</v>
      </c>
    </row>
    <row r="260" ht="15.75" customHeight="1">
      <c r="A260" s="14" t="s">
        <v>39</v>
      </c>
      <c r="B260" s="14" t="s">
        <v>44</v>
      </c>
      <c r="C260" s="14" t="s">
        <v>102</v>
      </c>
      <c r="D260" s="14" t="s">
        <v>518</v>
      </c>
      <c r="E260" s="14" t="s">
        <v>530</v>
      </c>
      <c r="F260" s="15" t="s">
        <v>446</v>
      </c>
      <c r="G260" s="14">
        <v>570.0</v>
      </c>
      <c r="H260" s="14"/>
      <c r="I260" s="14"/>
      <c r="J260" s="14"/>
      <c r="K260" s="14" t="s">
        <v>226</v>
      </c>
      <c r="L260" s="14" t="s">
        <v>533</v>
      </c>
    </row>
    <row r="261" ht="15.75" customHeight="1">
      <c r="A261" s="14" t="s">
        <v>39</v>
      </c>
      <c r="B261" s="14" t="s">
        <v>44</v>
      </c>
      <c r="C261" s="14" t="s">
        <v>102</v>
      </c>
      <c r="D261" s="14" t="s">
        <v>347</v>
      </c>
      <c r="E261" s="14" t="s">
        <v>530</v>
      </c>
      <c r="F261" s="15" t="s">
        <v>446</v>
      </c>
      <c r="G261" s="14">
        <v>570.0</v>
      </c>
      <c r="H261" s="14"/>
      <c r="I261" s="14"/>
      <c r="J261" s="14"/>
      <c r="K261" s="14" t="s">
        <v>226</v>
      </c>
      <c r="L261" s="14" t="s">
        <v>533</v>
      </c>
    </row>
    <row r="262" ht="15.75" customHeight="1">
      <c r="A262" s="14" t="s">
        <v>39</v>
      </c>
      <c r="B262" s="14" t="s">
        <v>44</v>
      </c>
      <c r="C262" s="14" t="s">
        <v>102</v>
      </c>
      <c r="D262" s="14" t="s">
        <v>521</v>
      </c>
      <c r="E262" s="14" t="s">
        <v>530</v>
      </c>
      <c r="F262" s="15" t="s">
        <v>446</v>
      </c>
      <c r="G262" s="14">
        <v>570.0</v>
      </c>
      <c r="H262" s="14"/>
      <c r="I262" s="14"/>
      <c r="J262" s="14"/>
      <c r="K262" s="14" t="s">
        <v>226</v>
      </c>
      <c r="L262" s="14" t="s">
        <v>533</v>
      </c>
    </row>
    <row r="263" ht="15.75" customHeight="1">
      <c r="A263" s="14" t="s">
        <v>39</v>
      </c>
      <c r="B263" s="14" t="s">
        <v>44</v>
      </c>
      <c r="C263" s="14" t="s">
        <v>102</v>
      </c>
      <c r="D263" s="14" t="s">
        <v>348</v>
      </c>
      <c r="E263" s="14" t="s">
        <v>530</v>
      </c>
      <c r="F263" s="15" t="s">
        <v>446</v>
      </c>
      <c r="G263" s="14">
        <v>570.0</v>
      </c>
      <c r="H263" s="14"/>
      <c r="I263" s="14"/>
      <c r="J263" s="14"/>
      <c r="K263" s="14" t="s">
        <v>226</v>
      </c>
      <c r="L263" s="14" t="s">
        <v>533</v>
      </c>
    </row>
    <row r="264" ht="15.75" customHeight="1">
      <c r="A264" s="14" t="s">
        <v>39</v>
      </c>
      <c r="B264" s="14" t="s">
        <v>44</v>
      </c>
      <c r="C264" s="14" t="s">
        <v>102</v>
      </c>
      <c r="D264" s="14" t="s">
        <v>522</v>
      </c>
      <c r="E264" s="14" t="s">
        <v>530</v>
      </c>
      <c r="F264" s="15" t="s">
        <v>446</v>
      </c>
      <c r="G264" s="14">
        <v>570.0</v>
      </c>
      <c r="H264" s="14"/>
      <c r="I264" s="14"/>
      <c r="J264" s="14"/>
      <c r="K264" s="14" t="s">
        <v>226</v>
      </c>
      <c r="L264" s="14" t="s">
        <v>533</v>
      </c>
    </row>
    <row r="265" ht="15.75" customHeight="1">
      <c r="A265" s="14" t="s">
        <v>39</v>
      </c>
      <c r="B265" s="14" t="s">
        <v>44</v>
      </c>
      <c r="C265" s="14" t="s">
        <v>102</v>
      </c>
      <c r="D265" s="14" t="s">
        <v>523</v>
      </c>
      <c r="E265" s="14" t="s">
        <v>530</v>
      </c>
      <c r="F265" s="15" t="s">
        <v>446</v>
      </c>
      <c r="G265" s="14">
        <v>570.0</v>
      </c>
      <c r="H265" s="14"/>
      <c r="I265" s="14"/>
      <c r="J265" s="14"/>
      <c r="K265" s="14" t="s">
        <v>226</v>
      </c>
      <c r="L265" s="14" t="s">
        <v>533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265">
    <cfRule type="expression" dxfId="4" priority="1">
      <formula>A2="Yes"</formula>
    </cfRule>
  </conditionalFormatting>
  <dataValidations>
    <dataValidation type="list" allowBlank="1" sqref="A2:A265">
      <formula1>"No,Yes"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5" width="12.0"/>
    <col customWidth="1" min="26" max="26" width="8.63"/>
  </cols>
  <sheetData>
    <row r="1" ht="27.75" customHeight="1">
      <c r="A1" s="23" t="s">
        <v>9</v>
      </c>
      <c r="B1" s="23" t="s">
        <v>423</v>
      </c>
      <c r="C1" s="23" t="s">
        <v>424</v>
      </c>
      <c r="D1" s="23" t="s">
        <v>425</v>
      </c>
      <c r="E1" s="23" t="s">
        <v>16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52</v>
      </c>
      <c r="B2" s="7" t="s">
        <v>426</v>
      </c>
      <c r="C2" s="7" t="s">
        <v>427</v>
      </c>
      <c r="D2" s="7">
        <f>SUMIFS('Master Hunt List'!K:K,'Master Hunt List'!I:I,A2)</f>
        <v>107</v>
      </c>
      <c r="E2" s="7" t="s">
        <v>430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110</v>
      </c>
      <c r="B3" s="7" t="s">
        <v>433</v>
      </c>
      <c r="C3" s="7" t="s">
        <v>434</v>
      </c>
      <c r="D3" s="7">
        <f>SUMIFS('Master Hunt List'!K:K,'Master Hunt List'!I:I,A3)</f>
        <v>152</v>
      </c>
      <c r="E3" s="7" t="s">
        <v>435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122</v>
      </c>
      <c r="B4" s="7" t="s">
        <v>436</v>
      </c>
      <c r="C4" s="7" t="s">
        <v>437</v>
      </c>
      <c r="D4" s="7">
        <f>SUMIFS('Master Hunt List'!K:K,'Master Hunt List'!I:I,A4)</f>
        <v>273</v>
      </c>
      <c r="E4" s="7" t="s">
        <v>439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176</v>
      </c>
      <c r="B5" s="7" t="s">
        <v>441</v>
      </c>
      <c r="C5" s="7" t="s">
        <v>442</v>
      </c>
      <c r="D5" s="7">
        <f>SUMIFS('Master Hunt List'!K:K,'Master Hunt List'!I:I,A5)</f>
        <v>46</v>
      </c>
      <c r="E5" s="7" t="s">
        <v>443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446</v>
      </c>
      <c r="B6" s="7" t="s">
        <v>447</v>
      </c>
      <c r="C6" s="7" t="s">
        <v>448</v>
      </c>
      <c r="D6" s="7">
        <f>SUMIFS('Master Hunt List'!K:K,'Master Hunt List'!I:I,A6)</f>
        <v>18</v>
      </c>
      <c r="E6" s="7" t="s">
        <v>449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450</v>
      </c>
      <c r="B7" s="7" t="s">
        <v>451</v>
      </c>
      <c r="C7" s="7" t="s">
        <v>452</v>
      </c>
      <c r="D7" s="7">
        <f>SUMIFS('Master Hunt List'!K:K,'Master Hunt List'!I:I,A7)</f>
        <v>15</v>
      </c>
      <c r="E7" s="7" t="s">
        <v>455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456</v>
      </c>
      <c r="B8" s="7" t="s">
        <v>457</v>
      </c>
      <c r="C8" s="7" t="s">
        <v>458</v>
      </c>
      <c r="D8" s="7">
        <f>SUMIFS('Master Hunt List'!K:K,'Master Hunt List'!I:I,A8)</f>
        <v>6</v>
      </c>
      <c r="E8" s="7" t="s">
        <v>459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</cols>
  <sheetData>
    <row r="1" ht="27.75" customHeight="1">
      <c r="A1" s="23" t="s">
        <v>7</v>
      </c>
      <c r="B1" s="23" t="s">
        <v>8</v>
      </c>
      <c r="C1" s="23" t="s">
        <v>502</v>
      </c>
      <c r="D1" s="23" t="s">
        <v>28</v>
      </c>
      <c r="E1" s="23" t="s">
        <v>27</v>
      </c>
      <c r="F1" s="23" t="s">
        <v>11</v>
      </c>
      <c r="G1" s="23" t="s">
        <v>503</v>
      </c>
      <c r="H1" s="23" t="s">
        <v>18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7" t="s">
        <v>133</v>
      </c>
      <c r="B2" s="7" t="s">
        <v>506</v>
      </c>
      <c r="C2" s="7" t="s">
        <v>506</v>
      </c>
      <c r="D2" s="7">
        <v>344.0</v>
      </c>
      <c r="E2" s="7">
        <v>6.0</v>
      </c>
      <c r="F2" s="10">
        <v>0.33</v>
      </c>
      <c r="G2" s="7" t="s">
        <v>507</v>
      </c>
      <c r="H2" s="7" t="s">
        <v>508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7" t="s">
        <v>89</v>
      </c>
      <c r="B3" s="7" t="s">
        <v>510</v>
      </c>
      <c r="C3" s="7" t="s">
        <v>506</v>
      </c>
      <c r="D3" s="7">
        <v>347.0</v>
      </c>
      <c r="E3" s="7">
        <v>26.0</v>
      </c>
      <c r="F3" s="10">
        <v>0.18</v>
      </c>
      <c r="G3" s="7" t="s">
        <v>511</v>
      </c>
      <c r="H3" s="7" t="s">
        <v>512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 t="s">
        <v>154</v>
      </c>
      <c r="B4" s="7" t="s">
        <v>506</v>
      </c>
      <c r="C4" s="7" t="s">
        <v>506</v>
      </c>
      <c r="D4" s="7">
        <v>296.0</v>
      </c>
      <c r="E4" s="7">
        <v>5.0</v>
      </c>
      <c r="F4" s="10">
        <v>0.2</v>
      </c>
      <c r="G4" s="7" t="s">
        <v>511</v>
      </c>
      <c r="H4" s="7" t="s">
        <v>508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 t="s">
        <v>292</v>
      </c>
      <c r="B5" s="7" t="s">
        <v>510</v>
      </c>
      <c r="C5" s="7" t="s">
        <v>506</v>
      </c>
      <c r="D5" s="7">
        <v>529.0</v>
      </c>
      <c r="E5" s="7">
        <v>30.0</v>
      </c>
      <c r="F5" s="10">
        <v>0.62</v>
      </c>
      <c r="G5" s="7" t="s">
        <v>76</v>
      </c>
      <c r="H5" s="7" t="s">
        <v>512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6" width="8.63"/>
  </cols>
  <sheetData>
    <row r="1" ht="27.75" customHeight="1">
      <c r="A1" s="24" t="s">
        <v>542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543</v>
      </c>
      <c r="B2" s="6" t="s">
        <v>15</v>
      </c>
      <c r="C2" s="6" t="s">
        <v>544</v>
      </c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545</v>
      </c>
      <c r="B3" s="25">
        <v>0.22</v>
      </c>
      <c r="C3" s="3" t="s">
        <v>546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547</v>
      </c>
      <c r="B4" s="25">
        <v>25.0</v>
      </c>
      <c r="C4" s="3" t="s">
        <v>548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549</v>
      </c>
      <c r="B5" s="25">
        <v>3.0</v>
      </c>
      <c r="C5" s="3" t="s">
        <v>550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551</v>
      </c>
      <c r="B7" s="6" t="s">
        <v>13</v>
      </c>
      <c r="C7" s="6" t="s">
        <v>15</v>
      </c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552</v>
      </c>
      <c r="B8" s="26">
        <f>SUMIF('Master Hunt List'!A:A,"Yes",'Master Hunt List'!K:K)</f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555</v>
      </c>
      <c r="B9" s="26">
        <f>SUMIF('Master Hunt List'!A:A,"Yes",'Master Hunt List'!L:L)</f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556</v>
      </c>
      <c r="B10" s="26">
        <f>SUMIF('Master Hunt List'!A:A,"Yes",'Master Hunt List'!P:P)*2*$B$3</f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557</v>
      </c>
      <c r="B11" s="26">
        <f>COUNTIF('Master Hunt List'!A:A,"Yes")*$B$4*$B$5</f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558</v>
      </c>
      <c r="B12" s="26">
        <f>SUM(B8:B11)</f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</cols>
  <sheetData>
    <row r="1" ht="27.75" customHeight="1">
      <c r="A1" s="23" t="s">
        <v>569</v>
      </c>
      <c r="B1" s="23" t="s">
        <v>7</v>
      </c>
      <c r="C1" s="23" t="s">
        <v>502</v>
      </c>
      <c r="D1" s="23" t="s">
        <v>570</v>
      </c>
      <c r="E1" s="23" t="s">
        <v>571</v>
      </c>
      <c r="F1" s="23" t="s">
        <v>572</v>
      </c>
      <c r="G1" s="23" t="s">
        <v>573</v>
      </c>
      <c r="H1" s="23" t="s">
        <v>574</v>
      </c>
      <c r="I1" s="23" t="s">
        <v>16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>
        <v>2025.0</v>
      </c>
      <c r="B2" s="7" t="s">
        <v>105</v>
      </c>
      <c r="C2" s="7" t="s">
        <v>46</v>
      </c>
      <c r="D2" s="7" t="s">
        <v>575</v>
      </c>
      <c r="E2" s="7" t="s">
        <v>69</v>
      </c>
      <c r="F2" s="7"/>
      <c r="G2" s="7" t="s">
        <v>69</v>
      </c>
      <c r="H2" s="7"/>
      <c r="I2" s="7" t="s">
        <v>576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">
        <v>2025.0</v>
      </c>
      <c r="B3" s="7" t="s">
        <v>579</v>
      </c>
      <c r="C3" s="7" t="s">
        <v>102</v>
      </c>
      <c r="D3" s="7" t="s">
        <v>580</v>
      </c>
      <c r="E3" s="7" t="s">
        <v>69</v>
      </c>
      <c r="F3" s="7"/>
      <c r="G3" s="7" t="s">
        <v>69</v>
      </c>
      <c r="H3" s="7"/>
      <c r="I3" s="7" t="s">
        <v>576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7">
        <v>2025.0</v>
      </c>
      <c r="B4" s="7" t="s">
        <v>581</v>
      </c>
      <c r="C4" s="7" t="s">
        <v>102</v>
      </c>
      <c r="D4" s="7" t="s">
        <v>582</v>
      </c>
      <c r="E4" s="7" t="s">
        <v>69</v>
      </c>
      <c r="F4" s="7"/>
      <c r="G4" s="7" t="s">
        <v>69</v>
      </c>
      <c r="H4" s="7" t="s">
        <v>69</v>
      </c>
      <c r="I4" s="7" t="s">
        <v>583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0"/>
    <col customWidth="1" min="3" max="3" width="16.0"/>
    <col customWidth="1" min="4" max="4" width="32.0"/>
    <col customWidth="1" min="5" max="5" width="24.0"/>
    <col customWidth="1" min="6" max="6" width="34.0"/>
    <col customWidth="1" min="7" max="8" width="9.0"/>
    <col customWidth="1" min="9" max="9" width="14.0"/>
    <col customWidth="1" min="10" max="10" width="20.0"/>
    <col customWidth="1" min="11" max="11" width="12.0"/>
    <col customWidth="1" min="12" max="12" width="14.0"/>
    <col customWidth="1" min="13" max="13" width="13.0"/>
    <col customWidth="1" min="14" max="14" width="15.0"/>
    <col customWidth="1" min="15" max="15" width="11.0"/>
    <col customWidth="1" min="16" max="16" width="14.0"/>
    <col customWidth="1" min="17" max="17" width="12.0"/>
    <col customWidth="1" min="18" max="18" width="28.0"/>
    <col customWidth="1" min="19" max="19" width="12.0"/>
    <col customWidth="1" min="20" max="20" width="13.0"/>
    <col customWidth="1" min="21" max="22" width="42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  <col customWidth="1" min="32" max="38" width="8.63"/>
    <col customWidth="1" min="39" max="42" width="27.0"/>
    <col customWidth="1" min="43" max="43" width="14.0"/>
    <col customWidth="1" min="44" max="44" width="42.0"/>
  </cols>
  <sheetData>
    <row r="1" ht="27.75" customHeight="1">
      <c r="A1" s="23" t="s">
        <v>3</v>
      </c>
      <c r="B1" s="23" t="s">
        <v>5</v>
      </c>
      <c r="C1" s="23" t="s">
        <v>6</v>
      </c>
      <c r="D1" s="23" t="s">
        <v>7</v>
      </c>
      <c r="E1" s="23" t="s">
        <v>17</v>
      </c>
      <c r="F1" s="23" t="s">
        <v>8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11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16</v>
      </c>
      <c r="V1" s="23" t="s">
        <v>18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40</v>
      </c>
      <c r="AC1" s="23" t="s">
        <v>42</v>
      </c>
      <c r="AD1" s="23" t="s">
        <v>43</v>
      </c>
      <c r="AE1" s="23" t="s">
        <v>45</v>
      </c>
      <c r="AF1" s="2" t="s">
        <v>47</v>
      </c>
      <c r="AG1" s="2" t="s">
        <v>49</v>
      </c>
      <c r="AH1" s="2" t="s">
        <v>51</v>
      </c>
      <c r="AI1" s="2" t="s">
        <v>53</v>
      </c>
      <c r="AJ1" s="2" t="s">
        <v>54</v>
      </c>
      <c r="AK1" s="2" t="s">
        <v>55</v>
      </c>
      <c r="AL1" s="2" t="s">
        <v>56</v>
      </c>
      <c r="AM1" s="2" t="s">
        <v>57</v>
      </c>
      <c r="AN1" s="2" t="s">
        <v>58</v>
      </c>
      <c r="AO1" s="2" t="s">
        <v>60</v>
      </c>
      <c r="AP1" s="2" t="s">
        <v>62</v>
      </c>
      <c r="AQ1" s="2" t="s">
        <v>63</v>
      </c>
      <c r="AR1" s="2" t="s">
        <v>64</v>
      </c>
    </row>
    <row r="2">
      <c r="A2" s="7" t="s">
        <v>39</v>
      </c>
      <c r="B2" s="7" t="s">
        <v>137</v>
      </c>
      <c r="C2" s="7" t="s">
        <v>102</v>
      </c>
      <c r="D2" s="7" t="s">
        <v>103</v>
      </c>
      <c r="E2" s="7" t="s">
        <v>138</v>
      </c>
      <c r="F2" s="7" t="s">
        <v>104</v>
      </c>
      <c r="G2" s="7" t="s">
        <v>69</v>
      </c>
      <c r="H2" s="7" t="s">
        <v>69</v>
      </c>
      <c r="I2" s="9" t="s">
        <v>52</v>
      </c>
      <c r="J2" s="7" t="s">
        <v>71</v>
      </c>
      <c r="K2" s="7">
        <v>3.0</v>
      </c>
      <c r="L2" s="7"/>
      <c r="M2" s="7"/>
      <c r="N2" s="7"/>
      <c r="O2" s="7"/>
      <c r="P2" s="7">
        <v>300.0</v>
      </c>
      <c r="Q2" s="7" t="s">
        <v>140</v>
      </c>
      <c r="R2" s="7" t="s">
        <v>75</v>
      </c>
      <c r="S2" s="7" t="s">
        <v>142</v>
      </c>
      <c r="T2" s="7" t="s">
        <v>39</v>
      </c>
      <c r="U2" s="7" t="s">
        <v>143</v>
      </c>
      <c r="V2" s="7" t="s">
        <v>111</v>
      </c>
      <c r="W2" s="7">
        <v>2.0</v>
      </c>
      <c r="X2" s="7">
        <v>4.0</v>
      </c>
      <c r="Y2" s="7">
        <v>4.0</v>
      </c>
      <c r="Z2" s="7">
        <v>3.0</v>
      </c>
      <c r="AA2" s="7">
        <v>2.0</v>
      </c>
      <c r="AB2" s="7">
        <v>0.0</v>
      </c>
      <c r="AC2" s="7">
        <v>1.6</v>
      </c>
      <c r="AD2" s="7"/>
      <c r="AE2" s="7" t="s">
        <v>52</v>
      </c>
      <c r="AF2" s="14"/>
      <c r="AG2" s="14"/>
      <c r="AH2" s="14"/>
      <c r="AI2" s="14"/>
      <c r="AJ2" s="14"/>
      <c r="AK2" s="14"/>
      <c r="AL2" s="14"/>
      <c r="AM2" s="14" t="s">
        <v>111</v>
      </c>
      <c r="AN2" s="14" t="s">
        <v>145</v>
      </c>
      <c r="AO2" s="14" t="s">
        <v>84</v>
      </c>
      <c r="AP2" s="14" t="s">
        <v>146</v>
      </c>
      <c r="AQ2" s="14">
        <v>-1.0</v>
      </c>
      <c r="AR2" s="14" t="s">
        <v>147</v>
      </c>
    </row>
    <row r="3">
      <c r="A3" s="7" t="s">
        <v>39</v>
      </c>
      <c r="B3" s="7" t="s">
        <v>137</v>
      </c>
      <c r="C3" s="7" t="s">
        <v>102</v>
      </c>
      <c r="D3" s="7" t="s">
        <v>118</v>
      </c>
      <c r="E3" s="7" t="s">
        <v>150</v>
      </c>
      <c r="F3" s="7" t="s">
        <v>104</v>
      </c>
      <c r="G3" s="7" t="s">
        <v>69</v>
      </c>
      <c r="H3" s="7" t="s">
        <v>69</v>
      </c>
      <c r="I3" s="9" t="s">
        <v>52</v>
      </c>
      <c r="J3" s="7" t="s">
        <v>71</v>
      </c>
      <c r="K3" s="7">
        <v>3.0</v>
      </c>
      <c r="L3" s="7"/>
      <c r="M3" s="7"/>
      <c r="N3" s="7"/>
      <c r="O3" s="7"/>
      <c r="P3" s="7">
        <v>700.0</v>
      </c>
      <c r="Q3" s="7" t="s">
        <v>153</v>
      </c>
      <c r="R3" s="7" t="s">
        <v>75</v>
      </c>
      <c r="S3" s="7" t="s">
        <v>142</v>
      </c>
      <c r="T3" s="7" t="s">
        <v>39</v>
      </c>
      <c r="U3" s="7" t="s">
        <v>143</v>
      </c>
      <c r="V3" s="7" t="s">
        <v>111</v>
      </c>
      <c r="W3" s="7">
        <v>2.0</v>
      </c>
      <c r="X3" s="7">
        <v>1.0</v>
      </c>
      <c r="Y3" s="7">
        <v>4.0</v>
      </c>
      <c r="Z3" s="7">
        <v>3.0</v>
      </c>
      <c r="AA3" s="7">
        <v>2.0</v>
      </c>
      <c r="AB3" s="7">
        <v>0.0</v>
      </c>
      <c r="AC3" s="7">
        <v>1.1</v>
      </c>
      <c r="AD3" s="7"/>
      <c r="AE3" s="7" t="s">
        <v>52</v>
      </c>
      <c r="AF3" s="14"/>
      <c r="AG3" s="14"/>
      <c r="AH3" s="14"/>
      <c r="AI3" s="14"/>
      <c r="AJ3" s="14"/>
      <c r="AK3" s="14"/>
      <c r="AL3" s="14"/>
      <c r="AM3" s="14" t="s">
        <v>111</v>
      </c>
      <c r="AN3" s="14" t="s">
        <v>156</v>
      </c>
      <c r="AO3" s="14" t="s">
        <v>84</v>
      </c>
      <c r="AP3" s="14" t="s">
        <v>157</v>
      </c>
      <c r="AQ3" s="14">
        <v>-1.0</v>
      </c>
      <c r="AR3" s="14" t="s">
        <v>147</v>
      </c>
    </row>
    <row r="4">
      <c r="A4" s="7" t="s">
        <v>39</v>
      </c>
      <c r="B4" s="7" t="s">
        <v>137</v>
      </c>
      <c r="C4" s="7" t="s">
        <v>102</v>
      </c>
      <c r="D4" s="7" t="s">
        <v>126</v>
      </c>
      <c r="E4" s="7" t="s">
        <v>150</v>
      </c>
      <c r="F4" s="7" t="s">
        <v>104</v>
      </c>
      <c r="G4" s="7" t="s">
        <v>69</v>
      </c>
      <c r="H4" s="7" t="s">
        <v>69</v>
      </c>
      <c r="I4" s="9" t="s">
        <v>52</v>
      </c>
      <c r="J4" s="7" t="s">
        <v>71</v>
      </c>
      <c r="K4" s="7">
        <v>3.0</v>
      </c>
      <c r="L4" s="7"/>
      <c r="M4" s="7"/>
      <c r="N4" s="7"/>
      <c r="O4" s="7"/>
      <c r="P4" s="7">
        <v>700.0</v>
      </c>
      <c r="Q4" s="7" t="s">
        <v>153</v>
      </c>
      <c r="R4" s="7" t="s">
        <v>75</v>
      </c>
      <c r="S4" s="7" t="s">
        <v>142</v>
      </c>
      <c r="T4" s="7" t="s">
        <v>39</v>
      </c>
      <c r="U4" s="7" t="s">
        <v>143</v>
      </c>
      <c r="V4" s="7" t="s">
        <v>111</v>
      </c>
      <c r="W4" s="7">
        <v>2.0</v>
      </c>
      <c r="X4" s="7">
        <v>1.0</v>
      </c>
      <c r="Y4" s="7">
        <v>4.0</v>
      </c>
      <c r="Z4" s="7">
        <v>3.0</v>
      </c>
      <c r="AA4" s="7">
        <v>2.0</v>
      </c>
      <c r="AB4" s="7">
        <v>0.0</v>
      </c>
      <c r="AC4" s="7">
        <v>1.1</v>
      </c>
      <c r="AD4" s="7"/>
      <c r="AE4" s="7" t="s">
        <v>52</v>
      </c>
      <c r="AF4" s="14"/>
      <c r="AG4" s="14"/>
      <c r="AH4" s="14"/>
      <c r="AI4" s="14"/>
      <c r="AJ4" s="14"/>
      <c r="AK4" s="14"/>
      <c r="AL4" s="14"/>
      <c r="AM4" s="14" t="s">
        <v>111</v>
      </c>
      <c r="AN4" s="14" t="s">
        <v>161</v>
      </c>
      <c r="AO4" s="14" t="s">
        <v>84</v>
      </c>
      <c r="AP4" s="14" t="s">
        <v>162</v>
      </c>
      <c r="AQ4" s="14">
        <v>-1.0</v>
      </c>
      <c r="AR4" s="14" t="s">
        <v>147</v>
      </c>
    </row>
    <row r="5">
      <c r="A5" s="7" t="s">
        <v>39</v>
      </c>
      <c r="B5" s="7" t="s">
        <v>137</v>
      </c>
      <c r="C5" s="7" t="s">
        <v>102</v>
      </c>
      <c r="D5" s="7" t="s">
        <v>132</v>
      </c>
      <c r="E5" s="7" t="s">
        <v>164</v>
      </c>
      <c r="F5" s="7" t="s">
        <v>104</v>
      </c>
      <c r="G5" s="7" t="s">
        <v>69</v>
      </c>
      <c r="H5" s="7" t="s">
        <v>69</v>
      </c>
      <c r="I5" s="9" t="s">
        <v>52</v>
      </c>
      <c r="J5" s="7" t="s">
        <v>71</v>
      </c>
      <c r="K5" s="7">
        <v>3.0</v>
      </c>
      <c r="L5" s="7"/>
      <c r="M5" s="7"/>
      <c r="N5" s="7"/>
      <c r="O5" s="7"/>
      <c r="P5" s="7">
        <v>490.0</v>
      </c>
      <c r="Q5" s="7" t="s">
        <v>74</v>
      </c>
      <c r="R5" s="7" t="s">
        <v>75</v>
      </c>
      <c r="S5" s="7" t="s">
        <v>142</v>
      </c>
      <c r="T5" s="7" t="s">
        <v>39</v>
      </c>
      <c r="U5" s="7" t="s">
        <v>143</v>
      </c>
      <c r="V5" s="7" t="s">
        <v>111</v>
      </c>
      <c r="W5" s="7">
        <v>2.0</v>
      </c>
      <c r="X5" s="7">
        <v>2.0</v>
      </c>
      <c r="Y5" s="7">
        <v>4.0</v>
      </c>
      <c r="Z5" s="7">
        <v>3.0</v>
      </c>
      <c r="AA5" s="7">
        <v>2.0</v>
      </c>
      <c r="AB5" s="7">
        <v>0.0</v>
      </c>
      <c r="AC5" s="7">
        <v>1.3</v>
      </c>
      <c r="AD5" s="7"/>
      <c r="AE5" s="7" t="s">
        <v>52</v>
      </c>
      <c r="AF5" s="14"/>
      <c r="AG5" s="14"/>
      <c r="AH5" s="14"/>
      <c r="AI5" s="14"/>
      <c r="AJ5" s="14"/>
      <c r="AK5" s="14"/>
      <c r="AL5" s="14"/>
      <c r="AM5" s="14" t="s">
        <v>111</v>
      </c>
      <c r="AN5" s="14" t="s">
        <v>171</v>
      </c>
      <c r="AO5" s="14" t="s">
        <v>84</v>
      </c>
      <c r="AP5" s="14" t="s">
        <v>172</v>
      </c>
      <c r="AQ5" s="14">
        <v>-1.0</v>
      </c>
      <c r="AR5" s="14" t="s">
        <v>147</v>
      </c>
    </row>
    <row r="6">
      <c r="A6" s="7" t="s">
        <v>39</v>
      </c>
      <c r="B6" s="7" t="s">
        <v>137</v>
      </c>
      <c r="C6" s="7" t="s">
        <v>102</v>
      </c>
      <c r="D6" s="7" t="s">
        <v>141</v>
      </c>
      <c r="E6" s="7" t="s">
        <v>138</v>
      </c>
      <c r="F6" s="7" t="s">
        <v>104</v>
      </c>
      <c r="G6" s="7" t="s">
        <v>69</v>
      </c>
      <c r="H6" s="7" t="s">
        <v>69</v>
      </c>
      <c r="I6" s="9" t="s">
        <v>52</v>
      </c>
      <c r="J6" s="7" t="s">
        <v>71</v>
      </c>
      <c r="K6" s="7">
        <v>3.0</v>
      </c>
      <c r="L6" s="7"/>
      <c r="M6" s="7"/>
      <c r="N6" s="7"/>
      <c r="O6" s="7"/>
      <c r="P6" s="7">
        <v>300.0</v>
      </c>
      <c r="Q6" s="7" t="s">
        <v>140</v>
      </c>
      <c r="R6" s="7" t="s">
        <v>75</v>
      </c>
      <c r="S6" s="7" t="s">
        <v>142</v>
      </c>
      <c r="T6" s="7" t="s">
        <v>39</v>
      </c>
      <c r="U6" s="7" t="s">
        <v>143</v>
      </c>
      <c r="V6" s="7" t="s">
        <v>111</v>
      </c>
      <c r="W6" s="7">
        <v>2.0</v>
      </c>
      <c r="X6" s="7">
        <v>4.0</v>
      </c>
      <c r="Y6" s="7">
        <v>4.0</v>
      </c>
      <c r="Z6" s="7">
        <v>3.0</v>
      </c>
      <c r="AA6" s="7">
        <v>2.0</v>
      </c>
      <c r="AB6" s="7">
        <v>0.0</v>
      </c>
      <c r="AC6" s="7">
        <v>1.6</v>
      </c>
      <c r="AD6" s="7"/>
      <c r="AE6" s="7" t="s">
        <v>52</v>
      </c>
      <c r="AF6" s="14"/>
      <c r="AG6" s="14"/>
      <c r="AH6" s="14"/>
      <c r="AI6" s="14"/>
      <c r="AJ6" s="14"/>
      <c r="AK6" s="14"/>
      <c r="AL6" s="14"/>
      <c r="AM6" s="14" t="s">
        <v>111</v>
      </c>
      <c r="AN6" s="14" t="s">
        <v>179</v>
      </c>
      <c r="AO6" s="14" t="s">
        <v>84</v>
      </c>
      <c r="AP6" s="14" t="s">
        <v>180</v>
      </c>
      <c r="AQ6" s="14">
        <v>-1.0</v>
      </c>
      <c r="AR6" s="14" t="s">
        <v>147</v>
      </c>
    </row>
    <row r="7">
      <c r="A7" s="7" t="s">
        <v>39</v>
      </c>
      <c r="B7" s="7" t="s">
        <v>137</v>
      </c>
      <c r="C7" s="7" t="s">
        <v>102</v>
      </c>
      <c r="D7" s="7" t="s">
        <v>149</v>
      </c>
      <c r="E7" s="7" t="s">
        <v>181</v>
      </c>
      <c r="F7" s="7" t="s">
        <v>104</v>
      </c>
      <c r="G7" s="7" t="s">
        <v>69</v>
      </c>
      <c r="H7" s="7" t="s">
        <v>69</v>
      </c>
      <c r="I7" s="9" t="s">
        <v>52</v>
      </c>
      <c r="J7" s="7" t="s">
        <v>71</v>
      </c>
      <c r="K7" s="7">
        <v>3.0</v>
      </c>
      <c r="L7" s="7"/>
      <c r="M7" s="7"/>
      <c r="N7" s="7"/>
      <c r="O7" s="7"/>
      <c r="P7" s="7">
        <v>520.0</v>
      </c>
      <c r="Q7" s="7" t="s">
        <v>74</v>
      </c>
      <c r="R7" s="7" t="s">
        <v>75</v>
      </c>
      <c r="S7" s="7" t="s">
        <v>142</v>
      </c>
      <c r="T7" s="7" t="s">
        <v>39</v>
      </c>
      <c r="U7" s="7" t="s">
        <v>143</v>
      </c>
      <c r="V7" s="7" t="s">
        <v>111</v>
      </c>
      <c r="W7" s="7">
        <v>2.0</v>
      </c>
      <c r="X7" s="7">
        <v>2.0</v>
      </c>
      <c r="Y7" s="7">
        <v>4.0</v>
      </c>
      <c r="Z7" s="7">
        <v>3.0</v>
      </c>
      <c r="AA7" s="7">
        <v>2.0</v>
      </c>
      <c r="AB7" s="7">
        <v>0.0</v>
      </c>
      <c r="AC7" s="7">
        <v>1.3</v>
      </c>
      <c r="AD7" s="7"/>
      <c r="AE7" s="7" t="s">
        <v>52</v>
      </c>
      <c r="AF7" s="14"/>
      <c r="AG7" s="14"/>
      <c r="AH7" s="14"/>
      <c r="AI7" s="14"/>
      <c r="AJ7" s="14"/>
      <c r="AK7" s="14"/>
      <c r="AL7" s="14"/>
      <c r="AM7" s="14" t="s">
        <v>111</v>
      </c>
      <c r="AN7" s="14" t="s">
        <v>183</v>
      </c>
      <c r="AO7" s="14" t="s">
        <v>84</v>
      </c>
      <c r="AP7" s="14" t="s">
        <v>185</v>
      </c>
      <c r="AQ7" s="14">
        <v>-1.0</v>
      </c>
      <c r="AR7" s="14" t="s">
        <v>147</v>
      </c>
    </row>
    <row r="8">
      <c r="A8" s="7" t="s">
        <v>39</v>
      </c>
      <c r="B8" s="7" t="s">
        <v>137</v>
      </c>
      <c r="C8" s="7" t="s">
        <v>102</v>
      </c>
      <c r="D8" s="7" t="s">
        <v>154</v>
      </c>
      <c r="E8" s="7" t="s">
        <v>186</v>
      </c>
      <c r="F8" s="7" t="s">
        <v>104</v>
      </c>
      <c r="G8" s="7" t="s">
        <v>69</v>
      </c>
      <c r="H8" s="7" t="s">
        <v>69</v>
      </c>
      <c r="I8" s="9" t="s">
        <v>52</v>
      </c>
      <c r="J8" s="7" t="s">
        <v>71</v>
      </c>
      <c r="K8" s="7">
        <v>3.0</v>
      </c>
      <c r="L8" s="7"/>
      <c r="M8" s="7"/>
      <c r="N8" s="7"/>
      <c r="O8" s="7"/>
      <c r="P8" s="7">
        <v>360.0</v>
      </c>
      <c r="Q8" s="7" t="s">
        <v>140</v>
      </c>
      <c r="R8" s="7" t="s">
        <v>75</v>
      </c>
      <c r="S8" s="7" t="s">
        <v>142</v>
      </c>
      <c r="T8" s="7" t="s">
        <v>39</v>
      </c>
      <c r="U8" s="7" t="s">
        <v>143</v>
      </c>
      <c r="V8" s="7" t="s">
        <v>111</v>
      </c>
      <c r="W8" s="7">
        <v>2.0</v>
      </c>
      <c r="X8" s="7">
        <v>3.0</v>
      </c>
      <c r="Y8" s="7">
        <v>4.0</v>
      </c>
      <c r="Z8" s="7">
        <v>3.0</v>
      </c>
      <c r="AA8" s="7">
        <v>2.0</v>
      </c>
      <c r="AB8" s="7">
        <v>0.0</v>
      </c>
      <c r="AC8" s="7">
        <v>1.5</v>
      </c>
      <c r="AD8" s="7"/>
      <c r="AE8" s="7" t="s">
        <v>52</v>
      </c>
      <c r="AF8" s="14"/>
      <c r="AG8" s="14"/>
      <c r="AH8" s="14"/>
      <c r="AI8" s="14"/>
      <c r="AJ8" s="14"/>
      <c r="AK8" s="14"/>
      <c r="AL8" s="14"/>
      <c r="AM8" s="14" t="s">
        <v>111</v>
      </c>
      <c r="AN8" s="14" t="s">
        <v>188</v>
      </c>
      <c r="AO8" s="14" t="s">
        <v>84</v>
      </c>
      <c r="AP8" s="14" t="s">
        <v>189</v>
      </c>
      <c r="AQ8" s="14">
        <v>-1.0</v>
      </c>
      <c r="AR8" s="14" t="s">
        <v>147</v>
      </c>
    </row>
    <row r="9">
      <c r="A9" s="7" t="s">
        <v>39</v>
      </c>
      <c r="B9" s="7" t="s">
        <v>137</v>
      </c>
      <c r="C9" s="7" t="s">
        <v>102</v>
      </c>
      <c r="D9" s="7" t="s">
        <v>159</v>
      </c>
      <c r="E9" s="7" t="s">
        <v>181</v>
      </c>
      <c r="F9" s="7" t="s">
        <v>104</v>
      </c>
      <c r="G9" s="7" t="s">
        <v>69</v>
      </c>
      <c r="H9" s="7" t="s">
        <v>69</v>
      </c>
      <c r="I9" s="9" t="s">
        <v>52</v>
      </c>
      <c r="J9" s="7" t="s">
        <v>71</v>
      </c>
      <c r="K9" s="7">
        <v>3.0</v>
      </c>
      <c r="L9" s="7"/>
      <c r="M9" s="7"/>
      <c r="N9" s="7"/>
      <c r="O9" s="7"/>
      <c r="P9" s="7">
        <v>520.0</v>
      </c>
      <c r="Q9" s="7" t="s">
        <v>74</v>
      </c>
      <c r="R9" s="7" t="s">
        <v>75</v>
      </c>
      <c r="S9" s="7" t="s">
        <v>142</v>
      </c>
      <c r="T9" s="7" t="s">
        <v>39</v>
      </c>
      <c r="U9" s="7" t="s">
        <v>143</v>
      </c>
      <c r="V9" s="7" t="s">
        <v>111</v>
      </c>
      <c r="W9" s="7">
        <v>2.0</v>
      </c>
      <c r="X9" s="7">
        <v>2.0</v>
      </c>
      <c r="Y9" s="7">
        <v>4.0</v>
      </c>
      <c r="Z9" s="7">
        <v>3.0</v>
      </c>
      <c r="AA9" s="7">
        <v>2.0</v>
      </c>
      <c r="AB9" s="7">
        <v>0.0</v>
      </c>
      <c r="AC9" s="7">
        <v>1.3</v>
      </c>
      <c r="AD9" s="7"/>
      <c r="AE9" s="7" t="s">
        <v>52</v>
      </c>
      <c r="AF9" s="14"/>
      <c r="AG9" s="14"/>
      <c r="AH9" s="14"/>
      <c r="AI9" s="14"/>
      <c r="AJ9" s="14"/>
      <c r="AK9" s="14"/>
      <c r="AL9" s="14"/>
      <c r="AM9" s="14" t="s">
        <v>111</v>
      </c>
      <c r="AN9" s="14" t="s">
        <v>191</v>
      </c>
      <c r="AO9" s="14" t="s">
        <v>84</v>
      </c>
      <c r="AP9" s="14" t="s">
        <v>192</v>
      </c>
      <c r="AQ9" s="14">
        <v>-1.0</v>
      </c>
      <c r="AR9" s="14" t="s">
        <v>147</v>
      </c>
    </row>
    <row r="10">
      <c r="A10" s="7" t="s">
        <v>39</v>
      </c>
      <c r="B10" s="7" t="s">
        <v>44</v>
      </c>
      <c r="C10" s="7" t="s">
        <v>102</v>
      </c>
      <c r="D10" s="7" t="s">
        <v>133</v>
      </c>
      <c r="E10" s="7" t="s">
        <v>106</v>
      </c>
      <c r="F10" s="7" t="s">
        <v>104</v>
      </c>
      <c r="G10" s="7" t="s">
        <v>69</v>
      </c>
      <c r="H10" s="7" t="s">
        <v>69</v>
      </c>
      <c r="I10" s="9" t="s">
        <v>52</v>
      </c>
      <c r="J10" s="7" t="s">
        <v>71</v>
      </c>
      <c r="K10" s="7">
        <v>3.0</v>
      </c>
      <c r="L10" s="7"/>
      <c r="M10" s="7"/>
      <c r="N10" s="7"/>
      <c r="O10" s="7"/>
      <c r="P10" s="7">
        <v>130.0</v>
      </c>
      <c r="Q10" s="7" t="s">
        <v>121</v>
      </c>
      <c r="R10" s="7" t="s">
        <v>75</v>
      </c>
      <c r="S10" s="7" t="s">
        <v>76</v>
      </c>
      <c r="T10" s="7" t="s">
        <v>39</v>
      </c>
      <c r="U10" s="7" t="s">
        <v>90</v>
      </c>
      <c r="V10" s="7" t="s">
        <v>111</v>
      </c>
      <c r="W10" s="7">
        <v>2.0</v>
      </c>
      <c r="X10" s="7">
        <v>5.0</v>
      </c>
      <c r="Y10" s="7">
        <v>4.0</v>
      </c>
      <c r="Z10" s="7">
        <v>3.0</v>
      </c>
      <c r="AA10" s="7">
        <v>4.0</v>
      </c>
      <c r="AB10" s="7">
        <v>0.0</v>
      </c>
      <c r="AC10" s="7">
        <v>2.9</v>
      </c>
      <c r="AD10" s="7"/>
      <c r="AE10" s="7" t="s">
        <v>52</v>
      </c>
      <c r="AF10" s="14"/>
      <c r="AG10" s="14"/>
      <c r="AH10" s="14"/>
      <c r="AI10" s="14"/>
      <c r="AJ10" s="14"/>
      <c r="AK10" s="14"/>
      <c r="AL10" s="14"/>
      <c r="AM10" s="14" t="s">
        <v>111</v>
      </c>
      <c r="AN10" s="14" t="s">
        <v>194</v>
      </c>
      <c r="AO10" s="14" t="s">
        <v>84</v>
      </c>
      <c r="AP10" s="14" t="s">
        <v>195</v>
      </c>
      <c r="AQ10" s="14">
        <v>0.0</v>
      </c>
      <c r="AR10" s="14" t="s">
        <v>196</v>
      </c>
    </row>
    <row r="11">
      <c r="A11" s="7" t="s">
        <v>39</v>
      </c>
      <c r="B11" s="7" t="s">
        <v>137</v>
      </c>
      <c r="C11" s="7" t="s">
        <v>102</v>
      </c>
      <c r="D11" s="7" t="s">
        <v>169</v>
      </c>
      <c r="E11" s="7" t="s">
        <v>181</v>
      </c>
      <c r="F11" s="7" t="s">
        <v>104</v>
      </c>
      <c r="G11" s="7" t="s">
        <v>69</v>
      </c>
      <c r="H11" s="7" t="s">
        <v>69</v>
      </c>
      <c r="I11" s="9" t="s">
        <v>52</v>
      </c>
      <c r="J11" s="7" t="s">
        <v>71</v>
      </c>
      <c r="K11" s="7">
        <v>3.0</v>
      </c>
      <c r="L11" s="7"/>
      <c r="M11" s="7"/>
      <c r="N11" s="7"/>
      <c r="O11" s="7"/>
      <c r="P11" s="7">
        <v>520.0</v>
      </c>
      <c r="Q11" s="7" t="s">
        <v>74</v>
      </c>
      <c r="R11" s="7" t="s">
        <v>75</v>
      </c>
      <c r="S11" s="7" t="s">
        <v>142</v>
      </c>
      <c r="T11" s="7" t="s">
        <v>39</v>
      </c>
      <c r="U11" s="7" t="s">
        <v>143</v>
      </c>
      <c r="V11" s="7" t="s">
        <v>111</v>
      </c>
      <c r="W11" s="7">
        <v>2.0</v>
      </c>
      <c r="X11" s="7">
        <v>2.0</v>
      </c>
      <c r="Y11" s="7">
        <v>4.0</v>
      </c>
      <c r="Z11" s="7">
        <v>3.0</v>
      </c>
      <c r="AA11" s="7">
        <v>2.0</v>
      </c>
      <c r="AB11" s="7">
        <v>0.0</v>
      </c>
      <c r="AC11" s="7">
        <v>1.3</v>
      </c>
      <c r="AD11" s="7"/>
      <c r="AE11" s="7" t="s">
        <v>52</v>
      </c>
      <c r="AF11" s="14"/>
      <c r="AG11" s="14"/>
      <c r="AH11" s="14"/>
      <c r="AI11" s="14"/>
      <c r="AJ11" s="14"/>
      <c r="AK11" s="14"/>
      <c r="AL11" s="14"/>
      <c r="AM11" s="14" t="s">
        <v>111</v>
      </c>
      <c r="AN11" s="14" t="s">
        <v>199</v>
      </c>
      <c r="AO11" s="14" t="s">
        <v>84</v>
      </c>
      <c r="AP11" s="14" t="s">
        <v>200</v>
      </c>
      <c r="AQ11" s="14">
        <v>-1.0</v>
      </c>
      <c r="AR11" s="14" t="s">
        <v>147</v>
      </c>
    </row>
    <row r="12">
      <c r="A12" s="7" t="s">
        <v>39</v>
      </c>
      <c r="B12" s="7" t="s">
        <v>137</v>
      </c>
      <c r="C12" s="7" t="s">
        <v>102</v>
      </c>
      <c r="D12" s="7" t="s">
        <v>173</v>
      </c>
      <c r="E12" s="7" t="s">
        <v>202</v>
      </c>
      <c r="F12" s="7" t="s">
        <v>104</v>
      </c>
      <c r="G12" s="7" t="s">
        <v>69</v>
      </c>
      <c r="H12" s="7" t="s">
        <v>69</v>
      </c>
      <c r="I12" s="9" t="s">
        <v>52</v>
      </c>
      <c r="J12" s="7" t="s">
        <v>71</v>
      </c>
      <c r="K12" s="7">
        <v>3.0</v>
      </c>
      <c r="L12" s="7"/>
      <c r="M12" s="7"/>
      <c r="N12" s="7"/>
      <c r="O12" s="7"/>
      <c r="P12" s="7">
        <v>500.0</v>
      </c>
      <c r="Q12" s="7" t="s">
        <v>74</v>
      </c>
      <c r="R12" s="7" t="s">
        <v>75</v>
      </c>
      <c r="S12" s="7" t="s">
        <v>142</v>
      </c>
      <c r="T12" s="7" t="s">
        <v>39</v>
      </c>
      <c r="U12" s="7" t="s">
        <v>143</v>
      </c>
      <c r="V12" s="7" t="s">
        <v>111</v>
      </c>
      <c r="W12" s="7">
        <v>2.0</v>
      </c>
      <c r="X12" s="7">
        <v>2.0</v>
      </c>
      <c r="Y12" s="7">
        <v>4.0</v>
      </c>
      <c r="Z12" s="7">
        <v>3.0</v>
      </c>
      <c r="AA12" s="7">
        <v>2.0</v>
      </c>
      <c r="AB12" s="7">
        <v>0.0</v>
      </c>
      <c r="AC12" s="7">
        <v>1.3</v>
      </c>
      <c r="AD12" s="7"/>
      <c r="AE12" s="7" t="s">
        <v>52</v>
      </c>
      <c r="AF12" s="14"/>
      <c r="AG12" s="14"/>
      <c r="AH12" s="14"/>
      <c r="AI12" s="14"/>
      <c r="AJ12" s="14"/>
      <c r="AK12" s="14"/>
      <c r="AL12" s="14"/>
      <c r="AM12" s="14" t="s">
        <v>111</v>
      </c>
      <c r="AN12" s="14" t="s">
        <v>204</v>
      </c>
      <c r="AO12" s="14" t="s">
        <v>84</v>
      </c>
      <c r="AP12" s="14" t="s">
        <v>205</v>
      </c>
      <c r="AQ12" s="14">
        <v>-1.0</v>
      </c>
      <c r="AR12" s="14" t="s">
        <v>147</v>
      </c>
    </row>
    <row r="13">
      <c r="A13" s="7" t="s">
        <v>39</v>
      </c>
      <c r="B13" s="7" t="s">
        <v>137</v>
      </c>
      <c r="C13" s="7" t="s">
        <v>102</v>
      </c>
      <c r="D13" s="7" t="s">
        <v>178</v>
      </c>
      <c r="E13" s="7" t="s">
        <v>150</v>
      </c>
      <c r="F13" s="7" t="s">
        <v>104</v>
      </c>
      <c r="G13" s="7" t="s">
        <v>69</v>
      </c>
      <c r="H13" s="7" t="s">
        <v>69</v>
      </c>
      <c r="I13" s="9" t="s">
        <v>52</v>
      </c>
      <c r="J13" s="7" t="s">
        <v>71</v>
      </c>
      <c r="K13" s="7">
        <v>3.0</v>
      </c>
      <c r="L13" s="7"/>
      <c r="M13" s="7"/>
      <c r="N13" s="7"/>
      <c r="O13" s="7"/>
      <c r="P13" s="7">
        <v>700.0</v>
      </c>
      <c r="Q13" s="7" t="s">
        <v>153</v>
      </c>
      <c r="R13" s="7" t="s">
        <v>75</v>
      </c>
      <c r="S13" s="7" t="s">
        <v>142</v>
      </c>
      <c r="T13" s="7" t="s">
        <v>39</v>
      </c>
      <c r="U13" s="7" t="s">
        <v>143</v>
      </c>
      <c r="V13" s="7" t="s">
        <v>111</v>
      </c>
      <c r="W13" s="7">
        <v>2.0</v>
      </c>
      <c r="X13" s="7">
        <v>1.0</v>
      </c>
      <c r="Y13" s="7">
        <v>4.0</v>
      </c>
      <c r="Z13" s="7">
        <v>3.0</v>
      </c>
      <c r="AA13" s="7">
        <v>2.0</v>
      </c>
      <c r="AB13" s="7">
        <v>0.0</v>
      </c>
      <c r="AC13" s="7">
        <v>1.1</v>
      </c>
      <c r="AD13" s="7"/>
      <c r="AE13" s="7" t="s">
        <v>52</v>
      </c>
      <c r="AF13" s="14"/>
      <c r="AG13" s="14"/>
      <c r="AH13" s="14"/>
      <c r="AI13" s="14"/>
      <c r="AJ13" s="14"/>
      <c r="AK13" s="14"/>
      <c r="AL13" s="14"/>
      <c r="AM13" s="14" t="s">
        <v>111</v>
      </c>
      <c r="AN13" s="14" t="s">
        <v>211</v>
      </c>
      <c r="AO13" s="14" t="s">
        <v>84</v>
      </c>
      <c r="AP13" s="14" t="s">
        <v>212</v>
      </c>
      <c r="AQ13" s="14">
        <v>-1.0</v>
      </c>
      <c r="AR13" s="14" t="s">
        <v>147</v>
      </c>
    </row>
    <row r="14">
      <c r="A14" s="7" t="s">
        <v>39</v>
      </c>
      <c r="B14" s="7" t="s">
        <v>137</v>
      </c>
      <c r="C14" s="7" t="s">
        <v>102</v>
      </c>
      <c r="D14" s="7" t="s">
        <v>182</v>
      </c>
      <c r="E14" s="7" t="s">
        <v>138</v>
      </c>
      <c r="F14" s="7" t="s">
        <v>104</v>
      </c>
      <c r="G14" s="7" t="s">
        <v>69</v>
      </c>
      <c r="H14" s="7" t="s">
        <v>69</v>
      </c>
      <c r="I14" s="9" t="s">
        <v>52</v>
      </c>
      <c r="J14" s="7" t="s">
        <v>71</v>
      </c>
      <c r="K14" s="7">
        <v>3.0</v>
      </c>
      <c r="L14" s="7"/>
      <c r="M14" s="7"/>
      <c r="N14" s="7"/>
      <c r="O14" s="7"/>
      <c r="P14" s="7">
        <v>300.0</v>
      </c>
      <c r="Q14" s="7" t="s">
        <v>140</v>
      </c>
      <c r="R14" s="7" t="s">
        <v>75</v>
      </c>
      <c r="S14" s="7" t="s">
        <v>142</v>
      </c>
      <c r="T14" s="7" t="s">
        <v>39</v>
      </c>
      <c r="U14" s="7" t="s">
        <v>143</v>
      </c>
      <c r="V14" s="7" t="s">
        <v>111</v>
      </c>
      <c r="W14" s="7">
        <v>2.0</v>
      </c>
      <c r="X14" s="7">
        <v>4.0</v>
      </c>
      <c r="Y14" s="7">
        <v>4.0</v>
      </c>
      <c r="Z14" s="7">
        <v>3.0</v>
      </c>
      <c r="AA14" s="7">
        <v>2.0</v>
      </c>
      <c r="AB14" s="7">
        <v>0.0</v>
      </c>
      <c r="AC14" s="7">
        <v>1.6</v>
      </c>
      <c r="AD14" s="7"/>
      <c r="AE14" s="7" t="s">
        <v>52</v>
      </c>
      <c r="AF14" s="14"/>
      <c r="AG14" s="14"/>
      <c r="AH14" s="14"/>
      <c r="AI14" s="14"/>
      <c r="AJ14" s="14"/>
      <c r="AK14" s="14"/>
      <c r="AL14" s="14"/>
      <c r="AM14" s="14" t="s">
        <v>111</v>
      </c>
      <c r="AN14" s="14" t="s">
        <v>214</v>
      </c>
      <c r="AO14" s="14" t="s">
        <v>84</v>
      </c>
      <c r="AP14" s="14" t="s">
        <v>215</v>
      </c>
      <c r="AQ14" s="14">
        <v>-1.0</v>
      </c>
      <c r="AR14" s="14" t="s">
        <v>147</v>
      </c>
    </row>
    <row r="15">
      <c r="A15" s="7" t="s">
        <v>39</v>
      </c>
      <c r="B15" s="7" t="s">
        <v>137</v>
      </c>
      <c r="C15" s="7" t="s">
        <v>102</v>
      </c>
      <c r="D15" s="7" t="s">
        <v>184</v>
      </c>
      <c r="E15" s="7" t="s">
        <v>186</v>
      </c>
      <c r="F15" s="7" t="s">
        <v>104</v>
      </c>
      <c r="G15" s="7" t="s">
        <v>69</v>
      </c>
      <c r="H15" s="7" t="s">
        <v>69</v>
      </c>
      <c r="I15" s="9" t="s">
        <v>52</v>
      </c>
      <c r="J15" s="7" t="s">
        <v>71</v>
      </c>
      <c r="K15" s="7">
        <v>3.0</v>
      </c>
      <c r="L15" s="7"/>
      <c r="M15" s="7"/>
      <c r="N15" s="7"/>
      <c r="O15" s="7"/>
      <c r="P15" s="7">
        <v>360.0</v>
      </c>
      <c r="Q15" s="7" t="s">
        <v>140</v>
      </c>
      <c r="R15" s="7" t="s">
        <v>75</v>
      </c>
      <c r="S15" s="7" t="s">
        <v>142</v>
      </c>
      <c r="T15" s="7" t="s">
        <v>39</v>
      </c>
      <c r="U15" s="7" t="s">
        <v>143</v>
      </c>
      <c r="V15" s="7" t="s">
        <v>111</v>
      </c>
      <c r="W15" s="7">
        <v>2.0</v>
      </c>
      <c r="X15" s="7">
        <v>3.0</v>
      </c>
      <c r="Y15" s="7">
        <v>4.0</v>
      </c>
      <c r="Z15" s="7">
        <v>3.0</v>
      </c>
      <c r="AA15" s="7">
        <v>2.0</v>
      </c>
      <c r="AB15" s="7">
        <v>0.0</v>
      </c>
      <c r="AC15" s="7">
        <v>1.5</v>
      </c>
      <c r="AD15" s="7"/>
      <c r="AE15" s="7" t="s">
        <v>52</v>
      </c>
      <c r="AF15" s="14"/>
      <c r="AG15" s="14"/>
      <c r="AH15" s="14"/>
      <c r="AI15" s="14"/>
      <c r="AJ15" s="14"/>
      <c r="AK15" s="14"/>
      <c r="AL15" s="14"/>
      <c r="AM15" s="14" t="s">
        <v>111</v>
      </c>
      <c r="AN15" s="14" t="s">
        <v>221</v>
      </c>
      <c r="AO15" s="14" t="s">
        <v>84</v>
      </c>
      <c r="AP15" s="14" t="s">
        <v>222</v>
      </c>
      <c r="AQ15" s="14">
        <v>-1.0</v>
      </c>
      <c r="AR15" s="14" t="s">
        <v>147</v>
      </c>
    </row>
    <row r="16">
      <c r="A16" s="7" t="s">
        <v>39</v>
      </c>
      <c r="B16" s="7" t="s">
        <v>137</v>
      </c>
      <c r="C16" s="7" t="s">
        <v>102</v>
      </c>
      <c r="D16" s="7" t="s">
        <v>187</v>
      </c>
      <c r="E16" s="7" t="s">
        <v>150</v>
      </c>
      <c r="F16" s="7" t="s">
        <v>104</v>
      </c>
      <c r="G16" s="7" t="s">
        <v>69</v>
      </c>
      <c r="H16" s="7" t="s">
        <v>69</v>
      </c>
      <c r="I16" s="9" t="s">
        <v>52</v>
      </c>
      <c r="J16" s="7" t="s">
        <v>71</v>
      </c>
      <c r="K16" s="7">
        <v>3.0</v>
      </c>
      <c r="L16" s="7"/>
      <c r="M16" s="7"/>
      <c r="N16" s="7"/>
      <c r="O16" s="7"/>
      <c r="P16" s="7">
        <v>700.0</v>
      </c>
      <c r="Q16" s="7" t="s">
        <v>153</v>
      </c>
      <c r="R16" s="7" t="s">
        <v>75</v>
      </c>
      <c r="S16" s="7" t="s">
        <v>142</v>
      </c>
      <c r="T16" s="7" t="s">
        <v>39</v>
      </c>
      <c r="U16" s="7" t="s">
        <v>143</v>
      </c>
      <c r="V16" s="7" t="s">
        <v>111</v>
      </c>
      <c r="W16" s="7">
        <v>2.0</v>
      </c>
      <c r="X16" s="7">
        <v>1.0</v>
      </c>
      <c r="Y16" s="7">
        <v>4.0</v>
      </c>
      <c r="Z16" s="7">
        <v>3.0</v>
      </c>
      <c r="AA16" s="7">
        <v>2.0</v>
      </c>
      <c r="AB16" s="7">
        <v>0.0</v>
      </c>
      <c r="AC16" s="7">
        <v>1.1</v>
      </c>
      <c r="AD16" s="7"/>
      <c r="AE16" s="7" t="s">
        <v>52</v>
      </c>
      <c r="AF16" s="14"/>
      <c r="AG16" s="14"/>
      <c r="AH16" s="14"/>
      <c r="AI16" s="14"/>
      <c r="AJ16" s="14"/>
      <c r="AK16" s="14"/>
      <c r="AL16" s="14"/>
      <c r="AM16" s="14" t="s">
        <v>111</v>
      </c>
      <c r="AN16" s="14" t="s">
        <v>227</v>
      </c>
      <c r="AO16" s="14" t="s">
        <v>84</v>
      </c>
      <c r="AP16" s="14" t="s">
        <v>229</v>
      </c>
      <c r="AQ16" s="14">
        <v>-1.0</v>
      </c>
      <c r="AR16" s="14" t="s">
        <v>147</v>
      </c>
    </row>
    <row r="17">
      <c r="A17" s="7" t="s">
        <v>39</v>
      </c>
      <c r="B17" s="7" t="s">
        <v>44</v>
      </c>
      <c r="C17" s="7" t="s">
        <v>102</v>
      </c>
      <c r="D17" s="7" t="s">
        <v>89</v>
      </c>
      <c r="E17" s="7" t="s">
        <v>106</v>
      </c>
      <c r="F17" s="7" t="s">
        <v>104</v>
      </c>
      <c r="G17" s="7" t="s">
        <v>69</v>
      </c>
      <c r="H17" s="7" t="s">
        <v>69</v>
      </c>
      <c r="I17" s="9" t="s">
        <v>52</v>
      </c>
      <c r="J17" s="7" t="s">
        <v>71</v>
      </c>
      <c r="K17" s="7">
        <v>3.0</v>
      </c>
      <c r="L17" s="7"/>
      <c r="M17" s="7"/>
      <c r="N17" s="7"/>
      <c r="O17" s="7"/>
      <c r="P17" s="7">
        <v>130.0</v>
      </c>
      <c r="Q17" s="7" t="s">
        <v>121</v>
      </c>
      <c r="R17" s="7" t="s">
        <v>75</v>
      </c>
      <c r="S17" s="7" t="s">
        <v>76</v>
      </c>
      <c r="T17" s="7" t="s">
        <v>39</v>
      </c>
      <c r="U17" s="7" t="s">
        <v>90</v>
      </c>
      <c r="V17" s="7" t="s">
        <v>111</v>
      </c>
      <c r="W17" s="7">
        <v>2.0</v>
      </c>
      <c r="X17" s="7">
        <v>5.0</v>
      </c>
      <c r="Y17" s="7">
        <v>4.0</v>
      </c>
      <c r="Z17" s="7">
        <v>3.0</v>
      </c>
      <c r="AA17" s="7">
        <v>4.0</v>
      </c>
      <c r="AB17" s="7">
        <v>0.0</v>
      </c>
      <c r="AC17" s="7">
        <v>2.9</v>
      </c>
      <c r="AD17" s="7"/>
      <c r="AE17" s="7" t="s">
        <v>52</v>
      </c>
      <c r="AF17" s="14"/>
      <c r="AG17" s="14"/>
      <c r="AH17" s="14"/>
      <c r="AI17" s="14"/>
      <c r="AJ17" s="14"/>
      <c r="AK17" s="14"/>
      <c r="AL17" s="14"/>
      <c r="AM17" s="14" t="s">
        <v>111</v>
      </c>
      <c r="AN17" s="14" t="s">
        <v>127</v>
      </c>
      <c r="AO17" s="14" t="s">
        <v>84</v>
      </c>
      <c r="AP17" s="14" t="s">
        <v>128</v>
      </c>
      <c r="AQ17" s="14">
        <v>0.0</v>
      </c>
      <c r="AR17" s="14" t="s">
        <v>196</v>
      </c>
    </row>
    <row r="18">
      <c r="A18" s="7" t="s">
        <v>39</v>
      </c>
      <c r="B18" s="7" t="s">
        <v>137</v>
      </c>
      <c r="C18" s="7" t="s">
        <v>102</v>
      </c>
      <c r="D18" s="7" t="s">
        <v>190</v>
      </c>
      <c r="E18" s="7" t="s">
        <v>202</v>
      </c>
      <c r="F18" s="7" t="s">
        <v>104</v>
      </c>
      <c r="G18" s="7" t="s">
        <v>69</v>
      </c>
      <c r="H18" s="7" t="s">
        <v>69</v>
      </c>
      <c r="I18" s="9" t="s">
        <v>52</v>
      </c>
      <c r="J18" s="7" t="s">
        <v>71</v>
      </c>
      <c r="K18" s="7">
        <v>3.0</v>
      </c>
      <c r="L18" s="7"/>
      <c r="M18" s="7"/>
      <c r="N18" s="7"/>
      <c r="O18" s="7"/>
      <c r="P18" s="7">
        <v>500.0</v>
      </c>
      <c r="Q18" s="7" t="s">
        <v>74</v>
      </c>
      <c r="R18" s="7" t="s">
        <v>75</v>
      </c>
      <c r="S18" s="7" t="s">
        <v>142</v>
      </c>
      <c r="T18" s="7" t="s">
        <v>39</v>
      </c>
      <c r="U18" s="7" t="s">
        <v>143</v>
      </c>
      <c r="V18" s="7" t="s">
        <v>111</v>
      </c>
      <c r="W18" s="7">
        <v>2.0</v>
      </c>
      <c r="X18" s="7">
        <v>2.0</v>
      </c>
      <c r="Y18" s="7">
        <v>4.0</v>
      </c>
      <c r="Z18" s="7">
        <v>3.0</v>
      </c>
      <c r="AA18" s="7">
        <v>2.0</v>
      </c>
      <c r="AB18" s="7">
        <v>0.0</v>
      </c>
      <c r="AC18" s="7">
        <v>1.3</v>
      </c>
      <c r="AD18" s="7"/>
      <c r="AE18" s="7" t="s">
        <v>52</v>
      </c>
      <c r="AF18" s="14"/>
      <c r="AG18" s="14"/>
      <c r="AH18" s="14"/>
      <c r="AI18" s="14"/>
      <c r="AJ18" s="14"/>
      <c r="AK18" s="14"/>
      <c r="AL18" s="14"/>
      <c r="AM18" s="14" t="s">
        <v>111</v>
      </c>
      <c r="AN18" s="14" t="s">
        <v>238</v>
      </c>
      <c r="AO18" s="14" t="s">
        <v>84</v>
      </c>
      <c r="AP18" s="14" t="s">
        <v>239</v>
      </c>
      <c r="AQ18" s="14">
        <v>-1.0</v>
      </c>
      <c r="AR18" s="14" t="s">
        <v>147</v>
      </c>
    </row>
    <row r="19">
      <c r="A19" s="7" t="s">
        <v>39</v>
      </c>
      <c r="B19" s="7" t="s">
        <v>137</v>
      </c>
      <c r="C19" s="7" t="s">
        <v>102</v>
      </c>
      <c r="D19" s="7" t="s">
        <v>193</v>
      </c>
      <c r="E19" s="7" t="s">
        <v>240</v>
      </c>
      <c r="F19" s="7" t="s">
        <v>104</v>
      </c>
      <c r="G19" s="7" t="s">
        <v>69</v>
      </c>
      <c r="H19" s="7" t="s">
        <v>69</v>
      </c>
      <c r="I19" s="9" t="s">
        <v>52</v>
      </c>
      <c r="J19" s="7" t="s">
        <v>71</v>
      </c>
      <c r="K19" s="7">
        <v>3.0</v>
      </c>
      <c r="L19" s="7"/>
      <c r="M19" s="7"/>
      <c r="N19" s="7"/>
      <c r="O19" s="7"/>
      <c r="P19" s="7">
        <v>610.0</v>
      </c>
      <c r="Q19" s="7" t="s">
        <v>153</v>
      </c>
      <c r="R19" s="7" t="s">
        <v>75</v>
      </c>
      <c r="S19" s="7" t="s">
        <v>142</v>
      </c>
      <c r="T19" s="7" t="s">
        <v>39</v>
      </c>
      <c r="U19" s="7" t="s">
        <v>143</v>
      </c>
      <c r="V19" s="7" t="s">
        <v>111</v>
      </c>
      <c r="W19" s="7">
        <v>2.0</v>
      </c>
      <c r="X19" s="7">
        <v>1.0</v>
      </c>
      <c r="Y19" s="7">
        <v>4.0</v>
      </c>
      <c r="Z19" s="7">
        <v>3.0</v>
      </c>
      <c r="AA19" s="7">
        <v>2.0</v>
      </c>
      <c r="AB19" s="7">
        <v>0.0</v>
      </c>
      <c r="AC19" s="7">
        <v>1.1</v>
      </c>
      <c r="AD19" s="7"/>
      <c r="AE19" s="7" t="s">
        <v>52</v>
      </c>
      <c r="AF19" s="14"/>
      <c r="AG19" s="14"/>
      <c r="AH19" s="14"/>
      <c r="AI19" s="14"/>
      <c r="AJ19" s="14"/>
      <c r="AK19" s="14"/>
      <c r="AL19" s="14"/>
      <c r="AM19" s="14" t="s">
        <v>111</v>
      </c>
      <c r="AN19" s="14" t="s">
        <v>244</v>
      </c>
      <c r="AO19" s="14" t="s">
        <v>84</v>
      </c>
      <c r="AP19" s="14" t="s">
        <v>245</v>
      </c>
      <c r="AQ19" s="14">
        <v>-1.0</v>
      </c>
      <c r="AR19" s="14" t="s">
        <v>147</v>
      </c>
    </row>
    <row r="20">
      <c r="A20" s="7" t="s">
        <v>39</v>
      </c>
      <c r="B20" s="7" t="s">
        <v>44</v>
      </c>
      <c r="C20" s="7" t="s">
        <v>102</v>
      </c>
      <c r="D20" s="7" t="s">
        <v>160</v>
      </c>
      <c r="E20" s="7" t="s">
        <v>106</v>
      </c>
      <c r="F20" s="7" t="s">
        <v>104</v>
      </c>
      <c r="G20" s="7" t="s">
        <v>69</v>
      </c>
      <c r="H20" s="7" t="s">
        <v>69</v>
      </c>
      <c r="I20" s="9" t="s">
        <v>52</v>
      </c>
      <c r="J20" s="7" t="s">
        <v>71</v>
      </c>
      <c r="K20" s="7">
        <v>3.0</v>
      </c>
      <c r="L20" s="7"/>
      <c r="M20" s="7"/>
      <c r="N20" s="7"/>
      <c r="O20" s="7"/>
      <c r="P20" s="7">
        <v>130.0</v>
      </c>
      <c r="Q20" s="7" t="s">
        <v>121</v>
      </c>
      <c r="R20" s="7" t="s">
        <v>75</v>
      </c>
      <c r="S20" s="7" t="s">
        <v>76</v>
      </c>
      <c r="T20" s="7" t="s">
        <v>39</v>
      </c>
      <c r="U20" s="7" t="s">
        <v>90</v>
      </c>
      <c r="V20" s="7" t="s">
        <v>111</v>
      </c>
      <c r="W20" s="7">
        <v>2.0</v>
      </c>
      <c r="X20" s="7">
        <v>5.0</v>
      </c>
      <c r="Y20" s="7">
        <v>4.0</v>
      </c>
      <c r="Z20" s="7">
        <v>3.0</v>
      </c>
      <c r="AA20" s="7">
        <v>4.0</v>
      </c>
      <c r="AB20" s="7">
        <v>0.0</v>
      </c>
      <c r="AC20" s="7">
        <v>2.9</v>
      </c>
      <c r="AD20" s="7"/>
      <c r="AE20" s="7" t="s">
        <v>52</v>
      </c>
      <c r="AF20" s="14"/>
      <c r="AG20" s="14"/>
      <c r="AH20" s="14"/>
      <c r="AI20" s="14"/>
      <c r="AJ20" s="14"/>
      <c r="AK20" s="14"/>
      <c r="AL20" s="14"/>
      <c r="AM20" s="14" t="s">
        <v>111</v>
      </c>
      <c r="AN20" s="14" t="s">
        <v>247</v>
      </c>
      <c r="AO20" s="14" t="s">
        <v>84</v>
      </c>
      <c r="AP20" s="14" t="s">
        <v>248</v>
      </c>
      <c r="AQ20" s="14">
        <v>0.0</v>
      </c>
      <c r="AR20" s="14" t="s">
        <v>196</v>
      </c>
    </row>
    <row r="21" ht="15.75" customHeight="1">
      <c r="A21" s="7" t="s">
        <v>39</v>
      </c>
      <c r="B21" s="7" t="s">
        <v>137</v>
      </c>
      <c r="C21" s="7" t="s">
        <v>102</v>
      </c>
      <c r="D21" s="7" t="s">
        <v>197</v>
      </c>
      <c r="E21" s="7" t="s">
        <v>202</v>
      </c>
      <c r="F21" s="7" t="s">
        <v>104</v>
      </c>
      <c r="G21" s="7" t="s">
        <v>69</v>
      </c>
      <c r="H21" s="7" t="s">
        <v>69</v>
      </c>
      <c r="I21" s="9" t="s">
        <v>52</v>
      </c>
      <c r="J21" s="7" t="s">
        <v>71</v>
      </c>
      <c r="K21" s="7">
        <v>3.0</v>
      </c>
      <c r="L21" s="7"/>
      <c r="M21" s="7"/>
      <c r="N21" s="7"/>
      <c r="O21" s="7"/>
      <c r="P21" s="7">
        <v>500.0</v>
      </c>
      <c r="Q21" s="7" t="s">
        <v>74</v>
      </c>
      <c r="R21" s="7" t="s">
        <v>75</v>
      </c>
      <c r="S21" s="7" t="s">
        <v>142</v>
      </c>
      <c r="T21" s="7" t="s">
        <v>39</v>
      </c>
      <c r="U21" s="7" t="s">
        <v>143</v>
      </c>
      <c r="V21" s="7" t="s">
        <v>111</v>
      </c>
      <c r="W21" s="7">
        <v>2.0</v>
      </c>
      <c r="X21" s="7">
        <v>2.0</v>
      </c>
      <c r="Y21" s="7">
        <v>4.0</v>
      </c>
      <c r="Z21" s="7">
        <v>3.0</v>
      </c>
      <c r="AA21" s="7">
        <v>2.0</v>
      </c>
      <c r="AB21" s="7">
        <v>0.0</v>
      </c>
      <c r="AC21" s="7">
        <v>1.3</v>
      </c>
      <c r="AD21" s="7"/>
      <c r="AE21" s="7" t="s">
        <v>52</v>
      </c>
      <c r="AF21" s="14"/>
      <c r="AG21" s="14"/>
      <c r="AH21" s="14"/>
      <c r="AI21" s="14"/>
      <c r="AJ21" s="14"/>
      <c r="AK21" s="14"/>
      <c r="AL21" s="14"/>
      <c r="AM21" s="14" t="s">
        <v>111</v>
      </c>
      <c r="AN21" s="14" t="s">
        <v>249</v>
      </c>
      <c r="AO21" s="14" t="s">
        <v>84</v>
      </c>
      <c r="AP21" s="14" t="s">
        <v>250</v>
      </c>
      <c r="AQ21" s="14">
        <v>-1.0</v>
      </c>
      <c r="AR21" s="14" t="s">
        <v>147</v>
      </c>
    </row>
    <row r="22" ht="15.75" customHeight="1">
      <c r="A22" s="7" t="s">
        <v>39</v>
      </c>
      <c r="B22" s="7" t="s">
        <v>44</v>
      </c>
      <c r="C22" s="7" t="s">
        <v>102</v>
      </c>
      <c r="D22" s="7" t="s">
        <v>95</v>
      </c>
      <c r="E22" s="7" t="s">
        <v>106</v>
      </c>
      <c r="F22" s="7" t="s">
        <v>104</v>
      </c>
      <c r="G22" s="7" t="s">
        <v>69</v>
      </c>
      <c r="H22" s="7" t="s">
        <v>69</v>
      </c>
      <c r="I22" s="9" t="s">
        <v>52</v>
      </c>
      <c r="J22" s="7" t="s">
        <v>71</v>
      </c>
      <c r="K22" s="7">
        <v>3.0</v>
      </c>
      <c r="L22" s="7"/>
      <c r="M22" s="7"/>
      <c r="N22" s="7"/>
      <c r="O22" s="7"/>
      <c r="P22" s="7">
        <v>130.0</v>
      </c>
      <c r="Q22" s="7" t="s">
        <v>121</v>
      </c>
      <c r="R22" s="7" t="s">
        <v>75</v>
      </c>
      <c r="S22" s="7" t="s">
        <v>76</v>
      </c>
      <c r="T22" s="7" t="s">
        <v>69</v>
      </c>
      <c r="U22" s="7" t="s">
        <v>90</v>
      </c>
      <c r="V22" s="7" t="s">
        <v>111</v>
      </c>
      <c r="W22" s="7">
        <v>2.0</v>
      </c>
      <c r="X22" s="7">
        <v>5.0</v>
      </c>
      <c r="Y22" s="7">
        <v>4.0</v>
      </c>
      <c r="Z22" s="7">
        <v>3.0</v>
      </c>
      <c r="AA22" s="7">
        <v>4.0</v>
      </c>
      <c r="AB22" s="7">
        <v>5.0</v>
      </c>
      <c r="AC22" s="7">
        <v>3.7</v>
      </c>
      <c r="AD22" s="7"/>
      <c r="AE22" s="7" t="s">
        <v>52</v>
      </c>
      <c r="AF22" s="14"/>
      <c r="AG22" s="14"/>
      <c r="AH22" s="14"/>
      <c r="AI22" s="14"/>
      <c r="AJ22" s="14"/>
      <c r="AK22" s="14"/>
      <c r="AL22" s="14"/>
      <c r="AM22" s="14" t="s">
        <v>111</v>
      </c>
      <c r="AN22" s="14" t="s">
        <v>135</v>
      </c>
      <c r="AO22" s="14" t="s">
        <v>84</v>
      </c>
      <c r="AP22" s="14" t="s">
        <v>136</v>
      </c>
      <c r="AQ22" s="14">
        <v>0.0</v>
      </c>
      <c r="AR22" s="14" t="s">
        <v>196</v>
      </c>
    </row>
    <row r="23" ht="15.75" customHeight="1">
      <c r="A23" s="7" t="s">
        <v>39</v>
      </c>
      <c r="B23" s="7" t="s">
        <v>137</v>
      </c>
      <c r="C23" s="7" t="s">
        <v>102</v>
      </c>
      <c r="D23" s="7" t="s">
        <v>203</v>
      </c>
      <c r="E23" s="7" t="s">
        <v>202</v>
      </c>
      <c r="F23" s="7" t="s">
        <v>104</v>
      </c>
      <c r="G23" s="7" t="s">
        <v>69</v>
      </c>
      <c r="H23" s="7" t="s">
        <v>69</v>
      </c>
      <c r="I23" s="9" t="s">
        <v>52</v>
      </c>
      <c r="J23" s="7" t="s">
        <v>71</v>
      </c>
      <c r="K23" s="7">
        <v>3.0</v>
      </c>
      <c r="L23" s="7"/>
      <c r="M23" s="7"/>
      <c r="N23" s="7"/>
      <c r="O23" s="7"/>
      <c r="P23" s="7">
        <v>500.0</v>
      </c>
      <c r="Q23" s="7" t="s">
        <v>74</v>
      </c>
      <c r="R23" s="7" t="s">
        <v>75</v>
      </c>
      <c r="S23" s="7" t="s">
        <v>142</v>
      </c>
      <c r="T23" s="7" t="s">
        <v>39</v>
      </c>
      <c r="U23" s="7" t="s">
        <v>143</v>
      </c>
      <c r="V23" s="7" t="s">
        <v>111</v>
      </c>
      <c r="W23" s="7">
        <v>2.0</v>
      </c>
      <c r="X23" s="7">
        <v>2.0</v>
      </c>
      <c r="Y23" s="7">
        <v>4.0</v>
      </c>
      <c r="Z23" s="7">
        <v>3.0</v>
      </c>
      <c r="AA23" s="7">
        <v>2.0</v>
      </c>
      <c r="AB23" s="7">
        <v>0.0</v>
      </c>
      <c r="AC23" s="7">
        <v>1.3</v>
      </c>
      <c r="AD23" s="7"/>
      <c r="AE23" s="7" t="s">
        <v>52</v>
      </c>
      <c r="AF23" s="14"/>
      <c r="AG23" s="14"/>
      <c r="AH23" s="14"/>
      <c r="AI23" s="14"/>
      <c r="AJ23" s="14"/>
      <c r="AK23" s="14"/>
      <c r="AL23" s="14"/>
      <c r="AM23" s="14" t="s">
        <v>111</v>
      </c>
      <c r="AN23" s="14" t="s">
        <v>254</v>
      </c>
      <c r="AO23" s="14" t="s">
        <v>84</v>
      </c>
      <c r="AP23" s="14" t="s">
        <v>255</v>
      </c>
      <c r="AQ23" s="14">
        <v>-1.0</v>
      </c>
      <c r="AR23" s="14" t="s">
        <v>147</v>
      </c>
    </row>
    <row r="24" ht="15.75" customHeight="1">
      <c r="A24" s="7" t="s">
        <v>39</v>
      </c>
      <c r="B24" s="7" t="s">
        <v>137</v>
      </c>
      <c r="C24" s="7" t="s">
        <v>102</v>
      </c>
      <c r="D24" s="7" t="s">
        <v>209</v>
      </c>
      <c r="E24" s="7" t="s">
        <v>138</v>
      </c>
      <c r="F24" s="7" t="s">
        <v>104</v>
      </c>
      <c r="G24" s="7" t="s">
        <v>69</v>
      </c>
      <c r="H24" s="7" t="s">
        <v>69</v>
      </c>
      <c r="I24" s="9" t="s">
        <v>52</v>
      </c>
      <c r="J24" s="7" t="s">
        <v>71</v>
      </c>
      <c r="K24" s="7">
        <v>3.0</v>
      </c>
      <c r="L24" s="7"/>
      <c r="M24" s="7"/>
      <c r="N24" s="7"/>
      <c r="O24" s="7"/>
      <c r="P24" s="7">
        <v>300.0</v>
      </c>
      <c r="Q24" s="7" t="s">
        <v>140</v>
      </c>
      <c r="R24" s="7" t="s">
        <v>75</v>
      </c>
      <c r="S24" s="7" t="s">
        <v>142</v>
      </c>
      <c r="T24" s="7" t="s">
        <v>39</v>
      </c>
      <c r="U24" s="7" t="s">
        <v>143</v>
      </c>
      <c r="V24" s="7" t="s">
        <v>111</v>
      </c>
      <c r="W24" s="7">
        <v>2.0</v>
      </c>
      <c r="X24" s="7">
        <v>4.0</v>
      </c>
      <c r="Y24" s="7">
        <v>4.0</v>
      </c>
      <c r="Z24" s="7">
        <v>3.0</v>
      </c>
      <c r="AA24" s="7">
        <v>2.0</v>
      </c>
      <c r="AB24" s="7">
        <v>0.0</v>
      </c>
      <c r="AC24" s="7">
        <v>1.6</v>
      </c>
      <c r="AD24" s="7"/>
      <c r="AE24" s="7" t="s">
        <v>52</v>
      </c>
      <c r="AF24" s="14"/>
      <c r="AG24" s="14"/>
      <c r="AH24" s="14"/>
      <c r="AI24" s="14"/>
      <c r="AJ24" s="14"/>
      <c r="AK24" s="14"/>
      <c r="AL24" s="14"/>
      <c r="AM24" s="14" t="s">
        <v>111</v>
      </c>
      <c r="AN24" s="14" t="s">
        <v>259</v>
      </c>
      <c r="AO24" s="14" t="s">
        <v>84</v>
      </c>
      <c r="AP24" s="14" t="s">
        <v>261</v>
      </c>
      <c r="AQ24" s="14">
        <v>-1.0</v>
      </c>
      <c r="AR24" s="14" t="s">
        <v>147</v>
      </c>
    </row>
    <row r="25" ht="15.75" customHeight="1">
      <c r="A25" s="7" t="s">
        <v>39</v>
      </c>
      <c r="B25" s="7" t="s">
        <v>44</v>
      </c>
      <c r="C25" s="7" t="s">
        <v>102</v>
      </c>
      <c r="D25" s="7" t="s">
        <v>103</v>
      </c>
      <c r="E25" s="7" t="s">
        <v>138</v>
      </c>
      <c r="F25" s="7" t="s">
        <v>108</v>
      </c>
      <c r="G25" s="7" t="s">
        <v>39</v>
      </c>
      <c r="H25" s="7" t="s">
        <v>69</v>
      </c>
      <c r="I25" s="9" t="s">
        <v>110</v>
      </c>
      <c r="J25" s="7" t="s">
        <v>71</v>
      </c>
      <c r="K25" s="7">
        <v>0.0</v>
      </c>
      <c r="L25" s="7">
        <v>0.0</v>
      </c>
      <c r="M25" s="7"/>
      <c r="N25" s="7"/>
      <c r="O25" s="7"/>
      <c r="P25" s="7">
        <v>300.0</v>
      </c>
      <c r="Q25" s="7" t="s">
        <v>140</v>
      </c>
      <c r="R25" s="7" t="s">
        <v>75</v>
      </c>
      <c r="S25" s="7" t="s">
        <v>142</v>
      </c>
      <c r="T25" s="7" t="s">
        <v>39</v>
      </c>
      <c r="U25" s="7" t="s">
        <v>90</v>
      </c>
      <c r="V25" s="7" t="s">
        <v>114</v>
      </c>
      <c r="W25" s="7">
        <v>2.0</v>
      </c>
      <c r="X25" s="7">
        <v>4.0</v>
      </c>
      <c r="Y25" s="7">
        <v>5.0</v>
      </c>
      <c r="Z25" s="7">
        <v>3.0</v>
      </c>
      <c r="AA25" s="7">
        <v>2.0</v>
      </c>
      <c r="AB25" s="7">
        <v>0.0</v>
      </c>
      <c r="AC25" s="7">
        <v>2.9</v>
      </c>
      <c r="AD25" s="7">
        <v>0.0</v>
      </c>
      <c r="AE25" s="7" t="s">
        <v>110</v>
      </c>
      <c r="AF25" s="14"/>
      <c r="AG25" s="14"/>
      <c r="AH25" s="14"/>
      <c r="AI25" s="14"/>
      <c r="AJ25" s="14"/>
      <c r="AK25" s="14"/>
      <c r="AL25" s="14"/>
      <c r="AM25" s="14" t="s">
        <v>114</v>
      </c>
      <c r="AN25" s="14" t="s">
        <v>145</v>
      </c>
      <c r="AO25" s="14" t="s">
        <v>84</v>
      </c>
      <c r="AP25" s="14" t="s">
        <v>146</v>
      </c>
      <c r="AQ25" s="14">
        <v>0.0</v>
      </c>
      <c r="AR25" s="14" t="s">
        <v>196</v>
      </c>
    </row>
    <row r="26" ht="15.75" customHeight="1">
      <c r="A26" s="7" t="s">
        <v>39</v>
      </c>
      <c r="B26" s="7" t="s">
        <v>44</v>
      </c>
      <c r="C26" s="7" t="s">
        <v>102</v>
      </c>
      <c r="D26" s="7" t="s">
        <v>218</v>
      </c>
      <c r="E26" s="7" t="s">
        <v>271</v>
      </c>
      <c r="F26" s="7" t="s">
        <v>108</v>
      </c>
      <c r="G26" s="7" t="s">
        <v>39</v>
      </c>
      <c r="H26" s="7" t="s">
        <v>69</v>
      </c>
      <c r="I26" s="9" t="s">
        <v>110</v>
      </c>
      <c r="J26" s="7" t="s">
        <v>71</v>
      </c>
      <c r="K26" s="7">
        <v>0.0</v>
      </c>
      <c r="L26" s="7">
        <v>0.0</v>
      </c>
      <c r="M26" s="7"/>
      <c r="N26" s="7"/>
      <c r="O26" s="7"/>
      <c r="P26" s="7">
        <v>570.0</v>
      </c>
      <c r="Q26" s="7" t="s">
        <v>74</v>
      </c>
      <c r="R26" s="7" t="s">
        <v>75</v>
      </c>
      <c r="S26" s="7" t="s">
        <v>142</v>
      </c>
      <c r="T26" s="7" t="s">
        <v>39</v>
      </c>
      <c r="U26" s="7" t="s">
        <v>90</v>
      </c>
      <c r="V26" s="7" t="s">
        <v>114</v>
      </c>
      <c r="W26" s="7">
        <v>2.0</v>
      </c>
      <c r="X26" s="7">
        <v>2.0</v>
      </c>
      <c r="Y26" s="7">
        <v>5.0</v>
      </c>
      <c r="Z26" s="7">
        <v>3.0</v>
      </c>
      <c r="AA26" s="7">
        <v>2.0</v>
      </c>
      <c r="AB26" s="7">
        <v>0.0</v>
      </c>
      <c r="AC26" s="7">
        <v>2.5</v>
      </c>
      <c r="AD26" s="7">
        <v>0.0</v>
      </c>
      <c r="AE26" s="7" t="s">
        <v>110</v>
      </c>
      <c r="AF26" s="14"/>
      <c r="AG26" s="14"/>
      <c r="AH26" s="14"/>
      <c r="AI26" s="14"/>
      <c r="AJ26" s="14"/>
      <c r="AK26" s="14"/>
      <c r="AL26" s="14"/>
      <c r="AM26" s="14" t="s">
        <v>114</v>
      </c>
      <c r="AN26" s="14" t="s">
        <v>272</v>
      </c>
      <c r="AO26" s="14" t="s">
        <v>84</v>
      </c>
      <c r="AP26" s="14" t="s">
        <v>273</v>
      </c>
      <c r="AQ26" s="14">
        <v>0.0</v>
      </c>
      <c r="AR26" s="14" t="s">
        <v>196</v>
      </c>
    </row>
    <row r="27" ht="15.75" customHeight="1">
      <c r="A27" s="7" t="s">
        <v>39</v>
      </c>
      <c r="B27" s="7" t="s">
        <v>44</v>
      </c>
      <c r="C27" s="7" t="s">
        <v>102</v>
      </c>
      <c r="D27" s="7" t="s">
        <v>228</v>
      </c>
      <c r="E27" s="7" t="s">
        <v>271</v>
      </c>
      <c r="F27" s="7" t="s">
        <v>108</v>
      </c>
      <c r="G27" s="7" t="s">
        <v>39</v>
      </c>
      <c r="H27" s="7" t="s">
        <v>69</v>
      </c>
      <c r="I27" s="9" t="s">
        <v>110</v>
      </c>
      <c r="J27" s="7" t="s">
        <v>71</v>
      </c>
      <c r="K27" s="7">
        <v>0.0</v>
      </c>
      <c r="L27" s="7">
        <v>0.0</v>
      </c>
      <c r="M27" s="7"/>
      <c r="N27" s="7"/>
      <c r="O27" s="7"/>
      <c r="P27" s="7">
        <v>570.0</v>
      </c>
      <c r="Q27" s="7" t="s">
        <v>74</v>
      </c>
      <c r="R27" s="7" t="s">
        <v>75</v>
      </c>
      <c r="S27" s="7" t="s">
        <v>142</v>
      </c>
      <c r="T27" s="7" t="s">
        <v>39</v>
      </c>
      <c r="U27" s="7" t="s">
        <v>90</v>
      </c>
      <c r="V27" s="7" t="s">
        <v>114</v>
      </c>
      <c r="W27" s="7">
        <v>2.0</v>
      </c>
      <c r="X27" s="7">
        <v>2.0</v>
      </c>
      <c r="Y27" s="7">
        <v>5.0</v>
      </c>
      <c r="Z27" s="7">
        <v>3.0</v>
      </c>
      <c r="AA27" s="7">
        <v>2.0</v>
      </c>
      <c r="AB27" s="7">
        <v>0.0</v>
      </c>
      <c r="AC27" s="7">
        <v>2.5</v>
      </c>
      <c r="AD27" s="7">
        <v>0.0</v>
      </c>
      <c r="AE27" s="7" t="s">
        <v>110</v>
      </c>
      <c r="AF27" s="14"/>
      <c r="AG27" s="14"/>
      <c r="AH27" s="14"/>
      <c r="AI27" s="14"/>
      <c r="AJ27" s="14"/>
      <c r="AK27" s="14"/>
      <c r="AL27" s="14"/>
      <c r="AM27" s="14" t="s">
        <v>114</v>
      </c>
      <c r="AN27" s="14" t="s">
        <v>274</v>
      </c>
      <c r="AO27" s="14" t="s">
        <v>84</v>
      </c>
      <c r="AP27" s="14" t="s">
        <v>275</v>
      </c>
      <c r="AQ27" s="14">
        <v>0.0</v>
      </c>
      <c r="AR27" s="14" t="s">
        <v>196</v>
      </c>
    </row>
    <row r="28" ht="15.75" customHeight="1">
      <c r="A28" s="3" t="s">
        <v>39</v>
      </c>
      <c r="B28" s="3" t="s">
        <v>44</v>
      </c>
      <c r="C28" s="3" t="s">
        <v>102</v>
      </c>
      <c r="D28" s="3" t="s">
        <v>241</v>
      </c>
      <c r="E28" s="3" t="s">
        <v>164</v>
      </c>
      <c r="F28" s="3" t="s">
        <v>108</v>
      </c>
      <c r="G28" s="3" t="s">
        <v>39</v>
      </c>
      <c r="H28" s="3" t="s">
        <v>69</v>
      </c>
      <c r="I28" s="19" t="s">
        <v>110</v>
      </c>
      <c r="J28" s="3" t="s">
        <v>71</v>
      </c>
      <c r="K28" s="3">
        <v>0.0</v>
      </c>
      <c r="L28" s="3">
        <v>0.0</v>
      </c>
      <c r="M28" s="3"/>
      <c r="N28" s="3"/>
      <c r="O28" s="3"/>
      <c r="P28" s="3">
        <v>490.0</v>
      </c>
      <c r="Q28" s="3" t="s">
        <v>74</v>
      </c>
      <c r="R28" s="3" t="s">
        <v>75</v>
      </c>
      <c r="S28" s="3" t="s">
        <v>142</v>
      </c>
      <c r="T28" s="3" t="s">
        <v>39</v>
      </c>
      <c r="U28" s="3" t="s">
        <v>90</v>
      </c>
      <c r="V28" s="3" t="s">
        <v>114</v>
      </c>
      <c r="W28" s="3">
        <v>2.0</v>
      </c>
      <c r="X28" s="3">
        <v>2.0</v>
      </c>
      <c r="Y28" s="3">
        <v>5.0</v>
      </c>
      <c r="Z28" s="3">
        <v>3.0</v>
      </c>
      <c r="AA28" s="3">
        <v>2.0</v>
      </c>
      <c r="AB28" s="3">
        <v>0.0</v>
      </c>
      <c r="AC28" s="3">
        <v>2.5</v>
      </c>
      <c r="AD28" s="3">
        <v>0.0</v>
      </c>
      <c r="AE28" s="3" t="s">
        <v>110</v>
      </c>
      <c r="AF28" s="14"/>
      <c r="AG28" s="14"/>
      <c r="AH28" s="14"/>
      <c r="AI28" s="14"/>
      <c r="AJ28" s="14"/>
      <c r="AK28" s="14"/>
      <c r="AL28" s="14"/>
      <c r="AM28" s="14" t="s">
        <v>114</v>
      </c>
      <c r="AN28" s="14" t="s">
        <v>278</v>
      </c>
      <c r="AO28" s="14" t="s">
        <v>84</v>
      </c>
      <c r="AP28" s="14" t="s">
        <v>279</v>
      </c>
      <c r="AQ28" s="14">
        <v>0.0</v>
      </c>
      <c r="AR28" s="14" t="s">
        <v>196</v>
      </c>
    </row>
    <row r="29" ht="15.75" customHeight="1">
      <c r="A29" s="3" t="s">
        <v>39</v>
      </c>
      <c r="B29" s="3" t="s">
        <v>44</v>
      </c>
      <c r="C29" s="3" t="s">
        <v>102</v>
      </c>
      <c r="D29" s="3" t="s">
        <v>118</v>
      </c>
      <c r="E29" s="3" t="s">
        <v>150</v>
      </c>
      <c r="F29" s="3" t="s">
        <v>108</v>
      </c>
      <c r="G29" s="3" t="s">
        <v>39</v>
      </c>
      <c r="H29" s="3" t="s">
        <v>69</v>
      </c>
      <c r="I29" s="19" t="s">
        <v>110</v>
      </c>
      <c r="J29" s="3" t="s">
        <v>71</v>
      </c>
      <c r="K29" s="3">
        <v>0.0</v>
      </c>
      <c r="L29" s="3">
        <v>0.0</v>
      </c>
      <c r="M29" s="3"/>
      <c r="N29" s="3"/>
      <c r="O29" s="3"/>
      <c r="P29" s="3">
        <v>700.0</v>
      </c>
      <c r="Q29" s="3" t="s">
        <v>153</v>
      </c>
      <c r="R29" s="3" t="s">
        <v>75</v>
      </c>
      <c r="S29" s="3" t="s">
        <v>142</v>
      </c>
      <c r="T29" s="3" t="s">
        <v>39</v>
      </c>
      <c r="U29" s="3" t="s">
        <v>90</v>
      </c>
      <c r="V29" s="3" t="s">
        <v>114</v>
      </c>
      <c r="W29" s="3">
        <v>2.0</v>
      </c>
      <c r="X29" s="3">
        <v>1.0</v>
      </c>
      <c r="Y29" s="3">
        <v>5.0</v>
      </c>
      <c r="Z29" s="3">
        <v>3.0</v>
      </c>
      <c r="AA29" s="3">
        <v>2.0</v>
      </c>
      <c r="AB29" s="3">
        <v>0.0</v>
      </c>
      <c r="AC29" s="3">
        <v>2.4</v>
      </c>
      <c r="AD29" s="3">
        <v>0.0</v>
      </c>
      <c r="AE29" s="3" t="s">
        <v>110</v>
      </c>
      <c r="AF29" s="14"/>
      <c r="AG29" s="14"/>
      <c r="AH29" s="14"/>
      <c r="AI29" s="14"/>
      <c r="AJ29" s="14"/>
      <c r="AK29" s="14"/>
      <c r="AL29" s="14"/>
      <c r="AM29" s="14" t="s">
        <v>114</v>
      </c>
      <c r="AN29" s="14" t="s">
        <v>156</v>
      </c>
      <c r="AO29" s="14" t="s">
        <v>84</v>
      </c>
      <c r="AP29" s="14" t="s">
        <v>157</v>
      </c>
      <c r="AQ29" s="14">
        <v>0.0</v>
      </c>
      <c r="AR29" s="14" t="s">
        <v>196</v>
      </c>
    </row>
    <row r="30" ht="15.75" customHeight="1">
      <c r="A30" s="3" t="s">
        <v>39</v>
      </c>
      <c r="B30" s="3" t="s">
        <v>44</v>
      </c>
      <c r="C30" s="3" t="s">
        <v>102</v>
      </c>
      <c r="D30" s="3" t="s">
        <v>126</v>
      </c>
      <c r="E30" s="3" t="s">
        <v>150</v>
      </c>
      <c r="F30" s="3" t="s">
        <v>108</v>
      </c>
      <c r="G30" s="3" t="s">
        <v>39</v>
      </c>
      <c r="H30" s="3" t="s">
        <v>69</v>
      </c>
      <c r="I30" s="19" t="s">
        <v>110</v>
      </c>
      <c r="J30" s="3" t="s">
        <v>71</v>
      </c>
      <c r="K30" s="3">
        <v>0.0</v>
      </c>
      <c r="L30" s="3">
        <v>0.0</v>
      </c>
      <c r="M30" s="3"/>
      <c r="N30" s="3"/>
      <c r="O30" s="3"/>
      <c r="P30" s="3">
        <v>700.0</v>
      </c>
      <c r="Q30" s="3" t="s">
        <v>153</v>
      </c>
      <c r="R30" s="3" t="s">
        <v>75</v>
      </c>
      <c r="S30" s="3" t="s">
        <v>142</v>
      </c>
      <c r="T30" s="3" t="s">
        <v>39</v>
      </c>
      <c r="U30" s="3" t="s">
        <v>90</v>
      </c>
      <c r="V30" s="3" t="s">
        <v>114</v>
      </c>
      <c r="W30" s="3">
        <v>2.0</v>
      </c>
      <c r="X30" s="3">
        <v>1.0</v>
      </c>
      <c r="Y30" s="3">
        <v>5.0</v>
      </c>
      <c r="Z30" s="3">
        <v>3.0</v>
      </c>
      <c r="AA30" s="3">
        <v>2.0</v>
      </c>
      <c r="AB30" s="3">
        <v>0.0</v>
      </c>
      <c r="AC30" s="3">
        <v>2.4</v>
      </c>
      <c r="AD30" s="3">
        <v>0.0</v>
      </c>
      <c r="AE30" s="3" t="s">
        <v>110</v>
      </c>
      <c r="AF30" s="14"/>
      <c r="AG30" s="14"/>
      <c r="AH30" s="14"/>
      <c r="AI30" s="14"/>
      <c r="AJ30" s="14"/>
      <c r="AK30" s="14"/>
      <c r="AL30" s="14"/>
      <c r="AM30" s="14" t="s">
        <v>114</v>
      </c>
      <c r="AN30" s="14" t="s">
        <v>161</v>
      </c>
      <c r="AO30" s="14" t="s">
        <v>84</v>
      </c>
      <c r="AP30" s="14" t="s">
        <v>162</v>
      </c>
      <c r="AQ30" s="14">
        <v>0.0</v>
      </c>
      <c r="AR30" s="14" t="s">
        <v>196</v>
      </c>
    </row>
    <row r="31" ht="15.75" customHeight="1">
      <c r="A31" s="3" t="s">
        <v>39</v>
      </c>
      <c r="B31" s="3" t="s">
        <v>44</v>
      </c>
      <c r="C31" s="3" t="s">
        <v>102</v>
      </c>
      <c r="D31" s="3" t="s">
        <v>132</v>
      </c>
      <c r="E31" s="3" t="s">
        <v>164</v>
      </c>
      <c r="F31" s="3" t="s">
        <v>108</v>
      </c>
      <c r="G31" s="3" t="s">
        <v>39</v>
      </c>
      <c r="H31" s="3" t="s">
        <v>69</v>
      </c>
      <c r="I31" s="19" t="s">
        <v>110</v>
      </c>
      <c r="J31" s="3" t="s">
        <v>71</v>
      </c>
      <c r="K31" s="3">
        <v>0.0</v>
      </c>
      <c r="L31" s="3">
        <v>0.0</v>
      </c>
      <c r="M31" s="3"/>
      <c r="N31" s="3"/>
      <c r="O31" s="3"/>
      <c r="P31" s="3">
        <v>490.0</v>
      </c>
      <c r="Q31" s="3" t="s">
        <v>74</v>
      </c>
      <c r="R31" s="3" t="s">
        <v>75</v>
      </c>
      <c r="S31" s="3" t="s">
        <v>142</v>
      </c>
      <c r="T31" s="3" t="s">
        <v>39</v>
      </c>
      <c r="U31" s="3" t="s">
        <v>90</v>
      </c>
      <c r="V31" s="3" t="s">
        <v>114</v>
      </c>
      <c r="W31" s="3">
        <v>2.0</v>
      </c>
      <c r="X31" s="3">
        <v>2.0</v>
      </c>
      <c r="Y31" s="3">
        <v>5.0</v>
      </c>
      <c r="Z31" s="3">
        <v>3.0</v>
      </c>
      <c r="AA31" s="3">
        <v>2.0</v>
      </c>
      <c r="AB31" s="3">
        <v>0.0</v>
      </c>
      <c r="AC31" s="3">
        <v>2.5</v>
      </c>
      <c r="AD31" s="3">
        <v>0.0</v>
      </c>
      <c r="AE31" s="3" t="s">
        <v>110</v>
      </c>
      <c r="AF31" s="14"/>
      <c r="AG31" s="14"/>
      <c r="AH31" s="14"/>
      <c r="AI31" s="14"/>
      <c r="AJ31" s="14"/>
      <c r="AK31" s="14"/>
      <c r="AL31" s="14"/>
      <c r="AM31" s="14" t="s">
        <v>114</v>
      </c>
      <c r="AN31" s="14" t="s">
        <v>171</v>
      </c>
      <c r="AO31" s="14" t="s">
        <v>84</v>
      </c>
      <c r="AP31" s="14" t="s">
        <v>172</v>
      </c>
      <c r="AQ31" s="14">
        <v>0.0</v>
      </c>
      <c r="AR31" s="14" t="s">
        <v>196</v>
      </c>
    </row>
    <row r="32" ht="15.75" customHeight="1">
      <c r="A32" s="3" t="s">
        <v>39</v>
      </c>
      <c r="B32" s="3" t="s">
        <v>44</v>
      </c>
      <c r="C32" s="3" t="s">
        <v>102</v>
      </c>
      <c r="D32" s="3" t="s">
        <v>251</v>
      </c>
      <c r="E32" s="3" t="s">
        <v>186</v>
      </c>
      <c r="F32" s="3" t="s">
        <v>108</v>
      </c>
      <c r="G32" s="3" t="s">
        <v>39</v>
      </c>
      <c r="H32" s="3" t="s">
        <v>69</v>
      </c>
      <c r="I32" s="19" t="s">
        <v>110</v>
      </c>
      <c r="J32" s="3" t="s">
        <v>71</v>
      </c>
      <c r="K32" s="3">
        <v>0.0</v>
      </c>
      <c r="L32" s="3">
        <v>0.0</v>
      </c>
      <c r="M32" s="3"/>
      <c r="N32" s="3"/>
      <c r="O32" s="3"/>
      <c r="P32" s="3">
        <v>360.0</v>
      </c>
      <c r="Q32" s="3" t="s">
        <v>140</v>
      </c>
      <c r="R32" s="3" t="s">
        <v>75</v>
      </c>
      <c r="S32" s="3" t="s">
        <v>142</v>
      </c>
      <c r="T32" s="3" t="s">
        <v>39</v>
      </c>
      <c r="U32" s="3" t="s">
        <v>90</v>
      </c>
      <c r="V32" s="3" t="s">
        <v>114</v>
      </c>
      <c r="W32" s="3">
        <v>2.0</v>
      </c>
      <c r="X32" s="3">
        <v>3.0</v>
      </c>
      <c r="Y32" s="3">
        <v>5.0</v>
      </c>
      <c r="Z32" s="3">
        <v>3.0</v>
      </c>
      <c r="AA32" s="3">
        <v>2.0</v>
      </c>
      <c r="AB32" s="3">
        <v>0.0</v>
      </c>
      <c r="AC32" s="3">
        <v>2.7</v>
      </c>
      <c r="AD32" s="3">
        <v>0.0</v>
      </c>
      <c r="AE32" s="3" t="s">
        <v>110</v>
      </c>
      <c r="AF32" s="14"/>
      <c r="AG32" s="14"/>
      <c r="AH32" s="14"/>
      <c r="AI32" s="14"/>
      <c r="AJ32" s="14"/>
      <c r="AK32" s="14"/>
      <c r="AL32" s="14"/>
      <c r="AM32" s="14" t="s">
        <v>114</v>
      </c>
      <c r="AN32" s="14" t="s">
        <v>287</v>
      </c>
      <c r="AO32" s="14" t="s">
        <v>84</v>
      </c>
      <c r="AP32" s="14" t="s">
        <v>288</v>
      </c>
      <c r="AQ32" s="14">
        <v>0.0</v>
      </c>
      <c r="AR32" s="14" t="s">
        <v>196</v>
      </c>
    </row>
    <row r="33" ht="15.75" customHeight="1">
      <c r="A33" s="3" t="s">
        <v>39</v>
      </c>
      <c r="B33" s="3" t="s">
        <v>44</v>
      </c>
      <c r="C33" s="3" t="s">
        <v>102</v>
      </c>
      <c r="D33" s="3" t="s">
        <v>264</v>
      </c>
      <c r="E33" s="3" t="s">
        <v>181</v>
      </c>
      <c r="F33" s="3" t="s">
        <v>108</v>
      </c>
      <c r="G33" s="3" t="s">
        <v>39</v>
      </c>
      <c r="H33" s="3" t="s">
        <v>69</v>
      </c>
      <c r="I33" s="19" t="s">
        <v>110</v>
      </c>
      <c r="J33" s="3" t="s">
        <v>71</v>
      </c>
      <c r="K33" s="3">
        <v>0.0</v>
      </c>
      <c r="L33" s="3">
        <v>0.0</v>
      </c>
      <c r="M33" s="3"/>
      <c r="N33" s="3"/>
      <c r="O33" s="3"/>
      <c r="P33" s="3">
        <v>520.0</v>
      </c>
      <c r="Q33" s="3" t="s">
        <v>74</v>
      </c>
      <c r="R33" s="3" t="s">
        <v>75</v>
      </c>
      <c r="S33" s="3" t="s">
        <v>142</v>
      </c>
      <c r="T33" s="3" t="s">
        <v>39</v>
      </c>
      <c r="U33" s="3" t="s">
        <v>90</v>
      </c>
      <c r="V33" s="3" t="s">
        <v>114</v>
      </c>
      <c r="W33" s="3">
        <v>2.0</v>
      </c>
      <c r="X33" s="3">
        <v>2.0</v>
      </c>
      <c r="Y33" s="3">
        <v>5.0</v>
      </c>
      <c r="Z33" s="3">
        <v>3.0</v>
      </c>
      <c r="AA33" s="3">
        <v>2.0</v>
      </c>
      <c r="AB33" s="3">
        <v>0.0</v>
      </c>
      <c r="AC33" s="3">
        <v>2.5</v>
      </c>
      <c r="AD33" s="3">
        <v>0.0</v>
      </c>
      <c r="AE33" s="3" t="s">
        <v>110</v>
      </c>
      <c r="AF33" s="14"/>
      <c r="AG33" s="14"/>
      <c r="AH33" s="14"/>
      <c r="AI33" s="14"/>
      <c r="AJ33" s="14"/>
      <c r="AK33" s="14"/>
      <c r="AL33" s="14"/>
      <c r="AM33" s="14" t="s">
        <v>114</v>
      </c>
      <c r="AN33" s="14" t="s">
        <v>290</v>
      </c>
      <c r="AO33" s="14" t="s">
        <v>84</v>
      </c>
      <c r="AP33" s="14" t="s">
        <v>291</v>
      </c>
      <c r="AQ33" s="14">
        <v>0.0</v>
      </c>
      <c r="AR33" s="14" t="s">
        <v>196</v>
      </c>
    </row>
    <row r="34" ht="15.75" customHeight="1">
      <c r="A34" s="3" t="s">
        <v>39</v>
      </c>
      <c r="B34" s="3" t="s">
        <v>44</v>
      </c>
      <c r="C34" s="3" t="s">
        <v>102</v>
      </c>
      <c r="D34" s="3" t="s">
        <v>253</v>
      </c>
      <c r="E34" s="3" t="s">
        <v>68</v>
      </c>
      <c r="F34" s="3" t="s">
        <v>108</v>
      </c>
      <c r="G34" s="3" t="s">
        <v>39</v>
      </c>
      <c r="H34" s="3" t="s">
        <v>69</v>
      </c>
      <c r="I34" s="19" t="s">
        <v>110</v>
      </c>
      <c r="J34" s="3" t="s">
        <v>71</v>
      </c>
      <c r="K34" s="3">
        <v>0.0</v>
      </c>
      <c r="L34" s="3">
        <v>0.0</v>
      </c>
      <c r="M34" s="3"/>
      <c r="N34" s="3"/>
      <c r="O34" s="3"/>
      <c r="P34" s="3">
        <v>520.0</v>
      </c>
      <c r="Q34" s="3" t="s">
        <v>74</v>
      </c>
      <c r="R34" s="3" t="s">
        <v>75</v>
      </c>
      <c r="S34" s="3" t="s">
        <v>76</v>
      </c>
      <c r="T34" s="3" t="s">
        <v>39</v>
      </c>
      <c r="U34" s="3" t="s">
        <v>59</v>
      </c>
      <c r="V34" s="3" t="s">
        <v>114</v>
      </c>
      <c r="W34" s="3">
        <v>2.0</v>
      </c>
      <c r="X34" s="3">
        <v>2.0</v>
      </c>
      <c r="Y34" s="3">
        <v>5.0</v>
      </c>
      <c r="Z34" s="3">
        <v>3.0</v>
      </c>
      <c r="AA34" s="3">
        <v>4.0</v>
      </c>
      <c r="AB34" s="3">
        <v>0.0</v>
      </c>
      <c r="AC34" s="3">
        <v>2.7</v>
      </c>
      <c r="AD34" s="3">
        <v>0.0</v>
      </c>
      <c r="AE34" s="3" t="s">
        <v>110</v>
      </c>
      <c r="AF34" s="14"/>
      <c r="AG34" s="14"/>
      <c r="AH34" s="14"/>
      <c r="AI34" s="14"/>
      <c r="AJ34" s="14"/>
      <c r="AK34" s="14"/>
      <c r="AL34" s="14"/>
      <c r="AM34" s="14" t="s">
        <v>114</v>
      </c>
      <c r="AN34" s="14" t="s">
        <v>294</v>
      </c>
      <c r="AO34" s="14" t="s">
        <v>84</v>
      </c>
      <c r="AP34" s="14" t="s">
        <v>295</v>
      </c>
      <c r="AQ34" s="14">
        <v>0.0</v>
      </c>
      <c r="AR34" s="14" t="s">
        <v>196</v>
      </c>
    </row>
    <row r="35" ht="15.75" customHeight="1">
      <c r="A35" s="3" t="s">
        <v>39</v>
      </c>
      <c r="B35" s="3" t="s">
        <v>44</v>
      </c>
      <c r="C35" s="3" t="s">
        <v>102</v>
      </c>
      <c r="D35" s="3" t="s">
        <v>268</v>
      </c>
      <c r="E35" s="3" t="s">
        <v>271</v>
      </c>
      <c r="F35" s="3" t="s">
        <v>108</v>
      </c>
      <c r="G35" s="3" t="s">
        <v>39</v>
      </c>
      <c r="H35" s="3" t="s">
        <v>69</v>
      </c>
      <c r="I35" s="19" t="s">
        <v>110</v>
      </c>
      <c r="J35" s="3" t="s">
        <v>71</v>
      </c>
      <c r="K35" s="3">
        <v>0.0</v>
      </c>
      <c r="L35" s="3">
        <v>0.0</v>
      </c>
      <c r="M35" s="3"/>
      <c r="N35" s="3"/>
      <c r="O35" s="3"/>
      <c r="P35" s="3">
        <v>570.0</v>
      </c>
      <c r="Q35" s="3" t="s">
        <v>74</v>
      </c>
      <c r="R35" s="3" t="s">
        <v>75</v>
      </c>
      <c r="S35" s="3" t="s">
        <v>142</v>
      </c>
      <c r="T35" s="3" t="s">
        <v>39</v>
      </c>
      <c r="U35" s="3" t="s">
        <v>90</v>
      </c>
      <c r="V35" s="3" t="s">
        <v>114</v>
      </c>
      <c r="W35" s="3">
        <v>2.0</v>
      </c>
      <c r="X35" s="3">
        <v>2.0</v>
      </c>
      <c r="Y35" s="3">
        <v>5.0</v>
      </c>
      <c r="Z35" s="3">
        <v>3.0</v>
      </c>
      <c r="AA35" s="3">
        <v>2.0</v>
      </c>
      <c r="AB35" s="3">
        <v>0.0</v>
      </c>
      <c r="AC35" s="3">
        <v>2.5</v>
      </c>
      <c r="AD35" s="3">
        <v>0.0</v>
      </c>
      <c r="AE35" s="3" t="s">
        <v>110</v>
      </c>
      <c r="AF35" s="14"/>
      <c r="AG35" s="14"/>
      <c r="AH35" s="14"/>
      <c r="AI35" s="14"/>
      <c r="AJ35" s="14"/>
      <c r="AK35" s="14"/>
      <c r="AL35" s="14"/>
      <c r="AM35" s="14" t="s">
        <v>114</v>
      </c>
      <c r="AN35" s="14" t="s">
        <v>298</v>
      </c>
      <c r="AO35" s="14" t="s">
        <v>84</v>
      </c>
      <c r="AP35" s="14" t="s">
        <v>299</v>
      </c>
      <c r="AQ35" s="14">
        <v>0.0</v>
      </c>
      <c r="AR35" s="14" t="s">
        <v>196</v>
      </c>
    </row>
    <row r="36" ht="15.75" customHeight="1">
      <c r="A36" s="3" t="s">
        <v>39</v>
      </c>
      <c r="B36" s="3" t="s">
        <v>44</v>
      </c>
      <c r="C36" s="3" t="s">
        <v>102</v>
      </c>
      <c r="D36" s="3" t="s">
        <v>149</v>
      </c>
      <c r="E36" s="3" t="s">
        <v>181</v>
      </c>
      <c r="F36" s="3" t="s">
        <v>108</v>
      </c>
      <c r="G36" s="3" t="s">
        <v>39</v>
      </c>
      <c r="H36" s="3" t="s">
        <v>69</v>
      </c>
      <c r="I36" s="19" t="s">
        <v>110</v>
      </c>
      <c r="J36" s="3" t="s">
        <v>71</v>
      </c>
      <c r="K36" s="3">
        <v>0.0</v>
      </c>
      <c r="L36" s="3">
        <v>0.0</v>
      </c>
      <c r="M36" s="3"/>
      <c r="N36" s="3"/>
      <c r="O36" s="3"/>
      <c r="P36" s="3">
        <v>520.0</v>
      </c>
      <c r="Q36" s="3" t="s">
        <v>74</v>
      </c>
      <c r="R36" s="3" t="s">
        <v>75</v>
      </c>
      <c r="S36" s="3" t="s">
        <v>142</v>
      </c>
      <c r="T36" s="3" t="s">
        <v>39</v>
      </c>
      <c r="U36" s="3" t="s">
        <v>90</v>
      </c>
      <c r="V36" s="3" t="s">
        <v>114</v>
      </c>
      <c r="W36" s="3">
        <v>2.0</v>
      </c>
      <c r="X36" s="3">
        <v>2.0</v>
      </c>
      <c r="Y36" s="3">
        <v>5.0</v>
      </c>
      <c r="Z36" s="3">
        <v>3.0</v>
      </c>
      <c r="AA36" s="3">
        <v>2.0</v>
      </c>
      <c r="AB36" s="3">
        <v>0.0</v>
      </c>
      <c r="AC36" s="3">
        <v>2.5</v>
      </c>
      <c r="AD36" s="3">
        <v>0.0</v>
      </c>
      <c r="AE36" s="3" t="s">
        <v>110</v>
      </c>
      <c r="AF36" s="14"/>
      <c r="AG36" s="14"/>
      <c r="AH36" s="14"/>
      <c r="AI36" s="14"/>
      <c r="AJ36" s="14"/>
      <c r="AK36" s="14"/>
      <c r="AL36" s="14"/>
      <c r="AM36" s="14" t="s">
        <v>114</v>
      </c>
      <c r="AN36" s="14" t="s">
        <v>183</v>
      </c>
      <c r="AO36" s="14" t="s">
        <v>84</v>
      </c>
      <c r="AP36" s="14" t="s">
        <v>185</v>
      </c>
      <c r="AQ36" s="14">
        <v>0.0</v>
      </c>
      <c r="AR36" s="14" t="s">
        <v>196</v>
      </c>
    </row>
    <row r="37" ht="15.75" customHeight="1">
      <c r="A37" s="3" t="s">
        <v>39</v>
      </c>
      <c r="B37" s="3" t="s">
        <v>44</v>
      </c>
      <c r="C37" s="3" t="s">
        <v>102</v>
      </c>
      <c r="D37" s="3" t="s">
        <v>159</v>
      </c>
      <c r="E37" s="3" t="s">
        <v>181</v>
      </c>
      <c r="F37" s="3" t="s">
        <v>108</v>
      </c>
      <c r="G37" s="3" t="s">
        <v>39</v>
      </c>
      <c r="H37" s="3" t="s">
        <v>69</v>
      </c>
      <c r="I37" s="19" t="s">
        <v>110</v>
      </c>
      <c r="J37" s="3" t="s">
        <v>71</v>
      </c>
      <c r="K37" s="3">
        <v>0.0</v>
      </c>
      <c r="L37" s="3">
        <v>0.0</v>
      </c>
      <c r="M37" s="3"/>
      <c r="N37" s="3"/>
      <c r="O37" s="3"/>
      <c r="P37" s="3">
        <v>520.0</v>
      </c>
      <c r="Q37" s="3" t="s">
        <v>74</v>
      </c>
      <c r="R37" s="3" t="s">
        <v>75</v>
      </c>
      <c r="S37" s="3" t="s">
        <v>142</v>
      </c>
      <c r="T37" s="3" t="s">
        <v>39</v>
      </c>
      <c r="U37" s="3" t="s">
        <v>90</v>
      </c>
      <c r="V37" s="3" t="s">
        <v>114</v>
      </c>
      <c r="W37" s="3">
        <v>2.0</v>
      </c>
      <c r="X37" s="3">
        <v>2.0</v>
      </c>
      <c r="Y37" s="3">
        <v>5.0</v>
      </c>
      <c r="Z37" s="3">
        <v>3.0</v>
      </c>
      <c r="AA37" s="3">
        <v>2.0</v>
      </c>
      <c r="AB37" s="3">
        <v>0.0</v>
      </c>
      <c r="AC37" s="3">
        <v>2.5</v>
      </c>
      <c r="AD37" s="3">
        <v>0.0</v>
      </c>
      <c r="AE37" s="3" t="s">
        <v>110</v>
      </c>
      <c r="AF37" s="14"/>
      <c r="AG37" s="14"/>
      <c r="AH37" s="14"/>
      <c r="AI37" s="14"/>
      <c r="AJ37" s="14"/>
      <c r="AK37" s="14"/>
      <c r="AL37" s="14"/>
      <c r="AM37" s="14" t="s">
        <v>114</v>
      </c>
      <c r="AN37" s="14" t="s">
        <v>191</v>
      </c>
      <c r="AO37" s="14" t="s">
        <v>84</v>
      </c>
      <c r="AP37" s="14" t="s">
        <v>192</v>
      </c>
      <c r="AQ37" s="14">
        <v>0.0</v>
      </c>
      <c r="AR37" s="14" t="s">
        <v>196</v>
      </c>
    </row>
    <row r="38" ht="15.75" customHeight="1">
      <c r="A38" s="3" t="s">
        <v>39</v>
      </c>
      <c r="B38" s="3" t="s">
        <v>44</v>
      </c>
      <c r="C38" s="3" t="s">
        <v>102</v>
      </c>
      <c r="D38" s="3" t="s">
        <v>133</v>
      </c>
      <c r="E38" s="3" t="s">
        <v>106</v>
      </c>
      <c r="F38" s="3" t="s">
        <v>108</v>
      </c>
      <c r="G38" s="3" t="s">
        <v>39</v>
      </c>
      <c r="H38" s="3" t="s">
        <v>69</v>
      </c>
      <c r="I38" s="19" t="s">
        <v>110</v>
      </c>
      <c r="J38" s="3" t="s">
        <v>71</v>
      </c>
      <c r="K38" s="3">
        <v>0.0</v>
      </c>
      <c r="L38" s="3">
        <v>0.0</v>
      </c>
      <c r="M38" s="3"/>
      <c r="N38" s="3"/>
      <c r="O38" s="3"/>
      <c r="P38" s="3">
        <v>130.0</v>
      </c>
      <c r="Q38" s="3" t="s">
        <v>121</v>
      </c>
      <c r="R38" s="3" t="s">
        <v>75</v>
      </c>
      <c r="S38" s="3" t="s">
        <v>76</v>
      </c>
      <c r="T38" s="3" t="s">
        <v>39</v>
      </c>
      <c r="U38" s="3" t="s">
        <v>90</v>
      </c>
      <c r="V38" s="3" t="s">
        <v>114</v>
      </c>
      <c r="W38" s="3">
        <v>2.0</v>
      </c>
      <c r="X38" s="3">
        <v>5.0</v>
      </c>
      <c r="Y38" s="3">
        <v>5.0</v>
      </c>
      <c r="Z38" s="3">
        <v>3.0</v>
      </c>
      <c r="AA38" s="3">
        <v>4.0</v>
      </c>
      <c r="AB38" s="3">
        <v>0.0</v>
      </c>
      <c r="AC38" s="3">
        <v>3.2</v>
      </c>
      <c r="AD38" s="3">
        <v>0.0</v>
      </c>
      <c r="AE38" s="3" t="s">
        <v>110</v>
      </c>
      <c r="AF38" s="14"/>
      <c r="AG38" s="14"/>
      <c r="AH38" s="14"/>
      <c r="AI38" s="14"/>
      <c r="AJ38" s="14"/>
      <c r="AK38" s="14"/>
      <c r="AL38" s="14"/>
      <c r="AM38" s="14" t="s">
        <v>114</v>
      </c>
      <c r="AN38" s="14" t="s">
        <v>194</v>
      </c>
      <c r="AO38" s="14" t="s">
        <v>84</v>
      </c>
      <c r="AP38" s="14" t="s">
        <v>195</v>
      </c>
      <c r="AQ38" s="14">
        <v>0.0</v>
      </c>
      <c r="AR38" s="14" t="s">
        <v>196</v>
      </c>
    </row>
    <row r="39" ht="15.75" customHeight="1">
      <c r="A39" s="3" t="s">
        <v>39</v>
      </c>
      <c r="B39" s="3" t="s">
        <v>44</v>
      </c>
      <c r="C39" s="3" t="s">
        <v>102</v>
      </c>
      <c r="D39" s="3" t="s">
        <v>169</v>
      </c>
      <c r="E39" s="3" t="s">
        <v>181</v>
      </c>
      <c r="F39" s="3" t="s">
        <v>108</v>
      </c>
      <c r="G39" s="3" t="s">
        <v>39</v>
      </c>
      <c r="H39" s="3" t="s">
        <v>69</v>
      </c>
      <c r="I39" s="19" t="s">
        <v>110</v>
      </c>
      <c r="J39" s="3" t="s">
        <v>71</v>
      </c>
      <c r="K39" s="3">
        <v>0.0</v>
      </c>
      <c r="L39" s="3">
        <v>0.0</v>
      </c>
      <c r="M39" s="3"/>
      <c r="N39" s="3"/>
      <c r="O39" s="3"/>
      <c r="P39" s="3">
        <v>520.0</v>
      </c>
      <c r="Q39" s="3" t="s">
        <v>74</v>
      </c>
      <c r="R39" s="3" t="s">
        <v>75</v>
      </c>
      <c r="S39" s="3" t="s">
        <v>142</v>
      </c>
      <c r="T39" s="3" t="s">
        <v>39</v>
      </c>
      <c r="U39" s="3" t="s">
        <v>90</v>
      </c>
      <c r="V39" s="3" t="s">
        <v>114</v>
      </c>
      <c r="W39" s="3">
        <v>2.0</v>
      </c>
      <c r="X39" s="3">
        <v>2.0</v>
      </c>
      <c r="Y39" s="3">
        <v>5.0</v>
      </c>
      <c r="Z39" s="3">
        <v>3.0</v>
      </c>
      <c r="AA39" s="3">
        <v>2.0</v>
      </c>
      <c r="AB39" s="3">
        <v>0.0</v>
      </c>
      <c r="AC39" s="3">
        <v>2.5</v>
      </c>
      <c r="AD39" s="3">
        <v>0.0</v>
      </c>
      <c r="AE39" s="3" t="s">
        <v>110</v>
      </c>
      <c r="AF39" s="14"/>
      <c r="AG39" s="14"/>
      <c r="AH39" s="14"/>
      <c r="AI39" s="14"/>
      <c r="AJ39" s="14"/>
      <c r="AK39" s="14"/>
      <c r="AL39" s="14"/>
      <c r="AM39" s="14" t="s">
        <v>114</v>
      </c>
      <c r="AN39" s="14" t="s">
        <v>199</v>
      </c>
      <c r="AO39" s="14" t="s">
        <v>84</v>
      </c>
      <c r="AP39" s="14" t="s">
        <v>200</v>
      </c>
      <c r="AQ39" s="14">
        <v>0.0</v>
      </c>
      <c r="AR39" s="14" t="s">
        <v>196</v>
      </c>
    </row>
    <row r="40" ht="15.75" customHeight="1">
      <c r="A40" s="3" t="s">
        <v>39</v>
      </c>
      <c r="B40" s="3" t="s">
        <v>44</v>
      </c>
      <c r="C40" s="3" t="s">
        <v>102</v>
      </c>
      <c r="D40" s="3" t="s">
        <v>277</v>
      </c>
      <c r="E40" s="3" t="s">
        <v>181</v>
      </c>
      <c r="F40" s="3" t="s">
        <v>108</v>
      </c>
      <c r="G40" s="3" t="s">
        <v>39</v>
      </c>
      <c r="H40" s="3" t="s">
        <v>69</v>
      </c>
      <c r="I40" s="19" t="s">
        <v>110</v>
      </c>
      <c r="J40" s="3" t="s">
        <v>71</v>
      </c>
      <c r="K40" s="3">
        <v>0.0</v>
      </c>
      <c r="L40" s="3">
        <v>0.0</v>
      </c>
      <c r="M40" s="3"/>
      <c r="N40" s="3"/>
      <c r="O40" s="3"/>
      <c r="P40" s="3">
        <v>520.0</v>
      </c>
      <c r="Q40" s="3" t="s">
        <v>74</v>
      </c>
      <c r="R40" s="3" t="s">
        <v>75</v>
      </c>
      <c r="S40" s="3" t="s">
        <v>142</v>
      </c>
      <c r="T40" s="3" t="s">
        <v>39</v>
      </c>
      <c r="U40" s="3" t="s">
        <v>90</v>
      </c>
      <c r="V40" s="3" t="s">
        <v>114</v>
      </c>
      <c r="W40" s="3">
        <v>2.0</v>
      </c>
      <c r="X40" s="3">
        <v>2.0</v>
      </c>
      <c r="Y40" s="3">
        <v>5.0</v>
      </c>
      <c r="Z40" s="3">
        <v>3.0</v>
      </c>
      <c r="AA40" s="3">
        <v>2.0</v>
      </c>
      <c r="AB40" s="3">
        <v>0.0</v>
      </c>
      <c r="AC40" s="3">
        <v>2.5</v>
      </c>
      <c r="AD40" s="3">
        <v>0.0</v>
      </c>
      <c r="AE40" s="3" t="s">
        <v>110</v>
      </c>
      <c r="AF40" s="14"/>
      <c r="AG40" s="14"/>
      <c r="AH40" s="14"/>
      <c r="AI40" s="14"/>
      <c r="AJ40" s="14"/>
      <c r="AK40" s="14"/>
      <c r="AL40" s="14"/>
      <c r="AM40" s="14" t="s">
        <v>114</v>
      </c>
      <c r="AN40" s="14" t="s">
        <v>305</v>
      </c>
      <c r="AO40" s="14" t="s">
        <v>84</v>
      </c>
      <c r="AP40" s="14" t="s">
        <v>306</v>
      </c>
      <c r="AQ40" s="14">
        <v>0.0</v>
      </c>
      <c r="AR40" s="14" t="s">
        <v>196</v>
      </c>
    </row>
    <row r="41" ht="15.75" customHeight="1">
      <c r="A41" s="3" t="s">
        <v>39</v>
      </c>
      <c r="B41" s="3" t="s">
        <v>44</v>
      </c>
      <c r="C41" s="3" t="s">
        <v>102</v>
      </c>
      <c r="D41" s="3" t="s">
        <v>173</v>
      </c>
      <c r="E41" s="3" t="s">
        <v>202</v>
      </c>
      <c r="F41" s="3" t="s">
        <v>108</v>
      </c>
      <c r="G41" s="3" t="s">
        <v>39</v>
      </c>
      <c r="H41" s="3" t="s">
        <v>69</v>
      </c>
      <c r="I41" s="19" t="s">
        <v>110</v>
      </c>
      <c r="J41" s="3" t="s">
        <v>71</v>
      </c>
      <c r="K41" s="3">
        <v>0.0</v>
      </c>
      <c r="L41" s="3">
        <v>0.0</v>
      </c>
      <c r="M41" s="3"/>
      <c r="N41" s="3"/>
      <c r="O41" s="3"/>
      <c r="P41" s="3">
        <v>500.0</v>
      </c>
      <c r="Q41" s="3" t="s">
        <v>74</v>
      </c>
      <c r="R41" s="3" t="s">
        <v>75</v>
      </c>
      <c r="S41" s="3" t="s">
        <v>142</v>
      </c>
      <c r="T41" s="3" t="s">
        <v>39</v>
      </c>
      <c r="U41" s="3" t="s">
        <v>90</v>
      </c>
      <c r="V41" s="3" t="s">
        <v>114</v>
      </c>
      <c r="W41" s="3">
        <v>2.0</v>
      </c>
      <c r="X41" s="3">
        <v>2.0</v>
      </c>
      <c r="Y41" s="3">
        <v>5.0</v>
      </c>
      <c r="Z41" s="3">
        <v>3.0</v>
      </c>
      <c r="AA41" s="3">
        <v>2.0</v>
      </c>
      <c r="AB41" s="3">
        <v>0.0</v>
      </c>
      <c r="AC41" s="3">
        <v>2.5</v>
      </c>
      <c r="AD41" s="3">
        <v>0.0</v>
      </c>
      <c r="AE41" s="3" t="s">
        <v>110</v>
      </c>
      <c r="AF41" s="14"/>
      <c r="AG41" s="14"/>
      <c r="AH41" s="14"/>
      <c r="AI41" s="14"/>
      <c r="AJ41" s="14"/>
      <c r="AK41" s="14"/>
      <c r="AL41" s="14"/>
      <c r="AM41" s="14" t="s">
        <v>114</v>
      </c>
      <c r="AN41" s="14" t="s">
        <v>204</v>
      </c>
      <c r="AO41" s="14" t="s">
        <v>84</v>
      </c>
      <c r="AP41" s="14" t="s">
        <v>205</v>
      </c>
      <c r="AQ41" s="14">
        <v>0.0</v>
      </c>
      <c r="AR41" s="14" t="s">
        <v>196</v>
      </c>
    </row>
    <row r="42" ht="15.75" customHeight="1">
      <c r="A42" s="3" t="s">
        <v>39</v>
      </c>
      <c r="B42" s="3" t="s">
        <v>44</v>
      </c>
      <c r="C42" s="3" t="s">
        <v>102</v>
      </c>
      <c r="D42" s="3" t="s">
        <v>281</v>
      </c>
      <c r="E42" s="3" t="s">
        <v>181</v>
      </c>
      <c r="F42" s="3" t="s">
        <v>108</v>
      </c>
      <c r="G42" s="3" t="s">
        <v>39</v>
      </c>
      <c r="H42" s="3" t="s">
        <v>69</v>
      </c>
      <c r="I42" s="19" t="s">
        <v>110</v>
      </c>
      <c r="J42" s="3" t="s">
        <v>71</v>
      </c>
      <c r="K42" s="3">
        <v>0.0</v>
      </c>
      <c r="L42" s="3">
        <v>0.0</v>
      </c>
      <c r="M42" s="3"/>
      <c r="N42" s="3"/>
      <c r="O42" s="3"/>
      <c r="P42" s="3">
        <v>520.0</v>
      </c>
      <c r="Q42" s="3" t="s">
        <v>74</v>
      </c>
      <c r="R42" s="3" t="s">
        <v>75</v>
      </c>
      <c r="S42" s="3" t="s">
        <v>142</v>
      </c>
      <c r="T42" s="3" t="s">
        <v>39</v>
      </c>
      <c r="U42" s="3" t="s">
        <v>90</v>
      </c>
      <c r="V42" s="3" t="s">
        <v>114</v>
      </c>
      <c r="W42" s="3">
        <v>2.0</v>
      </c>
      <c r="X42" s="3">
        <v>2.0</v>
      </c>
      <c r="Y42" s="3">
        <v>5.0</v>
      </c>
      <c r="Z42" s="3">
        <v>3.0</v>
      </c>
      <c r="AA42" s="3">
        <v>2.0</v>
      </c>
      <c r="AB42" s="3">
        <v>0.0</v>
      </c>
      <c r="AC42" s="3">
        <v>2.5</v>
      </c>
      <c r="AD42" s="3">
        <v>0.0</v>
      </c>
      <c r="AE42" s="3" t="s">
        <v>110</v>
      </c>
      <c r="AF42" s="14"/>
      <c r="AG42" s="14"/>
      <c r="AH42" s="14"/>
      <c r="AI42" s="14"/>
      <c r="AJ42" s="14"/>
      <c r="AK42" s="14"/>
      <c r="AL42" s="14"/>
      <c r="AM42" s="14" t="s">
        <v>114</v>
      </c>
      <c r="AN42" s="14" t="s">
        <v>309</v>
      </c>
      <c r="AO42" s="14" t="s">
        <v>84</v>
      </c>
      <c r="AP42" s="14" t="s">
        <v>310</v>
      </c>
      <c r="AQ42" s="14">
        <v>0.0</v>
      </c>
      <c r="AR42" s="14" t="s">
        <v>196</v>
      </c>
    </row>
    <row r="43" ht="15.75" customHeight="1">
      <c r="A43" s="3" t="s">
        <v>39</v>
      </c>
      <c r="B43" s="3" t="s">
        <v>44</v>
      </c>
      <c r="C43" s="3" t="s">
        <v>102</v>
      </c>
      <c r="D43" s="3" t="s">
        <v>282</v>
      </c>
      <c r="E43" s="3" t="s">
        <v>181</v>
      </c>
      <c r="F43" s="3" t="s">
        <v>108</v>
      </c>
      <c r="G43" s="3" t="s">
        <v>39</v>
      </c>
      <c r="H43" s="3" t="s">
        <v>69</v>
      </c>
      <c r="I43" s="19" t="s">
        <v>110</v>
      </c>
      <c r="J43" s="3" t="s">
        <v>71</v>
      </c>
      <c r="K43" s="3">
        <v>0.0</v>
      </c>
      <c r="L43" s="3">
        <v>0.0</v>
      </c>
      <c r="M43" s="3"/>
      <c r="N43" s="3"/>
      <c r="O43" s="3"/>
      <c r="P43" s="3">
        <v>520.0</v>
      </c>
      <c r="Q43" s="3" t="s">
        <v>74</v>
      </c>
      <c r="R43" s="3" t="s">
        <v>75</v>
      </c>
      <c r="S43" s="3" t="s">
        <v>142</v>
      </c>
      <c r="T43" s="3" t="s">
        <v>39</v>
      </c>
      <c r="U43" s="3" t="s">
        <v>90</v>
      </c>
      <c r="V43" s="3" t="s">
        <v>114</v>
      </c>
      <c r="W43" s="3">
        <v>2.0</v>
      </c>
      <c r="X43" s="3">
        <v>2.0</v>
      </c>
      <c r="Y43" s="3">
        <v>5.0</v>
      </c>
      <c r="Z43" s="3">
        <v>3.0</v>
      </c>
      <c r="AA43" s="3">
        <v>2.0</v>
      </c>
      <c r="AB43" s="3">
        <v>0.0</v>
      </c>
      <c r="AC43" s="3">
        <v>2.5</v>
      </c>
      <c r="AD43" s="3">
        <v>0.0</v>
      </c>
      <c r="AE43" s="3" t="s">
        <v>110</v>
      </c>
      <c r="AF43" s="14"/>
      <c r="AG43" s="14"/>
      <c r="AH43" s="14"/>
      <c r="AI43" s="14"/>
      <c r="AJ43" s="14"/>
      <c r="AK43" s="14"/>
      <c r="AL43" s="14"/>
      <c r="AM43" s="14" t="s">
        <v>114</v>
      </c>
      <c r="AN43" s="14" t="s">
        <v>312</v>
      </c>
      <c r="AO43" s="14" t="s">
        <v>84</v>
      </c>
      <c r="AP43" s="14" t="s">
        <v>313</v>
      </c>
      <c r="AQ43" s="14">
        <v>0.0</v>
      </c>
      <c r="AR43" s="14" t="s">
        <v>196</v>
      </c>
    </row>
    <row r="44" ht="15.75" customHeight="1">
      <c r="A44" s="3" t="s">
        <v>39</v>
      </c>
      <c r="B44" s="3" t="s">
        <v>44</v>
      </c>
      <c r="C44" s="3" t="s">
        <v>102</v>
      </c>
      <c r="D44" s="3" t="s">
        <v>283</v>
      </c>
      <c r="E44" s="3" t="s">
        <v>271</v>
      </c>
      <c r="F44" s="3" t="s">
        <v>108</v>
      </c>
      <c r="G44" s="3" t="s">
        <v>39</v>
      </c>
      <c r="H44" s="3" t="s">
        <v>69</v>
      </c>
      <c r="I44" s="19" t="s">
        <v>110</v>
      </c>
      <c r="J44" s="3" t="s">
        <v>71</v>
      </c>
      <c r="K44" s="3">
        <v>0.0</v>
      </c>
      <c r="L44" s="3">
        <v>0.0</v>
      </c>
      <c r="M44" s="3"/>
      <c r="N44" s="3"/>
      <c r="O44" s="3"/>
      <c r="P44" s="3">
        <v>570.0</v>
      </c>
      <c r="Q44" s="3" t="s">
        <v>74</v>
      </c>
      <c r="R44" s="3" t="s">
        <v>75</v>
      </c>
      <c r="S44" s="3" t="s">
        <v>142</v>
      </c>
      <c r="T44" s="3" t="s">
        <v>39</v>
      </c>
      <c r="U44" s="3" t="s">
        <v>90</v>
      </c>
      <c r="V44" s="3" t="s">
        <v>114</v>
      </c>
      <c r="W44" s="3">
        <v>2.0</v>
      </c>
      <c r="X44" s="3">
        <v>2.0</v>
      </c>
      <c r="Y44" s="3">
        <v>5.0</v>
      </c>
      <c r="Z44" s="3">
        <v>3.0</v>
      </c>
      <c r="AA44" s="3">
        <v>2.0</v>
      </c>
      <c r="AB44" s="3">
        <v>0.0</v>
      </c>
      <c r="AC44" s="3">
        <v>2.5</v>
      </c>
      <c r="AD44" s="3">
        <v>0.0</v>
      </c>
      <c r="AE44" s="3" t="s">
        <v>110</v>
      </c>
      <c r="AF44" s="14"/>
      <c r="AG44" s="14"/>
      <c r="AH44" s="14"/>
      <c r="AI44" s="14"/>
      <c r="AJ44" s="14"/>
      <c r="AK44" s="14"/>
      <c r="AL44" s="14"/>
      <c r="AM44" s="14" t="s">
        <v>114</v>
      </c>
      <c r="AN44" s="14" t="s">
        <v>316</v>
      </c>
      <c r="AO44" s="14" t="s">
        <v>84</v>
      </c>
      <c r="AP44" s="14" t="s">
        <v>317</v>
      </c>
      <c r="AQ44" s="14">
        <v>0.0</v>
      </c>
      <c r="AR44" s="14" t="s">
        <v>196</v>
      </c>
    </row>
    <row r="45" ht="15.75" customHeight="1">
      <c r="A45" s="3" t="s">
        <v>39</v>
      </c>
      <c r="B45" s="3" t="s">
        <v>44</v>
      </c>
      <c r="C45" s="3" t="s">
        <v>102</v>
      </c>
      <c r="D45" s="3" t="s">
        <v>284</v>
      </c>
      <c r="E45" s="3" t="s">
        <v>271</v>
      </c>
      <c r="F45" s="3" t="s">
        <v>108</v>
      </c>
      <c r="G45" s="3" t="s">
        <v>39</v>
      </c>
      <c r="H45" s="3" t="s">
        <v>69</v>
      </c>
      <c r="I45" s="19" t="s">
        <v>110</v>
      </c>
      <c r="J45" s="3" t="s">
        <v>71</v>
      </c>
      <c r="K45" s="3">
        <v>0.0</v>
      </c>
      <c r="L45" s="3">
        <v>0.0</v>
      </c>
      <c r="M45" s="3"/>
      <c r="N45" s="3"/>
      <c r="O45" s="3"/>
      <c r="P45" s="3">
        <v>570.0</v>
      </c>
      <c r="Q45" s="3" t="s">
        <v>74</v>
      </c>
      <c r="R45" s="3" t="s">
        <v>75</v>
      </c>
      <c r="S45" s="3" t="s">
        <v>142</v>
      </c>
      <c r="T45" s="3" t="s">
        <v>39</v>
      </c>
      <c r="U45" s="3" t="s">
        <v>90</v>
      </c>
      <c r="V45" s="3" t="s">
        <v>114</v>
      </c>
      <c r="W45" s="3">
        <v>2.0</v>
      </c>
      <c r="X45" s="3">
        <v>2.0</v>
      </c>
      <c r="Y45" s="3">
        <v>5.0</v>
      </c>
      <c r="Z45" s="3">
        <v>3.0</v>
      </c>
      <c r="AA45" s="3">
        <v>2.0</v>
      </c>
      <c r="AB45" s="3">
        <v>0.0</v>
      </c>
      <c r="AC45" s="3">
        <v>2.5</v>
      </c>
      <c r="AD45" s="3">
        <v>0.0</v>
      </c>
      <c r="AE45" s="3" t="s">
        <v>110</v>
      </c>
      <c r="AF45" s="14"/>
      <c r="AG45" s="14"/>
      <c r="AH45" s="14"/>
      <c r="AI45" s="14"/>
      <c r="AJ45" s="14"/>
      <c r="AK45" s="14"/>
      <c r="AL45" s="14"/>
      <c r="AM45" s="14" t="s">
        <v>114</v>
      </c>
      <c r="AN45" s="14" t="s">
        <v>318</v>
      </c>
      <c r="AO45" s="14" t="s">
        <v>84</v>
      </c>
      <c r="AP45" s="14" t="s">
        <v>319</v>
      </c>
      <c r="AQ45" s="14">
        <v>0.0</v>
      </c>
      <c r="AR45" s="14" t="s">
        <v>196</v>
      </c>
    </row>
    <row r="46" ht="15.75" customHeight="1">
      <c r="A46" s="3" t="s">
        <v>39</v>
      </c>
      <c r="B46" s="3" t="s">
        <v>44</v>
      </c>
      <c r="C46" s="3" t="s">
        <v>102</v>
      </c>
      <c r="D46" s="3" t="s">
        <v>286</v>
      </c>
      <c r="E46" s="3" t="s">
        <v>164</v>
      </c>
      <c r="F46" s="3" t="s">
        <v>108</v>
      </c>
      <c r="G46" s="3" t="s">
        <v>39</v>
      </c>
      <c r="H46" s="3" t="s">
        <v>69</v>
      </c>
      <c r="I46" s="19" t="s">
        <v>110</v>
      </c>
      <c r="J46" s="3" t="s">
        <v>71</v>
      </c>
      <c r="K46" s="3">
        <v>0.0</v>
      </c>
      <c r="L46" s="3">
        <v>0.0</v>
      </c>
      <c r="M46" s="3"/>
      <c r="N46" s="3"/>
      <c r="O46" s="3"/>
      <c r="P46" s="3">
        <v>490.0</v>
      </c>
      <c r="Q46" s="3" t="s">
        <v>74</v>
      </c>
      <c r="R46" s="3" t="s">
        <v>75</v>
      </c>
      <c r="S46" s="3" t="s">
        <v>142</v>
      </c>
      <c r="T46" s="3" t="s">
        <v>39</v>
      </c>
      <c r="U46" s="3" t="s">
        <v>90</v>
      </c>
      <c r="V46" s="3" t="s">
        <v>114</v>
      </c>
      <c r="W46" s="3">
        <v>2.0</v>
      </c>
      <c r="X46" s="3">
        <v>2.0</v>
      </c>
      <c r="Y46" s="3">
        <v>5.0</v>
      </c>
      <c r="Z46" s="3">
        <v>3.0</v>
      </c>
      <c r="AA46" s="3">
        <v>2.0</v>
      </c>
      <c r="AB46" s="3">
        <v>0.0</v>
      </c>
      <c r="AC46" s="3">
        <v>2.5</v>
      </c>
      <c r="AD46" s="3">
        <v>0.0</v>
      </c>
      <c r="AE46" s="3" t="s">
        <v>110</v>
      </c>
      <c r="AF46" s="14"/>
      <c r="AG46" s="14"/>
      <c r="AH46" s="14"/>
      <c r="AI46" s="14"/>
      <c r="AJ46" s="14"/>
      <c r="AK46" s="14"/>
      <c r="AL46" s="14"/>
      <c r="AM46" s="14" t="s">
        <v>114</v>
      </c>
      <c r="AN46" s="14" t="s">
        <v>321</v>
      </c>
      <c r="AO46" s="14" t="s">
        <v>84</v>
      </c>
      <c r="AP46" s="14" t="s">
        <v>322</v>
      </c>
      <c r="AQ46" s="14">
        <v>0.0</v>
      </c>
      <c r="AR46" s="14" t="s">
        <v>196</v>
      </c>
    </row>
    <row r="47" ht="15.75" customHeight="1">
      <c r="A47" s="3" t="s">
        <v>39</v>
      </c>
      <c r="B47" s="3" t="s">
        <v>44</v>
      </c>
      <c r="C47" s="3" t="s">
        <v>102</v>
      </c>
      <c r="D47" s="3" t="s">
        <v>178</v>
      </c>
      <c r="E47" s="3" t="s">
        <v>150</v>
      </c>
      <c r="F47" s="3" t="s">
        <v>108</v>
      </c>
      <c r="G47" s="3" t="s">
        <v>39</v>
      </c>
      <c r="H47" s="3" t="s">
        <v>69</v>
      </c>
      <c r="I47" s="19" t="s">
        <v>110</v>
      </c>
      <c r="J47" s="3" t="s">
        <v>71</v>
      </c>
      <c r="K47" s="3">
        <v>0.0</v>
      </c>
      <c r="L47" s="3">
        <v>0.0</v>
      </c>
      <c r="M47" s="3"/>
      <c r="N47" s="3"/>
      <c r="O47" s="3"/>
      <c r="P47" s="3">
        <v>700.0</v>
      </c>
      <c r="Q47" s="3" t="s">
        <v>153</v>
      </c>
      <c r="R47" s="3" t="s">
        <v>75</v>
      </c>
      <c r="S47" s="3" t="s">
        <v>142</v>
      </c>
      <c r="T47" s="3" t="s">
        <v>39</v>
      </c>
      <c r="U47" s="3" t="s">
        <v>90</v>
      </c>
      <c r="V47" s="3" t="s">
        <v>114</v>
      </c>
      <c r="W47" s="3">
        <v>2.0</v>
      </c>
      <c r="X47" s="3">
        <v>1.0</v>
      </c>
      <c r="Y47" s="3">
        <v>5.0</v>
      </c>
      <c r="Z47" s="3">
        <v>3.0</v>
      </c>
      <c r="AA47" s="3">
        <v>2.0</v>
      </c>
      <c r="AB47" s="3">
        <v>0.0</v>
      </c>
      <c r="AC47" s="3">
        <v>2.4</v>
      </c>
      <c r="AD47" s="3">
        <v>0.0</v>
      </c>
      <c r="AE47" s="3" t="s">
        <v>110</v>
      </c>
      <c r="AF47" s="14"/>
      <c r="AG47" s="14"/>
      <c r="AH47" s="14"/>
      <c r="AI47" s="14"/>
      <c r="AJ47" s="14"/>
      <c r="AK47" s="14"/>
      <c r="AL47" s="14"/>
      <c r="AM47" s="14" t="s">
        <v>114</v>
      </c>
      <c r="AN47" s="14" t="s">
        <v>211</v>
      </c>
      <c r="AO47" s="14" t="s">
        <v>84</v>
      </c>
      <c r="AP47" s="14" t="s">
        <v>212</v>
      </c>
      <c r="AQ47" s="14">
        <v>0.0</v>
      </c>
      <c r="AR47" s="14" t="s">
        <v>196</v>
      </c>
    </row>
    <row r="48" ht="15.75" customHeight="1">
      <c r="A48" s="3" t="s">
        <v>39</v>
      </c>
      <c r="B48" s="3" t="s">
        <v>44</v>
      </c>
      <c r="C48" s="3" t="s">
        <v>102</v>
      </c>
      <c r="D48" s="3" t="s">
        <v>289</v>
      </c>
      <c r="E48" s="3" t="s">
        <v>271</v>
      </c>
      <c r="F48" s="3" t="s">
        <v>108</v>
      </c>
      <c r="G48" s="3" t="s">
        <v>39</v>
      </c>
      <c r="H48" s="3" t="s">
        <v>69</v>
      </c>
      <c r="I48" s="19" t="s">
        <v>110</v>
      </c>
      <c r="J48" s="3" t="s">
        <v>71</v>
      </c>
      <c r="K48" s="3">
        <v>0.0</v>
      </c>
      <c r="L48" s="3">
        <v>0.0</v>
      </c>
      <c r="M48" s="3"/>
      <c r="N48" s="3"/>
      <c r="O48" s="3"/>
      <c r="P48" s="3">
        <v>570.0</v>
      </c>
      <c r="Q48" s="3" t="s">
        <v>74</v>
      </c>
      <c r="R48" s="3" t="s">
        <v>75</v>
      </c>
      <c r="S48" s="3" t="s">
        <v>142</v>
      </c>
      <c r="T48" s="3" t="s">
        <v>39</v>
      </c>
      <c r="U48" s="3" t="s">
        <v>90</v>
      </c>
      <c r="V48" s="3" t="s">
        <v>114</v>
      </c>
      <c r="W48" s="3">
        <v>2.0</v>
      </c>
      <c r="X48" s="3">
        <v>2.0</v>
      </c>
      <c r="Y48" s="3">
        <v>5.0</v>
      </c>
      <c r="Z48" s="3">
        <v>3.0</v>
      </c>
      <c r="AA48" s="3">
        <v>2.0</v>
      </c>
      <c r="AB48" s="3">
        <v>0.0</v>
      </c>
      <c r="AC48" s="3">
        <v>2.5</v>
      </c>
      <c r="AD48" s="3">
        <v>0.0</v>
      </c>
      <c r="AE48" s="3" t="s">
        <v>110</v>
      </c>
      <c r="AF48" s="14"/>
      <c r="AG48" s="14"/>
      <c r="AH48" s="14"/>
      <c r="AI48" s="14"/>
      <c r="AJ48" s="14"/>
      <c r="AK48" s="14"/>
      <c r="AL48" s="14"/>
      <c r="AM48" s="14" t="s">
        <v>114</v>
      </c>
      <c r="AN48" s="14" t="s">
        <v>327</v>
      </c>
      <c r="AO48" s="14" t="s">
        <v>84</v>
      </c>
      <c r="AP48" s="14" t="s">
        <v>328</v>
      </c>
      <c r="AQ48" s="14">
        <v>0.0</v>
      </c>
      <c r="AR48" s="14" t="s">
        <v>196</v>
      </c>
    </row>
    <row r="49" ht="15.75" customHeight="1">
      <c r="A49" s="3" t="s">
        <v>39</v>
      </c>
      <c r="B49" s="3" t="s">
        <v>44</v>
      </c>
      <c r="C49" s="3" t="s">
        <v>102</v>
      </c>
      <c r="D49" s="3" t="s">
        <v>292</v>
      </c>
      <c r="E49" s="3" t="s">
        <v>240</v>
      </c>
      <c r="F49" s="3" t="s">
        <v>108</v>
      </c>
      <c r="G49" s="3" t="s">
        <v>39</v>
      </c>
      <c r="H49" s="3" t="s">
        <v>69</v>
      </c>
      <c r="I49" s="19" t="s">
        <v>110</v>
      </c>
      <c r="J49" s="3" t="s">
        <v>71</v>
      </c>
      <c r="K49" s="3">
        <v>0.0</v>
      </c>
      <c r="L49" s="3">
        <v>0.0</v>
      </c>
      <c r="M49" s="3"/>
      <c r="N49" s="3"/>
      <c r="O49" s="3"/>
      <c r="P49" s="3">
        <v>610.0</v>
      </c>
      <c r="Q49" s="3" t="s">
        <v>153</v>
      </c>
      <c r="R49" s="3" t="s">
        <v>75</v>
      </c>
      <c r="S49" s="3" t="s">
        <v>142</v>
      </c>
      <c r="T49" s="3" t="s">
        <v>39</v>
      </c>
      <c r="U49" s="3" t="s">
        <v>90</v>
      </c>
      <c r="V49" s="3" t="s">
        <v>114</v>
      </c>
      <c r="W49" s="3">
        <v>2.0</v>
      </c>
      <c r="X49" s="3">
        <v>1.0</v>
      </c>
      <c r="Y49" s="3">
        <v>5.0</v>
      </c>
      <c r="Z49" s="3">
        <v>3.0</v>
      </c>
      <c r="AA49" s="3">
        <v>2.0</v>
      </c>
      <c r="AB49" s="3">
        <v>0.0</v>
      </c>
      <c r="AC49" s="3">
        <v>2.4</v>
      </c>
      <c r="AD49" s="3">
        <v>0.0</v>
      </c>
      <c r="AE49" s="3" t="s">
        <v>110</v>
      </c>
      <c r="AF49" s="14"/>
      <c r="AG49" s="14"/>
      <c r="AH49" s="14"/>
      <c r="AI49" s="14"/>
      <c r="AJ49" s="14"/>
      <c r="AK49" s="14"/>
      <c r="AL49" s="14"/>
      <c r="AM49" s="14" t="s">
        <v>114</v>
      </c>
      <c r="AN49" s="14" t="s">
        <v>330</v>
      </c>
      <c r="AO49" s="14" t="s">
        <v>84</v>
      </c>
      <c r="AP49" s="14" t="s">
        <v>332</v>
      </c>
      <c r="AQ49" s="14">
        <v>0.0</v>
      </c>
      <c r="AR49" s="14" t="s">
        <v>196</v>
      </c>
    </row>
    <row r="50" ht="15.75" customHeight="1">
      <c r="A50" s="3" t="s">
        <v>39</v>
      </c>
      <c r="B50" s="3" t="s">
        <v>44</v>
      </c>
      <c r="C50" s="3" t="s">
        <v>102</v>
      </c>
      <c r="D50" s="3" t="s">
        <v>296</v>
      </c>
      <c r="E50" s="3" t="s">
        <v>181</v>
      </c>
      <c r="F50" s="3" t="s">
        <v>108</v>
      </c>
      <c r="G50" s="3" t="s">
        <v>39</v>
      </c>
      <c r="H50" s="3" t="s">
        <v>69</v>
      </c>
      <c r="I50" s="19" t="s">
        <v>110</v>
      </c>
      <c r="J50" s="3" t="s">
        <v>71</v>
      </c>
      <c r="K50" s="3">
        <v>0.0</v>
      </c>
      <c r="L50" s="3">
        <v>0.0</v>
      </c>
      <c r="M50" s="3"/>
      <c r="N50" s="3"/>
      <c r="O50" s="3"/>
      <c r="P50" s="3">
        <v>520.0</v>
      </c>
      <c r="Q50" s="3" t="s">
        <v>74</v>
      </c>
      <c r="R50" s="3" t="s">
        <v>75</v>
      </c>
      <c r="S50" s="3" t="s">
        <v>142</v>
      </c>
      <c r="T50" s="3" t="s">
        <v>39</v>
      </c>
      <c r="U50" s="3" t="s">
        <v>90</v>
      </c>
      <c r="V50" s="3" t="s">
        <v>114</v>
      </c>
      <c r="W50" s="3">
        <v>2.0</v>
      </c>
      <c r="X50" s="3">
        <v>2.0</v>
      </c>
      <c r="Y50" s="3">
        <v>5.0</v>
      </c>
      <c r="Z50" s="3">
        <v>3.0</v>
      </c>
      <c r="AA50" s="3">
        <v>2.0</v>
      </c>
      <c r="AB50" s="3">
        <v>0.0</v>
      </c>
      <c r="AC50" s="3">
        <v>2.5</v>
      </c>
      <c r="AD50" s="3">
        <v>0.0</v>
      </c>
      <c r="AE50" s="3" t="s">
        <v>110</v>
      </c>
      <c r="AF50" s="14"/>
      <c r="AG50" s="14"/>
      <c r="AH50" s="14"/>
      <c r="AI50" s="14"/>
      <c r="AJ50" s="14"/>
      <c r="AK50" s="14"/>
      <c r="AL50" s="14"/>
      <c r="AM50" s="14" t="s">
        <v>114</v>
      </c>
      <c r="AN50" s="14" t="s">
        <v>333</v>
      </c>
      <c r="AO50" s="14" t="s">
        <v>84</v>
      </c>
      <c r="AP50" s="14" t="s">
        <v>334</v>
      </c>
      <c r="AQ50" s="14">
        <v>0.0</v>
      </c>
      <c r="AR50" s="14" t="s">
        <v>196</v>
      </c>
    </row>
    <row r="51" ht="15.75" customHeight="1">
      <c r="A51" s="3" t="s">
        <v>39</v>
      </c>
      <c r="B51" s="3" t="s">
        <v>44</v>
      </c>
      <c r="C51" s="3" t="s">
        <v>102</v>
      </c>
      <c r="D51" s="3" t="s">
        <v>182</v>
      </c>
      <c r="E51" s="3" t="s">
        <v>138</v>
      </c>
      <c r="F51" s="3" t="s">
        <v>108</v>
      </c>
      <c r="G51" s="3" t="s">
        <v>39</v>
      </c>
      <c r="H51" s="3" t="s">
        <v>69</v>
      </c>
      <c r="I51" s="19" t="s">
        <v>110</v>
      </c>
      <c r="J51" s="3" t="s">
        <v>71</v>
      </c>
      <c r="K51" s="3">
        <v>0.0</v>
      </c>
      <c r="L51" s="3">
        <v>0.0</v>
      </c>
      <c r="M51" s="3"/>
      <c r="N51" s="3"/>
      <c r="O51" s="3"/>
      <c r="P51" s="3">
        <v>300.0</v>
      </c>
      <c r="Q51" s="3" t="s">
        <v>140</v>
      </c>
      <c r="R51" s="3" t="s">
        <v>75</v>
      </c>
      <c r="S51" s="3" t="s">
        <v>142</v>
      </c>
      <c r="T51" s="3" t="s">
        <v>39</v>
      </c>
      <c r="U51" s="3" t="s">
        <v>90</v>
      </c>
      <c r="V51" s="3" t="s">
        <v>114</v>
      </c>
      <c r="W51" s="3">
        <v>2.0</v>
      </c>
      <c r="X51" s="3">
        <v>4.0</v>
      </c>
      <c r="Y51" s="3">
        <v>5.0</v>
      </c>
      <c r="Z51" s="3">
        <v>3.0</v>
      </c>
      <c r="AA51" s="3">
        <v>2.0</v>
      </c>
      <c r="AB51" s="3">
        <v>0.0</v>
      </c>
      <c r="AC51" s="3">
        <v>2.9</v>
      </c>
      <c r="AD51" s="3">
        <v>0.0</v>
      </c>
      <c r="AE51" s="3" t="s">
        <v>110</v>
      </c>
      <c r="AF51" s="14"/>
      <c r="AG51" s="14"/>
      <c r="AH51" s="14"/>
      <c r="AI51" s="14"/>
      <c r="AJ51" s="14"/>
      <c r="AK51" s="14"/>
      <c r="AL51" s="14"/>
      <c r="AM51" s="14" t="s">
        <v>114</v>
      </c>
      <c r="AN51" s="14" t="s">
        <v>214</v>
      </c>
      <c r="AO51" s="14" t="s">
        <v>84</v>
      </c>
      <c r="AP51" s="14" t="s">
        <v>215</v>
      </c>
      <c r="AQ51" s="14">
        <v>0.0</v>
      </c>
      <c r="AR51" s="14" t="s">
        <v>196</v>
      </c>
    </row>
    <row r="52" ht="15.75" customHeight="1">
      <c r="A52" s="3" t="s">
        <v>39</v>
      </c>
      <c r="B52" s="3" t="s">
        <v>44</v>
      </c>
      <c r="C52" s="3" t="s">
        <v>102</v>
      </c>
      <c r="D52" s="3" t="s">
        <v>119</v>
      </c>
      <c r="E52" s="3" t="s">
        <v>106</v>
      </c>
      <c r="F52" s="3" t="s">
        <v>108</v>
      </c>
      <c r="G52" s="3" t="s">
        <v>39</v>
      </c>
      <c r="H52" s="3" t="s">
        <v>69</v>
      </c>
      <c r="I52" s="19" t="s">
        <v>110</v>
      </c>
      <c r="J52" s="3" t="s">
        <v>71</v>
      </c>
      <c r="K52" s="3">
        <v>0.0</v>
      </c>
      <c r="L52" s="3">
        <v>0.0</v>
      </c>
      <c r="M52" s="3"/>
      <c r="N52" s="3"/>
      <c r="O52" s="3"/>
      <c r="P52" s="3">
        <v>130.0</v>
      </c>
      <c r="Q52" s="3" t="s">
        <v>121</v>
      </c>
      <c r="R52" s="3" t="s">
        <v>75</v>
      </c>
      <c r="S52" s="3" t="s">
        <v>76</v>
      </c>
      <c r="T52" s="3" t="s">
        <v>39</v>
      </c>
      <c r="U52" s="3" t="s">
        <v>90</v>
      </c>
      <c r="V52" s="3" t="s">
        <v>114</v>
      </c>
      <c r="W52" s="3">
        <v>2.0</v>
      </c>
      <c r="X52" s="3">
        <v>5.0</v>
      </c>
      <c r="Y52" s="3">
        <v>5.0</v>
      </c>
      <c r="Z52" s="3">
        <v>3.0</v>
      </c>
      <c r="AA52" s="3">
        <v>4.0</v>
      </c>
      <c r="AB52" s="3">
        <v>0.0</v>
      </c>
      <c r="AC52" s="3">
        <v>3.2</v>
      </c>
      <c r="AD52" s="3">
        <v>0.0</v>
      </c>
      <c r="AE52" s="3" t="s">
        <v>110</v>
      </c>
      <c r="AF52" s="14"/>
      <c r="AG52" s="14"/>
      <c r="AH52" s="14"/>
      <c r="AI52" s="14"/>
      <c r="AJ52" s="14"/>
      <c r="AK52" s="14"/>
      <c r="AL52" s="14"/>
      <c r="AM52" s="14" t="s">
        <v>114</v>
      </c>
      <c r="AN52" s="14" t="s">
        <v>337</v>
      </c>
      <c r="AO52" s="14" t="s">
        <v>84</v>
      </c>
      <c r="AP52" s="14" t="s">
        <v>338</v>
      </c>
      <c r="AQ52" s="14">
        <v>0.0</v>
      </c>
      <c r="AR52" s="14" t="s">
        <v>196</v>
      </c>
    </row>
    <row r="53" ht="15.75" customHeight="1">
      <c r="A53" s="3" t="s">
        <v>39</v>
      </c>
      <c r="B53" s="3" t="s">
        <v>44</v>
      </c>
      <c r="C53" s="3" t="s">
        <v>102</v>
      </c>
      <c r="D53" s="3" t="s">
        <v>184</v>
      </c>
      <c r="E53" s="3" t="s">
        <v>186</v>
      </c>
      <c r="F53" s="3" t="s">
        <v>108</v>
      </c>
      <c r="G53" s="3" t="s">
        <v>39</v>
      </c>
      <c r="H53" s="3" t="s">
        <v>69</v>
      </c>
      <c r="I53" s="19" t="s">
        <v>110</v>
      </c>
      <c r="J53" s="3" t="s">
        <v>71</v>
      </c>
      <c r="K53" s="3">
        <v>0.0</v>
      </c>
      <c r="L53" s="3">
        <v>0.0</v>
      </c>
      <c r="M53" s="3"/>
      <c r="N53" s="3"/>
      <c r="O53" s="3"/>
      <c r="P53" s="3">
        <v>360.0</v>
      </c>
      <c r="Q53" s="3" t="s">
        <v>140</v>
      </c>
      <c r="R53" s="3" t="s">
        <v>75</v>
      </c>
      <c r="S53" s="3" t="s">
        <v>142</v>
      </c>
      <c r="T53" s="3" t="s">
        <v>39</v>
      </c>
      <c r="U53" s="3" t="s">
        <v>90</v>
      </c>
      <c r="V53" s="3" t="s">
        <v>114</v>
      </c>
      <c r="W53" s="3">
        <v>2.0</v>
      </c>
      <c r="X53" s="3">
        <v>3.0</v>
      </c>
      <c r="Y53" s="3">
        <v>5.0</v>
      </c>
      <c r="Z53" s="3">
        <v>3.0</v>
      </c>
      <c r="AA53" s="3">
        <v>2.0</v>
      </c>
      <c r="AB53" s="3">
        <v>0.0</v>
      </c>
      <c r="AC53" s="3">
        <v>2.7</v>
      </c>
      <c r="AD53" s="3">
        <v>0.0</v>
      </c>
      <c r="AE53" s="3" t="s">
        <v>110</v>
      </c>
      <c r="AF53" s="14"/>
      <c r="AG53" s="14"/>
      <c r="AH53" s="14"/>
      <c r="AI53" s="14"/>
      <c r="AJ53" s="14"/>
      <c r="AK53" s="14"/>
      <c r="AL53" s="14"/>
      <c r="AM53" s="14" t="s">
        <v>114</v>
      </c>
      <c r="AN53" s="14" t="s">
        <v>221</v>
      </c>
      <c r="AO53" s="14" t="s">
        <v>84</v>
      </c>
      <c r="AP53" s="14" t="s">
        <v>222</v>
      </c>
      <c r="AQ53" s="14">
        <v>0.0</v>
      </c>
      <c r="AR53" s="14" t="s">
        <v>196</v>
      </c>
    </row>
    <row r="54" ht="15.75" customHeight="1">
      <c r="A54" s="3" t="s">
        <v>39</v>
      </c>
      <c r="B54" s="3" t="s">
        <v>44</v>
      </c>
      <c r="C54" s="3" t="s">
        <v>102</v>
      </c>
      <c r="D54" s="3" t="s">
        <v>301</v>
      </c>
      <c r="E54" s="3" t="s">
        <v>164</v>
      </c>
      <c r="F54" s="3" t="s">
        <v>108</v>
      </c>
      <c r="G54" s="3" t="s">
        <v>39</v>
      </c>
      <c r="H54" s="3" t="s">
        <v>69</v>
      </c>
      <c r="I54" s="19" t="s">
        <v>110</v>
      </c>
      <c r="J54" s="3" t="s">
        <v>71</v>
      </c>
      <c r="K54" s="3">
        <v>0.0</v>
      </c>
      <c r="L54" s="3">
        <v>0.0</v>
      </c>
      <c r="M54" s="3"/>
      <c r="N54" s="3"/>
      <c r="O54" s="3"/>
      <c r="P54" s="3">
        <v>490.0</v>
      </c>
      <c r="Q54" s="3" t="s">
        <v>74</v>
      </c>
      <c r="R54" s="3" t="s">
        <v>75</v>
      </c>
      <c r="S54" s="3" t="s">
        <v>142</v>
      </c>
      <c r="T54" s="3" t="s">
        <v>39</v>
      </c>
      <c r="U54" s="3" t="s">
        <v>90</v>
      </c>
      <c r="V54" s="3" t="s">
        <v>114</v>
      </c>
      <c r="W54" s="3">
        <v>2.0</v>
      </c>
      <c r="X54" s="3">
        <v>2.0</v>
      </c>
      <c r="Y54" s="3">
        <v>5.0</v>
      </c>
      <c r="Z54" s="3">
        <v>3.0</v>
      </c>
      <c r="AA54" s="3">
        <v>2.0</v>
      </c>
      <c r="AB54" s="3">
        <v>0.0</v>
      </c>
      <c r="AC54" s="3">
        <v>2.5</v>
      </c>
      <c r="AD54" s="3">
        <v>0.0</v>
      </c>
      <c r="AE54" s="3" t="s">
        <v>110</v>
      </c>
      <c r="AF54" s="14"/>
      <c r="AG54" s="14"/>
      <c r="AH54" s="14"/>
      <c r="AI54" s="14"/>
      <c r="AJ54" s="14"/>
      <c r="AK54" s="14"/>
      <c r="AL54" s="14"/>
      <c r="AM54" s="14" t="s">
        <v>114</v>
      </c>
      <c r="AN54" s="14" t="s">
        <v>341</v>
      </c>
      <c r="AO54" s="14" t="s">
        <v>84</v>
      </c>
      <c r="AP54" s="14" t="s">
        <v>342</v>
      </c>
      <c r="AQ54" s="14">
        <v>0.0</v>
      </c>
      <c r="AR54" s="14" t="s">
        <v>196</v>
      </c>
    </row>
    <row r="55" ht="15.75" customHeight="1">
      <c r="A55" s="3" t="s">
        <v>39</v>
      </c>
      <c r="B55" s="3" t="s">
        <v>137</v>
      </c>
      <c r="C55" s="3" t="s">
        <v>102</v>
      </c>
      <c r="D55" s="3" t="s">
        <v>302</v>
      </c>
      <c r="E55" s="3" t="s">
        <v>164</v>
      </c>
      <c r="F55" s="3" t="s">
        <v>303</v>
      </c>
      <c r="G55" s="3" t="s">
        <v>39</v>
      </c>
      <c r="H55" s="3" t="s">
        <v>69</v>
      </c>
      <c r="I55" s="19" t="s">
        <v>110</v>
      </c>
      <c r="J55" s="3" t="s">
        <v>71</v>
      </c>
      <c r="K55" s="3">
        <v>0.0</v>
      </c>
      <c r="L55" s="3">
        <v>0.0</v>
      </c>
      <c r="M55" s="3"/>
      <c r="N55" s="3"/>
      <c r="O55" s="3"/>
      <c r="P55" s="3">
        <v>490.0</v>
      </c>
      <c r="Q55" s="3" t="s">
        <v>74</v>
      </c>
      <c r="R55" s="3" t="s">
        <v>75</v>
      </c>
      <c r="S55" s="3" t="s">
        <v>142</v>
      </c>
      <c r="T55" s="3" t="s">
        <v>39</v>
      </c>
      <c r="U55" s="3" t="s">
        <v>344</v>
      </c>
      <c r="V55" s="3" t="s">
        <v>304</v>
      </c>
      <c r="W55" s="3">
        <v>2.0</v>
      </c>
      <c r="X55" s="3">
        <v>2.0</v>
      </c>
      <c r="Y55" s="3">
        <v>5.0</v>
      </c>
      <c r="Z55" s="3">
        <v>3.0</v>
      </c>
      <c r="AA55" s="3">
        <v>2.0</v>
      </c>
      <c r="AB55" s="3">
        <v>0.0</v>
      </c>
      <c r="AC55" s="3">
        <v>1.5</v>
      </c>
      <c r="AD55" s="3">
        <v>0.0</v>
      </c>
      <c r="AE55" s="3" t="s">
        <v>110</v>
      </c>
      <c r="AF55" s="14"/>
      <c r="AG55" s="14"/>
      <c r="AH55" s="14"/>
      <c r="AI55" s="14"/>
      <c r="AJ55" s="14"/>
      <c r="AK55" s="14"/>
      <c r="AL55" s="14"/>
      <c r="AM55" s="14" t="s">
        <v>304</v>
      </c>
      <c r="AN55" s="14" t="s">
        <v>345</v>
      </c>
      <c r="AO55" s="14" t="s">
        <v>84</v>
      </c>
      <c r="AP55" s="14" t="s">
        <v>346</v>
      </c>
      <c r="AQ55" s="14">
        <v>-1.0</v>
      </c>
      <c r="AR55" s="14" t="s">
        <v>147</v>
      </c>
    </row>
    <row r="56" ht="15.75" customHeight="1">
      <c r="A56" s="3" t="s">
        <v>39</v>
      </c>
      <c r="B56" s="3" t="s">
        <v>137</v>
      </c>
      <c r="C56" s="3" t="s">
        <v>102</v>
      </c>
      <c r="D56" s="3" t="s">
        <v>311</v>
      </c>
      <c r="E56" s="3" t="s">
        <v>240</v>
      </c>
      <c r="F56" s="3" t="s">
        <v>303</v>
      </c>
      <c r="G56" s="3" t="s">
        <v>39</v>
      </c>
      <c r="H56" s="3" t="s">
        <v>69</v>
      </c>
      <c r="I56" s="19" t="s">
        <v>110</v>
      </c>
      <c r="J56" s="3" t="s">
        <v>71</v>
      </c>
      <c r="K56" s="3">
        <v>0.0</v>
      </c>
      <c r="L56" s="3">
        <v>0.0</v>
      </c>
      <c r="M56" s="3"/>
      <c r="N56" s="3"/>
      <c r="O56" s="3"/>
      <c r="P56" s="3">
        <v>610.0</v>
      </c>
      <c r="Q56" s="3" t="s">
        <v>153</v>
      </c>
      <c r="R56" s="3" t="s">
        <v>75</v>
      </c>
      <c r="S56" s="3" t="s">
        <v>142</v>
      </c>
      <c r="T56" s="3" t="s">
        <v>39</v>
      </c>
      <c r="U56" s="3" t="s">
        <v>344</v>
      </c>
      <c r="V56" s="3" t="s">
        <v>304</v>
      </c>
      <c r="W56" s="3">
        <v>2.0</v>
      </c>
      <c r="X56" s="3">
        <v>1.0</v>
      </c>
      <c r="Y56" s="3">
        <v>5.0</v>
      </c>
      <c r="Z56" s="3">
        <v>3.0</v>
      </c>
      <c r="AA56" s="3">
        <v>2.0</v>
      </c>
      <c r="AB56" s="3">
        <v>0.0</v>
      </c>
      <c r="AC56" s="3">
        <v>1.4</v>
      </c>
      <c r="AD56" s="3">
        <v>0.0</v>
      </c>
      <c r="AE56" s="3" t="s">
        <v>110</v>
      </c>
      <c r="AF56" s="14"/>
      <c r="AG56" s="14"/>
      <c r="AH56" s="14"/>
      <c r="AI56" s="14"/>
      <c r="AJ56" s="14"/>
      <c r="AK56" s="14"/>
      <c r="AL56" s="14"/>
      <c r="AM56" s="14" t="s">
        <v>304</v>
      </c>
      <c r="AN56" s="14" t="s">
        <v>349</v>
      </c>
      <c r="AO56" s="14" t="s">
        <v>84</v>
      </c>
      <c r="AP56" s="14" t="s">
        <v>350</v>
      </c>
      <c r="AQ56" s="14">
        <v>-1.0</v>
      </c>
      <c r="AR56" s="14" t="s">
        <v>147</v>
      </c>
    </row>
    <row r="57" ht="15.75" customHeight="1">
      <c r="A57" s="3" t="s">
        <v>39</v>
      </c>
      <c r="B57" s="3" t="s">
        <v>44</v>
      </c>
      <c r="C57" s="3" t="s">
        <v>102</v>
      </c>
      <c r="D57" s="3" t="s">
        <v>314</v>
      </c>
      <c r="E57" s="3" t="s">
        <v>271</v>
      </c>
      <c r="F57" s="3" t="s">
        <v>108</v>
      </c>
      <c r="G57" s="3" t="s">
        <v>39</v>
      </c>
      <c r="H57" s="3" t="s">
        <v>69</v>
      </c>
      <c r="I57" s="19" t="s">
        <v>110</v>
      </c>
      <c r="J57" s="3" t="s">
        <v>71</v>
      </c>
      <c r="K57" s="3">
        <v>0.0</v>
      </c>
      <c r="L57" s="3">
        <v>0.0</v>
      </c>
      <c r="M57" s="3"/>
      <c r="N57" s="3"/>
      <c r="O57" s="3"/>
      <c r="P57" s="3">
        <v>570.0</v>
      </c>
      <c r="Q57" s="3" t="s">
        <v>74</v>
      </c>
      <c r="R57" s="3" t="s">
        <v>75</v>
      </c>
      <c r="S57" s="3" t="s">
        <v>142</v>
      </c>
      <c r="T57" s="3" t="s">
        <v>39</v>
      </c>
      <c r="U57" s="3" t="s">
        <v>90</v>
      </c>
      <c r="V57" s="3" t="s">
        <v>114</v>
      </c>
      <c r="W57" s="3">
        <v>2.0</v>
      </c>
      <c r="X57" s="3">
        <v>2.0</v>
      </c>
      <c r="Y57" s="3">
        <v>5.0</v>
      </c>
      <c r="Z57" s="3">
        <v>3.0</v>
      </c>
      <c r="AA57" s="3">
        <v>2.0</v>
      </c>
      <c r="AB57" s="3">
        <v>0.0</v>
      </c>
      <c r="AC57" s="3">
        <v>2.5</v>
      </c>
      <c r="AD57" s="3">
        <v>0.0</v>
      </c>
      <c r="AE57" s="3" t="s">
        <v>110</v>
      </c>
      <c r="AF57" s="14"/>
      <c r="AG57" s="14"/>
      <c r="AH57" s="14"/>
      <c r="AI57" s="14"/>
      <c r="AJ57" s="14"/>
      <c r="AK57" s="14"/>
      <c r="AL57" s="14"/>
      <c r="AM57" s="14" t="s">
        <v>114</v>
      </c>
      <c r="AN57" s="14" t="s">
        <v>353</v>
      </c>
      <c r="AO57" s="14" t="s">
        <v>84</v>
      </c>
      <c r="AP57" s="14" t="s">
        <v>354</v>
      </c>
      <c r="AQ57" s="14">
        <v>0.0</v>
      </c>
      <c r="AR57" s="14" t="s">
        <v>196</v>
      </c>
    </row>
    <row r="58" ht="15.75" customHeight="1">
      <c r="A58" s="3" t="s">
        <v>39</v>
      </c>
      <c r="B58" s="3" t="s">
        <v>44</v>
      </c>
      <c r="C58" s="3" t="s">
        <v>102</v>
      </c>
      <c r="D58" s="3" t="s">
        <v>315</v>
      </c>
      <c r="E58" s="3" t="s">
        <v>240</v>
      </c>
      <c r="F58" s="3" t="s">
        <v>108</v>
      </c>
      <c r="G58" s="3" t="s">
        <v>39</v>
      </c>
      <c r="H58" s="3" t="s">
        <v>69</v>
      </c>
      <c r="I58" s="19" t="s">
        <v>110</v>
      </c>
      <c r="J58" s="3" t="s">
        <v>71</v>
      </c>
      <c r="K58" s="3">
        <v>0.0</v>
      </c>
      <c r="L58" s="3">
        <v>0.0</v>
      </c>
      <c r="M58" s="3"/>
      <c r="N58" s="3"/>
      <c r="O58" s="3"/>
      <c r="P58" s="3">
        <v>610.0</v>
      </c>
      <c r="Q58" s="3" t="s">
        <v>153</v>
      </c>
      <c r="R58" s="3" t="s">
        <v>75</v>
      </c>
      <c r="S58" s="3" t="s">
        <v>142</v>
      </c>
      <c r="T58" s="3" t="s">
        <v>39</v>
      </c>
      <c r="U58" s="3" t="s">
        <v>90</v>
      </c>
      <c r="V58" s="3" t="s">
        <v>114</v>
      </c>
      <c r="W58" s="3">
        <v>2.0</v>
      </c>
      <c r="X58" s="3">
        <v>1.0</v>
      </c>
      <c r="Y58" s="3">
        <v>5.0</v>
      </c>
      <c r="Z58" s="3">
        <v>3.0</v>
      </c>
      <c r="AA58" s="3">
        <v>2.0</v>
      </c>
      <c r="AB58" s="3">
        <v>0.0</v>
      </c>
      <c r="AC58" s="3">
        <v>2.4</v>
      </c>
      <c r="AD58" s="3">
        <v>0.0</v>
      </c>
      <c r="AE58" s="3" t="s">
        <v>110</v>
      </c>
      <c r="AF58" s="14"/>
      <c r="AG58" s="14"/>
      <c r="AH58" s="14"/>
      <c r="AI58" s="14"/>
      <c r="AJ58" s="14"/>
      <c r="AK58" s="14"/>
      <c r="AL58" s="14"/>
      <c r="AM58" s="14" t="s">
        <v>114</v>
      </c>
      <c r="AN58" s="14" t="s">
        <v>356</v>
      </c>
      <c r="AO58" s="14" t="s">
        <v>84</v>
      </c>
      <c r="AP58" s="14" t="s">
        <v>357</v>
      </c>
      <c r="AQ58" s="14">
        <v>0.0</v>
      </c>
      <c r="AR58" s="14" t="s">
        <v>196</v>
      </c>
    </row>
    <row r="59" ht="15.75" customHeight="1">
      <c r="A59" s="3" t="s">
        <v>39</v>
      </c>
      <c r="B59" s="3" t="s">
        <v>44</v>
      </c>
      <c r="C59" s="3" t="s">
        <v>102</v>
      </c>
      <c r="D59" s="3" t="s">
        <v>193</v>
      </c>
      <c r="E59" s="3" t="s">
        <v>240</v>
      </c>
      <c r="F59" s="3" t="s">
        <v>108</v>
      </c>
      <c r="G59" s="3" t="s">
        <v>39</v>
      </c>
      <c r="H59" s="3" t="s">
        <v>69</v>
      </c>
      <c r="I59" s="19" t="s">
        <v>110</v>
      </c>
      <c r="J59" s="3" t="s">
        <v>71</v>
      </c>
      <c r="K59" s="3">
        <v>0.0</v>
      </c>
      <c r="L59" s="3">
        <v>0.0</v>
      </c>
      <c r="M59" s="3"/>
      <c r="N59" s="3"/>
      <c r="O59" s="3"/>
      <c r="P59" s="3">
        <v>610.0</v>
      </c>
      <c r="Q59" s="3" t="s">
        <v>153</v>
      </c>
      <c r="R59" s="3" t="s">
        <v>75</v>
      </c>
      <c r="S59" s="3" t="s">
        <v>142</v>
      </c>
      <c r="T59" s="3" t="s">
        <v>39</v>
      </c>
      <c r="U59" s="3" t="s">
        <v>90</v>
      </c>
      <c r="V59" s="3" t="s">
        <v>114</v>
      </c>
      <c r="W59" s="3">
        <v>2.0</v>
      </c>
      <c r="X59" s="3">
        <v>1.0</v>
      </c>
      <c r="Y59" s="3">
        <v>5.0</v>
      </c>
      <c r="Z59" s="3">
        <v>3.0</v>
      </c>
      <c r="AA59" s="3">
        <v>2.0</v>
      </c>
      <c r="AB59" s="3">
        <v>0.0</v>
      </c>
      <c r="AC59" s="3">
        <v>2.4</v>
      </c>
      <c r="AD59" s="3">
        <v>0.0</v>
      </c>
      <c r="AE59" s="3" t="s">
        <v>110</v>
      </c>
      <c r="AF59" s="14"/>
      <c r="AG59" s="14"/>
      <c r="AH59" s="14"/>
      <c r="AI59" s="14"/>
      <c r="AJ59" s="14"/>
      <c r="AK59" s="14"/>
      <c r="AL59" s="14"/>
      <c r="AM59" s="14" t="s">
        <v>114</v>
      </c>
      <c r="AN59" s="14" t="s">
        <v>244</v>
      </c>
      <c r="AO59" s="14" t="s">
        <v>84</v>
      </c>
      <c r="AP59" s="14" t="s">
        <v>245</v>
      </c>
      <c r="AQ59" s="14">
        <v>0.0</v>
      </c>
      <c r="AR59" s="14" t="s">
        <v>196</v>
      </c>
    </row>
    <row r="60" ht="15.75" customHeight="1">
      <c r="A60" s="3" t="s">
        <v>39</v>
      </c>
      <c r="B60" s="3" t="s">
        <v>44</v>
      </c>
      <c r="C60" s="3" t="s">
        <v>102</v>
      </c>
      <c r="D60" s="3" t="s">
        <v>326</v>
      </c>
      <c r="E60" s="3" t="s">
        <v>271</v>
      </c>
      <c r="F60" s="3" t="s">
        <v>108</v>
      </c>
      <c r="G60" s="3" t="s">
        <v>39</v>
      </c>
      <c r="H60" s="3" t="s">
        <v>69</v>
      </c>
      <c r="I60" s="19" t="s">
        <v>110</v>
      </c>
      <c r="J60" s="3" t="s">
        <v>71</v>
      </c>
      <c r="K60" s="3">
        <v>0.0</v>
      </c>
      <c r="L60" s="3">
        <v>0.0</v>
      </c>
      <c r="M60" s="3"/>
      <c r="N60" s="3"/>
      <c r="O60" s="3"/>
      <c r="P60" s="3">
        <v>570.0</v>
      </c>
      <c r="Q60" s="3" t="s">
        <v>74</v>
      </c>
      <c r="R60" s="3" t="s">
        <v>75</v>
      </c>
      <c r="S60" s="3" t="s">
        <v>142</v>
      </c>
      <c r="T60" s="3" t="s">
        <v>39</v>
      </c>
      <c r="U60" s="3" t="s">
        <v>90</v>
      </c>
      <c r="V60" s="3" t="s">
        <v>114</v>
      </c>
      <c r="W60" s="3">
        <v>2.0</v>
      </c>
      <c r="X60" s="3">
        <v>2.0</v>
      </c>
      <c r="Y60" s="3">
        <v>5.0</v>
      </c>
      <c r="Z60" s="3">
        <v>3.0</v>
      </c>
      <c r="AA60" s="3">
        <v>2.0</v>
      </c>
      <c r="AB60" s="3">
        <v>0.0</v>
      </c>
      <c r="AC60" s="3">
        <v>2.5</v>
      </c>
      <c r="AD60" s="3">
        <v>0.0</v>
      </c>
      <c r="AE60" s="3" t="s">
        <v>110</v>
      </c>
      <c r="AF60" s="14"/>
      <c r="AG60" s="14"/>
      <c r="AH60" s="14"/>
      <c r="AI60" s="14"/>
      <c r="AJ60" s="14"/>
      <c r="AK60" s="14"/>
      <c r="AL60" s="14"/>
      <c r="AM60" s="14" t="s">
        <v>114</v>
      </c>
      <c r="AN60" s="14" t="s">
        <v>358</v>
      </c>
      <c r="AO60" s="14" t="s">
        <v>84</v>
      </c>
      <c r="AP60" s="14" t="s">
        <v>359</v>
      </c>
      <c r="AQ60" s="14">
        <v>0.0</v>
      </c>
      <c r="AR60" s="14" t="s">
        <v>196</v>
      </c>
    </row>
    <row r="61" ht="15.75" customHeight="1">
      <c r="A61" s="3" t="s">
        <v>39</v>
      </c>
      <c r="B61" s="3" t="s">
        <v>44</v>
      </c>
      <c r="C61" s="3" t="s">
        <v>102</v>
      </c>
      <c r="D61" s="3" t="s">
        <v>331</v>
      </c>
      <c r="E61" s="3" t="s">
        <v>181</v>
      </c>
      <c r="F61" s="3" t="s">
        <v>108</v>
      </c>
      <c r="G61" s="3" t="s">
        <v>39</v>
      </c>
      <c r="H61" s="3" t="s">
        <v>69</v>
      </c>
      <c r="I61" s="19" t="s">
        <v>110</v>
      </c>
      <c r="J61" s="3" t="s">
        <v>71</v>
      </c>
      <c r="K61" s="3">
        <v>0.0</v>
      </c>
      <c r="L61" s="3">
        <v>0.0</v>
      </c>
      <c r="M61" s="3"/>
      <c r="N61" s="3"/>
      <c r="O61" s="3"/>
      <c r="P61" s="3">
        <v>520.0</v>
      </c>
      <c r="Q61" s="3" t="s">
        <v>74</v>
      </c>
      <c r="R61" s="3" t="s">
        <v>75</v>
      </c>
      <c r="S61" s="3" t="s">
        <v>142</v>
      </c>
      <c r="T61" s="3" t="s">
        <v>39</v>
      </c>
      <c r="U61" s="3" t="s">
        <v>90</v>
      </c>
      <c r="V61" s="3" t="s">
        <v>114</v>
      </c>
      <c r="W61" s="3">
        <v>2.0</v>
      </c>
      <c r="X61" s="3">
        <v>2.0</v>
      </c>
      <c r="Y61" s="3">
        <v>5.0</v>
      </c>
      <c r="Z61" s="3">
        <v>3.0</v>
      </c>
      <c r="AA61" s="3">
        <v>2.0</v>
      </c>
      <c r="AB61" s="3">
        <v>0.0</v>
      </c>
      <c r="AC61" s="3">
        <v>2.5</v>
      </c>
      <c r="AD61" s="3">
        <v>0.0</v>
      </c>
      <c r="AE61" s="3" t="s">
        <v>110</v>
      </c>
      <c r="AF61" s="14"/>
      <c r="AG61" s="14"/>
      <c r="AH61" s="14"/>
      <c r="AI61" s="14"/>
      <c r="AJ61" s="14"/>
      <c r="AK61" s="14"/>
      <c r="AL61" s="14"/>
      <c r="AM61" s="14" t="s">
        <v>114</v>
      </c>
      <c r="AN61" s="14" t="s">
        <v>360</v>
      </c>
      <c r="AO61" s="14" t="s">
        <v>84</v>
      </c>
      <c r="AP61" s="14" t="s">
        <v>361</v>
      </c>
      <c r="AQ61" s="14">
        <v>0.0</v>
      </c>
      <c r="AR61" s="14" t="s">
        <v>196</v>
      </c>
    </row>
    <row r="62" ht="15.75" customHeight="1">
      <c r="A62" s="3" t="s">
        <v>39</v>
      </c>
      <c r="B62" s="3" t="s">
        <v>44</v>
      </c>
      <c r="C62" s="3" t="s">
        <v>102</v>
      </c>
      <c r="D62" s="3" t="s">
        <v>197</v>
      </c>
      <c r="E62" s="3" t="s">
        <v>202</v>
      </c>
      <c r="F62" s="3" t="s">
        <v>108</v>
      </c>
      <c r="G62" s="3" t="s">
        <v>39</v>
      </c>
      <c r="H62" s="3" t="s">
        <v>69</v>
      </c>
      <c r="I62" s="19" t="s">
        <v>110</v>
      </c>
      <c r="J62" s="3" t="s">
        <v>71</v>
      </c>
      <c r="K62" s="3">
        <v>0.0</v>
      </c>
      <c r="L62" s="3">
        <v>0.0</v>
      </c>
      <c r="M62" s="3"/>
      <c r="N62" s="3"/>
      <c r="O62" s="3"/>
      <c r="P62" s="3">
        <v>500.0</v>
      </c>
      <c r="Q62" s="3" t="s">
        <v>74</v>
      </c>
      <c r="R62" s="3" t="s">
        <v>75</v>
      </c>
      <c r="S62" s="3" t="s">
        <v>142</v>
      </c>
      <c r="T62" s="3" t="s">
        <v>39</v>
      </c>
      <c r="U62" s="3" t="s">
        <v>90</v>
      </c>
      <c r="V62" s="3" t="s">
        <v>114</v>
      </c>
      <c r="W62" s="3">
        <v>2.0</v>
      </c>
      <c r="X62" s="3">
        <v>2.0</v>
      </c>
      <c r="Y62" s="3">
        <v>5.0</v>
      </c>
      <c r="Z62" s="3">
        <v>3.0</v>
      </c>
      <c r="AA62" s="3">
        <v>2.0</v>
      </c>
      <c r="AB62" s="3">
        <v>0.0</v>
      </c>
      <c r="AC62" s="3">
        <v>2.5</v>
      </c>
      <c r="AD62" s="3">
        <v>0.0</v>
      </c>
      <c r="AE62" s="3" t="s">
        <v>110</v>
      </c>
      <c r="AF62" s="14"/>
      <c r="AG62" s="14"/>
      <c r="AH62" s="14"/>
      <c r="AI62" s="14"/>
      <c r="AJ62" s="14"/>
      <c r="AK62" s="14"/>
      <c r="AL62" s="14"/>
      <c r="AM62" s="14" t="s">
        <v>114</v>
      </c>
      <c r="AN62" s="14" t="s">
        <v>249</v>
      </c>
      <c r="AO62" s="14" t="s">
        <v>84</v>
      </c>
      <c r="AP62" s="14" t="s">
        <v>250</v>
      </c>
      <c r="AQ62" s="14">
        <v>0.0</v>
      </c>
      <c r="AR62" s="14" t="s">
        <v>196</v>
      </c>
    </row>
    <row r="63" ht="15.75" customHeight="1">
      <c r="A63" s="3" t="s">
        <v>39</v>
      </c>
      <c r="B63" s="3" t="s">
        <v>44</v>
      </c>
      <c r="C63" s="3" t="s">
        <v>102</v>
      </c>
      <c r="D63" s="3" t="s">
        <v>335</v>
      </c>
      <c r="E63" s="3" t="s">
        <v>240</v>
      </c>
      <c r="F63" s="3" t="s">
        <v>108</v>
      </c>
      <c r="G63" s="3" t="s">
        <v>39</v>
      </c>
      <c r="H63" s="3" t="s">
        <v>69</v>
      </c>
      <c r="I63" s="19" t="s">
        <v>110</v>
      </c>
      <c r="J63" s="3" t="s">
        <v>71</v>
      </c>
      <c r="K63" s="3">
        <v>0.0</v>
      </c>
      <c r="L63" s="3">
        <v>0.0</v>
      </c>
      <c r="M63" s="3"/>
      <c r="N63" s="3"/>
      <c r="O63" s="3"/>
      <c r="P63" s="3">
        <v>610.0</v>
      </c>
      <c r="Q63" s="3" t="s">
        <v>153</v>
      </c>
      <c r="R63" s="3" t="s">
        <v>75</v>
      </c>
      <c r="S63" s="3" t="s">
        <v>142</v>
      </c>
      <c r="T63" s="3" t="s">
        <v>39</v>
      </c>
      <c r="U63" s="3" t="s">
        <v>90</v>
      </c>
      <c r="V63" s="3" t="s">
        <v>114</v>
      </c>
      <c r="W63" s="3">
        <v>2.0</v>
      </c>
      <c r="X63" s="3">
        <v>1.0</v>
      </c>
      <c r="Y63" s="3">
        <v>5.0</v>
      </c>
      <c r="Z63" s="3">
        <v>3.0</v>
      </c>
      <c r="AA63" s="3">
        <v>2.0</v>
      </c>
      <c r="AB63" s="3">
        <v>0.0</v>
      </c>
      <c r="AC63" s="3">
        <v>2.4</v>
      </c>
      <c r="AD63" s="3">
        <v>0.0</v>
      </c>
      <c r="AE63" s="3" t="s">
        <v>110</v>
      </c>
      <c r="AF63" s="14"/>
      <c r="AG63" s="14"/>
      <c r="AH63" s="14"/>
      <c r="AI63" s="14"/>
      <c r="AJ63" s="14"/>
      <c r="AK63" s="14"/>
      <c r="AL63" s="14"/>
      <c r="AM63" s="14" t="s">
        <v>114</v>
      </c>
      <c r="AN63" s="14" t="s">
        <v>365</v>
      </c>
      <c r="AO63" s="14" t="s">
        <v>84</v>
      </c>
      <c r="AP63" s="14" t="s">
        <v>366</v>
      </c>
      <c r="AQ63" s="14">
        <v>0.0</v>
      </c>
      <c r="AR63" s="14" t="s">
        <v>196</v>
      </c>
    </row>
    <row r="64" ht="15.75" customHeight="1">
      <c r="A64" s="3" t="s">
        <v>39</v>
      </c>
      <c r="B64" s="3" t="s">
        <v>44</v>
      </c>
      <c r="C64" s="3" t="s">
        <v>102</v>
      </c>
      <c r="D64" s="3" t="s">
        <v>336</v>
      </c>
      <c r="E64" s="3" t="s">
        <v>240</v>
      </c>
      <c r="F64" s="3" t="s">
        <v>108</v>
      </c>
      <c r="G64" s="3" t="s">
        <v>39</v>
      </c>
      <c r="H64" s="3" t="s">
        <v>69</v>
      </c>
      <c r="I64" s="19" t="s">
        <v>110</v>
      </c>
      <c r="J64" s="3" t="s">
        <v>71</v>
      </c>
      <c r="K64" s="3">
        <v>0.0</v>
      </c>
      <c r="L64" s="3">
        <v>0.0</v>
      </c>
      <c r="M64" s="3"/>
      <c r="N64" s="3"/>
      <c r="O64" s="3"/>
      <c r="P64" s="3">
        <v>610.0</v>
      </c>
      <c r="Q64" s="3" t="s">
        <v>153</v>
      </c>
      <c r="R64" s="3" t="s">
        <v>75</v>
      </c>
      <c r="S64" s="3" t="s">
        <v>142</v>
      </c>
      <c r="T64" s="3" t="s">
        <v>39</v>
      </c>
      <c r="U64" s="3" t="s">
        <v>90</v>
      </c>
      <c r="V64" s="3" t="s">
        <v>114</v>
      </c>
      <c r="W64" s="3">
        <v>2.0</v>
      </c>
      <c r="X64" s="3">
        <v>1.0</v>
      </c>
      <c r="Y64" s="3">
        <v>5.0</v>
      </c>
      <c r="Z64" s="3">
        <v>3.0</v>
      </c>
      <c r="AA64" s="3">
        <v>2.0</v>
      </c>
      <c r="AB64" s="3">
        <v>0.0</v>
      </c>
      <c r="AC64" s="3">
        <v>2.4</v>
      </c>
      <c r="AD64" s="3">
        <v>0.0</v>
      </c>
      <c r="AE64" s="3" t="s">
        <v>110</v>
      </c>
      <c r="AF64" s="14"/>
      <c r="AG64" s="14"/>
      <c r="AH64" s="14"/>
      <c r="AI64" s="14"/>
      <c r="AJ64" s="14"/>
      <c r="AK64" s="14"/>
      <c r="AL64" s="14"/>
      <c r="AM64" s="14" t="s">
        <v>114</v>
      </c>
      <c r="AN64" s="14" t="s">
        <v>369</v>
      </c>
      <c r="AO64" s="14" t="s">
        <v>84</v>
      </c>
      <c r="AP64" s="14" t="s">
        <v>370</v>
      </c>
      <c r="AQ64" s="14">
        <v>0.0</v>
      </c>
      <c r="AR64" s="14" t="s">
        <v>196</v>
      </c>
    </row>
    <row r="65" ht="15.75" customHeight="1">
      <c r="A65" s="3" t="s">
        <v>39</v>
      </c>
      <c r="B65" s="3" t="s">
        <v>44</v>
      </c>
      <c r="C65" s="3" t="s">
        <v>102</v>
      </c>
      <c r="D65" s="3" t="s">
        <v>203</v>
      </c>
      <c r="E65" s="3" t="s">
        <v>202</v>
      </c>
      <c r="F65" s="3" t="s">
        <v>108</v>
      </c>
      <c r="G65" s="3" t="s">
        <v>39</v>
      </c>
      <c r="H65" s="3" t="s">
        <v>69</v>
      </c>
      <c r="I65" s="19" t="s">
        <v>110</v>
      </c>
      <c r="J65" s="3" t="s">
        <v>71</v>
      </c>
      <c r="K65" s="3">
        <v>0.0</v>
      </c>
      <c r="L65" s="3">
        <v>0.0</v>
      </c>
      <c r="M65" s="3"/>
      <c r="N65" s="3"/>
      <c r="O65" s="3"/>
      <c r="P65" s="3">
        <v>500.0</v>
      </c>
      <c r="Q65" s="3" t="s">
        <v>74</v>
      </c>
      <c r="R65" s="3" t="s">
        <v>75</v>
      </c>
      <c r="S65" s="3" t="s">
        <v>142</v>
      </c>
      <c r="T65" s="3" t="s">
        <v>39</v>
      </c>
      <c r="U65" s="3" t="s">
        <v>90</v>
      </c>
      <c r="V65" s="3" t="s">
        <v>114</v>
      </c>
      <c r="W65" s="3">
        <v>2.0</v>
      </c>
      <c r="X65" s="3">
        <v>2.0</v>
      </c>
      <c r="Y65" s="3">
        <v>5.0</v>
      </c>
      <c r="Z65" s="3">
        <v>3.0</v>
      </c>
      <c r="AA65" s="3">
        <v>2.0</v>
      </c>
      <c r="AB65" s="3">
        <v>0.0</v>
      </c>
      <c r="AC65" s="3">
        <v>2.5</v>
      </c>
      <c r="AD65" s="3">
        <v>0.0</v>
      </c>
      <c r="AE65" s="3" t="s">
        <v>110</v>
      </c>
      <c r="AF65" s="14"/>
      <c r="AG65" s="14"/>
      <c r="AH65" s="14"/>
      <c r="AI65" s="14"/>
      <c r="AJ65" s="14"/>
      <c r="AK65" s="14"/>
      <c r="AL65" s="14"/>
      <c r="AM65" s="14" t="s">
        <v>114</v>
      </c>
      <c r="AN65" s="14" t="s">
        <v>254</v>
      </c>
      <c r="AO65" s="14" t="s">
        <v>84</v>
      </c>
      <c r="AP65" s="14" t="s">
        <v>255</v>
      </c>
      <c r="AQ65" s="14">
        <v>0.0</v>
      </c>
      <c r="AR65" s="14" t="s">
        <v>196</v>
      </c>
    </row>
    <row r="66" ht="15.75" customHeight="1">
      <c r="A66" s="3" t="s">
        <v>39</v>
      </c>
      <c r="B66" s="3" t="s">
        <v>44</v>
      </c>
      <c r="C66" s="3" t="s">
        <v>102</v>
      </c>
      <c r="D66" s="3" t="s">
        <v>339</v>
      </c>
      <c r="E66" s="3" t="s">
        <v>202</v>
      </c>
      <c r="F66" s="3" t="s">
        <v>108</v>
      </c>
      <c r="G66" s="3" t="s">
        <v>39</v>
      </c>
      <c r="H66" s="3" t="s">
        <v>69</v>
      </c>
      <c r="I66" s="19" t="s">
        <v>110</v>
      </c>
      <c r="J66" s="3" t="s">
        <v>71</v>
      </c>
      <c r="K66" s="3">
        <v>0.0</v>
      </c>
      <c r="L66" s="3">
        <v>0.0</v>
      </c>
      <c r="M66" s="3"/>
      <c r="N66" s="3"/>
      <c r="O66" s="3"/>
      <c r="P66" s="3">
        <v>500.0</v>
      </c>
      <c r="Q66" s="3" t="s">
        <v>74</v>
      </c>
      <c r="R66" s="3" t="s">
        <v>75</v>
      </c>
      <c r="S66" s="3" t="s">
        <v>142</v>
      </c>
      <c r="T66" s="3" t="s">
        <v>39</v>
      </c>
      <c r="U66" s="3" t="s">
        <v>90</v>
      </c>
      <c r="V66" s="3" t="s">
        <v>114</v>
      </c>
      <c r="W66" s="3">
        <v>2.0</v>
      </c>
      <c r="X66" s="3">
        <v>2.0</v>
      </c>
      <c r="Y66" s="3">
        <v>5.0</v>
      </c>
      <c r="Z66" s="3">
        <v>3.0</v>
      </c>
      <c r="AA66" s="3">
        <v>2.0</v>
      </c>
      <c r="AB66" s="3">
        <v>0.0</v>
      </c>
      <c r="AC66" s="3">
        <v>2.5</v>
      </c>
      <c r="AD66" s="3">
        <v>0.0</v>
      </c>
      <c r="AE66" s="3" t="s">
        <v>110</v>
      </c>
      <c r="AF66" s="14"/>
      <c r="AG66" s="14"/>
      <c r="AH66" s="14"/>
      <c r="AI66" s="14"/>
      <c r="AJ66" s="14"/>
      <c r="AK66" s="14"/>
      <c r="AL66" s="14"/>
      <c r="AM66" s="14" t="s">
        <v>114</v>
      </c>
      <c r="AN66" s="14" t="s">
        <v>372</v>
      </c>
      <c r="AO66" s="14" t="s">
        <v>84</v>
      </c>
      <c r="AP66" s="14" t="s">
        <v>373</v>
      </c>
      <c r="AQ66" s="14">
        <v>0.0</v>
      </c>
      <c r="AR66" s="14" t="s">
        <v>196</v>
      </c>
    </row>
    <row r="67" ht="15.75" customHeight="1">
      <c r="A67" s="3" t="s">
        <v>39</v>
      </c>
      <c r="B67" s="3" t="s">
        <v>44</v>
      </c>
      <c r="C67" s="3" t="s">
        <v>102</v>
      </c>
      <c r="D67" s="3" t="s">
        <v>213</v>
      </c>
      <c r="E67" s="3" t="s">
        <v>138</v>
      </c>
      <c r="F67" s="3" t="s">
        <v>108</v>
      </c>
      <c r="G67" s="3" t="s">
        <v>39</v>
      </c>
      <c r="H67" s="3" t="s">
        <v>69</v>
      </c>
      <c r="I67" s="19" t="s">
        <v>110</v>
      </c>
      <c r="J67" s="3" t="s">
        <v>71</v>
      </c>
      <c r="K67" s="3">
        <v>0.0</v>
      </c>
      <c r="L67" s="3">
        <v>0.0</v>
      </c>
      <c r="M67" s="3"/>
      <c r="N67" s="3"/>
      <c r="O67" s="3"/>
      <c r="P67" s="3">
        <v>300.0</v>
      </c>
      <c r="Q67" s="3" t="s">
        <v>140</v>
      </c>
      <c r="R67" s="3" t="s">
        <v>75</v>
      </c>
      <c r="S67" s="3" t="s">
        <v>142</v>
      </c>
      <c r="T67" s="3" t="s">
        <v>39</v>
      </c>
      <c r="U67" s="3" t="s">
        <v>90</v>
      </c>
      <c r="V67" s="3" t="s">
        <v>114</v>
      </c>
      <c r="W67" s="3">
        <v>2.0</v>
      </c>
      <c r="X67" s="3">
        <v>4.0</v>
      </c>
      <c r="Y67" s="3">
        <v>5.0</v>
      </c>
      <c r="Z67" s="3">
        <v>3.0</v>
      </c>
      <c r="AA67" s="3">
        <v>2.0</v>
      </c>
      <c r="AB67" s="3">
        <v>0.0</v>
      </c>
      <c r="AC67" s="3">
        <v>2.9</v>
      </c>
      <c r="AD67" s="3">
        <v>0.0</v>
      </c>
      <c r="AE67" s="3" t="s">
        <v>110</v>
      </c>
      <c r="AF67" s="14"/>
      <c r="AG67" s="14"/>
      <c r="AH67" s="14"/>
      <c r="AI67" s="14"/>
      <c r="AJ67" s="14"/>
      <c r="AK67" s="14"/>
      <c r="AL67" s="14"/>
      <c r="AM67" s="14" t="s">
        <v>114</v>
      </c>
      <c r="AN67" s="14" t="s">
        <v>374</v>
      </c>
      <c r="AO67" s="14" t="s">
        <v>84</v>
      </c>
      <c r="AP67" s="14" t="s">
        <v>375</v>
      </c>
      <c r="AQ67" s="14">
        <v>0.0</v>
      </c>
      <c r="AR67" s="14" t="s">
        <v>196</v>
      </c>
    </row>
    <row r="68" ht="15.75" customHeight="1">
      <c r="A68" s="3" t="s">
        <v>39</v>
      </c>
      <c r="B68" s="3" t="s">
        <v>44</v>
      </c>
      <c r="C68" s="3" t="s">
        <v>102</v>
      </c>
      <c r="D68" s="3" t="s">
        <v>340</v>
      </c>
      <c r="E68" s="3" t="s">
        <v>181</v>
      </c>
      <c r="F68" s="3" t="s">
        <v>108</v>
      </c>
      <c r="G68" s="3" t="s">
        <v>39</v>
      </c>
      <c r="H68" s="3" t="s">
        <v>69</v>
      </c>
      <c r="I68" s="19" t="s">
        <v>110</v>
      </c>
      <c r="J68" s="3" t="s">
        <v>71</v>
      </c>
      <c r="K68" s="3">
        <v>0.0</v>
      </c>
      <c r="L68" s="3">
        <v>0.0</v>
      </c>
      <c r="M68" s="3"/>
      <c r="N68" s="3"/>
      <c r="O68" s="3"/>
      <c r="P68" s="3">
        <v>520.0</v>
      </c>
      <c r="Q68" s="3" t="s">
        <v>74</v>
      </c>
      <c r="R68" s="3" t="s">
        <v>75</v>
      </c>
      <c r="S68" s="3" t="s">
        <v>142</v>
      </c>
      <c r="T68" s="3" t="s">
        <v>39</v>
      </c>
      <c r="U68" s="3" t="s">
        <v>90</v>
      </c>
      <c r="V68" s="3" t="s">
        <v>114</v>
      </c>
      <c r="W68" s="3">
        <v>2.0</v>
      </c>
      <c r="X68" s="3">
        <v>2.0</v>
      </c>
      <c r="Y68" s="3">
        <v>5.0</v>
      </c>
      <c r="Z68" s="3">
        <v>3.0</v>
      </c>
      <c r="AA68" s="3">
        <v>2.0</v>
      </c>
      <c r="AB68" s="3">
        <v>0.0</v>
      </c>
      <c r="AC68" s="3">
        <v>2.5</v>
      </c>
      <c r="AD68" s="3">
        <v>0.0</v>
      </c>
      <c r="AE68" s="3" t="s">
        <v>110</v>
      </c>
      <c r="AF68" s="14"/>
      <c r="AG68" s="14"/>
      <c r="AH68" s="14"/>
      <c r="AI68" s="14"/>
      <c r="AJ68" s="14"/>
      <c r="AK68" s="14"/>
      <c r="AL68" s="14"/>
      <c r="AM68" s="14" t="s">
        <v>114</v>
      </c>
      <c r="AN68" s="14" t="s">
        <v>377</v>
      </c>
      <c r="AO68" s="14" t="s">
        <v>84</v>
      </c>
      <c r="AP68" s="14" t="s">
        <v>378</v>
      </c>
      <c r="AQ68" s="14">
        <v>0.0</v>
      </c>
      <c r="AR68" s="14" t="s">
        <v>196</v>
      </c>
    </row>
    <row r="69" ht="15.75" customHeight="1">
      <c r="A69" s="3" t="s">
        <v>39</v>
      </c>
      <c r="B69" s="3" t="s">
        <v>44</v>
      </c>
      <c r="C69" s="3" t="s">
        <v>102</v>
      </c>
      <c r="D69" s="3" t="s">
        <v>151</v>
      </c>
      <c r="E69" s="3" t="s">
        <v>106</v>
      </c>
      <c r="F69" s="3" t="s">
        <v>108</v>
      </c>
      <c r="G69" s="3" t="s">
        <v>39</v>
      </c>
      <c r="H69" s="3" t="s">
        <v>69</v>
      </c>
      <c r="I69" s="19" t="s">
        <v>110</v>
      </c>
      <c r="J69" s="3" t="s">
        <v>71</v>
      </c>
      <c r="K69" s="3">
        <v>0.0</v>
      </c>
      <c r="L69" s="3">
        <v>0.0</v>
      </c>
      <c r="M69" s="3"/>
      <c r="N69" s="3"/>
      <c r="O69" s="3"/>
      <c r="P69" s="3">
        <v>130.0</v>
      </c>
      <c r="Q69" s="3" t="s">
        <v>121</v>
      </c>
      <c r="R69" s="3" t="s">
        <v>75</v>
      </c>
      <c r="S69" s="3" t="s">
        <v>76</v>
      </c>
      <c r="T69" s="3" t="s">
        <v>39</v>
      </c>
      <c r="U69" s="3" t="s">
        <v>90</v>
      </c>
      <c r="V69" s="3" t="s">
        <v>114</v>
      </c>
      <c r="W69" s="3">
        <v>2.0</v>
      </c>
      <c r="X69" s="3">
        <v>5.0</v>
      </c>
      <c r="Y69" s="3">
        <v>5.0</v>
      </c>
      <c r="Z69" s="3">
        <v>3.0</v>
      </c>
      <c r="AA69" s="3">
        <v>4.0</v>
      </c>
      <c r="AB69" s="3">
        <v>0.0</v>
      </c>
      <c r="AC69" s="3">
        <v>3.2</v>
      </c>
      <c r="AD69" s="3">
        <v>0.0</v>
      </c>
      <c r="AE69" s="3" t="s">
        <v>110</v>
      </c>
      <c r="AF69" s="14"/>
      <c r="AG69" s="14"/>
      <c r="AH69" s="14"/>
      <c r="AI69" s="14"/>
      <c r="AJ69" s="14"/>
      <c r="AK69" s="14"/>
      <c r="AL69" s="14"/>
      <c r="AM69" s="14" t="s">
        <v>114</v>
      </c>
      <c r="AN69" s="14" t="s">
        <v>380</v>
      </c>
      <c r="AO69" s="14" t="s">
        <v>84</v>
      </c>
      <c r="AP69" s="14" t="s">
        <v>381</v>
      </c>
      <c r="AQ69" s="14">
        <v>0.0</v>
      </c>
      <c r="AR69" s="14" t="s">
        <v>196</v>
      </c>
    </row>
    <row r="70" ht="15.75" customHeight="1">
      <c r="A70" s="3" t="s">
        <v>39</v>
      </c>
      <c r="B70" s="3" t="s">
        <v>44</v>
      </c>
      <c r="C70" s="3" t="s">
        <v>102</v>
      </c>
      <c r="D70" s="3" t="s">
        <v>351</v>
      </c>
      <c r="E70" s="3" t="s">
        <v>271</v>
      </c>
      <c r="F70" s="3" t="s">
        <v>108</v>
      </c>
      <c r="G70" s="3" t="s">
        <v>39</v>
      </c>
      <c r="H70" s="3" t="s">
        <v>69</v>
      </c>
      <c r="I70" s="19" t="s">
        <v>110</v>
      </c>
      <c r="J70" s="3" t="s">
        <v>71</v>
      </c>
      <c r="K70" s="3">
        <v>0.0</v>
      </c>
      <c r="L70" s="3">
        <v>0.0</v>
      </c>
      <c r="M70" s="3"/>
      <c r="N70" s="3"/>
      <c r="O70" s="3"/>
      <c r="P70" s="3">
        <v>570.0</v>
      </c>
      <c r="Q70" s="3" t="s">
        <v>74</v>
      </c>
      <c r="R70" s="3" t="s">
        <v>75</v>
      </c>
      <c r="S70" s="3" t="s">
        <v>142</v>
      </c>
      <c r="T70" s="3" t="s">
        <v>39</v>
      </c>
      <c r="U70" s="3" t="s">
        <v>90</v>
      </c>
      <c r="V70" s="3" t="s">
        <v>114</v>
      </c>
      <c r="W70" s="3">
        <v>2.0</v>
      </c>
      <c r="X70" s="3">
        <v>2.0</v>
      </c>
      <c r="Y70" s="3">
        <v>5.0</v>
      </c>
      <c r="Z70" s="3">
        <v>3.0</v>
      </c>
      <c r="AA70" s="3">
        <v>2.0</v>
      </c>
      <c r="AB70" s="3">
        <v>0.0</v>
      </c>
      <c r="AC70" s="3">
        <v>2.5</v>
      </c>
      <c r="AD70" s="3">
        <v>0.0</v>
      </c>
      <c r="AE70" s="3" t="s">
        <v>110</v>
      </c>
      <c r="AF70" s="14"/>
      <c r="AG70" s="14"/>
      <c r="AH70" s="14"/>
      <c r="AI70" s="14"/>
      <c r="AJ70" s="14"/>
      <c r="AK70" s="14"/>
      <c r="AL70" s="14"/>
      <c r="AM70" s="14" t="s">
        <v>114</v>
      </c>
      <c r="AN70" s="14" t="s">
        <v>384</v>
      </c>
      <c r="AO70" s="14" t="s">
        <v>84</v>
      </c>
      <c r="AP70" s="14" t="s">
        <v>385</v>
      </c>
      <c r="AQ70" s="14">
        <v>0.0</v>
      </c>
      <c r="AR70" s="14" t="s">
        <v>196</v>
      </c>
    </row>
    <row r="71" ht="15.75" customHeight="1">
      <c r="A71" s="3" t="s">
        <v>39</v>
      </c>
      <c r="B71" s="3" t="s">
        <v>44</v>
      </c>
      <c r="C71" s="3" t="s">
        <v>102</v>
      </c>
      <c r="D71" s="3" t="s">
        <v>352</v>
      </c>
      <c r="E71" s="3" t="s">
        <v>271</v>
      </c>
      <c r="F71" s="3" t="s">
        <v>108</v>
      </c>
      <c r="G71" s="3" t="s">
        <v>39</v>
      </c>
      <c r="H71" s="3" t="s">
        <v>69</v>
      </c>
      <c r="I71" s="19" t="s">
        <v>110</v>
      </c>
      <c r="J71" s="3" t="s">
        <v>71</v>
      </c>
      <c r="K71" s="3">
        <v>0.0</v>
      </c>
      <c r="L71" s="3">
        <v>0.0</v>
      </c>
      <c r="M71" s="3"/>
      <c r="N71" s="3"/>
      <c r="O71" s="3"/>
      <c r="P71" s="3">
        <v>570.0</v>
      </c>
      <c r="Q71" s="3" t="s">
        <v>74</v>
      </c>
      <c r="R71" s="3" t="s">
        <v>75</v>
      </c>
      <c r="S71" s="3" t="s">
        <v>142</v>
      </c>
      <c r="T71" s="3" t="s">
        <v>39</v>
      </c>
      <c r="U71" s="3" t="s">
        <v>90</v>
      </c>
      <c r="V71" s="3" t="s">
        <v>114</v>
      </c>
      <c r="W71" s="3">
        <v>2.0</v>
      </c>
      <c r="X71" s="3">
        <v>2.0</v>
      </c>
      <c r="Y71" s="3">
        <v>5.0</v>
      </c>
      <c r="Z71" s="3">
        <v>3.0</v>
      </c>
      <c r="AA71" s="3">
        <v>2.0</v>
      </c>
      <c r="AB71" s="3">
        <v>0.0</v>
      </c>
      <c r="AC71" s="3">
        <v>2.5</v>
      </c>
      <c r="AD71" s="3">
        <v>0.0</v>
      </c>
      <c r="AE71" s="3" t="s">
        <v>110</v>
      </c>
      <c r="AF71" s="14"/>
      <c r="AG71" s="14"/>
      <c r="AH71" s="14"/>
      <c r="AI71" s="14"/>
      <c r="AJ71" s="14"/>
      <c r="AK71" s="14"/>
      <c r="AL71" s="14"/>
      <c r="AM71" s="14" t="s">
        <v>114</v>
      </c>
      <c r="AN71" s="14" t="s">
        <v>386</v>
      </c>
      <c r="AO71" s="14" t="s">
        <v>84</v>
      </c>
      <c r="AP71" s="14" t="s">
        <v>387</v>
      </c>
      <c r="AQ71" s="14">
        <v>0.0</v>
      </c>
      <c r="AR71" s="14" t="s">
        <v>196</v>
      </c>
    </row>
    <row r="72" ht="15.75" customHeight="1">
      <c r="A72" s="3" t="s">
        <v>39</v>
      </c>
      <c r="B72" s="3" t="s">
        <v>44</v>
      </c>
      <c r="C72" s="3" t="s">
        <v>102</v>
      </c>
      <c r="D72" s="3" t="s">
        <v>355</v>
      </c>
      <c r="E72" s="3" t="s">
        <v>271</v>
      </c>
      <c r="F72" s="3" t="s">
        <v>108</v>
      </c>
      <c r="G72" s="3" t="s">
        <v>39</v>
      </c>
      <c r="H72" s="3" t="s">
        <v>69</v>
      </c>
      <c r="I72" s="19" t="s">
        <v>110</v>
      </c>
      <c r="J72" s="3" t="s">
        <v>71</v>
      </c>
      <c r="K72" s="3">
        <v>0.0</v>
      </c>
      <c r="L72" s="3">
        <v>0.0</v>
      </c>
      <c r="M72" s="3"/>
      <c r="N72" s="3"/>
      <c r="O72" s="3"/>
      <c r="P72" s="3">
        <v>570.0</v>
      </c>
      <c r="Q72" s="3" t="s">
        <v>74</v>
      </c>
      <c r="R72" s="3" t="s">
        <v>75</v>
      </c>
      <c r="S72" s="3" t="s">
        <v>142</v>
      </c>
      <c r="T72" s="3" t="s">
        <v>39</v>
      </c>
      <c r="U72" s="3" t="s">
        <v>90</v>
      </c>
      <c r="V72" s="3" t="s">
        <v>114</v>
      </c>
      <c r="W72" s="3">
        <v>2.0</v>
      </c>
      <c r="X72" s="3">
        <v>2.0</v>
      </c>
      <c r="Y72" s="3">
        <v>5.0</v>
      </c>
      <c r="Z72" s="3">
        <v>3.0</v>
      </c>
      <c r="AA72" s="3">
        <v>2.0</v>
      </c>
      <c r="AB72" s="3">
        <v>0.0</v>
      </c>
      <c r="AC72" s="3">
        <v>2.5</v>
      </c>
      <c r="AD72" s="3">
        <v>0.0</v>
      </c>
      <c r="AE72" s="3" t="s">
        <v>110</v>
      </c>
      <c r="AF72" s="14"/>
      <c r="AG72" s="14"/>
      <c r="AH72" s="14"/>
      <c r="AI72" s="14"/>
      <c r="AJ72" s="14"/>
      <c r="AK72" s="14"/>
      <c r="AL72" s="14"/>
      <c r="AM72" s="14" t="s">
        <v>114</v>
      </c>
      <c r="AN72" s="14" t="s">
        <v>389</v>
      </c>
      <c r="AO72" s="14" t="s">
        <v>84</v>
      </c>
      <c r="AP72" s="14" t="s">
        <v>390</v>
      </c>
      <c r="AQ72" s="14">
        <v>0.0</v>
      </c>
      <c r="AR72" s="14" t="s">
        <v>196</v>
      </c>
    </row>
    <row r="73" ht="15.75" customHeight="1">
      <c r="A73" s="3" t="s">
        <v>39</v>
      </c>
      <c r="B73" s="3" t="s">
        <v>137</v>
      </c>
      <c r="C73" s="3" t="s">
        <v>102</v>
      </c>
      <c r="D73" s="3" t="s">
        <v>223</v>
      </c>
      <c r="E73" s="3" t="s">
        <v>240</v>
      </c>
      <c r="F73" s="3" t="s">
        <v>198</v>
      </c>
      <c r="G73" s="3" t="s">
        <v>69</v>
      </c>
      <c r="H73" s="3" t="s">
        <v>69</v>
      </c>
      <c r="I73" s="19" t="s">
        <v>110</v>
      </c>
      <c r="J73" s="3" t="s">
        <v>71</v>
      </c>
      <c r="K73" s="3">
        <v>3.0</v>
      </c>
      <c r="L73" s="3"/>
      <c r="M73" s="3"/>
      <c r="N73" s="3"/>
      <c r="O73" s="3"/>
      <c r="P73" s="3">
        <v>610.0</v>
      </c>
      <c r="Q73" s="3" t="s">
        <v>153</v>
      </c>
      <c r="R73" s="3" t="s">
        <v>75</v>
      </c>
      <c r="S73" s="3" t="s">
        <v>142</v>
      </c>
      <c r="T73" s="3" t="s">
        <v>39</v>
      </c>
      <c r="U73" s="3" t="s">
        <v>392</v>
      </c>
      <c r="V73" s="3" t="s">
        <v>201</v>
      </c>
      <c r="W73" s="3">
        <v>2.0</v>
      </c>
      <c r="X73" s="3">
        <v>1.0</v>
      </c>
      <c r="Y73" s="3">
        <v>4.0</v>
      </c>
      <c r="Z73" s="3">
        <v>3.0</v>
      </c>
      <c r="AA73" s="3">
        <v>2.0</v>
      </c>
      <c r="AB73" s="3">
        <v>0.0</v>
      </c>
      <c r="AC73" s="3">
        <v>1.1</v>
      </c>
      <c r="AD73" s="3"/>
      <c r="AE73" s="3" t="s">
        <v>110</v>
      </c>
      <c r="AF73" s="14"/>
      <c r="AG73" s="14"/>
      <c r="AH73" s="14"/>
      <c r="AI73" s="14"/>
      <c r="AJ73" s="14"/>
      <c r="AK73" s="14"/>
      <c r="AL73" s="14"/>
      <c r="AM73" s="14" t="s">
        <v>201</v>
      </c>
      <c r="AN73" s="14" t="s">
        <v>393</v>
      </c>
      <c r="AO73" s="14" t="s">
        <v>84</v>
      </c>
      <c r="AP73" s="14" t="s">
        <v>394</v>
      </c>
      <c r="AQ73" s="14">
        <v>-1.0</v>
      </c>
      <c r="AR73" s="14" t="s">
        <v>147</v>
      </c>
    </row>
    <row r="74" ht="15.75" customHeight="1">
      <c r="A74" s="3" t="s">
        <v>39</v>
      </c>
      <c r="B74" s="3" t="s">
        <v>137</v>
      </c>
      <c r="C74" s="3" t="s">
        <v>102</v>
      </c>
      <c r="D74" s="3" t="s">
        <v>230</v>
      </c>
      <c r="E74" s="3" t="s">
        <v>202</v>
      </c>
      <c r="F74" s="3" t="s">
        <v>231</v>
      </c>
      <c r="G74" s="3" t="s">
        <v>69</v>
      </c>
      <c r="H74" s="3" t="s">
        <v>69</v>
      </c>
      <c r="I74" s="19" t="s">
        <v>110</v>
      </c>
      <c r="J74" s="3" t="s">
        <v>71</v>
      </c>
      <c r="K74" s="3">
        <v>0.0</v>
      </c>
      <c r="L74" s="3">
        <v>0.0</v>
      </c>
      <c r="M74" s="3"/>
      <c r="N74" s="3"/>
      <c r="O74" s="3"/>
      <c r="P74" s="3">
        <v>500.0</v>
      </c>
      <c r="Q74" s="3" t="s">
        <v>74</v>
      </c>
      <c r="R74" s="3" t="s">
        <v>75</v>
      </c>
      <c r="S74" s="3" t="s">
        <v>142</v>
      </c>
      <c r="T74" s="3" t="s">
        <v>39</v>
      </c>
      <c r="U74" s="3" t="s">
        <v>344</v>
      </c>
      <c r="V74" s="3" t="s">
        <v>233</v>
      </c>
      <c r="W74" s="3">
        <v>2.0</v>
      </c>
      <c r="X74" s="3">
        <v>2.0</v>
      </c>
      <c r="Y74" s="3">
        <v>4.0</v>
      </c>
      <c r="Z74" s="3">
        <v>3.0</v>
      </c>
      <c r="AA74" s="3">
        <v>2.0</v>
      </c>
      <c r="AB74" s="3">
        <v>0.0</v>
      </c>
      <c r="AC74" s="3">
        <v>1.3</v>
      </c>
      <c r="AD74" s="3">
        <v>0.0</v>
      </c>
      <c r="AE74" s="3" t="s">
        <v>110</v>
      </c>
      <c r="AF74" s="14"/>
      <c r="AG74" s="14"/>
      <c r="AH74" s="14"/>
      <c r="AI74" s="14"/>
      <c r="AJ74" s="14"/>
      <c r="AK74" s="14"/>
      <c r="AL74" s="14"/>
      <c r="AM74" s="14" t="s">
        <v>233</v>
      </c>
      <c r="AN74" s="14" t="s">
        <v>395</v>
      </c>
      <c r="AO74" s="14" t="s">
        <v>84</v>
      </c>
      <c r="AP74" s="14" t="s">
        <v>396</v>
      </c>
      <c r="AQ74" s="14">
        <v>-1.0</v>
      </c>
      <c r="AR74" s="14" t="s">
        <v>147</v>
      </c>
    </row>
    <row r="75" ht="15.75" customHeight="1">
      <c r="A75" s="3" t="s">
        <v>39</v>
      </c>
      <c r="B75" s="3" t="s">
        <v>44</v>
      </c>
      <c r="C75" s="3" t="s">
        <v>102</v>
      </c>
      <c r="D75" s="3" t="s">
        <v>234</v>
      </c>
      <c r="E75" s="3" t="s">
        <v>181</v>
      </c>
      <c r="F75" s="3" t="s">
        <v>235</v>
      </c>
      <c r="G75" s="3" t="s">
        <v>69</v>
      </c>
      <c r="H75" s="3" t="s">
        <v>69</v>
      </c>
      <c r="I75" s="19" t="s">
        <v>110</v>
      </c>
      <c r="J75" s="3" t="s">
        <v>71</v>
      </c>
      <c r="K75" s="3">
        <v>10.0</v>
      </c>
      <c r="L75" s="3"/>
      <c r="M75" s="3"/>
      <c r="N75" s="3"/>
      <c r="O75" s="3"/>
      <c r="P75" s="3">
        <v>520.0</v>
      </c>
      <c r="Q75" s="3" t="s">
        <v>74</v>
      </c>
      <c r="R75" s="3" t="s">
        <v>75</v>
      </c>
      <c r="S75" s="3" t="s">
        <v>142</v>
      </c>
      <c r="T75" s="3" t="s">
        <v>39</v>
      </c>
      <c r="U75" s="3" t="s">
        <v>90</v>
      </c>
      <c r="V75" s="3" t="s">
        <v>236</v>
      </c>
      <c r="W75" s="3">
        <v>2.0</v>
      </c>
      <c r="X75" s="3">
        <v>2.0</v>
      </c>
      <c r="Y75" s="3">
        <v>4.0</v>
      </c>
      <c r="Z75" s="3">
        <v>3.0</v>
      </c>
      <c r="AA75" s="3">
        <v>2.0</v>
      </c>
      <c r="AB75" s="3">
        <v>0.0</v>
      </c>
      <c r="AC75" s="3">
        <v>2.3</v>
      </c>
      <c r="AD75" s="3"/>
      <c r="AE75" s="3" t="s">
        <v>110</v>
      </c>
      <c r="AF75" s="14"/>
      <c r="AG75" s="14"/>
      <c r="AH75" s="14"/>
      <c r="AI75" s="14"/>
      <c r="AJ75" s="14"/>
      <c r="AK75" s="14"/>
      <c r="AL75" s="14"/>
      <c r="AM75" s="14" t="s">
        <v>236</v>
      </c>
      <c r="AN75" s="14" t="s">
        <v>397</v>
      </c>
      <c r="AO75" s="14" t="s">
        <v>84</v>
      </c>
      <c r="AP75" s="14" t="s">
        <v>398</v>
      </c>
      <c r="AQ75" s="14">
        <v>0.0</v>
      </c>
      <c r="AR75" s="14" t="s">
        <v>196</v>
      </c>
    </row>
    <row r="76" ht="15.75" customHeight="1">
      <c r="A76" s="3" t="s">
        <v>39</v>
      </c>
      <c r="B76" s="3" t="s">
        <v>44</v>
      </c>
      <c r="C76" s="3" t="s">
        <v>102</v>
      </c>
      <c r="D76" s="3" t="s">
        <v>234</v>
      </c>
      <c r="E76" s="3" t="s">
        <v>181</v>
      </c>
      <c r="F76" s="3" t="s">
        <v>207</v>
      </c>
      <c r="G76" s="3" t="s">
        <v>69</v>
      </c>
      <c r="H76" s="3" t="s">
        <v>69</v>
      </c>
      <c r="I76" s="19" t="s">
        <v>110</v>
      </c>
      <c r="J76" s="3" t="s">
        <v>71</v>
      </c>
      <c r="K76" s="3">
        <v>10.0</v>
      </c>
      <c r="L76" s="3"/>
      <c r="M76" s="3"/>
      <c r="N76" s="3"/>
      <c r="O76" s="3"/>
      <c r="P76" s="3">
        <v>520.0</v>
      </c>
      <c r="Q76" s="3" t="s">
        <v>74</v>
      </c>
      <c r="R76" s="3" t="s">
        <v>75</v>
      </c>
      <c r="S76" s="3" t="s">
        <v>142</v>
      </c>
      <c r="T76" s="3" t="s">
        <v>39</v>
      </c>
      <c r="U76" s="3" t="s">
        <v>90</v>
      </c>
      <c r="V76" s="3" t="s">
        <v>208</v>
      </c>
      <c r="W76" s="3">
        <v>2.0</v>
      </c>
      <c r="X76" s="3">
        <v>2.0</v>
      </c>
      <c r="Y76" s="3">
        <v>4.0</v>
      </c>
      <c r="Z76" s="3">
        <v>3.0</v>
      </c>
      <c r="AA76" s="3">
        <v>2.0</v>
      </c>
      <c r="AB76" s="3">
        <v>0.0</v>
      </c>
      <c r="AC76" s="3">
        <v>2.3</v>
      </c>
      <c r="AD76" s="3"/>
      <c r="AE76" s="3" t="s">
        <v>110</v>
      </c>
      <c r="AF76" s="14"/>
      <c r="AG76" s="14"/>
      <c r="AH76" s="14"/>
      <c r="AI76" s="14"/>
      <c r="AJ76" s="14"/>
      <c r="AK76" s="14"/>
      <c r="AL76" s="14"/>
      <c r="AM76" s="14" t="s">
        <v>208</v>
      </c>
      <c r="AN76" s="14" t="s">
        <v>397</v>
      </c>
      <c r="AO76" s="14" t="s">
        <v>84</v>
      </c>
      <c r="AP76" s="14" t="s">
        <v>398</v>
      </c>
      <c r="AQ76" s="14">
        <v>0.0</v>
      </c>
      <c r="AR76" s="14" t="s">
        <v>196</v>
      </c>
    </row>
    <row r="77" ht="15.75" customHeight="1">
      <c r="A77" s="3" t="s">
        <v>39</v>
      </c>
      <c r="B77" s="3" t="s">
        <v>137</v>
      </c>
      <c r="C77" s="3" t="s">
        <v>102</v>
      </c>
      <c r="D77" s="3" t="s">
        <v>246</v>
      </c>
      <c r="E77" s="3" t="s">
        <v>202</v>
      </c>
      <c r="F77" s="3" t="s">
        <v>231</v>
      </c>
      <c r="G77" s="3" t="s">
        <v>69</v>
      </c>
      <c r="H77" s="3" t="s">
        <v>69</v>
      </c>
      <c r="I77" s="19" t="s">
        <v>110</v>
      </c>
      <c r="J77" s="3" t="s">
        <v>71</v>
      </c>
      <c r="K77" s="3">
        <v>0.0</v>
      </c>
      <c r="L77" s="3">
        <v>0.0</v>
      </c>
      <c r="M77" s="3"/>
      <c r="N77" s="3"/>
      <c r="O77" s="3"/>
      <c r="P77" s="3">
        <v>500.0</v>
      </c>
      <c r="Q77" s="3" t="s">
        <v>74</v>
      </c>
      <c r="R77" s="3" t="s">
        <v>75</v>
      </c>
      <c r="S77" s="3" t="s">
        <v>142</v>
      </c>
      <c r="T77" s="3" t="s">
        <v>39</v>
      </c>
      <c r="U77" s="3" t="s">
        <v>344</v>
      </c>
      <c r="V77" s="3" t="s">
        <v>233</v>
      </c>
      <c r="W77" s="3">
        <v>2.0</v>
      </c>
      <c r="X77" s="3">
        <v>2.0</v>
      </c>
      <c r="Y77" s="3">
        <v>4.0</v>
      </c>
      <c r="Z77" s="3">
        <v>3.0</v>
      </c>
      <c r="AA77" s="3">
        <v>2.0</v>
      </c>
      <c r="AB77" s="3">
        <v>0.0</v>
      </c>
      <c r="AC77" s="3">
        <v>1.3</v>
      </c>
      <c r="AD77" s="3">
        <v>0.0</v>
      </c>
      <c r="AE77" s="3" t="s">
        <v>110</v>
      </c>
      <c r="AF77" s="14"/>
      <c r="AG77" s="14"/>
      <c r="AH77" s="14"/>
      <c r="AI77" s="14"/>
      <c r="AJ77" s="14"/>
      <c r="AK77" s="14"/>
      <c r="AL77" s="14"/>
      <c r="AM77" s="14" t="s">
        <v>233</v>
      </c>
      <c r="AN77" s="14" t="s">
        <v>399</v>
      </c>
      <c r="AO77" s="14" t="s">
        <v>84</v>
      </c>
      <c r="AP77" s="14" t="s">
        <v>401</v>
      </c>
      <c r="AQ77" s="14">
        <v>-1.0</v>
      </c>
      <c r="AR77" s="14" t="s">
        <v>147</v>
      </c>
    </row>
    <row r="78" ht="15.75" customHeight="1">
      <c r="A78" s="3" t="s">
        <v>39</v>
      </c>
      <c r="B78" s="3" t="s">
        <v>44</v>
      </c>
      <c r="C78" s="3" t="s">
        <v>102</v>
      </c>
      <c r="D78" s="3" t="s">
        <v>174</v>
      </c>
      <c r="E78" s="3" t="s">
        <v>106</v>
      </c>
      <c r="F78" s="3" t="s">
        <v>198</v>
      </c>
      <c r="G78" s="3" t="s">
        <v>69</v>
      </c>
      <c r="H78" s="3" t="s">
        <v>69</v>
      </c>
      <c r="I78" s="19" t="s">
        <v>110</v>
      </c>
      <c r="J78" s="3" t="s">
        <v>71</v>
      </c>
      <c r="K78" s="3">
        <v>3.0</v>
      </c>
      <c r="L78" s="3"/>
      <c r="M78" s="3"/>
      <c r="N78" s="3"/>
      <c r="O78" s="3"/>
      <c r="P78" s="3">
        <v>130.0</v>
      </c>
      <c r="Q78" s="3" t="s">
        <v>121</v>
      </c>
      <c r="R78" s="3" t="s">
        <v>75</v>
      </c>
      <c r="S78" s="3" t="s">
        <v>76</v>
      </c>
      <c r="T78" s="3" t="s">
        <v>39</v>
      </c>
      <c r="U78" s="3" t="s">
        <v>226</v>
      </c>
      <c r="V78" s="3" t="s">
        <v>201</v>
      </c>
      <c r="W78" s="3">
        <v>2.0</v>
      </c>
      <c r="X78" s="3">
        <v>5.0</v>
      </c>
      <c r="Y78" s="3">
        <v>4.0</v>
      </c>
      <c r="Z78" s="3">
        <v>3.0</v>
      </c>
      <c r="AA78" s="3">
        <v>4.0</v>
      </c>
      <c r="AB78" s="3">
        <v>0.0</v>
      </c>
      <c r="AC78" s="3">
        <v>2.9</v>
      </c>
      <c r="AD78" s="3"/>
      <c r="AE78" s="3" t="s">
        <v>110</v>
      </c>
      <c r="AF78" s="14"/>
      <c r="AG78" s="14"/>
      <c r="AH78" s="14"/>
      <c r="AI78" s="14"/>
      <c r="AJ78" s="14"/>
      <c r="AK78" s="14"/>
      <c r="AL78" s="14"/>
      <c r="AM78" s="14" t="s">
        <v>201</v>
      </c>
      <c r="AN78" s="14" t="s">
        <v>404</v>
      </c>
      <c r="AO78" s="14" t="s">
        <v>84</v>
      </c>
      <c r="AP78" s="14" t="s">
        <v>405</v>
      </c>
      <c r="AQ78" s="14">
        <v>0.0</v>
      </c>
      <c r="AR78" s="14" t="s">
        <v>196</v>
      </c>
    </row>
    <row r="79" ht="15.75" customHeight="1">
      <c r="A79" s="3" t="s">
        <v>39</v>
      </c>
      <c r="B79" s="3" t="s">
        <v>44</v>
      </c>
      <c r="C79" s="3" t="s">
        <v>102</v>
      </c>
      <c r="D79" s="3" t="s">
        <v>252</v>
      </c>
      <c r="E79" s="3" t="s">
        <v>181</v>
      </c>
      <c r="F79" s="3" t="s">
        <v>235</v>
      </c>
      <c r="G79" s="3" t="s">
        <v>69</v>
      </c>
      <c r="H79" s="3" t="s">
        <v>69</v>
      </c>
      <c r="I79" s="19" t="s">
        <v>110</v>
      </c>
      <c r="J79" s="3" t="s">
        <v>71</v>
      </c>
      <c r="K79" s="3">
        <v>10.0</v>
      </c>
      <c r="L79" s="3"/>
      <c r="M79" s="3"/>
      <c r="N79" s="3"/>
      <c r="O79" s="3"/>
      <c r="P79" s="3">
        <v>520.0</v>
      </c>
      <c r="Q79" s="3" t="s">
        <v>74</v>
      </c>
      <c r="R79" s="3" t="s">
        <v>75</v>
      </c>
      <c r="S79" s="3" t="s">
        <v>142</v>
      </c>
      <c r="T79" s="3" t="s">
        <v>39</v>
      </c>
      <c r="U79" s="3" t="s">
        <v>90</v>
      </c>
      <c r="V79" s="3" t="s">
        <v>236</v>
      </c>
      <c r="W79" s="3">
        <v>2.0</v>
      </c>
      <c r="X79" s="3">
        <v>2.0</v>
      </c>
      <c r="Y79" s="3">
        <v>4.0</v>
      </c>
      <c r="Z79" s="3">
        <v>3.0</v>
      </c>
      <c r="AA79" s="3">
        <v>2.0</v>
      </c>
      <c r="AB79" s="3">
        <v>0.0</v>
      </c>
      <c r="AC79" s="3">
        <v>2.3</v>
      </c>
      <c r="AD79" s="3"/>
      <c r="AE79" s="3" t="s">
        <v>110</v>
      </c>
      <c r="AF79" s="14"/>
      <c r="AG79" s="14"/>
      <c r="AH79" s="14"/>
      <c r="AI79" s="14"/>
      <c r="AJ79" s="14"/>
      <c r="AK79" s="14"/>
      <c r="AL79" s="14"/>
      <c r="AM79" s="14" t="s">
        <v>236</v>
      </c>
      <c r="AN79" s="14" t="s">
        <v>406</v>
      </c>
      <c r="AO79" s="14" t="s">
        <v>84</v>
      </c>
      <c r="AP79" s="14" t="s">
        <v>407</v>
      </c>
      <c r="AQ79" s="14">
        <v>0.0</v>
      </c>
      <c r="AR79" s="14" t="s">
        <v>196</v>
      </c>
    </row>
    <row r="80" ht="15.75" customHeight="1">
      <c r="A80" s="3" t="s">
        <v>39</v>
      </c>
      <c r="B80" s="3" t="s">
        <v>44</v>
      </c>
      <c r="C80" s="3" t="s">
        <v>102</v>
      </c>
      <c r="D80" s="3" t="s">
        <v>252</v>
      </c>
      <c r="E80" s="3" t="s">
        <v>181</v>
      </c>
      <c r="F80" s="3" t="s">
        <v>207</v>
      </c>
      <c r="G80" s="3" t="s">
        <v>69</v>
      </c>
      <c r="H80" s="3" t="s">
        <v>69</v>
      </c>
      <c r="I80" s="19" t="s">
        <v>110</v>
      </c>
      <c r="J80" s="3" t="s">
        <v>71</v>
      </c>
      <c r="K80" s="3">
        <v>10.0</v>
      </c>
      <c r="L80" s="3"/>
      <c r="M80" s="3"/>
      <c r="N80" s="3"/>
      <c r="O80" s="3"/>
      <c r="P80" s="3">
        <v>520.0</v>
      </c>
      <c r="Q80" s="3" t="s">
        <v>74</v>
      </c>
      <c r="R80" s="3" t="s">
        <v>75</v>
      </c>
      <c r="S80" s="3" t="s">
        <v>142</v>
      </c>
      <c r="T80" s="3" t="s">
        <v>39</v>
      </c>
      <c r="U80" s="3" t="s">
        <v>90</v>
      </c>
      <c r="V80" s="3" t="s">
        <v>208</v>
      </c>
      <c r="W80" s="3">
        <v>2.0</v>
      </c>
      <c r="X80" s="3">
        <v>2.0</v>
      </c>
      <c r="Y80" s="3">
        <v>4.0</v>
      </c>
      <c r="Z80" s="3">
        <v>3.0</v>
      </c>
      <c r="AA80" s="3">
        <v>2.0</v>
      </c>
      <c r="AB80" s="3">
        <v>0.0</v>
      </c>
      <c r="AC80" s="3">
        <v>2.3</v>
      </c>
      <c r="AD80" s="3"/>
      <c r="AE80" s="3" t="s">
        <v>110</v>
      </c>
      <c r="AF80" s="14"/>
      <c r="AG80" s="14"/>
      <c r="AH80" s="14"/>
      <c r="AI80" s="14"/>
      <c r="AJ80" s="14"/>
      <c r="AK80" s="14"/>
      <c r="AL80" s="14"/>
      <c r="AM80" s="14" t="s">
        <v>208</v>
      </c>
      <c r="AN80" s="14" t="s">
        <v>406</v>
      </c>
      <c r="AO80" s="14" t="s">
        <v>84</v>
      </c>
      <c r="AP80" s="14" t="s">
        <v>407</v>
      </c>
      <c r="AQ80" s="14">
        <v>0.0</v>
      </c>
      <c r="AR80" s="14" t="s">
        <v>196</v>
      </c>
    </row>
    <row r="81" ht="15.75" customHeight="1">
      <c r="A81" s="3" t="s">
        <v>39</v>
      </c>
      <c r="B81" s="3" t="s">
        <v>44</v>
      </c>
      <c r="C81" s="3" t="s">
        <v>102</v>
      </c>
      <c r="D81" s="3" t="s">
        <v>260</v>
      </c>
      <c r="E81" s="3" t="s">
        <v>240</v>
      </c>
      <c r="F81" s="3" t="s">
        <v>235</v>
      </c>
      <c r="G81" s="3" t="s">
        <v>69</v>
      </c>
      <c r="H81" s="3" t="s">
        <v>69</v>
      </c>
      <c r="I81" s="19" t="s">
        <v>110</v>
      </c>
      <c r="J81" s="3" t="s">
        <v>71</v>
      </c>
      <c r="K81" s="3">
        <v>10.0</v>
      </c>
      <c r="L81" s="3"/>
      <c r="M81" s="3"/>
      <c r="N81" s="3"/>
      <c r="O81" s="3"/>
      <c r="P81" s="3">
        <v>610.0</v>
      </c>
      <c r="Q81" s="3" t="s">
        <v>153</v>
      </c>
      <c r="R81" s="3" t="s">
        <v>75</v>
      </c>
      <c r="S81" s="3" t="s">
        <v>142</v>
      </c>
      <c r="T81" s="3" t="s">
        <v>39</v>
      </c>
      <c r="U81" s="3" t="s">
        <v>90</v>
      </c>
      <c r="V81" s="3" t="s">
        <v>236</v>
      </c>
      <c r="W81" s="3">
        <v>2.0</v>
      </c>
      <c r="X81" s="3">
        <v>1.0</v>
      </c>
      <c r="Y81" s="3">
        <v>4.0</v>
      </c>
      <c r="Z81" s="3">
        <v>3.0</v>
      </c>
      <c r="AA81" s="3">
        <v>2.0</v>
      </c>
      <c r="AB81" s="3">
        <v>0.0</v>
      </c>
      <c r="AC81" s="3">
        <v>2.1</v>
      </c>
      <c r="AD81" s="3"/>
      <c r="AE81" s="3" t="s">
        <v>110</v>
      </c>
      <c r="AF81" s="14"/>
      <c r="AG81" s="14"/>
      <c r="AH81" s="14"/>
      <c r="AI81" s="14"/>
      <c r="AJ81" s="14"/>
      <c r="AK81" s="14"/>
      <c r="AL81" s="14"/>
      <c r="AM81" s="14" t="s">
        <v>236</v>
      </c>
      <c r="AN81" s="14" t="s">
        <v>409</v>
      </c>
      <c r="AO81" s="14" t="s">
        <v>84</v>
      </c>
      <c r="AP81" s="14" t="s">
        <v>410</v>
      </c>
      <c r="AQ81" s="14">
        <v>0.0</v>
      </c>
      <c r="AR81" s="14" t="s">
        <v>196</v>
      </c>
    </row>
    <row r="82" ht="15.75" customHeight="1">
      <c r="A82" s="3" t="s">
        <v>39</v>
      </c>
      <c r="B82" s="3" t="s">
        <v>44</v>
      </c>
      <c r="C82" s="3" t="s">
        <v>102</v>
      </c>
      <c r="D82" s="3" t="s">
        <v>260</v>
      </c>
      <c r="E82" s="3" t="s">
        <v>240</v>
      </c>
      <c r="F82" s="3" t="s">
        <v>207</v>
      </c>
      <c r="G82" s="3" t="s">
        <v>69</v>
      </c>
      <c r="H82" s="3" t="s">
        <v>69</v>
      </c>
      <c r="I82" s="19" t="s">
        <v>110</v>
      </c>
      <c r="J82" s="3" t="s">
        <v>71</v>
      </c>
      <c r="K82" s="3">
        <v>10.0</v>
      </c>
      <c r="L82" s="3"/>
      <c r="M82" s="3"/>
      <c r="N82" s="3"/>
      <c r="O82" s="3"/>
      <c r="P82" s="3">
        <v>610.0</v>
      </c>
      <c r="Q82" s="3" t="s">
        <v>153</v>
      </c>
      <c r="R82" s="3" t="s">
        <v>75</v>
      </c>
      <c r="S82" s="3" t="s">
        <v>142</v>
      </c>
      <c r="T82" s="3" t="s">
        <v>39</v>
      </c>
      <c r="U82" s="3" t="s">
        <v>90</v>
      </c>
      <c r="V82" s="3" t="s">
        <v>208</v>
      </c>
      <c r="W82" s="3">
        <v>2.0</v>
      </c>
      <c r="X82" s="3">
        <v>1.0</v>
      </c>
      <c r="Y82" s="3">
        <v>4.0</v>
      </c>
      <c r="Z82" s="3">
        <v>3.0</v>
      </c>
      <c r="AA82" s="3">
        <v>2.0</v>
      </c>
      <c r="AB82" s="3">
        <v>0.0</v>
      </c>
      <c r="AC82" s="3">
        <v>2.1</v>
      </c>
      <c r="AD82" s="3"/>
      <c r="AE82" s="3" t="s">
        <v>110</v>
      </c>
      <c r="AF82" s="14"/>
      <c r="AG82" s="14"/>
      <c r="AH82" s="14"/>
      <c r="AI82" s="14"/>
      <c r="AJ82" s="14"/>
      <c r="AK82" s="14"/>
      <c r="AL82" s="14"/>
      <c r="AM82" s="14" t="s">
        <v>208</v>
      </c>
      <c r="AN82" s="14" t="s">
        <v>409</v>
      </c>
      <c r="AO82" s="14" t="s">
        <v>84</v>
      </c>
      <c r="AP82" s="14" t="s">
        <v>410</v>
      </c>
      <c r="AQ82" s="14">
        <v>0.0</v>
      </c>
      <c r="AR82" s="14" t="s">
        <v>196</v>
      </c>
    </row>
    <row r="83" ht="15.75" customHeight="1">
      <c r="A83" s="3" t="s">
        <v>39</v>
      </c>
      <c r="B83" s="3" t="s">
        <v>137</v>
      </c>
      <c r="C83" s="3" t="s">
        <v>102</v>
      </c>
      <c r="D83" s="3" t="s">
        <v>276</v>
      </c>
      <c r="E83" s="3" t="s">
        <v>164</v>
      </c>
      <c r="F83" s="3" t="s">
        <v>231</v>
      </c>
      <c r="G83" s="3" t="s">
        <v>69</v>
      </c>
      <c r="H83" s="3" t="s">
        <v>69</v>
      </c>
      <c r="I83" s="19" t="s">
        <v>110</v>
      </c>
      <c r="J83" s="3" t="s">
        <v>71</v>
      </c>
      <c r="K83" s="3">
        <v>0.0</v>
      </c>
      <c r="L83" s="3">
        <v>0.0</v>
      </c>
      <c r="M83" s="3"/>
      <c r="N83" s="3"/>
      <c r="O83" s="3"/>
      <c r="P83" s="3">
        <v>490.0</v>
      </c>
      <c r="Q83" s="3" t="s">
        <v>74</v>
      </c>
      <c r="R83" s="3" t="s">
        <v>75</v>
      </c>
      <c r="S83" s="3" t="s">
        <v>142</v>
      </c>
      <c r="T83" s="3" t="s">
        <v>39</v>
      </c>
      <c r="U83" s="3" t="s">
        <v>344</v>
      </c>
      <c r="V83" s="3" t="s">
        <v>233</v>
      </c>
      <c r="W83" s="3">
        <v>2.0</v>
      </c>
      <c r="X83" s="3">
        <v>2.0</v>
      </c>
      <c r="Y83" s="3">
        <v>4.0</v>
      </c>
      <c r="Z83" s="3">
        <v>3.0</v>
      </c>
      <c r="AA83" s="3">
        <v>2.0</v>
      </c>
      <c r="AB83" s="3">
        <v>0.0</v>
      </c>
      <c r="AC83" s="3">
        <v>1.3</v>
      </c>
      <c r="AD83" s="3">
        <v>0.0</v>
      </c>
      <c r="AE83" s="3" t="s">
        <v>110</v>
      </c>
      <c r="AF83" s="14"/>
      <c r="AG83" s="14"/>
      <c r="AH83" s="14"/>
      <c r="AI83" s="14"/>
      <c r="AJ83" s="14"/>
      <c r="AK83" s="14"/>
      <c r="AL83" s="14"/>
      <c r="AM83" s="14" t="s">
        <v>233</v>
      </c>
      <c r="AN83" s="14" t="s">
        <v>411</v>
      </c>
      <c r="AO83" s="14" t="s">
        <v>84</v>
      </c>
      <c r="AP83" s="14" t="s">
        <v>412</v>
      </c>
      <c r="AQ83" s="14">
        <v>-1.0</v>
      </c>
      <c r="AR83" s="14" t="s">
        <v>147</v>
      </c>
    </row>
    <row r="84" ht="15.75" customHeight="1">
      <c r="A84" s="3" t="s">
        <v>39</v>
      </c>
      <c r="B84" s="3" t="s">
        <v>137</v>
      </c>
      <c r="C84" s="3" t="s">
        <v>102</v>
      </c>
      <c r="D84" s="3" t="s">
        <v>280</v>
      </c>
      <c r="E84" s="3" t="s">
        <v>186</v>
      </c>
      <c r="F84" s="3" t="s">
        <v>198</v>
      </c>
      <c r="G84" s="3" t="s">
        <v>69</v>
      </c>
      <c r="H84" s="3" t="s">
        <v>69</v>
      </c>
      <c r="I84" s="19" t="s">
        <v>110</v>
      </c>
      <c r="J84" s="3" t="s">
        <v>71</v>
      </c>
      <c r="K84" s="3">
        <v>3.0</v>
      </c>
      <c r="L84" s="3"/>
      <c r="M84" s="3"/>
      <c r="N84" s="3"/>
      <c r="O84" s="3"/>
      <c r="P84" s="3">
        <v>360.0</v>
      </c>
      <c r="Q84" s="3" t="s">
        <v>140</v>
      </c>
      <c r="R84" s="3" t="s">
        <v>75</v>
      </c>
      <c r="S84" s="3" t="s">
        <v>142</v>
      </c>
      <c r="T84" s="3" t="s">
        <v>39</v>
      </c>
      <c r="U84" s="3" t="s">
        <v>392</v>
      </c>
      <c r="V84" s="3" t="s">
        <v>201</v>
      </c>
      <c r="W84" s="3">
        <v>2.0</v>
      </c>
      <c r="X84" s="3">
        <v>3.0</v>
      </c>
      <c r="Y84" s="3">
        <v>4.0</v>
      </c>
      <c r="Z84" s="3">
        <v>3.0</v>
      </c>
      <c r="AA84" s="3">
        <v>2.0</v>
      </c>
      <c r="AB84" s="3">
        <v>0.0</v>
      </c>
      <c r="AC84" s="3">
        <v>1.5</v>
      </c>
      <c r="AD84" s="3"/>
      <c r="AE84" s="3" t="s">
        <v>110</v>
      </c>
      <c r="AF84" s="14"/>
      <c r="AG84" s="14"/>
      <c r="AH84" s="14"/>
      <c r="AI84" s="14"/>
      <c r="AJ84" s="14"/>
      <c r="AK84" s="14"/>
      <c r="AL84" s="14"/>
      <c r="AM84" s="14" t="s">
        <v>201</v>
      </c>
      <c r="AN84" s="14" t="s">
        <v>413</v>
      </c>
      <c r="AO84" s="14" t="s">
        <v>84</v>
      </c>
      <c r="AP84" s="14" t="s">
        <v>414</v>
      </c>
      <c r="AQ84" s="14">
        <v>-1.0</v>
      </c>
      <c r="AR84" s="14" t="s">
        <v>147</v>
      </c>
    </row>
    <row r="85" ht="15.75" customHeight="1">
      <c r="A85" s="3" t="s">
        <v>39</v>
      </c>
      <c r="B85" s="3" t="s">
        <v>137</v>
      </c>
      <c r="C85" s="3" t="s">
        <v>102</v>
      </c>
      <c r="D85" s="3" t="s">
        <v>293</v>
      </c>
      <c r="E85" s="3" t="s">
        <v>202</v>
      </c>
      <c r="F85" s="3" t="s">
        <v>231</v>
      </c>
      <c r="G85" s="3" t="s">
        <v>69</v>
      </c>
      <c r="H85" s="3" t="s">
        <v>69</v>
      </c>
      <c r="I85" s="19" t="s">
        <v>110</v>
      </c>
      <c r="J85" s="3" t="s">
        <v>71</v>
      </c>
      <c r="K85" s="3">
        <v>0.0</v>
      </c>
      <c r="L85" s="3">
        <v>0.0</v>
      </c>
      <c r="M85" s="3"/>
      <c r="N85" s="3"/>
      <c r="O85" s="3"/>
      <c r="P85" s="3">
        <v>500.0</v>
      </c>
      <c r="Q85" s="3" t="s">
        <v>74</v>
      </c>
      <c r="R85" s="3" t="s">
        <v>75</v>
      </c>
      <c r="S85" s="3" t="s">
        <v>142</v>
      </c>
      <c r="T85" s="3" t="s">
        <v>39</v>
      </c>
      <c r="U85" s="3" t="s">
        <v>344</v>
      </c>
      <c r="V85" s="3" t="s">
        <v>233</v>
      </c>
      <c r="W85" s="3">
        <v>2.0</v>
      </c>
      <c r="X85" s="3">
        <v>2.0</v>
      </c>
      <c r="Y85" s="3">
        <v>4.0</v>
      </c>
      <c r="Z85" s="3">
        <v>3.0</v>
      </c>
      <c r="AA85" s="3">
        <v>2.0</v>
      </c>
      <c r="AB85" s="3">
        <v>0.0</v>
      </c>
      <c r="AC85" s="3">
        <v>1.3</v>
      </c>
      <c r="AD85" s="3">
        <v>0.0</v>
      </c>
      <c r="AE85" s="3" t="s">
        <v>110</v>
      </c>
      <c r="AF85" s="14"/>
      <c r="AG85" s="14"/>
      <c r="AH85" s="14"/>
      <c r="AI85" s="14"/>
      <c r="AJ85" s="14"/>
      <c r="AK85" s="14"/>
      <c r="AL85" s="14"/>
      <c r="AM85" s="14" t="s">
        <v>233</v>
      </c>
      <c r="AN85" s="14" t="s">
        <v>416</v>
      </c>
      <c r="AO85" s="14" t="s">
        <v>84</v>
      </c>
      <c r="AP85" s="14" t="s">
        <v>417</v>
      </c>
      <c r="AQ85" s="14">
        <v>-1.0</v>
      </c>
      <c r="AR85" s="14" t="s">
        <v>147</v>
      </c>
    </row>
    <row r="86" ht="15.75" customHeight="1">
      <c r="A86" s="3" t="s">
        <v>39</v>
      </c>
      <c r="B86" s="3" t="s">
        <v>44</v>
      </c>
      <c r="C86" s="3" t="s">
        <v>102</v>
      </c>
      <c r="D86" s="3" t="s">
        <v>297</v>
      </c>
      <c r="E86" s="3" t="s">
        <v>150</v>
      </c>
      <c r="F86" s="3" t="s">
        <v>207</v>
      </c>
      <c r="G86" s="3" t="s">
        <v>69</v>
      </c>
      <c r="H86" s="3" t="s">
        <v>69</v>
      </c>
      <c r="I86" s="19" t="s">
        <v>110</v>
      </c>
      <c r="J86" s="3" t="s">
        <v>71</v>
      </c>
      <c r="K86" s="3">
        <v>10.0</v>
      </c>
      <c r="L86" s="3"/>
      <c r="M86" s="3"/>
      <c r="N86" s="3"/>
      <c r="O86" s="3"/>
      <c r="P86" s="3">
        <v>700.0</v>
      </c>
      <c r="Q86" s="3" t="s">
        <v>153</v>
      </c>
      <c r="R86" s="3" t="s">
        <v>75</v>
      </c>
      <c r="S86" s="3" t="s">
        <v>142</v>
      </c>
      <c r="T86" s="3" t="s">
        <v>39</v>
      </c>
      <c r="U86" s="3" t="s">
        <v>90</v>
      </c>
      <c r="V86" s="3" t="s">
        <v>208</v>
      </c>
      <c r="W86" s="3">
        <v>2.0</v>
      </c>
      <c r="X86" s="3">
        <v>1.0</v>
      </c>
      <c r="Y86" s="3">
        <v>4.0</v>
      </c>
      <c r="Z86" s="3">
        <v>3.0</v>
      </c>
      <c r="AA86" s="3">
        <v>2.0</v>
      </c>
      <c r="AB86" s="3">
        <v>0.0</v>
      </c>
      <c r="AC86" s="3">
        <v>2.1</v>
      </c>
      <c r="AD86" s="3"/>
      <c r="AE86" s="3" t="s">
        <v>110</v>
      </c>
      <c r="AF86" s="14"/>
      <c r="AG86" s="14"/>
      <c r="AH86" s="14"/>
      <c r="AI86" s="14"/>
      <c r="AJ86" s="14"/>
      <c r="AK86" s="14"/>
      <c r="AL86" s="14"/>
      <c r="AM86" s="14" t="s">
        <v>208</v>
      </c>
      <c r="AN86" s="14" t="s">
        <v>419</v>
      </c>
      <c r="AO86" s="14" t="s">
        <v>84</v>
      </c>
      <c r="AP86" s="14" t="s">
        <v>420</v>
      </c>
      <c r="AQ86" s="14">
        <v>0.0</v>
      </c>
      <c r="AR86" s="14" t="s">
        <v>196</v>
      </c>
    </row>
    <row r="87" ht="15.75" customHeight="1">
      <c r="A87" s="3" t="s">
        <v>39</v>
      </c>
      <c r="B87" s="3" t="s">
        <v>137</v>
      </c>
      <c r="C87" s="3" t="s">
        <v>102</v>
      </c>
      <c r="D87" s="3" t="s">
        <v>300</v>
      </c>
      <c r="E87" s="3" t="s">
        <v>150</v>
      </c>
      <c r="F87" s="3" t="s">
        <v>198</v>
      </c>
      <c r="G87" s="3" t="s">
        <v>69</v>
      </c>
      <c r="H87" s="3" t="s">
        <v>69</v>
      </c>
      <c r="I87" s="19" t="s">
        <v>110</v>
      </c>
      <c r="J87" s="3" t="s">
        <v>71</v>
      </c>
      <c r="K87" s="3">
        <v>3.0</v>
      </c>
      <c r="L87" s="3"/>
      <c r="M87" s="3"/>
      <c r="N87" s="3"/>
      <c r="O87" s="3"/>
      <c r="P87" s="3">
        <v>700.0</v>
      </c>
      <c r="Q87" s="3" t="s">
        <v>153</v>
      </c>
      <c r="R87" s="3" t="s">
        <v>75</v>
      </c>
      <c r="S87" s="3" t="s">
        <v>142</v>
      </c>
      <c r="T87" s="3" t="s">
        <v>39</v>
      </c>
      <c r="U87" s="3" t="s">
        <v>392</v>
      </c>
      <c r="V87" s="3" t="s">
        <v>201</v>
      </c>
      <c r="W87" s="3">
        <v>2.0</v>
      </c>
      <c r="X87" s="3">
        <v>1.0</v>
      </c>
      <c r="Y87" s="3">
        <v>4.0</v>
      </c>
      <c r="Z87" s="3">
        <v>3.0</v>
      </c>
      <c r="AA87" s="3">
        <v>2.0</v>
      </c>
      <c r="AB87" s="3">
        <v>0.0</v>
      </c>
      <c r="AC87" s="3">
        <v>1.1</v>
      </c>
      <c r="AD87" s="3"/>
      <c r="AE87" s="3" t="s">
        <v>110</v>
      </c>
      <c r="AF87" s="14"/>
      <c r="AG87" s="14"/>
      <c r="AH87" s="14"/>
      <c r="AI87" s="14"/>
      <c r="AJ87" s="14"/>
      <c r="AK87" s="14"/>
      <c r="AL87" s="14"/>
      <c r="AM87" s="14" t="s">
        <v>201</v>
      </c>
      <c r="AN87" s="14" t="s">
        <v>421</v>
      </c>
      <c r="AO87" s="14" t="s">
        <v>84</v>
      </c>
      <c r="AP87" s="14" t="s">
        <v>422</v>
      </c>
      <c r="AQ87" s="14">
        <v>-1.0</v>
      </c>
      <c r="AR87" s="14" t="s">
        <v>147</v>
      </c>
    </row>
    <row r="88" ht="15.75" customHeight="1">
      <c r="A88" s="3" t="s">
        <v>39</v>
      </c>
      <c r="B88" s="3" t="s">
        <v>137</v>
      </c>
      <c r="C88" s="3" t="s">
        <v>102</v>
      </c>
      <c r="D88" s="3" t="s">
        <v>301</v>
      </c>
      <c r="E88" s="3" t="s">
        <v>164</v>
      </c>
      <c r="F88" s="3" t="s">
        <v>231</v>
      </c>
      <c r="G88" s="3" t="s">
        <v>69</v>
      </c>
      <c r="H88" s="3" t="s">
        <v>69</v>
      </c>
      <c r="I88" s="19" t="s">
        <v>110</v>
      </c>
      <c r="J88" s="3" t="s">
        <v>71</v>
      </c>
      <c r="K88" s="3">
        <v>0.0</v>
      </c>
      <c r="L88" s="3">
        <v>0.0</v>
      </c>
      <c r="M88" s="3"/>
      <c r="N88" s="3"/>
      <c r="O88" s="3"/>
      <c r="P88" s="3">
        <v>490.0</v>
      </c>
      <c r="Q88" s="3" t="s">
        <v>74</v>
      </c>
      <c r="R88" s="3" t="s">
        <v>75</v>
      </c>
      <c r="S88" s="3" t="s">
        <v>142</v>
      </c>
      <c r="T88" s="3" t="s">
        <v>39</v>
      </c>
      <c r="U88" s="3" t="s">
        <v>344</v>
      </c>
      <c r="V88" s="3" t="s">
        <v>233</v>
      </c>
      <c r="W88" s="3">
        <v>2.0</v>
      </c>
      <c r="X88" s="3">
        <v>2.0</v>
      </c>
      <c r="Y88" s="3">
        <v>4.0</v>
      </c>
      <c r="Z88" s="3">
        <v>3.0</v>
      </c>
      <c r="AA88" s="3">
        <v>2.0</v>
      </c>
      <c r="AB88" s="3">
        <v>0.0</v>
      </c>
      <c r="AC88" s="3">
        <v>1.3</v>
      </c>
      <c r="AD88" s="3">
        <v>0.0</v>
      </c>
      <c r="AE88" s="3" t="s">
        <v>110</v>
      </c>
      <c r="AF88" s="14"/>
      <c r="AG88" s="14"/>
      <c r="AH88" s="14"/>
      <c r="AI88" s="14"/>
      <c r="AJ88" s="14"/>
      <c r="AK88" s="14"/>
      <c r="AL88" s="14"/>
      <c r="AM88" s="14" t="s">
        <v>233</v>
      </c>
      <c r="AN88" s="14" t="s">
        <v>341</v>
      </c>
      <c r="AO88" s="14" t="s">
        <v>84</v>
      </c>
      <c r="AP88" s="14" t="s">
        <v>342</v>
      </c>
      <c r="AQ88" s="14">
        <v>-1.0</v>
      </c>
      <c r="AR88" s="14" t="s">
        <v>147</v>
      </c>
    </row>
    <row r="89" ht="15.75" customHeight="1">
      <c r="A89" s="3" t="s">
        <v>39</v>
      </c>
      <c r="B89" s="3" t="s">
        <v>44</v>
      </c>
      <c r="C89" s="3" t="s">
        <v>102</v>
      </c>
      <c r="D89" s="3" t="s">
        <v>206</v>
      </c>
      <c r="E89" s="3" t="s">
        <v>106</v>
      </c>
      <c r="F89" s="3" t="s">
        <v>207</v>
      </c>
      <c r="G89" s="3" t="s">
        <v>69</v>
      </c>
      <c r="H89" s="3" t="s">
        <v>69</v>
      </c>
      <c r="I89" s="19" t="s">
        <v>110</v>
      </c>
      <c r="J89" s="3" t="s">
        <v>71</v>
      </c>
      <c r="K89" s="3">
        <v>10.0</v>
      </c>
      <c r="L89" s="3"/>
      <c r="M89" s="3"/>
      <c r="N89" s="3"/>
      <c r="O89" s="3"/>
      <c r="P89" s="3">
        <v>130.0</v>
      </c>
      <c r="Q89" s="3" t="s">
        <v>121</v>
      </c>
      <c r="R89" s="3" t="s">
        <v>75</v>
      </c>
      <c r="S89" s="3" t="s">
        <v>76</v>
      </c>
      <c r="T89" s="3" t="s">
        <v>39</v>
      </c>
      <c r="U89" s="3" t="s">
        <v>90</v>
      </c>
      <c r="V89" s="3" t="s">
        <v>208</v>
      </c>
      <c r="W89" s="3">
        <v>2.0</v>
      </c>
      <c r="X89" s="3">
        <v>5.0</v>
      </c>
      <c r="Y89" s="3">
        <v>4.0</v>
      </c>
      <c r="Z89" s="3">
        <v>3.0</v>
      </c>
      <c r="AA89" s="3">
        <v>4.0</v>
      </c>
      <c r="AB89" s="3">
        <v>0.0</v>
      </c>
      <c r="AC89" s="3">
        <v>2.9</v>
      </c>
      <c r="AD89" s="3"/>
      <c r="AE89" s="3" t="s">
        <v>110</v>
      </c>
      <c r="AF89" s="14"/>
      <c r="AG89" s="14"/>
      <c r="AH89" s="14"/>
      <c r="AI89" s="14"/>
      <c r="AJ89" s="14"/>
      <c r="AK89" s="14"/>
      <c r="AL89" s="14"/>
      <c r="AM89" s="14" t="s">
        <v>208</v>
      </c>
      <c r="AN89" s="14" t="s">
        <v>428</v>
      </c>
      <c r="AO89" s="14" t="s">
        <v>84</v>
      </c>
      <c r="AP89" s="14" t="s">
        <v>429</v>
      </c>
      <c r="AQ89" s="14">
        <v>0.0</v>
      </c>
      <c r="AR89" s="14" t="s">
        <v>196</v>
      </c>
    </row>
    <row r="90" ht="15.75" customHeight="1">
      <c r="A90" s="3" t="s">
        <v>39</v>
      </c>
      <c r="B90" s="3" t="s">
        <v>137</v>
      </c>
      <c r="C90" s="3" t="s">
        <v>102</v>
      </c>
      <c r="D90" s="3" t="s">
        <v>307</v>
      </c>
      <c r="E90" s="3" t="s">
        <v>150</v>
      </c>
      <c r="F90" s="3" t="s">
        <v>198</v>
      </c>
      <c r="G90" s="3" t="s">
        <v>69</v>
      </c>
      <c r="H90" s="3" t="s">
        <v>69</v>
      </c>
      <c r="I90" s="19" t="s">
        <v>110</v>
      </c>
      <c r="J90" s="3" t="s">
        <v>71</v>
      </c>
      <c r="K90" s="3">
        <v>3.0</v>
      </c>
      <c r="L90" s="3"/>
      <c r="M90" s="3"/>
      <c r="N90" s="3"/>
      <c r="O90" s="3"/>
      <c r="P90" s="3">
        <v>700.0</v>
      </c>
      <c r="Q90" s="3" t="s">
        <v>153</v>
      </c>
      <c r="R90" s="3" t="s">
        <v>75</v>
      </c>
      <c r="S90" s="3" t="s">
        <v>142</v>
      </c>
      <c r="T90" s="3" t="s">
        <v>39</v>
      </c>
      <c r="U90" s="3" t="s">
        <v>392</v>
      </c>
      <c r="V90" s="3" t="s">
        <v>201</v>
      </c>
      <c r="W90" s="3">
        <v>2.0</v>
      </c>
      <c r="X90" s="3">
        <v>1.0</v>
      </c>
      <c r="Y90" s="3">
        <v>4.0</v>
      </c>
      <c r="Z90" s="3">
        <v>3.0</v>
      </c>
      <c r="AA90" s="3">
        <v>2.0</v>
      </c>
      <c r="AB90" s="3">
        <v>0.0</v>
      </c>
      <c r="AC90" s="3">
        <v>1.1</v>
      </c>
      <c r="AD90" s="3"/>
      <c r="AE90" s="3" t="s">
        <v>110</v>
      </c>
      <c r="AF90" s="14"/>
      <c r="AG90" s="14"/>
      <c r="AH90" s="14"/>
      <c r="AI90" s="14"/>
      <c r="AJ90" s="14"/>
      <c r="AK90" s="14"/>
      <c r="AL90" s="14"/>
      <c r="AM90" s="14" t="s">
        <v>201</v>
      </c>
      <c r="AN90" s="14" t="s">
        <v>431</v>
      </c>
      <c r="AO90" s="14" t="s">
        <v>84</v>
      </c>
      <c r="AP90" s="14" t="s">
        <v>432</v>
      </c>
      <c r="AQ90" s="14">
        <v>-1.0</v>
      </c>
      <c r="AR90" s="14" t="s">
        <v>147</v>
      </c>
    </row>
    <row r="91" ht="15.75" customHeight="1">
      <c r="A91" s="3" t="s">
        <v>39</v>
      </c>
      <c r="B91" s="3" t="s">
        <v>137</v>
      </c>
      <c r="C91" s="3" t="s">
        <v>102</v>
      </c>
      <c r="D91" s="3" t="s">
        <v>308</v>
      </c>
      <c r="E91" s="3" t="s">
        <v>150</v>
      </c>
      <c r="F91" s="3" t="s">
        <v>198</v>
      </c>
      <c r="G91" s="3" t="s">
        <v>69</v>
      </c>
      <c r="H91" s="3" t="s">
        <v>69</v>
      </c>
      <c r="I91" s="19" t="s">
        <v>110</v>
      </c>
      <c r="J91" s="3" t="s">
        <v>71</v>
      </c>
      <c r="K91" s="3">
        <v>3.0</v>
      </c>
      <c r="L91" s="3"/>
      <c r="M91" s="3"/>
      <c r="N91" s="3"/>
      <c r="O91" s="3"/>
      <c r="P91" s="3">
        <v>700.0</v>
      </c>
      <c r="Q91" s="3" t="s">
        <v>153</v>
      </c>
      <c r="R91" s="3" t="s">
        <v>75</v>
      </c>
      <c r="S91" s="3" t="s">
        <v>142</v>
      </c>
      <c r="T91" s="3" t="s">
        <v>39</v>
      </c>
      <c r="U91" s="3" t="s">
        <v>392</v>
      </c>
      <c r="V91" s="3" t="s">
        <v>201</v>
      </c>
      <c r="W91" s="3">
        <v>2.0</v>
      </c>
      <c r="X91" s="3">
        <v>1.0</v>
      </c>
      <c r="Y91" s="3">
        <v>4.0</v>
      </c>
      <c r="Z91" s="3">
        <v>3.0</v>
      </c>
      <c r="AA91" s="3">
        <v>2.0</v>
      </c>
      <c r="AB91" s="3">
        <v>0.0</v>
      </c>
      <c r="AC91" s="3">
        <v>1.1</v>
      </c>
      <c r="AD91" s="3"/>
      <c r="AE91" s="3" t="s">
        <v>110</v>
      </c>
      <c r="AF91" s="14"/>
      <c r="AG91" s="14"/>
      <c r="AH91" s="14"/>
      <c r="AI91" s="14"/>
      <c r="AJ91" s="14"/>
      <c r="AK91" s="14"/>
      <c r="AL91" s="14"/>
      <c r="AM91" s="14" t="s">
        <v>201</v>
      </c>
      <c r="AN91" s="14" t="s">
        <v>438</v>
      </c>
      <c r="AO91" s="14" t="s">
        <v>84</v>
      </c>
      <c r="AP91" s="14" t="s">
        <v>440</v>
      </c>
      <c r="AQ91" s="14">
        <v>-1.0</v>
      </c>
      <c r="AR91" s="14" t="s">
        <v>147</v>
      </c>
    </row>
    <row r="92" ht="15.75" customHeight="1">
      <c r="A92" s="3" t="s">
        <v>39</v>
      </c>
      <c r="B92" s="3" t="s">
        <v>44</v>
      </c>
      <c r="C92" s="3" t="s">
        <v>102</v>
      </c>
      <c r="D92" s="3" t="s">
        <v>210</v>
      </c>
      <c r="E92" s="3" t="s">
        <v>106</v>
      </c>
      <c r="F92" s="3" t="s">
        <v>198</v>
      </c>
      <c r="G92" s="3" t="s">
        <v>69</v>
      </c>
      <c r="H92" s="3" t="s">
        <v>69</v>
      </c>
      <c r="I92" s="19" t="s">
        <v>110</v>
      </c>
      <c r="J92" s="3" t="s">
        <v>71</v>
      </c>
      <c r="K92" s="3">
        <v>3.0</v>
      </c>
      <c r="L92" s="3"/>
      <c r="M92" s="3"/>
      <c r="N92" s="3"/>
      <c r="O92" s="3"/>
      <c r="P92" s="3">
        <v>130.0</v>
      </c>
      <c r="Q92" s="3" t="s">
        <v>121</v>
      </c>
      <c r="R92" s="3" t="s">
        <v>75</v>
      </c>
      <c r="S92" s="3" t="s">
        <v>76</v>
      </c>
      <c r="T92" s="3" t="s">
        <v>39</v>
      </c>
      <c r="U92" s="3" t="s">
        <v>226</v>
      </c>
      <c r="V92" s="3" t="s">
        <v>201</v>
      </c>
      <c r="W92" s="3">
        <v>2.0</v>
      </c>
      <c r="X92" s="3">
        <v>5.0</v>
      </c>
      <c r="Y92" s="3">
        <v>4.0</v>
      </c>
      <c r="Z92" s="3">
        <v>3.0</v>
      </c>
      <c r="AA92" s="3">
        <v>4.0</v>
      </c>
      <c r="AB92" s="3">
        <v>0.0</v>
      </c>
      <c r="AC92" s="3">
        <v>2.9</v>
      </c>
      <c r="AD92" s="3"/>
      <c r="AE92" s="3" t="s">
        <v>110</v>
      </c>
      <c r="AF92" s="14"/>
      <c r="AG92" s="14"/>
      <c r="AH92" s="14"/>
      <c r="AI92" s="14"/>
      <c r="AJ92" s="14"/>
      <c r="AK92" s="14"/>
      <c r="AL92" s="14"/>
      <c r="AM92" s="14" t="s">
        <v>201</v>
      </c>
      <c r="AN92" s="14" t="s">
        <v>444</v>
      </c>
      <c r="AO92" s="14" t="s">
        <v>84</v>
      </c>
      <c r="AP92" s="14" t="s">
        <v>445</v>
      </c>
      <c r="AQ92" s="14">
        <v>0.0</v>
      </c>
      <c r="AR92" s="14" t="s">
        <v>196</v>
      </c>
    </row>
    <row r="93" ht="15.75" customHeight="1">
      <c r="A93" s="3" t="s">
        <v>39</v>
      </c>
      <c r="B93" s="3" t="s">
        <v>137</v>
      </c>
      <c r="C93" s="3" t="s">
        <v>102</v>
      </c>
      <c r="D93" s="3" t="s">
        <v>320</v>
      </c>
      <c r="E93" s="3" t="s">
        <v>271</v>
      </c>
      <c r="F93" s="3" t="s">
        <v>198</v>
      </c>
      <c r="G93" s="3" t="s">
        <v>69</v>
      </c>
      <c r="H93" s="3" t="s">
        <v>69</v>
      </c>
      <c r="I93" s="19" t="s">
        <v>110</v>
      </c>
      <c r="J93" s="3" t="s">
        <v>71</v>
      </c>
      <c r="K93" s="3">
        <v>3.0</v>
      </c>
      <c r="L93" s="3"/>
      <c r="M93" s="3"/>
      <c r="N93" s="3"/>
      <c r="O93" s="3"/>
      <c r="P93" s="3">
        <v>570.0</v>
      </c>
      <c r="Q93" s="3" t="s">
        <v>74</v>
      </c>
      <c r="R93" s="3" t="s">
        <v>75</v>
      </c>
      <c r="S93" s="3" t="s">
        <v>142</v>
      </c>
      <c r="T93" s="3" t="s">
        <v>39</v>
      </c>
      <c r="U93" s="3" t="s">
        <v>392</v>
      </c>
      <c r="V93" s="3" t="s">
        <v>201</v>
      </c>
      <c r="W93" s="3">
        <v>2.0</v>
      </c>
      <c r="X93" s="3">
        <v>2.0</v>
      </c>
      <c r="Y93" s="3">
        <v>4.0</v>
      </c>
      <c r="Z93" s="3">
        <v>3.0</v>
      </c>
      <c r="AA93" s="3">
        <v>2.0</v>
      </c>
      <c r="AB93" s="3">
        <v>0.0</v>
      </c>
      <c r="AC93" s="3">
        <v>1.3</v>
      </c>
      <c r="AD93" s="3"/>
      <c r="AE93" s="3" t="s">
        <v>110</v>
      </c>
      <c r="AF93" s="14"/>
      <c r="AG93" s="14"/>
      <c r="AH93" s="14"/>
      <c r="AI93" s="14"/>
      <c r="AJ93" s="14"/>
      <c r="AK93" s="14"/>
      <c r="AL93" s="14"/>
      <c r="AM93" s="14" t="s">
        <v>201</v>
      </c>
      <c r="AN93" s="14" t="s">
        <v>453</v>
      </c>
      <c r="AO93" s="14" t="s">
        <v>84</v>
      </c>
      <c r="AP93" s="14" t="s">
        <v>454</v>
      </c>
      <c r="AQ93" s="14">
        <v>-1.0</v>
      </c>
      <c r="AR93" s="14" t="s">
        <v>147</v>
      </c>
    </row>
    <row r="94" ht="15.75" customHeight="1">
      <c r="A94" s="3" t="s">
        <v>39</v>
      </c>
      <c r="B94" s="3" t="s">
        <v>137</v>
      </c>
      <c r="C94" s="3" t="s">
        <v>102</v>
      </c>
      <c r="D94" s="3" t="s">
        <v>323</v>
      </c>
      <c r="E94" s="3" t="s">
        <v>271</v>
      </c>
      <c r="F94" s="3" t="s">
        <v>198</v>
      </c>
      <c r="G94" s="3" t="s">
        <v>69</v>
      </c>
      <c r="H94" s="3" t="s">
        <v>69</v>
      </c>
      <c r="I94" s="19" t="s">
        <v>110</v>
      </c>
      <c r="J94" s="3" t="s">
        <v>71</v>
      </c>
      <c r="K94" s="3">
        <v>3.0</v>
      </c>
      <c r="L94" s="3"/>
      <c r="M94" s="3"/>
      <c r="N94" s="3"/>
      <c r="O94" s="3"/>
      <c r="P94" s="3">
        <v>570.0</v>
      </c>
      <c r="Q94" s="3" t="s">
        <v>74</v>
      </c>
      <c r="R94" s="3" t="s">
        <v>75</v>
      </c>
      <c r="S94" s="3" t="s">
        <v>142</v>
      </c>
      <c r="T94" s="3" t="s">
        <v>39</v>
      </c>
      <c r="U94" s="3" t="s">
        <v>392</v>
      </c>
      <c r="V94" s="3" t="s">
        <v>201</v>
      </c>
      <c r="W94" s="3">
        <v>2.0</v>
      </c>
      <c r="X94" s="3">
        <v>2.0</v>
      </c>
      <c r="Y94" s="3">
        <v>4.0</v>
      </c>
      <c r="Z94" s="3">
        <v>3.0</v>
      </c>
      <c r="AA94" s="3">
        <v>2.0</v>
      </c>
      <c r="AB94" s="3">
        <v>0.0</v>
      </c>
      <c r="AC94" s="3">
        <v>1.3</v>
      </c>
      <c r="AD94" s="3"/>
      <c r="AE94" s="3" t="s">
        <v>110</v>
      </c>
      <c r="AF94" s="14"/>
      <c r="AG94" s="14"/>
      <c r="AH94" s="14"/>
      <c r="AI94" s="14"/>
      <c r="AJ94" s="14"/>
      <c r="AK94" s="14"/>
      <c r="AL94" s="14"/>
      <c r="AM94" s="14" t="s">
        <v>201</v>
      </c>
      <c r="AN94" s="14" t="s">
        <v>460</v>
      </c>
      <c r="AO94" s="14" t="s">
        <v>84</v>
      </c>
      <c r="AP94" s="14" t="s">
        <v>461</v>
      </c>
      <c r="AQ94" s="14">
        <v>-1.0</v>
      </c>
      <c r="AR94" s="14" t="s">
        <v>147</v>
      </c>
    </row>
    <row r="95" ht="15.75" customHeight="1">
      <c r="A95" s="3" t="s">
        <v>39</v>
      </c>
      <c r="B95" s="3" t="s">
        <v>137</v>
      </c>
      <c r="C95" s="3" t="s">
        <v>102</v>
      </c>
      <c r="D95" s="3" t="s">
        <v>324</v>
      </c>
      <c r="E95" s="3" t="s">
        <v>271</v>
      </c>
      <c r="F95" s="3" t="s">
        <v>198</v>
      </c>
      <c r="G95" s="3" t="s">
        <v>69</v>
      </c>
      <c r="H95" s="3" t="s">
        <v>69</v>
      </c>
      <c r="I95" s="19" t="s">
        <v>110</v>
      </c>
      <c r="J95" s="3" t="s">
        <v>71</v>
      </c>
      <c r="K95" s="3">
        <v>3.0</v>
      </c>
      <c r="L95" s="3"/>
      <c r="M95" s="3"/>
      <c r="N95" s="3"/>
      <c r="O95" s="3"/>
      <c r="P95" s="3">
        <v>570.0</v>
      </c>
      <c r="Q95" s="3" t="s">
        <v>74</v>
      </c>
      <c r="R95" s="3" t="s">
        <v>75</v>
      </c>
      <c r="S95" s="3" t="s">
        <v>142</v>
      </c>
      <c r="T95" s="3" t="s">
        <v>39</v>
      </c>
      <c r="U95" s="3" t="s">
        <v>392</v>
      </c>
      <c r="V95" s="3" t="s">
        <v>201</v>
      </c>
      <c r="W95" s="3">
        <v>2.0</v>
      </c>
      <c r="X95" s="3">
        <v>2.0</v>
      </c>
      <c r="Y95" s="3">
        <v>4.0</v>
      </c>
      <c r="Z95" s="3">
        <v>3.0</v>
      </c>
      <c r="AA95" s="3">
        <v>2.0</v>
      </c>
      <c r="AB95" s="3">
        <v>0.0</v>
      </c>
      <c r="AC95" s="3">
        <v>1.3</v>
      </c>
      <c r="AD95" s="3"/>
      <c r="AE95" s="3" t="s">
        <v>110</v>
      </c>
      <c r="AF95" s="14"/>
      <c r="AG95" s="14"/>
      <c r="AH95" s="14"/>
      <c r="AI95" s="14"/>
      <c r="AJ95" s="14"/>
      <c r="AK95" s="14"/>
      <c r="AL95" s="14"/>
      <c r="AM95" s="14" t="s">
        <v>201</v>
      </c>
      <c r="AN95" s="14" t="s">
        <v>462</v>
      </c>
      <c r="AO95" s="14" t="s">
        <v>84</v>
      </c>
      <c r="AP95" s="14" t="s">
        <v>463</v>
      </c>
      <c r="AQ95" s="14">
        <v>-1.0</v>
      </c>
      <c r="AR95" s="14" t="s">
        <v>147</v>
      </c>
    </row>
    <row r="96" ht="15.75" customHeight="1">
      <c r="A96" s="3" t="s">
        <v>39</v>
      </c>
      <c r="B96" s="3" t="s">
        <v>137</v>
      </c>
      <c r="C96" s="3" t="s">
        <v>102</v>
      </c>
      <c r="D96" s="3" t="s">
        <v>325</v>
      </c>
      <c r="E96" s="3" t="s">
        <v>271</v>
      </c>
      <c r="F96" s="3" t="s">
        <v>198</v>
      </c>
      <c r="G96" s="3" t="s">
        <v>69</v>
      </c>
      <c r="H96" s="3" t="s">
        <v>69</v>
      </c>
      <c r="I96" s="19" t="s">
        <v>110</v>
      </c>
      <c r="J96" s="3" t="s">
        <v>71</v>
      </c>
      <c r="K96" s="3">
        <v>3.0</v>
      </c>
      <c r="L96" s="3"/>
      <c r="M96" s="3"/>
      <c r="N96" s="3"/>
      <c r="O96" s="3"/>
      <c r="P96" s="3">
        <v>570.0</v>
      </c>
      <c r="Q96" s="3" t="s">
        <v>74</v>
      </c>
      <c r="R96" s="3" t="s">
        <v>75</v>
      </c>
      <c r="S96" s="3" t="s">
        <v>142</v>
      </c>
      <c r="T96" s="3" t="s">
        <v>39</v>
      </c>
      <c r="U96" s="3" t="s">
        <v>392</v>
      </c>
      <c r="V96" s="3" t="s">
        <v>201</v>
      </c>
      <c r="W96" s="3">
        <v>2.0</v>
      </c>
      <c r="X96" s="3">
        <v>2.0</v>
      </c>
      <c r="Y96" s="3">
        <v>4.0</v>
      </c>
      <c r="Z96" s="3">
        <v>3.0</v>
      </c>
      <c r="AA96" s="3">
        <v>2.0</v>
      </c>
      <c r="AB96" s="3">
        <v>0.0</v>
      </c>
      <c r="AC96" s="3">
        <v>1.3</v>
      </c>
      <c r="AD96" s="3"/>
      <c r="AE96" s="3" t="s">
        <v>110</v>
      </c>
      <c r="AF96" s="14"/>
      <c r="AG96" s="14"/>
      <c r="AH96" s="14"/>
      <c r="AI96" s="14"/>
      <c r="AJ96" s="14"/>
      <c r="AK96" s="14"/>
      <c r="AL96" s="14"/>
      <c r="AM96" s="14" t="s">
        <v>201</v>
      </c>
      <c r="AN96" s="14" t="s">
        <v>464</v>
      </c>
      <c r="AO96" s="14" t="s">
        <v>84</v>
      </c>
      <c r="AP96" s="14" t="s">
        <v>465</v>
      </c>
      <c r="AQ96" s="14">
        <v>-1.0</v>
      </c>
      <c r="AR96" s="14" t="s">
        <v>147</v>
      </c>
    </row>
    <row r="97" ht="15.75" customHeight="1">
      <c r="A97" s="3" t="s">
        <v>39</v>
      </c>
      <c r="B97" s="3" t="s">
        <v>44</v>
      </c>
      <c r="C97" s="3" t="s">
        <v>102</v>
      </c>
      <c r="D97" s="3" t="s">
        <v>329</v>
      </c>
      <c r="E97" s="3" t="s">
        <v>68</v>
      </c>
      <c r="F97" s="3" t="s">
        <v>207</v>
      </c>
      <c r="G97" s="3" t="s">
        <v>69</v>
      </c>
      <c r="H97" s="3" t="s">
        <v>69</v>
      </c>
      <c r="I97" s="19" t="s">
        <v>110</v>
      </c>
      <c r="J97" s="3" t="s">
        <v>71</v>
      </c>
      <c r="K97" s="3">
        <v>10.0</v>
      </c>
      <c r="L97" s="3"/>
      <c r="M97" s="3"/>
      <c r="N97" s="3"/>
      <c r="O97" s="3"/>
      <c r="P97" s="3">
        <v>520.0</v>
      </c>
      <c r="Q97" s="3" t="s">
        <v>74</v>
      </c>
      <c r="R97" s="3" t="s">
        <v>75</v>
      </c>
      <c r="S97" s="3" t="s">
        <v>76</v>
      </c>
      <c r="T97" s="3" t="s">
        <v>39</v>
      </c>
      <c r="U97" s="3" t="s">
        <v>59</v>
      </c>
      <c r="V97" s="3" t="s">
        <v>208</v>
      </c>
      <c r="W97" s="3">
        <v>2.0</v>
      </c>
      <c r="X97" s="3">
        <v>2.0</v>
      </c>
      <c r="Y97" s="3">
        <v>4.0</v>
      </c>
      <c r="Z97" s="3">
        <v>3.0</v>
      </c>
      <c r="AA97" s="3">
        <v>4.0</v>
      </c>
      <c r="AB97" s="3">
        <v>0.0</v>
      </c>
      <c r="AC97" s="3">
        <v>2.5</v>
      </c>
      <c r="AD97" s="3"/>
      <c r="AE97" s="3" t="s">
        <v>110</v>
      </c>
      <c r="AF97" s="14"/>
      <c r="AG97" s="14"/>
      <c r="AH97" s="14"/>
      <c r="AI97" s="14"/>
      <c r="AJ97" s="14"/>
      <c r="AK97" s="14"/>
      <c r="AL97" s="14"/>
      <c r="AM97" s="14" t="s">
        <v>208</v>
      </c>
      <c r="AN97" s="14" t="s">
        <v>466</v>
      </c>
      <c r="AO97" s="14" t="s">
        <v>84</v>
      </c>
      <c r="AP97" s="14" t="s">
        <v>467</v>
      </c>
      <c r="AQ97" s="14">
        <v>0.0</v>
      </c>
      <c r="AR97" s="14" t="s">
        <v>196</v>
      </c>
    </row>
    <row r="98" ht="15.75" customHeight="1">
      <c r="A98" s="3" t="s">
        <v>39</v>
      </c>
      <c r="B98" s="3" t="s">
        <v>44</v>
      </c>
      <c r="C98" s="3" t="s">
        <v>102</v>
      </c>
      <c r="D98" s="3" t="s">
        <v>343</v>
      </c>
      <c r="E98" s="3" t="s">
        <v>164</v>
      </c>
      <c r="F98" s="3" t="s">
        <v>235</v>
      </c>
      <c r="G98" s="3" t="s">
        <v>69</v>
      </c>
      <c r="H98" s="3" t="s">
        <v>69</v>
      </c>
      <c r="I98" s="19" t="s">
        <v>110</v>
      </c>
      <c r="J98" s="3" t="s">
        <v>71</v>
      </c>
      <c r="K98" s="3">
        <v>10.0</v>
      </c>
      <c r="L98" s="3"/>
      <c r="M98" s="3"/>
      <c r="N98" s="3"/>
      <c r="O98" s="3"/>
      <c r="P98" s="3">
        <v>490.0</v>
      </c>
      <c r="Q98" s="3" t="s">
        <v>74</v>
      </c>
      <c r="R98" s="3" t="s">
        <v>75</v>
      </c>
      <c r="S98" s="3" t="s">
        <v>142</v>
      </c>
      <c r="T98" s="3" t="s">
        <v>39</v>
      </c>
      <c r="U98" s="3" t="s">
        <v>90</v>
      </c>
      <c r="V98" s="3" t="s">
        <v>236</v>
      </c>
      <c r="W98" s="3">
        <v>2.0</v>
      </c>
      <c r="X98" s="3">
        <v>2.0</v>
      </c>
      <c r="Y98" s="3">
        <v>4.0</v>
      </c>
      <c r="Z98" s="3">
        <v>3.0</v>
      </c>
      <c r="AA98" s="3">
        <v>2.0</v>
      </c>
      <c r="AB98" s="3">
        <v>0.0</v>
      </c>
      <c r="AC98" s="3">
        <v>2.3</v>
      </c>
      <c r="AD98" s="3"/>
      <c r="AE98" s="3" t="s">
        <v>110</v>
      </c>
      <c r="AF98" s="14"/>
      <c r="AG98" s="14"/>
      <c r="AH98" s="14"/>
      <c r="AI98" s="14"/>
      <c r="AJ98" s="14"/>
      <c r="AK98" s="14"/>
      <c r="AL98" s="14"/>
      <c r="AM98" s="14" t="s">
        <v>236</v>
      </c>
      <c r="AN98" s="14" t="s">
        <v>468</v>
      </c>
      <c r="AO98" s="14" t="s">
        <v>84</v>
      </c>
      <c r="AP98" s="14" t="s">
        <v>469</v>
      </c>
      <c r="AQ98" s="14">
        <v>0.0</v>
      </c>
      <c r="AR98" s="14" t="s">
        <v>196</v>
      </c>
    </row>
    <row r="99" ht="15.75" customHeight="1">
      <c r="A99" s="3" t="s">
        <v>39</v>
      </c>
      <c r="B99" s="3" t="s">
        <v>44</v>
      </c>
      <c r="C99" s="3" t="s">
        <v>102</v>
      </c>
      <c r="D99" s="3" t="s">
        <v>343</v>
      </c>
      <c r="E99" s="3" t="s">
        <v>164</v>
      </c>
      <c r="F99" s="3" t="s">
        <v>207</v>
      </c>
      <c r="G99" s="3" t="s">
        <v>69</v>
      </c>
      <c r="H99" s="3" t="s">
        <v>69</v>
      </c>
      <c r="I99" s="19" t="s">
        <v>110</v>
      </c>
      <c r="J99" s="3" t="s">
        <v>71</v>
      </c>
      <c r="K99" s="3">
        <v>10.0</v>
      </c>
      <c r="L99" s="3"/>
      <c r="M99" s="3"/>
      <c r="N99" s="3"/>
      <c r="O99" s="3"/>
      <c r="P99" s="3">
        <v>490.0</v>
      </c>
      <c r="Q99" s="3" t="s">
        <v>74</v>
      </c>
      <c r="R99" s="3" t="s">
        <v>75</v>
      </c>
      <c r="S99" s="3" t="s">
        <v>142</v>
      </c>
      <c r="T99" s="3" t="s">
        <v>39</v>
      </c>
      <c r="U99" s="3" t="s">
        <v>90</v>
      </c>
      <c r="V99" s="3" t="s">
        <v>208</v>
      </c>
      <c r="W99" s="3">
        <v>2.0</v>
      </c>
      <c r="X99" s="3">
        <v>2.0</v>
      </c>
      <c r="Y99" s="3">
        <v>4.0</v>
      </c>
      <c r="Z99" s="3">
        <v>3.0</v>
      </c>
      <c r="AA99" s="3">
        <v>2.0</v>
      </c>
      <c r="AB99" s="3">
        <v>0.0</v>
      </c>
      <c r="AC99" s="3">
        <v>2.3</v>
      </c>
      <c r="AD99" s="3"/>
      <c r="AE99" s="3" t="s">
        <v>110</v>
      </c>
      <c r="AF99" s="14"/>
      <c r="AG99" s="14"/>
      <c r="AH99" s="14"/>
      <c r="AI99" s="14"/>
      <c r="AJ99" s="14"/>
      <c r="AK99" s="14"/>
      <c r="AL99" s="14"/>
      <c r="AM99" s="14" t="s">
        <v>208</v>
      </c>
      <c r="AN99" s="14" t="s">
        <v>468</v>
      </c>
      <c r="AO99" s="14" t="s">
        <v>84</v>
      </c>
      <c r="AP99" s="14" t="s">
        <v>469</v>
      </c>
      <c r="AQ99" s="14">
        <v>0.0</v>
      </c>
      <c r="AR99" s="14" t="s">
        <v>196</v>
      </c>
    </row>
    <row r="100" ht="15.75" customHeight="1">
      <c r="A100" s="3" t="s">
        <v>39</v>
      </c>
      <c r="B100" s="3" t="s">
        <v>137</v>
      </c>
      <c r="C100" s="3" t="s">
        <v>102</v>
      </c>
      <c r="D100" s="3" t="s">
        <v>347</v>
      </c>
      <c r="E100" s="3" t="s">
        <v>271</v>
      </c>
      <c r="F100" s="3" t="s">
        <v>198</v>
      </c>
      <c r="G100" s="3" t="s">
        <v>69</v>
      </c>
      <c r="H100" s="3" t="s">
        <v>69</v>
      </c>
      <c r="I100" s="19" t="s">
        <v>110</v>
      </c>
      <c r="J100" s="3" t="s">
        <v>71</v>
      </c>
      <c r="K100" s="3">
        <v>3.0</v>
      </c>
      <c r="L100" s="3"/>
      <c r="M100" s="3"/>
      <c r="N100" s="3"/>
      <c r="O100" s="3"/>
      <c r="P100" s="3">
        <v>570.0</v>
      </c>
      <c r="Q100" s="3" t="s">
        <v>74</v>
      </c>
      <c r="R100" s="3" t="s">
        <v>75</v>
      </c>
      <c r="S100" s="3" t="s">
        <v>142</v>
      </c>
      <c r="T100" s="3" t="s">
        <v>39</v>
      </c>
      <c r="U100" s="3" t="s">
        <v>392</v>
      </c>
      <c r="V100" s="3" t="s">
        <v>201</v>
      </c>
      <c r="W100" s="3">
        <v>2.0</v>
      </c>
      <c r="X100" s="3">
        <v>2.0</v>
      </c>
      <c r="Y100" s="3">
        <v>4.0</v>
      </c>
      <c r="Z100" s="3">
        <v>3.0</v>
      </c>
      <c r="AA100" s="3">
        <v>2.0</v>
      </c>
      <c r="AB100" s="3">
        <v>0.0</v>
      </c>
      <c r="AC100" s="3">
        <v>1.3</v>
      </c>
      <c r="AD100" s="3"/>
      <c r="AE100" s="3" t="s">
        <v>110</v>
      </c>
      <c r="AF100" s="14"/>
      <c r="AG100" s="14"/>
      <c r="AH100" s="14"/>
      <c r="AI100" s="14"/>
      <c r="AJ100" s="14"/>
      <c r="AK100" s="14"/>
      <c r="AL100" s="14"/>
      <c r="AM100" s="14" t="s">
        <v>201</v>
      </c>
      <c r="AN100" s="14" t="s">
        <v>470</v>
      </c>
      <c r="AO100" s="14" t="s">
        <v>84</v>
      </c>
      <c r="AP100" s="14" t="s">
        <v>471</v>
      </c>
      <c r="AQ100" s="14">
        <v>-1.0</v>
      </c>
      <c r="AR100" s="14" t="s">
        <v>147</v>
      </c>
    </row>
    <row r="101" ht="15.75" customHeight="1">
      <c r="A101" s="3" t="s">
        <v>39</v>
      </c>
      <c r="B101" s="3" t="s">
        <v>137</v>
      </c>
      <c r="C101" s="3" t="s">
        <v>102</v>
      </c>
      <c r="D101" s="3" t="s">
        <v>348</v>
      </c>
      <c r="E101" s="3" t="s">
        <v>271</v>
      </c>
      <c r="F101" s="3" t="s">
        <v>198</v>
      </c>
      <c r="G101" s="3" t="s">
        <v>69</v>
      </c>
      <c r="H101" s="3" t="s">
        <v>69</v>
      </c>
      <c r="I101" s="19" t="s">
        <v>110</v>
      </c>
      <c r="J101" s="3" t="s">
        <v>71</v>
      </c>
      <c r="K101" s="3">
        <v>3.0</v>
      </c>
      <c r="L101" s="3"/>
      <c r="M101" s="3"/>
      <c r="N101" s="3"/>
      <c r="O101" s="3"/>
      <c r="P101" s="3">
        <v>570.0</v>
      </c>
      <c r="Q101" s="3" t="s">
        <v>74</v>
      </c>
      <c r="R101" s="3" t="s">
        <v>75</v>
      </c>
      <c r="S101" s="3" t="s">
        <v>142</v>
      </c>
      <c r="T101" s="3" t="s">
        <v>39</v>
      </c>
      <c r="U101" s="3" t="s">
        <v>392</v>
      </c>
      <c r="V101" s="3" t="s">
        <v>201</v>
      </c>
      <c r="W101" s="3">
        <v>2.0</v>
      </c>
      <c r="X101" s="3">
        <v>2.0</v>
      </c>
      <c r="Y101" s="3">
        <v>4.0</v>
      </c>
      <c r="Z101" s="3">
        <v>3.0</v>
      </c>
      <c r="AA101" s="3">
        <v>2.0</v>
      </c>
      <c r="AB101" s="3">
        <v>0.0</v>
      </c>
      <c r="AC101" s="3">
        <v>1.3</v>
      </c>
      <c r="AD101" s="3"/>
      <c r="AE101" s="3" t="s">
        <v>110</v>
      </c>
      <c r="AF101" s="14"/>
      <c r="AG101" s="14"/>
      <c r="AH101" s="14"/>
      <c r="AI101" s="14"/>
      <c r="AJ101" s="14"/>
      <c r="AK101" s="14"/>
      <c r="AL101" s="14"/>
      <c r="AM101" s="14" t="s">
        <v>201</v>
      </c>
      <c r="AN101" s="14" t="s">
        <v>472</v>
      </c>
      <c r="AO101" s="14" t="s">
        <v>84</v>
      </c>
      <c r="AP101" s="14" t="s">
        <v>473</v>
      </c>
      <c r="AQ101" s="14">
        <v>-1.0</v>
      </c>
      <c r="AR101" s="14" t="s">
        <v>147</v>
      </c>
    </row>
    <row r="102" ht="15.75" customHeight="1">
      <c r="A102" s="3" t="s">
        <v>39</v>
      </c>
      <c r="B102" s="3" t="s">
        <v>44</v>
      </c>
      <c r="C102" s="3" t="s">
        <v>102</v>
      </c>
      <c r="D102" s="3" t="s">
        <v>362</v>
      </c>
      <c r="E102" s="3" t="s">
        <v>271</v>
      </c>
      <c r="F102" s="3" t="s">
        <v>257</v>
      </c>
      <c r="G102" s="3" t="s">
        <v>39</v>
      </c>
      <c r="H102" s="3" t="s">
        <v>69</v>
      </c>
      <c r="I102" s="19" t="s">
        <v>122</v>
      </c>
      <c r="J102" s="3" t="s">
        <v>71</v>
      </c>
      <c r="K102" s="3">
        <v>0.0</v>
      </c>
      <c r="L102" s="3">
        <v>0.0</v>
      </c>
      <c r="M102" s="3"/>
      <c r="N102" s="3"/>
      <c r="O102" s="3"/>
      <c r="P102" s="3">
        <v>570.0</v>
      </c>
      <c r="Q102" s="3" t="s">
        <v>74</v>
      </c>
      <c r="R102" s="3" t="s">
        <v>75</v>
      </c>
      <c r="S102" s="3" t="s">
        <v>142</v>
      </c>
      <c r="T102" s="3" t="s">
        <v>39</v>
      </c>
      <c r="U102" s="3" t="s">
        <v>232</v>
      </c>
      <c r="V102" s="3" t="s">
        <v>258</v>
      </c>
      <c r="W102" s="3">
        <v>2.0</v>
      </c>
      <c r="X102" s="3">
        <v>2.0</v>
      </c>
      <c r="Y102" s="3">
        <v>5.0</v>
      </c>
      <c r="Z102" s="3">
        <v>3.0</v>
      </c>
      <c r="AA102" s="3">
        <v>2.0</v>
      </c>
      <c r="AB102" s="3">
        <v>0.0</v>
      </c>
      <c r="AC102" s="3">
        <v>2.5</v>
      </c>
      <c r="AD102" s="3">
        <v>0.0</v>
      </c>
      <c r="AE102" s="3" t="s">
        <v>122</v>
      </c>
      <c r="AF102" s="14"/>
      <c r="AG102" s="14"/>
      <c r="AH102" s="14"/>
      <c r="AI102" s="14"/>
      <c r="AJ102" s="14"/>
      <c r="AK102" s="14"/>
      <c r="AL102" s="14"/>
      <c r="AM102" s="14" t="s">
        <v>258</v>
      </c>
      <c r="AN102" s="14" t="s">
        <v>478</v>
      </c>
      <c r="AO102" s="14" t="s">
        <v>84</v>
      </c>
      <c r="AP102" s="14" t="s">
        <v>479</v>
      </c>
      <c r="AQ102" s="14">
        <v>0.0</v>
      </c>
      <c r="AR102" s="14" t="s">
        <v>196</v>
      </c>
    </row>
    <row r="103" ht="15.75" customHeight="1">
      <c r="A103" s="3" t="s">
        <v>39</v>
      </c>
      <c r="B103" s="3" t="s">
        <v>44</v>
      </c>
      <c r="C103" s="3" t="s">
        <v>102</v>
      </c>
      <c r="D103" s="3" t="s">
        <v>362</v>
      </c>
      <c r="E103" s="3" t="s">
        <v>271</v>
      </c>
      <c r="F103" s="3" t="s">
        <v>363</v>
      </c>
      <c r="G103" s="3" t="s">
        <v>39</v>
      </c>
      <c r="H103" s="3" t="s">
        <v>69</v>
      </c>
      <c r="I103" s="19" t="s">
        <v>122</v>
      </c>
      <c r="J103" s="3" t="s">
        <v>71</v>
      </c>
      <c r="K103" s="3">
        <v>0.0</v>
      </c>
      <c r="L103" s="3">
        <v>0.0</v>
      </c>
      <c r="M103" s="3"/>
      <c r="N103" s="3"/>
      <c r="O103" s="3"/>
      <c r="P103" s="3">
        <v>570.0</v>
      </c>
      <c r="Q103" s="3" t="s">
        <v>74</v>
      </c>
      <c r="R103" s="3" t="s">
        <v>75</v>
      </c>
      <c r="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 </c>
      <c r="X103" s="3">
        <v>2.0</v>
      </c>
      <c r="Y103" s="3">
        <v>5.0</v>
      </c>
      <c r="Z103" s="3">
        <v>3.0</v>
      </c>
      <c r="AA103" s="3">
        <v>2.0</v>
      </c>
      <c r="AB103" s="3">
        <v>0.0</v>
      </c>
      <c r="AC103" s="3">
        <v>2.5</v>
      </c>
      <c r="AD103" s="3">
        <v>0.0</v>
      </c>
      <c r="AE103" s="3" t="s">
        <v>122</v>
      </c>
      <c r="AF103" s="14"/>
      <c r="AG103" s="14"/>
      <c r="AH103" s="14"/>
      <c r="AI103" s="14"/>
      <c r="AJ103" s="14"/>
      <c r="AK103" s="14"/>
      <c r="AL103" s="14"/>
      <c r="AM103" s="14" t="s">
        <v>364</v>
      </c>
      <c r="AN103" s="14" t="s">
        <v>478</v>
      </c>
      <c r="AO103" s="14" t="s">
        <v>84</v>
      </c>
      <c r="AP103" s="14" t="s">
        <v>479</v>
      </c>
      <c r="AQ103" s="14">
        <v>0.0</v>
      </c>
      <c r="AR103" s="14" t="s">
        <v>196</v>
      </c>
    </row>
    <row r="104" ht="15.75" customHeight="1">
      <c r="A104" s="3" t="s">
        <v>39</v>
      </c>
      <c r="B104" s="3" t="s">
        <v>44</v>
      </c>
      <c r="C104" s="3" t="s">
        <v>102</v>
      </c>
      <c r="D104" s="3" t="s">
        <v>371</v>
      </c>
      <c r="E104" s="3" t="s">
        <v>271</v>
      </c>
      <c r="F104" s="3" t="s">
        <v>257</v>
      </c>
      <c r="G104" s="3" t="s">
        <v>39</v>
      </c>
      <c r="H104" s="3" t="s">
        <v>69</v>
      </c>
      <c r="I104" s="19" t="s">
        <v>122</v>
      </c>
      <c r="J104" s="3" t="s">
        <v>71</v>
      </c>
      <c r="K104" s="3">
        <v>0.0</v>
      </c>
      <c r="L104" s="3">
        <v>0.0</v>
      </c>
      <c r="M104" s="3"/>
      <c r="N104" s="3"/>
      <c r="O104" s="3"/>
      <c r="P104" s="3">
        <v>570.0</v>
      </c>
      <c r="Q104" s="3" t="s">
        <v>74</v>
      </c>
      <c r="R104" s="3" t="s">
        <v>75</v>
      </c>
      <c r="S104" s="3" t="s">
        <v>142</v>
      </c>
      <c r="T104" s="3" t="s">
        <v>39</v>
      </c>
      <c r="U104" s="3" t="s">
        <v>232</v>
      </c>
      <c r="V104" s="3" t="s">
        <v>258</v>
      </c>
      <c r="W104" s="3">
        <v>2.0</v>
      </c>
      <c r="X104" s="3">
        <v>2.0</v>
      </c>
      <c r="Y104" s="3">
        <v>5.0</v>
      </c>
      <c r="Z104" s="3">
        <v>3.0</v>
      </c>
      <c r="AA104" s="3">
        <v>2.0</v>
      </c>
      <c r="AB104" s="3">
        <v>0.0</v>
      </c>
      <c r="AC104" s="3">
        <v>2.5</v>
      </c>
      <c r="AD104" s="3">
        <v>0.0</v>
      </c>
      <c r="AE104" s="3" t="s">
        <v>122</v>
      </c>
      <c r="AF104" s="14"/>
      <c r="AG104" s="14"/>
      <c r="AH104" s="14"/>
      <c r="AI104" s="14"/>
      <c r="AJ104" s="14"/>
      <c r="AK104" s="14"/>
      <c r="AL104" s="14"/>
      <c r="AM104" s="14" t="s">
        <v>258</v>
      </c>
      <c r="AN104" s="14" t="s">
        <v>481</v>
      </c>
      <c r="AO104" s="14" t="s">
        <v>84</v>
      </c>
      <c r="AP104" s="14" t="s">
        <v>482</v>
      </c>
      <c r="AQ104" s="14">
        <v>0.0</v>
      </c>
      <c r="AR104" s="14" t="s">
        <v>196</v>
      </c>
    </row>
    <row r="105" ht="15.75" customHeight="1">
      <c r="A105" s="3" t="s">
        <v>39</v>
      </c>
      <c r="B105" s="3" t="s">
        <v>44</v>
      </c>
      <c r="C105" s="3" t="s">
        <v>102</v>
      </c>
      <c r="D105" s="3" t="s">
        <v>246</v>
      </c>
      <c r="E105" s="3" t="s">
        <v>202</v>
      </c>
      <c r="F105" s="3" t="s">
        <v>379</v>
      </c>
      <c r="G105" s="3" t="s">
        <v>39</v>
      </c>
      <c r="H105" s="3" t="s">
        <v>69</v>
      </c>
      <c r="I105" s="19" t="s">
        <v>122</v>
      </c>
      <c r="J105" s="3" t="s">
        <v>71</v>
      </c>
      <c r="K105" s="3">
        <v>0.0</v>
      </c>
      <c r="L105" s="3">
        <v>0.0</v>
      </c>
      <c r="M105" s="3"/>
      <c r="N105" s="3"/>
      <c r="O105" s="3"/>
      <c r="P105" s="3">
        <v>500.0</v>
      </c>
      <c r="Q105" s="3" t="s">
        <v>74</v>
      </c>
      <c r="R105" s="3" t="s">
        <v>75</v>
      </c>
      <c r="S105" s="3" t="s">
        <v>142</v>
      </c>
      <c r="T105" s="3" t="s">
        <v>39</v>
      </c>
      <c r="U105" s="3" t="s">
        <v>232</v>
      </c>
      <c r="V105" s="3" t="s">
        <v>382</v>
      </c>
      <c r="W105" s="3">
        <v>2.0</v>
      </c>
      <c r="X105" s="3">
        <v>2.0</v>
      </c>
      <c r="Y105" s="3">
        <v>5.0</v>
      </c>
      <c r="Z105" s="3">
        <v>3.0</v>
      </c>
      <c r="AA105" s="3">
        <v>2.0</v>
      </c>
      <c r="AB105" s="3">
        <v>0.0</v>
      </c>
      <c r="AC105" s="3">
        <v>2.5</v>
      </c>
      <c r="AD105" s="3">
        <v>0.0</v>
      </c>
      <c r="AE105" s="3" t="s">
        <v>122</v>
      </c>
      <c r="AF105" s="14"/>
      <c r="AG105" s="14"/>
      <c r="AH105" s="14"/>
      <c r="AI105" s="14"/>
      <c r="AJ105" s="14"/>
      <c r="AK105" s="14"/>
      <c r="AL105" s="14"/>
      <c r="AM105" s="14" t="s">
        <v>382</v>
      </c>
      <c r="AN105" s="14" t="s">
        <v>399</v>
      </c>
      <c r="AO105" s="14" t="s">
        <v>84</v>
      </c>
      <c r="AP105" s="14" t="s">
        <v>401</v>
      </c>
      <c r="AQ105" s="14">
        <v>0.0</v>
      </c>
      <c r="AR105" s="14" t="s">
        <v>196</v>
      </c>
    </row>
    <row r="106" ht="15.75" customHeight="1">
      <c r="A106" s="3" t="s">
        <v>39</v>
      </c>
      <c r="B106" s="3" t="s">
        <v>44</v>
      </c>
      <c r="C106" s="3" t="s">
        <v>102</v>
      </c>
      <c r="D106" s="3" t="s">
        <v>383</v>
      </c>
      <c r="E106" s="3" t="s">
        <v>240</v>
      </c>
      <c r="F106" s="3" t="s">
        <v>120</v>
      </c>
      <c r="G106" s="3" t="s">
        <v>39</v>
      </c>
      <c r="H106" s="3" t="s">
        <v>69</v>
      </c>
      <c r="I106" s="19" t="s">
        <v>122</v>
      </c>
      <c r="J106" s="3" t="s">
        <v>71</v>
      </c>
      <c r="K106" s="3">
        <v>0.0</v>
      </c>
      <c r="L106" s="3">
        <v>0.0</v>
      </c>
      <c r="M106" s="3"/>
      <c r="N106" s="3"/>
      <c r="O106" s="3"/>
      <c r="P106" s="3">
        <v>610.0</v>
      </c>
      <c r="Q106" s="3" t="s">
        <v>153</v>
      </c>
      <c r="R106" s="3" t="s">
        <v>75</v>
      </c>
      <c r="S106" s="3" t="s">
        <v>142</v>
      </c>
      <c r="T106" s="3" t="s">
        <v>39</v>
      </c>
      <c r="U106" s="3" t="s">
        <v>90</v>
      </c>
      <c r="V106" s="3" t="s">
        <v>125</v>
      </c>
      <c r="W106" s="3">
        <v>2.0</v>
      </c>
      <c r="X106" s="3">
        <v>1.0</v>
      </c>
      <c r="Y106" s="3">
        <v>5.0</v>
      </c>
      <c r="Z106" s="3">
        <v>3.0</v>
      </c>
      <c r="AA106" s="3">
        <v>2.0</v>
      </c>
      <c r="AB106" s="3">
        <v>0.0</v>
      </c>
      <c r="AC106" s="3">
        <v>2.4</v>
      </c>
      <c r="AD106" s="3">
        <v>0.0</v>
      </c>
      <c r="AE106" s="3" t="s">
        <v>122</v>
      </c>
      <c r="AF106" s="14"/>
      <c r="AG106" s="14"/>
      <c r="AH106" s="14"/>
      <c r="AI106" s="14"/>
      <c r="AJ106" s="14"/>
      <c r="AK106" s="14"/>
      <c r="AL106" s="14"/>
      <c r="AM106" s="14" t="s">
        <v>125</v>
      </c>
      <c r="AN106" s="14" t="s">
        <v>483</v>
      </c>
      <c r="AO106" s="14" t="s">
        <v>84</v>
      </c>
      <c r="AP106" s="14" t="s">
        <v>484</v>
      </c>
      <c r="AQ106" s="14">
        <v>0.0</v>
      </c>
      <c r="AR106" s="14" t="s">
        <v>196</v>
      </c>
    </row>
    <row r="107" ht="15.75" customHeight="1">
      <c r="A107" s="3" t="s">
        <v>39</v>
      </c>
      <c r="B107" s="3" t="s">
        <v>44</v>
      </c>
      <c r="C107" s="3" t="s">
        <v>102</v>
      </c>
      <c r="D107" s="3" t="s">
        <v>391</v>
      </c>
      <c r="E107" s="3" t="s">
        <v>271</v>
      </c>
      <c r="F107" s="3" t="s">
        <v>379</v>
      </c>
      <c r="G107" s="3" t="s">
        <v>39</v>
      </c>
      <c r="H107" s="3" t="s">
        <v>69</v>
      </c>
      <c r="I107" s="19" t="s">
        <v>122</v>
      </c>
      <c r="J107" s="3" t="s">
        <v>71</v>
      </c>
      <c r="K107" s="3">
        <v>0.0</v>
      </c>
      <c r="L107" s="3">
        <v>0.0</v>
      </c>
      <c r="M107" s="3"/>
      <c r="N107" s="3"/>
      <c r="O107" s="3"/>
      <c r="P107" s="3">
        <v>570.0</v>
      </c>
      <c r="Q107" s="3" t="s">
        <v>74</v>
      </c>
      <c r="R107" s="3" t="s">
        <v>75</v>
      </c>
      <c r="S107" s="3" t="s">
        <v>142</v>
      </c>
      <c r="T107" s="3" t="s">
        <v>39</v>
      </c>
      <c r="U107" s="3" t="s">
        <v>232</v>
      </c>
      <c r="V107" s="3" t="s">
        <v>382</v>
      </c>
      <c r="W107" s="3">
        <v>2.0</v>
      </c>
      <c r="X107" s="3">
        <v>2.0</v>
      </c>
      <c r="Y107" s="3">
        <v>5.0</v>
      </c>
      <c r="Z107" s="3">
        <v>3.0</v>
      </c>
      <c r="AA107" s="3">
        <v>2.0</v>
      </c>
      <c r="AB107" s="3">
        <v>0.0</v>
      </c>
      <c r="AC107" s="3">
        <v>2.5</v>
      </c>
      <c r="AD107" s="3">
        <v>0.0</v>
      </c>
      <c r="AE107" s="3" t="s">
        <v>122</v>
      </c>
      <c r="AF107" s="14"/>
      <c r="AG107" s="14"/>
      <c r="AH107" s="14"/>
      <c r="AI107" s="14"/>
      <c r="AJ107" s="14"/>
      <c r="AK107" s="14"/>
      <c r="AL107" s="14"/>
      <c r="AM107" s="14" t="s">
        <v>382</v>
      </c>
      <c r="AN107" s="14" t="s">
        <v>486</v>
      </c>
      <c r="AO107" s="14" t="s">
        <v>84</v>
      </c>
      <c r="AP107" s="14" t="s">
        <v>487</v>
      </c>
      <c r="AQ107" s="14">
        <v>0.0</v>
      </c>
      <c r="AR107" s="14" t="s">
        <v>196</v>
      </c>
    </row>
    <row r="108" ht="15.75" customHeight="1">
      <c r="A108" s="3" t="s">
        <v>39</v>
      </c>
      <c r="B108" s="3" t="s">
        <v>44</v>
      </c>
      <c r="C108" s="3" t="s">
        <v>102</v>
      </c>
      <c r="D108" s="3" t="s">
        <v>256</v>
      </c>
      <c r="E108" s="3" t="s">
        <v>186</v>
      </c>
      <c r="F108" s="3" t="s">
        <v>257</v>
      </c>
      <c r="G108" s="3" t="s">
        <v>39</v>
      </c>
      <c r="H108" s="3" t="s">
        <v>69</v>
      </c>
      <c r="I108" s="19" t="s">
        <v>122</v>
      </c>
      <c r="J108" s="3" t="s">
        <v>71</v>
      </c>
      <c r="K108" s="3">
        <v>0.0</v>
      </c>
      <c r="L108" s="3">
        <v>0.0</v>
      </c>
      <c r="M108" s="3"/>
      <c r="N108" s="3"/>
      <c r="O108" s="3"/>
      <c r="P108" s="3">
        <v>360.0</v>
      </c>
      <c r="Q108" s="3" t="s">
        <v>140</v>
      </c>
      <c r="R108" s="3" t="s">
        <v>75</v>
      </c>
      <c r="S108" s="3" t="s">
        <v>142</v>
      </c>
      <c r="T108" s="3" t="s">
        <v>39</v>
      </c>
      <c r="U108" s="3" t="s">
        <v>232</v>
      </c>
      <c r="V108" s="3" t="s">
        <v>258</v>
      </c>
      <c r="W108" s="3">
        <v>2.0</v>
      </c>
      <c r="X108" s="3">
        <v>3.0</v>
      </c>
      <c r="Y108" s="3">
        <v>5.0</v>
      </c>
      <c r="Z108" s="3">
        <v>3.0</v>
      </c>
      <c r="AA108" s="3">
        <v>2.0</v>
      </c>
      <c r="AB108" s="3">
        <v>0.0</v>
      </c>
      <c r="AC108" s="3">
        <v>2.7</v>
      </c>
      <c r="AD108" s="3">
        <v>0.0</v>
      </c>
      <c r="AE108" s="3" t="s">
        <v>122</v>
      </c>
      <c r="AF108" s="14"/>
      <c r="AG108" s="14"/>
      <c r="AH108" s="14"/>
      <c r="AI108" s="14"/>
      <c r="AJ108" s="14"/>
      <c r="AK108" s="14"/>
      <c r="AL108" s="14"/>
      <c r="AM108" s="14" t="s">
        <v>258</v>
      </c>
      <c r="AN108" s="14" t="s">
        <v>489</v>
      </c>
      <c r="AO108" s="14" t="s">
        <v>84</v>
      </c>
      <c r="AP108" s="14" t="s">
        <v>490</v>
      </c>
      <c r="AQ108" s="14">
        <v>0.0</v>
      </c>
      <c r="AR108" s="14" t="s">
        <v>196</v>
      </c>
    </row>
    <row r="109" ht="15.75" customHeight="1">
      <c r="A109" s="3" t="s">
        <v>39</v>
      </c>
      <c r="B109" s="3" t="s">
        <v>44</v>
      </c>
      <c r="C109" s="3" t="s">
        <v>102</v>
      </c>
      <c r="D109" s="3" t="s">
        <v>262</v>
      </c>
      <c r="E109" s="3" t="s">
        <v>186</v>
      </c>
      <c r="F109" s="3" t="s">
        <v>257</v>
      </c>
      <c r="G109" s="3" t="s">
        <v>39</v>
      </c>
      <c r="H109" s="3" t="s">
        <v>69</v>
      </c>
      <c r="I109" s="19" t="s">
        <v>122</v>
      </c>
      <c r="J109" s="3" t="s">
        <v>71</v>
      </c>
      <c r="K109" s="3">
        <v>0.0</v>
      </c>
      <c r="L109" s="3">
        <v>0.0</v>
      </c>
      <c r="M109" s="3"/>
      <c r="N109" s="3"/>
      <c r="O109" s="3"/>
      <c r="P109" s="3">
        <v>360.0</v>
      </c>
      <c r="Q109" s="3" t="s">
        <v>140</v>
      </c>
      <c r="R109" s="3" t="s">
        <v>75</v>
      </c>
      <c r="S109" s="3" t="s">
        <v>142</v>
      </c>
      <c r="T109" s="3" t="s">
        <v>39</v>
      </c>
      <c r="U109" s="3" t="s">
        <v>232</v>
      </c>
      <c r="V109" s="3" t="s">
        <v>258</v>
      </c>
      <c r="W109" s="3">
        <v>2.0</v>
      </c>
      <c r="X109" s="3">
        <v>3.0</v>
      </c>
      <c r="Y109" s="3">
        <v>5.0</v>
      </c>
      <c r="Z109" s="3">
        <v>3.0</v>
      </c>
      <c r="AA109" s="3">
        <v>2.0</v>
      </c>
      <c r="AB109" s="3">
        <v>0.0</v>
      </c>
      <c r="AC109" s="3">
        <v>2.7</v>
      </c>
      <c r="AD109" s="3">
        <v>0.0</v>
      </c>
      <c r="AE109" s="3" t="s">
        <v>122</v>
      </c>
      <c r="AF109" s="14"/>
      <c r="AG109" s="14"/>
      <c r="AH109" s="14"/>
      <c r="AI109" s="14"/>
      <c r="AJ109" s="14"/>
      <c r="AK109" s="14"/>
      <c r="AL109" s="14"/>
      <c r="AM109" s="14" t="s">
        <v>258</v>
      </c>
      <c r="AN109" s="14" t="s">
        <v>492</v>
      </c>
      <c r="AO109" s="14" t="s">
        <v>84</v>
      </c>
      <c r="AP109" s="14" t="s">
        <v>493</v>
      </c>
      <c r="AQ109" s="14">
        <v>0.0</v>
      </c>
      <c r="AR109" s="14" t="s">
        <v>196</v>
      </c>
    </row>
    <row r="110" ht="15.75" customHeight="1">
      <c r="A110" s="3" t="s">
        <v>39</v>
      </c>
      <c r="B110" s="3" t="s">
        <v>44</v>
      </c>
      <c r="C110" s="3" t="s">
        <v>102</v>
      </c>
      <c r="D110" s="3" t="s">
        <v>118</v>
      </c>
      <c r="E110" s="3" t="s">
        <v>150</v>
      </c>
      <c r="F110" s="3" t="s">
        <v>120</v>
      </c>
      <c r="G110" s="3" t="s">
        <v>39</v>
      </c>
      <c r="H110" s="3" t="s">
        <v>69</v>
      </c>
      <c r="I110" s="19" t="s">
        <v>122</v>
      </c>
      <c r="J110" s="3" t="s">
        <v>71</v>
      </c>
      <c r="K110" s="3">
        <v>0.0</v>
      </c>
      <c r="L110" s="3">
        <v>0.0</v>
      </c>
      <c r="M110" s="3"/>
      <c r="N110" s="3"/>
      <c r="O110" s="3"/>
      <c r="P110" s="3">
        <v>700.0</v>
      </c>
      <c r="Q110" s="3" t="s">
        <v>153</v>
      </c>
      <c r="R110" s="3" t="s">
        <v>75</v>
      </c>
      <c r="S110" s="3" t="s">
        <v>142</v>
      </c>
      <c r="T110" s="3" t="s">
        <v>39</v>
      </c>
      <c r="U110" s="3" t="s">
        <v>90</v>
      </c>
      <c r="V110" s="3" t="s">
        <v>125</v>
      </c>
      <c r="W110" s="3">
        <v>2.0</v>
      </c>
      <c r="X110" s="3">
        <v>1.0</v>
      </c>
      <c r="Y110" s="3">
        <v>5.0</v>
      </c>
      <c r="Z110" s="3">
        <v>3.0</v>
      </c>
      <c r="AA110" s="3">
        <v>2.0</v>
      </c>
      <c r="AB110" s="3">
        <v>0.0</v>
      </c>
      <c r="AC110" s="3">
        <v>2.4</v>
      </c>
      <c r="AD110" s="3">
        <v>0.0</v>
      </c>
      <c r="AE110" s="3" t="s">
        <v>122</v>
      </c>
      <c r="AF110" s="14"/>
      <c r="AG110" s="14"/>
      <c r="AH110" s="14"/>
      <c r="AI110" s="14"/>
      <c r="AJ110" s="14"/>
      <c r="AK110" s="14"/>
      <c r="AL110" s="14"/>
      <c r="AM110" s="14" t="s">
        <v>125</v>
      </c>
      <c r="AN110" s="14" t="s">
        <v>156</v>
      </c>
      <c r="AO110" s="14" t="s">
        <v>84</v>
      </c>
      <c r="AP110" s="14" t="s">
        <v>157</v>
      </c>
      <c r="AQ110" s="14">
        <v>0.0</v>
      </c>
      <c r="AR110" s="14" t="s">
        <v>196</v>
      </c>
    </row>
    <row r="111" ht="15.75" customHeight="1">
      <c r="A111" s="3" t="s">
        <v>39</v>
      </c>
      <c r="B111" s="3" t="s">
        <v>44</v>
      </c>
      <c r="C111" s="3" t="s">
        <v>102</v>
      </c>
      <c r="D111" s="3" t="s">
        <v>126</v>
      </c>
      <c r="E111" s="3" t="s">
        <v>150</v>
      </c>
      <c r="F111" s="3" t="s">
        <v>120</v>
      </c>
      <c r="G111" s="3" t="s">
        <v>39</v>
      </c>
      <c r="H111" s="3" t="s">
        <v>69</v>
      </c>
      <c r="I111" s="19" t="s">
        <v>122</v>
      </c>
      <c r="J111" s="3" t="s">
        <v>71</v>
      </c>
      <c r="K111" s="3">
        <v>0.0</v>
      </c>
      <c r="L111" s="3">
        <v>0.0</v>
      </c>
      <c r="M111" s="3"/>
      <c r="N111" s="3"/>
      <c r="O111" s="3"/>
      <c r="P111" s="3">
        <v>700.0</v>
      </c>
      <c r="Q111" s="3" t="s">
        <v>153</v>
      </c>
      <c r="R111" s="3" t="s">
        <v>75</v>
      </c>
      <c r="S111" s="3" t="s">
        <v>142</v>
      </c>
      <c r="T111" s="3" t="s">
        <v>39</v>
      </c>
      <c r="U111" s="3" t="s">
        <v>90</v>
      </c>
      <c r="V111" s="3" t="s">
        <v>125</v>
      </c>
      <c r="W111" s="3">
        <v>2.0</v>
      </c>
      <c r="X111" s="3">
        <v>1.0</v>
      </c>
      <c r="Y111" s="3">
        <v>5.0</v>
      </c>
      <c r="Z111" s="3">
        <v>3.0</v>
      </c>
      <c r="AA111" s="3">
        <v>2.0</v>
      </c>
      <c r="AB111" s="3">
        <v>0.0</v>
      </c>
      <c r="AC111" s="3">
        <v>2.4</v>
      </c>
      <c r="AD111" s="3">
        <v>0.0</v>
      </c>
      <c r="AE111" s="3" t="s">
        <v>122</v>
      </c>
      <c r="AF111" s="14"/>
      <c r="AG111" s="14"/>
      <c r="AH111" s="14"/>
      <c r="AI111" s="14"/>
      <c r="AJ111" s="14"/>
      <c r="AK111" s="14"/>
      <c r="AL111" s="14"/>
      <c r="AM111" s="14" t="s">
        <v>125</v>
      </c>
      <c r="AN111" s="14" t="s">
        <v>161</v>
      </c>
      <c r="AO111" s="14" t="s">
        <v>84</v>
      </c>
      <c r="AP111" s="14" t="s">
        <v>162</v>
      </c>
      <c r="AQ111" s="14">
        <v>0.0</v>
      </c>
      <c r="AR111" s="14" t="s">
        <v>196</v>
      </c>
    </row>
    <row r="112" ht="15.75" customHeight="1">
      <c r="A112" s="3" t="s">
        <v>39</v>
      </c>
      <c r="B112" s="3" t="s">
        <v>44</v>
      </c>
      <c r="C112" s="3" t="s">
        <v>102</v>
      </c>
      <c r="D112" s="3" t="s">
        <v>126</v>
      </c>
      <c r="E112" s="3" t="s">
        <v>150</v>
      </c>
      <c r="F112" s="3" t="s">
        <v>165</v>
      </c>
      <c r="G112" s="3" t="s">
        <v>39</v>
      </c>
      <c r="H112" s="3" t="s">
        <v>69</v>
      </c>
      <c r="I112" s="19" t="s">
        <v>122</v>
      </c>
      <c r="J112" s="3" t="s">
        <v>71</v>
      </c>
      <c r="K112" s="3">
        <v>0.0</v>
      </c>
      <c r="L112" s="3">
        <v>0.0</v>
      </c>
      <c r="M112" s="3"/>
      <c r="N112" s="3"/>
      <c r="O112" s="3"/>
      <c r="P112" s="3">
        <v>700.0</v>
      </c>
      <c r="Q112" s="3" t="s">
        <v>153</v>
      </c>
      <c r="R112" s="3" t="s">
        <v>75</v>
      </c>
      <c r="S112" s="3" t="s">
        <v>142</v>
      </c>
      <c r="T112" s="3" t="s">
        <v>39</v>
      </c>
      <c r="U112" s="3" t="s">
        <v>90</v>
      </c>
      <c r="V112" s="3" t="s">
        <v>166</v>
      </c>
      <c r="W112" s="3">
        <v>2.0</v>
      </c>
      <c r="X112" s="3">
        <v>1.0</v>
      </c>
      <c r="Y112" s="3">
        <v>5.0</v>
      </c>
      <c r="Z112" s="3">
        <v>3.0</v>
      </c>
      <c r="AA112" s="3">
        <v>2.0</v>
      </c>
      <c r="AB112" s="3">
        <v>0.0</v>
      </c>
      <c r="AC112" s="3">
        <v>2.4</v>
      </c>
      <c r="AD112" s="3">
        <v>0.0</v>
      </c>
      <c r="AE112" s="3" t="s">
        <v>122</v>
      </c>
      <c r="AF112" s="14"/>
      <c r="AG112" s="14"/>
      <c r="AH112" s="14"/>
      <c r="AI112" s="14"/>
      <c r="AJ112" s="14"/>
      <c r="AK112" s="14"/>
      <c r="AL112" s="14"/>
      <c r="AM112" s="14" t="s">
        <v>166</v>
      </c>
      <c r="AN112" s="14" t="s">
        <v>161</v>
      </c>
      <c r="AO112" s="14" t="s">
        <v>84</v>
      </c>
      <c r="AP112" s="14" t="s">
        <v>162</v>
      </c>
      <c r="AQ112" s="14">
        <v>0.0</v>
      </c>
      <c r="AR112" s="14" t="s">
        <v>196</v>
      </c>
    </row>
    <row r="113" ht="15.75" customHeight="1">
      <c r="A113" s="3" t="s">
        <v>39</v>
      </c>
      <c r="B113" s="3" t="s">
        <v>44</v>
      </c>
      <c r="C113" s="3" t="s">
        <v>102</v>
      </c>
      <c r="D113" s="3" t="s">
        <v>263</v>
      </c>
      <c r="E113" s="3" t="s">
        <v>186</v>
      </c>
      <c r="F113" s="3" t="s">
        <v>120</v>
      </c>
      <c r="G113" s="3" t="s">
        <v>39</v>
      </c>
      <c r="H113" s="3" t="s">
        <v>69</v>
      </c>
      <c r="I113" s="19" t="s">
        <v>122</v>
      </c>
      <c r="J113" s="3" t="s">
        <v>71</v>
      </c>
      <c r="K113" s="3">
        <v>0.0</v>
      </c>
      <c r="L113" s="3">
        <v>0.0</v>
      </c>
      <c r="M113" s="3"/>
      <c r="N113" s="3"/>
      <c r="O113" s="3"/>
      <c r="P113" s="3">
        <v>360.0</v>
      </c>
      <c r="Q113" s="3" t="s">
        <v>140</v>
      </c>
      <c r="R113" s="3" t="s">
        <v>75</v>
      </c>
      <c r="S113" s="3" t="s">
        <v>142</v>
      </c>
      <c r="T113" s="3" t="s">
        <v>39</v>
      </c>
      <c r="U113" s="3" t="s">
        <v>90</v>
      </c>
      <c r="V113" s="3" t="s">
        <v>125</v>
      </c>
      <c r="W113" s="3">
        <v>2.0</v>
      </c>
      <c r="X113" s="3">
        <v>3.0</v>
      </c>
      <c r="Y113" s="3">
        <v>5.0</v>
      </c>
      <c r="Z113" s="3">
        <v>3.0</v>
      </c>
      <c r="AA113" s="3">
        <v>2.0</v>
      </c>
      <c r="AB113" s="3">
        <v>0.0</v>
      </c>
      <c r="AC113" s="3">
        <v>2.7</v>
      </c>
      <c r="AD113" s="3">
        <v>0.0</v>
      </c>
      <c r="AE113" s="3" t="s">
        <v>122</v>
      </c>
      <c r="AF113" s="14"/>
      <c r="AG113" s="14"/>
      <c r="AH113" s="14"/>
      <c r="AI113" s="14"/>
      <c r="AJ113" s="14"/>
      <c r="AK113" s="14"/>
      <c r="AL113" s="14"/>
      <c r="AM113" s="14" t="s">
        <v>125</v>
      </c>
      <c r="AN113" s="14" t="s">
        <v>495</v>
      </c>
      <c r="AO113" s="14" t="s">
        <v>84</v>
      </c>
      <c r="AP113" s="14" t="s">
        <v>496</v>
      </c>
      <c r="AQ113" s="14">
        <v>0.0</v>
      </c>
      <c r="AR113" s="14" t="s">
        <v>196</v>
      </c>
    </row>
    <row r="114" ht="15.75" customHeight="1">
      <c r="A114" s="3" t="s">
        <v>39</v>
      </c>
      <c r="B114" s="3" t="s">
        <v>44</v>
      </c>
      <c r="C114" s="3" t="s">
        <v>102</v>
      </c>
      <c r="D114" s="3" t="s">
        <v>133</v>
      </c>
      <c r="E114" s="3" t="s">
        <v>106</v>
      </c>
      <c r="F114" s="3" t="s">
        <v>120</v>
      </c>
      <c r="G114" s="3" t="s">
        <v>39</v>
      </c>
      <c r="H114" s="3" t="s">
        <v>69</v>
      </c>
      <c r="I114" s="19" t="s">
        <v>122</v>
      </c>
      <c r="J114" s="3" t="s">
        <v>71</v>
      </c>
      <c r="K114" s="3">
        <v>0.0</v>
      </c>
      <c r="L114" s="3">
        <v>0.0</v>
      </c>
      <c r="M114" s="3"/>
      <c r="N114" s="3"/>
      <c r="O114" s="3"/>
      <c r="P114" s="3">
        <v>130.0</v>
      </c>
      <c r="Q114" s="3" t="s">
        <v>121</v>
      </c>
      <c r="R114" s="3" t="s">
        <v>75</v>
      </c>
      <c r="S114" s="3" t="s">
        <v>76</v>
      </c>
      <c r="T114" s="3" t="s">
        <v>39</v>
      </c>
      <c r="U114" s="3" t="s">
        <v>90</v>
      </c>
      <c r="V114" s="3" t="s">
        <v>125</v>
      </c>
      <c r="W114" s="3">
        <v>2.0</v>
      </c>
      <c r="X114" s="3">
        <v>5.0</v>
      </c>
      <c r="Y114" s="3">
        <v>5.0</v>
      </c>
      <c r="Z114" s="3">
        <v>3.0</v>
      </c>
      <c r="AA114" s="3">
        <v>4.0</v>
      </c>
      <c r="AB114" s="3">
        <v>0.0</v>
      </c>
      <c r="AC114" s="3">
        <v>3.2</v>
      </c>
      <c r="AD114" s="3">
        <v>0.0</v>
      </c>
      <c r="AE114" s="3" t="s">
        <v>122</v>
      </c>
      <c r="AF114" s="14"/>
      <c r="AG114" s="14"/>
      <c r="AH114" s="14"/>
      <c r="AI114" s="14"/>
      <c r="AJ114" s="14"/>
      <c r="AK114" s="14"/>
      <c r="AL114" s="14"/>
      <c r="AM114" s="14" t="s">
        <v>125</v>
      </c>
      <c r="AN114" s="14" t="s">
        <v>194</v>
      </c>
      <c r="AO114" s="14" t="s">
        <v>84</v>
      </c>
      <c r="AP114" s="14" t="s">
        <v>195</v>
      </c>
      <c r="AQ114" s="14">
        <v>0.0</v>
      </c>
      <c r="AR114" s="14" t="s">
        <v>196</v>
      </c>
    </row>
    <row r="115" ht="15.75" customHeight="1">
      <c r="A115" s="3" t="s">
        <v>39</v>
      </c>
      <c r="B115" s="3" t="s">
        <v>44</v>
      </c>
      <c r="C115" s="3" t="s">
        <v>102</v>
      </c>
      <c r="D115" s="3" t="s">
        <v>276</v>
      </c>
      <c r="E115" s="3" t="s">
        <v>164</v>
      </c>
      <c r="F115" s="3" t="s">
        <v>120</v>
      </c>
      <c r="G115" s="3" t="s">
        <v>39</v>
      </c>
      <c r="H115" s="3" t="s">
        <v>69</v>
      </c>
      <c r="I115" s="19" t="s">
        <v>122</v>
      </c>
      <c r="J115" s="3" t="s">
        <v>71</v>
      </c>
      <c r="K115" s="3">
        <v>0.0</v>
      </c>
      <c r="L115" s="3">
        <v>0.0</v>
      </c>
      <c r="M115" s="3"/>
      <c r="N115" s="3"/>
      <c r="O115" s="3"/>
      <c r="P115" s="3">
        <v>490.0</v>
      </c>
      <c r="Q115" s="3" t="s">
        <v>74</v>
      </c>
      <c r="R115" s="3" t="s">
        <v>75</v>
      </c>
      <c r="S115" s="3" t="s">
        <v>142</v>
      </c>
      <c r="T115" s="3" t="s">
        <v>39</v>
      </c>
      <c r="U115" s="3" t="s">
        <v>90</v>
      </c>
      <c r="V115" s="3" t="s">
        <v>125</v>
      </c>
      <c r="W115" s="3">
        <v>2.0</v>
      </c>
      <c r="X115" s="3">
        <v>2.0</v>
      </c>
      <c r="Y115" s="3">
        <v>5.0</v>
      </c>
      <c r="Z115" s="3">
        <v>3.0</v>
      </c>
      <c r="AA115" s="3">
        <v>2.0</v>
      </c>
      <c r="AB115" s="3">
        <v>0.0</v>
      </c>
      <c r="AC115" s="3">
        <v>2.5</v>
      </c>
      <c r="AD115" s="3">
        <v>0.0</v>
      </c>
      <c r="AE115" s="3" t="s">
        <v>122</v>
      </c>
      <c r="AF115" s="14"/>
      <c r="AG115" s="14"/>
      <c r="AH115" s="14"/>
      <c r="AI115" s="14"/>
      <c r="AJ115" s="14"/>
      <c r="AK115" s="14"/>
      <c r="AL115" s="14"/>
      <c r="AM115" s="14" t="s">
        <v>125</v>
      </c>
      <c r="AN115" s="14" t="s">
        <v>411</v>
      </c>
      <c r="AO115" s="14" t="s">
        <v>84</v>
      </c>
      <c r="AP115" s="14" t="s">
        <v>412</v>
      </c>
      <c r="AQ115" s="14">
        <v>0.0</v>
      </c>
      <c r="AR115" s="14" t="s">
        <v>196</v>
      </c>
    </row>
    <row r="116" ht="15.75" customHeight="1">
      <c r="A116" s="3" t="s">
        <v>39</v>
      </c>
      <c r="B116" s="3" t="s">
        <v>44</v>
      </c>
      <c r="C116" s="3" t="s">
        <v>102</v>
      </c>
      <c r="D116" s="3" t="s">
        <v>276</v>
      </c>
      <c r="E116" s="3" t="s">
        <v>164</v>
      </c>
      <c r="F116" s="3" t="s">
        <v>165</v>
      </c>
      <c r="G116" s="3" t="s">
        <v>39</v>
      </c>
      <c r="H116" s="3" t="s">
        <v>69</v>
      </c>
      <c r="I116" s="19" t="s">
        <v>122</v>
      </c>
      <c r="J116" s="3" t="s">
        <v>71</v>
      </c>
      <c r="K116" s="3">
        <v>0.0</v>
      </c>
      <c r="L116" s="3">
        <v>0.0</v>
      </c>
      <c r="M116" s="3"/>
      <c r="N116" s="3"/>
      <c r="O116" s="3"/>
      <c r="P116" s="3">
        <v>490.0</v>
      </c>
      <c r="Q116" s="3" t="s">
        <v>74</v>
      </c>
      <c r="R116" s="3" t="s">
        <v>75</v>
      </c>
      <c r="S116" s="3" t="s">
        <v>142</v>
      </c>
      <c r="T116" s="3" t="s">
        <v>39</v>
      </c>
      <c r="U116" s="3" t="s">
        <v>90</v>
      </c>
      <c r="V116" s="3" t="s">
        <v>166</v>
      </c>
      <c r="W116" s="3">
        <v>2.0</v>
      </c>
      <c r="X116" s="3">
        <v>2.0</v>
      </c>
      <c r="Y116" s="3">
        <v>5.0</v>
      </c>
      <c r="Z116" s="3">
        <v>3.0</v>
      </c>
      <c r="AA116" s="3">
        <v>2.0</v>
      </c>
      <c r="AB116" s="3">
        <v>0.0</v>
      </c>
      <c r="AC116" s="3">
        <v>2.5</v>
      </c>
      <c r="AD116" s="3">
        <v>0.0</v>
      </c>
      <c r="AE116" s="3" t="s">
        <v>122</v>
      </c>
      <c r="AF116" s="14"/>
      <c r="AG116" s="14"/>
      <c r="AH116" s="14"/>
      <c r="AI116" s="14"/>
      <c r="AJ116" s="14"/>
      <c r="AK116" s="14"/>
      <c r="AL116" s="14"/>
      <c r="AM116" s="14" t="s">
        <v>166</v>
      </c>
      <c r="AN116" s="14" t="s">
        <v>411</v>
      </c>
      <c r="AO116" s="14" t="s">
        <v>84</v>
      </c>
      <c r="AP116" s="14" t="s">
        <v>412</v>
      </c>
      <c r="AQ116" s="14">
        <v>0.0</v>
      </c>
      <c r="AR116" s="14" t="s">
        <v>196</v>
      </c>
    </row>
    <row r="117" ht="15.75" customHeight="1">
      <c r="A117" s="3" t="s">
        <v>39</v>
      </c>
      <c r="B117" s="3" t="s">
        <v>44</v>
      </c>
      <c r="C117" s="3" t="s">
        <v>102</v>
      </c>
      <c r="D117" s="3" t="s">
        <v>173</v>
      </c>
      <c r="E117" s="3" t="s">
        <v>202</v>
      </c>
      <c r="F117" s="3" t="s">
        <v>120</v>
      </c>
      <c r="G117" s="3" t="s">
        <v>39</v>
      </c>
      <c r="H117" s="3" t="s">
        <v>69</v>
      </c>
      <c r="I117" s="19" t="s">
        <v>122</v>
      </c>
      <c r="J117" s="3" t="s">
        <v>71</v>
      </c>
      <c r="K117" s="3">
        <v>0.0</v>
      </c>
      <c r="L117" s="3">
        <v>0.0</v>
      </c>
      <c r="M117" s="3"/>
      <c r="N117" s="3"/>
      <c r="O117" s="3"/>
      <c r="P117" s="3">
        <v>500.0</v>
      </c>
      <c r="Q117" s="3" t="s">
        <v>74</v>
      </c>
      <c r="R117" s="3" t="s">
        <v>75</v>
      </c>
      <c r="S117" s="3" t="s">
        <v>142</v>
      </c>
      <c r="T117" s="3" t="s">
        <v>39</v>
      </c>
      <c r="U117" s="3" t="s">
        <v>90</v>
      </c>
      <c r="V117" s="3" t="s">
        <v>125</v>
      </c>
      <c r="W117" s="3">
        <v>2.0</v>
      </c>
      <c r="X117" s="3">
        <v>2.0</v>
      </c>
      <c r="Y117" s="3">
        <v>5.0</v>
      </c>
      <c r="Z117" s="3">
        <v>3.0</v>
      </c>
      <c r="AA117" s="3">
        <v>2.0</v>
      </c>
      <c r="AB117" s="3">
        <v>0.0</v>
      </c>
      <c r="AC117" s="3">
        <v>2.5</v>
      </c>
      <c r="AD117" s="3">
        <v>0.0</v>
      </c>
      <c r="AE117" s="3" t="s">
        <v>122</v>
      </c>
      <c r="AF117" s="14"/>
      <c r="AG117" s="14"/>
      <c r="AH117" s="14"/>
      <c r="AI117" s="14"/>
      <c r="AJ117" s="14"/>
      <c r="AK117" s="14"/>
      <c r="AL117" s="14"/>
      <c r="AM117" s="14" t="s">
        <v>125</v>
      </c>
      <c r="AN117" s="14" t="s">
        <v>204</v>
      </c>
      <c r="AO117" s="14" t="s">
        <v>84</v>
      </c>
      <c r="AP117" s="14" t="s">
        <v>205</v>
      </c>
      <c r="AQ117" s="14">
        <v>0.0</v>
      </c>
      <c r="AR117" s="14" t="s">
        <v>196</v>
      </c>
    </row>
    <row r="118" ht="15.75" customHeight="1">
      <c r="A118" s="3" t="s">
        <v>39</v>
      </c>
      <c r="B118" s="3" t="s">
        <v>44</v>
      </c>
      <c r="C118" s="3" t="s">
        <v>102</v>
      </c>
      <c r="D118" s="3" t="s">
        <v>178</v>
      </c>
      <c r="E118" s="3" t="s">
        <v>150</v>
      </c>
      <c r="F118" s="3" t="s">
        <v>120</v>
      </c>
      <c r="G118" s="3" t="s">
        <v>39</v>
      </c>
      <c r="H118" s="3" t="s">
        <v>69</v>
      </c>
      <c r="I118" s="19" t="s">
        <v>122</v>
      </c>
      <c r="J118" s="3" t="s">
        <v>71</v>
      </c>
      <c r="K118" s="3">
        <v>0.0</v>
      </c>
      <c r="L118" s="3">
        <v>0.0</v>
      </c>
      <c r="M118" s="3"/>
      <c r="N118" s="3"/>
      <c r="O118" s="3"/>
      <c r="P118" s="3">
        <v>700.0</v>
      </c>
      <c r="Q118" s="3" t="s">
        <v>153</v>
      </c>
      <c r="R118" s="3" t="s">
        <v>75</v>
      </c>
      <c r="S118" s="3" t="s">
        <v>142</v>
      </c>
      <c r="T118" s="3" t="s">
        <v>39</v>
      </c>
      <c r="U118" s="3" t="s">
        <v>90</v>
      </c>
      <c r="V118" s="3" t="s">
        <v>125</v>
      </c>
      <c r="W118" s="3">
        <v>2.0</v>
      </c>
      <c r="X118" s="3">
        <v>1.0</v>
      </c>
      <c r="Y118" s="3">
        <v>5.0</v>
      </c>
      <c r="Z118" s="3">
        <v>3.0</v>
      </c>
      <c r="AA118" s="3">
        <v>2.0</v>
      </c>
      <c r="AB118" s="3">
        <v>0.0</v>
      </c>
      <c r="AC118" s="3">
        <v>2.4</v>
      </c>
      <c r="AD118" s="3">
        <v>0.0</v>
      </c>
      <c r="AE118" s="3" t="s">
        <v>122</v>
      </c>
      <c r="AF118" s="14"/>
      <c r="AG118" s="14"/>
      <c r="AH118" s="14"/>
      <c r="AI118" s="14"/>
      <c r="AJ118" s="14"/>
      <c r="AK118" s="14"/>
      <c r="AL118" s="14"/>
      <c r="AM118" s="14" t="s">
        <v>125</v>
      </c>
      <c r="AN118" s="14" t="s">
        <v>211</v>
      </c>
      <c r="AO118" s="14" t="s">
        <v>84</v>
      </c>
      <c r="AP118" s="14" t="s">
        <v>212</v>
      </c>
      <c r="AQ118" s="14">
        <v>0.0</v>
      </c>
      <c r="AR118" s="14" t="s">
        <v>196</v>
      </c>
    </row>
    <row r="119" ht="15.75" customHeight="1">
      <c r="A119" s="3" t="s">
        <v>39</v>
      </c>
      <c r="B119" s="3" t="s">
        <v>44</v>
      </c>
      <c r="C119" s="3" t="s">
        <v>102</v>
      </c>
      <c r="D119" s="3" t="s">
        <v>178</v>
      </c>
      <c r="E119" s="3" t="s">
        <v>150</v>
      </c>
      <c r="F119" s="3" t="s">
        <v>165</v>
      </c>
      <c r="G119" s="3" t="s">
        <v>39</v>
      </c>
      <c r="H119" s="3" t="s">
        <v>69</v>
      </c>
      <c r="I119" s="19" t="s">
        <v>122</v>
      </c>
      <c r="J119" s="3" t="s">
        <v>71</v>
      </c>
      <c r="K119" s="3">
        <v>0.0</v>
      </c>
      <c r="L119" s="3">
        <v>0.0</v>
      </c>
      <c r="M119" s="3"/>
      <c r="N119" s="3"/>
      <c r="O119" s="3"/>
      <c r="P119" s="3">
        <v>700.0</v>
      </c>
      <c r="Q119" s="3" t="s">
        <v>153</v>
      </c>
      <c r="R119" s="3" t="s">
        <v>75</v>
      </c>
      <c r="S119" s="3" t="s">
        <v>142</v>
      </c>
      <c r="T119" s="3" t="s">
        <v>39</v>
      </c>
      <c r="U119" s="3" t="s">
        <v>90</v>
      </c>
      <c r="V119" s="3" t="s">
        <v>166</v>
      </c>
      <c r="W119" s="3">
        <v>2.0</v>
      </c>
      <c r="X119" s="3">
        <v>1.0</v>
      </c>
      <c r="Y119" s="3">
        <v>5.0</v>
      </c>
      <c r="Z119" s="3">
        <v>3.0</v>
      </c>
      <c r="AA119" s="3">
        <v>2.0</v>
      </c>
      <c r="AB119" s="3">
        <v>0.0</v>
      </c>
      <c r="AC119" s="3">
        <v>2.4</v>
      </c>
      <c r="AD119" s="3">
        <v>0.0</v>
      </c>
      <c r="AE119" s="3" t="s">
        <v>122</v>
      </c>
      <c r="AF119" s="14"/>
      <c r="AG119" s="14"/>
      <c r="AH119" s="14"/>
      <c r="AI119" s="14"/>
      <c r="AJ119" s="14"/>
      <c r="AK119" s="14"/>
      <c r="AL119" s="14"/>
      <c r="AM119" s="14" t="s">
        <v>166</v>
      </c>
      <c r="AN119" s="14" t="s">
        <v>211</v>
      </c>
      <c r="AO119" s="14" t="s">
        <v>84</v>
      </c>
      <c r="AP119" s="14" t="s">
        <v>212</v>
      </c>
      <c r="AQ119" s="14">
        <v>0.0</v>
      </c>
      <c r="AR119" s="14" t="s">
        <v>196</v>
      </c>
    </row>
    <row r="120" ht="15.75" customHeight="1">
      <c r="A120" s="3" t="s">
        <v>39</v>
      </c>
      <c r="B120" s="3" t="s">
        <v>44</v>
      </c>
      <c r="C120" s="3" t="s">
        <v>102</v>
      </c>
      <c r="D120" s="3" t="s">
        <v>292</v>
      </c>
      <c r="E120" s="3" t="s">
        <v>240</v>
      </c>
      <c r="F120" s="3" t="s">
        <v>120</v>
      </c>
      <c r="G120" s="3" t="s">
        <v>39</v>
      </c>
      <c r="H120" s="3" t="s">
        <v>69</v>
      </c>
      <c r="I120" s="19" t="s">
        <v>122</v>
      </c>
      <c r="J120" s="3" t="s">
        <v>71</v>
      </c>
      <c r="K120" s="3">
        <v>0.0</v>
      </c>
      <c r="L120" s="3">
        <v>0.0</v>
      </c>
      <c r="M120" s="3"/>
      <c r="N120" s="3"/>
      <c r="O120" s="3"/>
      <c r="P120" s="3">
        <v>610.0</v>
      </c>
      <c r="Q120" s="3" t="s">
        <v>153</v>
      </c>
      <c r="R120" s="3" t="s">
        <v>75</v>
      </c>
      <c r="S120" s="3" t="s">
        <v>142</v>
      </c>
      <c r="T120" s="3" t="s">
        <v>39</v>
      </c>
      <c r="U120" s="3" t="s">
        <v>90</v>
      </c>
      <c r="V120" s="3" t="s">
        <v>125</v>
      </c>
      <c r="W120" s="3">
        <v>2.0</v>
      </c>
      <c r="X120" s="3">
        <v>1.0</v>
      </c>
      <c r="Y120" s="3">
        <v>5.0</v>
      </c>
      <c r="Z120" s="3">
        <v>3.0</v>
      </c>
      <c r="AA120" s="3">
        <v>2.0</v>
      </c>
      <c r="AB120" s="3">
        <v>0.0</v>
      </c>
      <c r="AC120" s="3">
        <v>2.4</v>
      </c>
      <c r="AD120" s="3">
        <v>0.0</v>
      </c>
      <c r="AE120" s="3" t="s">
        <v>122</v>
      </c>
      <c r="AF120" s="14"/>
      <c r="AG120" s="14"/>
      <c r="AH120" s="14"/>
      <c r="AI120" s="14"/>
      <c r="AJ120" s="14"/>
      <c r="AK120" s="14"/>
      <c r="AL120" s="14"/>
      <c r="AM120" s="14" t="s">
        <v>125</v>
      </c>
      <c r="AN120" s="14" t="s">
        <v>330</v>
      </c>
      <c r="AO120" s="14" t="s">
        <v>84</v>
      </c>
      <c r="AP120" s="14" t="s">
        <v>332</v>
      </c>
      <c r="AQ120" s="14">
        <v>0.0</v>
      </c>
      <c r="AR120" s="14" t="s">
        <v>196</v>
      </c>
    </row>
    <row r="121" ht="15.75" customHeight="1">
      <c r="A121" s="3" t="s">
        <v>39</v>
      </c>
      <c r="B121" s="3" t="s">
        <v>44</v>
      </c>
      <c r="C121" s="3" t="s">
        <v>102</v>
      </c>
      <c r="D121" s="3" t="s">
        <v>119</v>
      </c>
      <c r="E121" s="3" t="s">
        <v>106</v>
      </c>
      <c r="F121" s="3" t="s">
        <v>120</v>
      </c>
      <c r="G121" s="3" t="s">
        <v>39</v>
      </c>
      <c r="H121" s="3" t="s">
        <v>69</v>
      </c>
      <c r="I121" s="19" t="s">
        <v>122</v>
      </c>
      <c r="J121" s="3" t="s">
        <v>71</v>
      </c>
      <c r="K121" s="3">
        <v>0.0</v>
      </c>
      <c r="L121" s="3">
        <v>0.0</v>
      </c>
      <c r="M121" s="3"/>
      <c r="N121" s="3"/>
      <c r="O121" s="3"/>
      <c r="P121" s="3">
        <v>130.0</v>
      </c>
      <c r="Q121" s="3" t="s">
        <v>121</v>
      </c>
      <c r="R121" s="3" t="s">
        <v>75</v>
      </c>
      <c r="S121" s="3" t="s">
        <v>76</v>
      </c>
      <c r="T121" s="3" t="s">
        <v>69</v>
      </c>
      <c r="U121" s="3" t="s">
        <v>90</v>
      </c>
      <c r="V121" s="3" t="s">
        <v>125</v>
      </c>
      <c r="W121" s="3">
        <v>2.0</v>
      </c>
      <c r="X121" s="3">
        <v>5.0</v>
      </c>
      <c r="Y121" s="3">
        <v>5.0</v>
      </c>
      <c r="Z121" s="3">
        <v>3.0</v>
      </c>
      <c r="AA121" s="3">
        <v>4.0</v>
      </c>
      <c r="AB121" s="3">
        <v>5.0</v>
      </c>
      <c r="AC121" s="3">
        <v>3.9</v>
      </c>
      <c r="AD121" s="3">
        <v>0.0</v>
      </c>
      <c r="AE121" s="3" t="s">
        <v>122</v>
      </c>
      <c r="AF121" s="14"/>
      <c r="AG121" s="14"/>
      <c r="AH121" s="14"/>
      <c r="AI121" s="14"/>
      <c r="AJ121" s="14"/>
      <c r="AK121" s="14"/>
      <c r="AL121" s="14"/>
      <c r="AM121" s="14" t="s">
        <v>125</v>
      </c>
      <c r="AN121" s="14" t="s">
        <v>337</v>
      </c>
      <c r="AO121" s="14" t="s">
        <v>84</v>
      </c>
      <c r="AP121" s="14" t="s">
        <v>338</v>
      </c>
      <c r="AQ121" s="14">
        <v>0.0</v>
      </c>
      <c r="AR121" s="14" t="s">
        <v>196</v>
      </c>
    </row>
    <row r="122" ht="15.75" customHeight="1">
      <c r="A122" s="3" t="s">
        <v>39</v>
      </c>
      <c r="B122" s="3" t="s">
        <v>44</v>
      </c>
      <c r="C122" s="3" t="s">
        <v>102</v>
      </c>
      <c r="D122" s="3" t="s">
        <v>265</v>
      </c>
      <c r="E122" s="3" t="s">
        <v>186</v>
      </c>
      <c r="F122" s="3" t="s">
        <v>120</v>
      </c>
      <c r="G122" s="3" t="s">
        <v>39</v>
      </c>
      <c r="H122" s="3" t="s">
        <v>69</v>
      </c>
      <c r="I122" s="19" t="s">
        <v>122</v>
      </c>
      <c r="J122" s="3" t="s">
        <v>71</v>
      </c>
      <c r="K122" s="3">
        <v>0.0</v>
      </c>
      <c r="L122" s="3">
        <v>0.0</v>
      </c>
      <c r="M122" s="3"/>
      <c r="N122" s="3"/>
      <c r="O122" s="3"/>
      <c r="P122" s="3">
        <v>360.0</v>
      </c>
      <c r="Q122" s="3" t="s">
        <v>140</v>
      </c>
      <c r="R122" s="3" t="s">
        <v>75</v>
      </c>
      <c r="S122" s="3" t="s">
        <v>142</v>
      </c>
      <c r="T122" s="3" t="s">
        <v>39</v>
      </c>
      <c r="U122" s="3" t="s">
        <v>90</v>
      </c>
      <c r="V122" s="3" t="s">
        <v>125</v>
      </c>
      <c r="W122" s="3">
        <v>2.0</v>
      </c>
      <c r="X122" s="3">
        <v>3.0</v>
      </c>
      <c r="Y122" s="3">
        <v>5.0</v>
      </c>
      <c r="Z122" s="3">
        <v>3.0</v>
      </c>
      <c r="AA122" s="3">
        <v>2.0</v>
      </c>
      <c r="AB122" s="3">
        <v>0.0</v>
      </c>
      <c r="AC122" s="3">
        <v>2.7</v>
      </c>
      <c r="AD122" s="3">
        <v>0.0</v>
      </c>
      <c r="AE122" s="3" t="s">
        <v>122</v>
      </c>
      <c r="AF122" s="14"/>
      <c r="AG122" s="14"/>
      <c r="AH122" s="14"/>
      <c r="AI122" s="14"/>
      <c r="AJ122" s="14"/>
      <c r="AK122" s="14"/>
      <c r="AL122" s="14"/>
      <c r="AM122" s="14" t="s">
        <v>125</v>
      </c>
      <c r="AN122" s="14" t="s">
        <v>504</v>
      </c>
      <c r="AO122" s="14" t="s">
        <v>84</v>
      </c>
      <c r="AP122" s="14" t="s">
        <v>505</v>
      </c>
      <c r="AQ122" s="14">
        <v>0.0</v>
      </c>
      <c r="AR122" s="14" t="s">
        <v>196</v>
      </c>
    </row>
    <row r="123" ht="15.75" customHeight="1">
      <c r="A123" s="3" t="s">
        <v>39</v>
      </c>
      <c r="B123" s="3" t="s">
        <v>44</v>
      </c>
      <c r="C123" s="3" t="s">
        <v>102</v>
      </c>
      <c r="D123" s="3" t="s">
        <v>187</v>
      </c>
      <c r="E123" s="3" t="s">
        <v>150</v>
      </c>
      <c r="F123" s="3" t="s">
        <v>165</v>
      </c>
      <c r="G123" s="3" t="s">
        <v>39</v>
      </c>
      <c r="H123" s="3" t="s">
        <v>69</v>
      </c>
      <c r="I123" s="19" t="s">
        <v>122</v>
      </c>
      <c r="J123" s="3" t="s">
        <v>71</v>
      </c>
      <c r="K123" s="3">
        <v>0.0</v>
      </c>
      <c r="L123" s="3">
        <v>0.0</v>
      </c>
      <c r="M123" s="3"/>
      <c r="N123" s="3"/>
      <c r="O123" s="3"/>
      <c r="P123" s="3">
        <v>700.0</v>
      </c>
      <c r="Q123" s="3" t="s">
        <v>153</v>
      </c>
      <c r="R123" s="3" t="s">
        <v>75</v>
      </c>
      <c r="S123" s="3" t="s">
        <v>142</v>
      </c>
      <c r="T123" s="3" t="s">
        <v>39</v>
      </c>
      <c r="U123" s="3" t="s">
        <v>90</v>
      </c>
      <c r="V123" s="3" t="s">
        <v>166</v>
      </c>
      <c r="W123" s="3">
        <v>2.0</v>
      </c>
      <c r="X123" s="3">
        <v>1.0</v>
      </c>
      <c r="Y123" s="3">
        <v>5.0</v>
      </c>
      <c r="Z123" s="3">
        <v>3.0</v>
      </c>
      <c r="AA123" s="3">
        <v>2.0</v>
      </c>
      <c r="AB123" s="3">
        <v>0.0</v>
      </c>
      <c r="AC123" s="3">
        <v>2.4</v>
      </c>
      <c r="AD123" s="3">
        <v>0.0</v>
      </c>
      <c r="AE123" s="3" t="s">
        <v>122</v>
      </c>
      <c r="AF123" s="14"/>
      <c r="AG123" s="14"/>
      <c r="AH123" s="14"/>
      <c r="AI123" s="14"/>
      <c r="AJ123" s="14"/>
      <c r="AK123" s="14"/>
      <c r="AL123" s="14"/>
      <c r="AM123" s="14" t="s">
        <v>166</v>
      </c>
      <c r="AN123" s="14" t="s">
        <v>227</v>
      </c>
      <c r="AO123" s="14" t="s">
        <v>84</v>
      </c>
      <c r="AP123" s="14" t="s">
        <v>229</v>
      </c>
      <c r="AQ123" s="14">
        <v>0.0</v>
      </c>
      <c r="AR123" s="14" t="s">
        <v>196</v>
      </c>
    </row>
    <row r="124" ht="15.75" customHeight="1">
      <c r="A124" s="3" t="s">
        <v>39</v>
      </c>
      <c r="B124" s="3" t="s">
        <v>44</v>
      </c>
      <c r="C124" s="3" t="s">
        <v>102</v>
      </c>
      <c r="D124" s="3" t="s">
        <v>311</v>
      </c>
      <c r="E124" s="3" t="s">
        <v>240</v>
      </c>
      <c r="F124" s="3" t="s">
        <v>379</v>
      </c>
      <c r="G124" s="3" t="s">
        <v>39</v>
      </c>
      <c r="H124" s="3" t="s">
        <v>69</v>
      </c>
      <c r="I124" s="19" t="s">
        <v>122</v>
      </c>
      <c r="J124" s="3" t="s">
        <v>71</v>
      </c>
      <c r="K124" s="3">
        <v>0.0</v>
      </c>
      <c r="L124" s="3">
        <v>0.0</v>
      </c>
      <c r="M124" s="3"/>
      <c r="N124" s="3"/>
      <c r="O124" s="3"/>
      <c r="P124" s="3">
        <v>610.0</v>
      </c>
      <c r="Q124" s="3" t="s">
        <v>153</v>
      </c>
      <c r="R124" s="3" t="s">
        <v>75</v>
      </c>
      <c r="S124" s="3" t="s">
        <v>142</v>
      </c>
      <c r="T124" s="3" t="s">
        <v>39</v>
      </c>
      <c r="U124" s="3" t="s">
        <v>232</v>
      </c>
      <c r="V124" s="3" t="s">
        <v>382</v>
      </c>
      <c r="W124" s="3">
        <v>2.0</v>
      </c>
      <c r="X124" s="3">
        <v>1.0</v>
      </c>
      <c r="Y124" s="3">
        <v>5.0</v>
      </c>
      <c r="Z124" s="3">
        <v>3.0</v>
      </c>
      <c r="AA124" s="3">
        <v>2.0</v>
      </c>
      <c r="AB124" s="3">
        <v>0.0</v>
      </c>
      <c r="AC124" s="3">
        <v>2.4</v>
      </c>
      <c r="AD124" s="3">
        <v>0.0</v>
      </c>
      <c r="AE124" s="3" t="s">
        <v>122</v>
      </c>
      <c r="AF124" s="14"/>
      <c r="AG124" s="14"/>
      <c r="AH124" s="14"/>
      <c r="AI124" s="14"/>
      <c r="AJ124" s="14"/>
      <c r="AK124" s="14"/>
      <c r="AL124" s="14"/>
      <c r="AM124" s="14" t="s">
        <v>382</v>
      </c>
      <c r="AN124" s="14" t="s">
        <v>349</v>
      </c>
      <c r="AO124" s="14" t="s">
        <v>84</v>
      </c>
      <c r="AP124" s="14" t="s">
        <v>350</v>
      </c>
      <c r="AQ124" s="14">
        <v>0.0</v>
      </c>
      <c r="AR124" s="14" t="s">
        <v>196</v>
      </c>
    </row>
    <row r="125" ht="15.75" customHeight="1">
      <c r="A125" s="3" t="s">
        <v>39</v>
      </c>
      <c r="B125" s="3" t="s">
        <v>44</v>
      </c>
      <c r="C125" s="3" t="s">
        <v>102</v>
      </c>
      <c r="D125" s="3" t="s">
        <v>491</v>
      </c>
      <c r="E125" s="3" t="s">
        <v>181</v>
      </c>
      <c r="F125" s="3" t="s">
        <v>165</v>
      </c>
      <c r="G125" s="3" t="s">
        <v>39</v>
      </c>
      <c r="H125" s="3" t="s">
        <v>69</v>
      </c>
      <c r="I125" s="19" t="s">
        <v>122</v>
      </c>
      <c r="J125" s="3" t="s">
        <v>71</v>
      </c>
      <c r="K125" s="3">
        <v>0.0</v>
      </c>
      <c r="L125" s="3">
        <v>0.0</v>
      </c>
      <c r="M125" s="3"/>
      <c r="N125" s="3"/>
      <c r="O125" s="3"/>
      <c r="P125" s="3">
        <v>520.0</v>
      </c>
      <c r="Q125" s="3" t="s">
        <v>74</v>
      </c>
      <c r="R125" s="3" t="s">
        <v>75</v>
      </c>
      <c r="S125" s="3" t="s">
        <v>142</v>
      </c>
      <c r="T125" s="3" t="s">
        <v>39</v>
      </c>
      <c r="U125" s="3" t="s">
        <v>90</v>
      </c>
      <c r="V125" s="3" t="s">
        <v>166</v>
      </c>
      <c r="W125" s="3">
        <v>2.0</v>
      </c>
      <c r="X125" s="3">
        <v>2.0</v>
      </c>
      <c r="Y125" s="3">
        <v>5.0</v>
      </c>
      <c r="Z125" s="3">
        <v>3.0</v>
      </c>
      <c r="AA125" s="3">
        <v>2.0</v>
      </c>
      <c r="AB125" s="3">
        <v>0.0</v>
      </c>
      <c r="AC125" s="3">
        <v>2.5</v>
      </c>
      <c r="AD125" s="3">
        <v>0.0</v>
      </c>
      <c r="AE125" s="3" t="s">
        <v>122</v>
      </c>
      <c r="AF125" s="14"/>
      <c r="AG125" s="14"/>
      <c r="AH125" s="14"/>
      <c r="AI125" s="14"/>
      <c r="AJ125" s="14"/>
      <c r="AK125" s="14"/>
      <c r="AL125" s="14"/>
      <c r="AM125" s="14" t="s">
        <v>166</v>
      </c>
      <c r="AN125" s="14" t="s">
        <v>516</v>
      </c>
      <c r="AO125" s="14" t="s">
        <v>84</v>
      </c>
      <c r="AP125" s="14" t="s">
        <v>517</v>
      </c>
      <c r="AQ125" s="14">
        <v>0.0</v>
      </c>
      <c r="AR125" s="14" t="s">
        <v>196</v>
      </c>
    </row>
    <row r="126" ht="15.75" customHeight="1">
      <c r="A126" s="3" t="s">
        <v>39</v>
      </c>
      <c r="B126" s="3" t="s">
        <v>44</v>
      </c>
      <c r="C126" s="3" t="s">
        <v>102</v>
      </c>
      <c r="D126" s="3" t="s">
        <v>494</v>
      </c>
      <c r="E126" s="3" t="s">
        <v>271</v>
      </c>
      <c r="F126" s="3" t="s">
        <v>257</v>
      </c>
      <c r="G126" s="3" t="s">
        <v>39</v>
      </c>
      <c r="H126" s="3" t="s">
        <v>69</v>
      </c>
      <c r="I126" s="19" t="s">
        <v>122</v>
      </c>
      <c r="J126" s="3" t="s">
        <v>71</v>
      </c>
      <c r="K126" s="3">
        <v>0.0</v>
      </c>
      <c r="L126" s="3">
        <v>0.0</v>
      </c>
      <c r="M126" s="3"/>
      <c r="N126" s="3"/>
      <c r="O126" s="3"/>
      <c r="P126" s="3">
        <v>570.0</v>
      </c>
      <c r="Q126" s="3" t="s">
        <v>74</v>
      </c>
      <c r="R126" s="3" t="s">
        <v>75</v>
      </c>
      <c r="S126" s="3" t="s">
        <v>142</v>
      </c>
      <c r="T126" s="3" t="s">
        <v>39</v>
      </c>
      <c r="U126" s="3" t="s">
        <v>232</v>
      </c>
      <c r="V126" s="3" t="s">
        <v>258</v>
      </c>
      <c r="W126" s="3">
        <v>2.0</v>
      </c>
      <c r="X126" s="3">
        <v>2.0</v>
      </c>
      <c r="Y126" s="3">
        <v>5.0</v>
      </c>
      <c r="Z126" s="3">
        <v>3.0</v>
      </c>
      <c r="AA126" s="3">
        <v>2.0</v>
      </c>
      <c r="AB126" s="3">
        <v>0.0</v>
      </c>
      <c r="AC126" s="3">
        <v>2.5</v>
      </c>
      <c r="AD126" s="3">
        <v>0.0</v>
      </c>
      <c r="AE126" s="3" t="s">
        <v>122</v>
      </c>
      <c r="AF126" s="14"/>
      <c r="AG126" s="14"/>
      <c r="AH126" s="14"/>
      <c r="AI126" s="14"/>
      <c r="AJ126" s="14"/>
      <c r="AK126" s="14"/>
      <c r="AL126" s="14"/>
      <c r="AM126" s="14" t="s">
        <v>258</v>
      </c>
      <c r="AN126" s="14" t="s">
        <v>519</v>
      </c>
      <c r="AO126" s="14" t="s">
        <v>84</v>
      </c>
      <c r="AP126" s="14" t="s">
        <v>520</v>
      </c>
      <c r="AQ126" s="14">
        <v>0.0</v>
      </c>
      <c r="AR126" s="14" t="s">
        <v>196</v>
      </c>
    </row>
    <row r="127" ht="15.75" customHeight="1">
      <c r="A127" s="3" t="s">
        <v>39</v>
      </c>
      <c r="B127" s="3" t="s">
        <v>44</v>
      </c>
      <c r="C127" s="3" t="s">
        <v>102</v>
      </c>
      <c r="D127" s="3" t="s">
        <v>190</v>
      </c>
      <c r="E127" s="3" t="s">
        <v>202</v>
      </c>
      <c r="F127" s="3" t="s">
        <v>120</v>
      </c>
      <c r="G127" s="3" t="s">
        <v>39</v>
      </c>
      <c r="H127" s="3" t="s">
        <v>69</v>
      </c>
      <c r="I127" s="19" t="s">
        <v>122</v>
      </c>
      <c r="J127" s="3" t="s">
        <v>71</v>
      </c>
      <c r="K127" s="3">
        <v>0.0</v>
      </c>
      <c r="L127" s="3">
        <v>0.0</v>
      </c>
      <c r="M127" s="3"/>
      <c r="N127" s="3"/>
      <c r="O127" s="3"/>
      <c r="P127" s="3">
        <v>500.0</v>
      </c>
      <c r="Q127" s="3" t="s">
        <v>74</v>
      </c>
      <c r="R127" s="3" t="s">
        <v>75</v>
      </c>
      <c r="S127" s="3" t="s">
        <v>142</v>
      </c>
      <c r="T127" s="3" t="s">
        <v>39</v>
      </c>
      <c r="U127" s="3" t="s">
        <v>90</v>
      </c>
      <c r="V127" s="3" t="s">
        <v>125</v>
      </c>
      <c r="W127" s="3">
        <v>2.0</v>
      </c>
      <c r="X127" s="3">
        <v>2.0</v>
      </c>
      <c r="Y127" s="3">
        <v>5.0</v>
      </c>
      <c r="Z127" s="3">
        <v>3.0</v>
      </c>
      <c r="AA127" s="3">
        <v>2.0</v>
      </c>
      <c r="AB127" s="3">
        <v>0.0</v>
      </c>
      <c r="AC127" s="3">
        <v>2.5</v>
      </c>
      <c r="AD127" s="3">
        <v>0.0</v>
      </c>
      <c r="AE127" s="3" t="s">
        <v>122</v>
      </c>
      <c r="AF127" s="14"/>
      <c r="AG127" s="14"/>
      <c r="AH127" s="14"/>
      <c r="AI127" s="14"/>
      <c r="AJ127" s="14"/>
      <c r="AK127" s="14"/>
      <c r="AL127" s="14"/>
      <c r="AM127" s="14" t="s">
        <v>125</v>
      </c>
      <c r="AN127" s="14" t="s">
        <v>238</v>
      </c>
      <c r="AO127" s="14" t="s">
        <v>84</v>
      </c>
      <c r="AP127" s="14" t="s">
        <v>239</v>
      </c>
      <c r="AQ127" s="14">
        <v>0.0</v>
      </c>
      <c r="AR127" s="14" t="s">
        <v>196</v>
      </c>
    </row>
    <row r="128" ht="15.75" customHeight="1">
      <c r="A128" s="3" t="s">
        <v>39</v>
      </c>
      <c r="B128" s="3" t="s">
        <v>44</v>
      </c>
      <c r="C128" s="3" t="s">
        <v>102</v>
      </c>
      <c r="D128" s="3" t="s">
        <v>193</v>
      </c>
      <c r="E128" s="3" t="s">
        <v>240</v>
      </c>
      <c r="F128" s="3" t="s">
        <v>120</v>
      </c>
      <c r="G128" s="3" t="s">
        <v>39</v>
      </c>
      <c r="H128" s="3" t="s">
        <v>69</v>
      </c>
      <c r="I128" s="19" t="s">
        <v>122</v>
      </c>
      <c r="J128" s="3" t="s">
        <v>71</v>
      </c>
      <c r="K128" s="3">
        <v>0.0</v>
      </c>
      <c r="L128" s="3">
        <v>0.0</v>
      </c>
      <c r="M128" s="3"/>
      <c r="N128" s="3"/>
      <c r="O128" s="3"/>
      <c r="P128" s="3">
        <v>610.0</v>
      </c>
      <c r="Q128" s="3" t="s">
        <v>153</v>
      </c>
      <c r="R128" s="3" t="s">
        <v>75</v>
      </c>
      <c r="S128" s="3" t="s">
        <v>142</v>
      </c>
      <c r="T128" s="3" t="s">
        <v>39</v>
      </c>
      <c r="U128" s="3" t="s">
        <v>90</v>
      </c>
      <c r="V128" s="3" t="s">
        <v>125</v>
      </c>
      <c r="W128" s="3">
        <v>2.0</v>
      </c>
      <c r="X128" s="3">
        <v>1.0</v>
      </c>
      <c r="Y128" s="3">
        <v>5.0</v>
      </c>
      <c r="Z128" s="3">
        <v>3.0</v>
      </c>
      <c r="AA128" s="3">
        <v>2.0</v>
      </c>
      <c r="AB128" s="3">
        <v>0.0</v>
      </c>
      <c r="AC128" s="3">
        <v>2.4</v>
      </c>
      <c r="AD128" s="3">
        <v>0.0</v>
      </c>
      <c r="AE128" s="3" t="s">
        <v>122</v>
      </c>
      <c r="AF128" s="14"/>
      <c r="AG128" s="14"/>
      <c r="AH128" s="14"/>
      <c r="AI128" s="14"/>
      <c r="AJ128" s="14"/>
      <c r="AK128" s="14"/>
      <c r="AL128" s="14"/>
      <c r="AM128" s="14" t="s">
        <v>125</v>
      </c>
      <c r="AN128" s="14" t="s">
        <v>244</v>
      </c>
      <c r="AO128" s="14" t="s">
        <v>84</v>
      </c>
      <c r="AP128" s="14" t="s">
        <v>245</v>
      </c>
      <c r="AQ128" s="14">
        <v>0.0</v>
      </c>
      <c r="AR128" s="14" t="s">
        <v>196</v>
      </c>
    </row>
    <row r="129" ht="15.75" customHeight="1">
      <c r="A129" s="3" t="s">
        <v>39</v>
      </c>
      <c r="B129" s="3" t="s">
        <v>44</v>
      </c>
      <c r="C129" s="3" t="s">
        <v>102</v>
      </c>
      <c r="D129" s="3" t="s">
        <v>497</v>
      </c>
      <c r="E129" s="3" t="s">
        <v>164</v>
      </c>
      <c r="F129" s="3" t="s">
        <v>120</v>
      </c>
      <c r="G129" s="3" t="s">
        <v>39</v>
      </c>
      <c r="H129" s="3" t="s">
        <v>69</v>
      </c>
      <c r="I129" s="19" t="s">
        <v>122</v>
      </c>
      <c r="J129" s="3" t="s">
        <v>71</v>
      </c>
      <c r="K129" s="3">
        <v>0.0</v>
      </c>
      <c r="L129" s="3">
        <v>0.0</v>
      </c>
      <c r="M129" s="3"/>
      <c r="N129" s="3"/>
      <c r="O129" s="3"/>
      <c r="P129" s="3">
        <v>490.0</v>
      </c>
      <c r="Q129" s="3" t="s">
        <v>74</v>
      </c>
      <c r="R129" s="3" t="s">
        <v>75</v>
      </c>
      <c r="S129" s="3" t="s">
        <v>142</v>
      </c>
      <c r="T129" s="3" t="s">
        <v>39</v>
      </c>
      <c r="U129" s="3" t="s">
        <v>90</v>
      </c>
      <c r="V129" s="3" t="s">
        <v>125</v>
      </c>
      <c r="W129" s="3">
        <v>2.0</v>
      </c>
      <c r="X129" s="3">
        <v>2.0</v>
      </c>
      <c r="Y129" s="3">
        <v>5.0</v>
      </c>
      <c r="Z129" s="3">
        <v>3.0</v>
      </c>
      <c r="AA129" s="3">
        <v>2.0</v>
      </c>
      <c r="AB129" s="3">
        <v>0.0</v>
      </c>
      <c r="AC129" s="3">
        <v>2.5</v>
      </c>
      <c r="AD129" s="3">
        <v>0.0</v>
      </c>
      <c r="AE129" s="3" t="s">
        <v>122</v>
      </c>
      <c r="AF129" s="14"/>
      <c r="AG129" s="14"/>
      <c r="AH129" s="14"/>
      <c r="AI129" s="14"/>
      <c r="AJ129" s="14"/>
      <c r="AK129" s="14"/>
      <c r="AL129" s="14"/>
      <c r="AM129" s="14" t="s">
        <v>125</v>
      </c>
      <c r="AN129" s="14" t="s">
        <v>524</v>
      </c>
      <c r="AO129" s="14" t="s">
        <v>84</v>
      </c>
      <c r="AP129" s="14" t="s">
        <v>525</v>
      </c>
      <c r="AQ129" s="14">
        <v>0.0</v>
      </c>
      <c r="AR129" s="14" t="s">
        <v>196</v>
      </c>
    </row>
    <row r="130" ht="15.75" customHeight="1">
      <c r="A130" s="3" t="s">
        <v>39</v>
      </c>
      <c r="B130" s="3" t="s">
        <v>44</v>
      </c>
      <c r="C130" s="3" t="s">
        <v>102</v>
      </c>
      <c r="D130" s="3" t="s">
        <v>160</v>
      </c>
      <c r="E130" s="3" t="s">
        <v>106</v>
      </c>
      <c r="F130" s="3" t="s">
        <v>120</v>
      </c>
      <c r="G130" s="3" t="s">
        <v>39</v>
      </c>
      <c r="H130" s="3" t="s">
        <v>69</v>
      </c>
      <c r="I130" s="19" t="s">
        <v>122</v>
      </c>
      <c r="J130" s="3" t="s">
        <v>71</v>
      </c>
      <c r="K130" s="3">
        <v>0.0</v>
      </c>
      <c r="L130" s="3">
        <v>0.0</v>
      </c>
      <c r="M130" s="3"/>
      <c r="N130" s="3"/>
      <c r="O130" s="3"/>
      <c r="P130" s="3">
        <v>130.0</v>
      </c>
      <c r="Q130" s="3" t="s">
        <v>121</v>
      </c>
      <c r="R130" s="3" t="s">
        <v>75</v>
      </c>
      <c r="S130" s="3" t="s">
        <v>76</v>
      </c>
      <c r="T130" s="3" t="s">
        <v>39</v>
      </c>
      <c r="U130" s="3" t="s">
        <v>90</v>
      </c>
      <c r="V130" s="3" t="s">
        <v>125</v>
      </c>
      <c r="W130" s="3">
        <v>2.0</v>
      </c>
      <c r="X130" s="3">
        <v>5.0</v>
      </c>
      <c r="Y130" s="3">
        <v>5.0</v>
      </c>
      <c r="Z130" s="3">
        <v>3.0</v>
      </c>
      <c r="AA130" s="3">
        <v>4.0</v>
      </c>
      <c r="AB130" s="3">
        <v>0.0</v>
      </c>
      <c r="AC130" s="3">
        <v>3.2</v>
      </c>
      <c r="AD130" s="3">
        <v>0.0</v>
      </c>
      <c r="AE130" s="3" t="s">
        <v>122</v>
      </c>
      <c r="AF130" s="14"/>
      <c r="AG130" s="14"/>
      <c r="AH130" s="14"/>
      <c r="AI130" s="14"/>
      <c r="AJ130" s="14"/>
      <c r="AK130" s="14"/>
      <c r="AL130" s="14"/>
      <c r="AM130" s="14" t="s">
        <v>125</v>
      </c>
      <c r="AN130" s="14" t="s">
        <v>247</v>
      </c>
      <c r="AO130" s="14" t="s">
        <v>84</v>
      </c>
      <c r="AP130" s="14" t="s">
        <v>248</v>
      </c>
      <c r="AQ130" s="14">
        <v>0.0</v>
      </c>
      <c r="AR130" s="14" t="s">
        <v>196</v>
      </c>
    </row>
    <row r="131" ht="15.75" customHeight="1">
      <c r="A131" s="3" t="s">
        <v>39</v>
      </c>
      <c r="B131" s="3" t="s">
        <v>44</v>
      </c>
      <c r="C131" s="3" t="s">
        <v>102</v>
      </c>
      <c r="D131" s="3" t="s">
        <v>160</v>
      </c>
      <c r="E131" s="3" t="s">
        <v>106</v>
      </c>
      <c r="F131" s="3" t="s">
        <v>165</v>
      </c>
      <c r="G131" s="3" t="s">
        <v>39</v>
      </c>
      <c r="H131" s="3" t="s">
        <v>69</v>
      </c>
      <c r="I131" s="19" t="s">
        <v>122</v>
      </c>
      <c r="J131" s="3" t="s">
        <v>71</v>
      </c>
      <c r="K131" s="3">
        <v>0.0</v>
      </c>
      <c r="L131" s="3">
        <v>0.0</v>
      </c>
      <c r="M131" s="3"/>
      <c r="N131" s="3"/>
      <c r="O131" s="3"/>
      <c r="P131" s="3">
        <v>130.0</v>
      </c>
      <c r="Q131" s="3" t="s">
        <v>121</v>
      </c>
      <c r="R131" s="3" t="s">
        <v>75</v>
      </c>
      <c r="S131" s="3" t="s">
        <v>76</v>
      </c>
      <c r="T131" s="3" t="s">
        <v>39</v>
      </c>
      <c r="U131" s="3" t="s">
        <v>90</v>
      </c>
      <c r="V131" s="3" t="s">
        <v>166</v>
      </c>
      <c r="W131" s="3">
        <v>2.0</v>
      </c>
      <c r="X131" s="3">
        <v>5.0</v>
      </c>
      <c r="Y131" s="3">
        <v>5.0</v>
      </c>
      <c r="Z131" s="3">
        <v>3.0</v>
      </c>
      <c r="AA131" s="3">
        <v>4.0</v>
      </c>
      <c r="AB131" s="3">
        <v>0.0</v>
      </c>
      <c r="AC131" s="3">
        <v>3.2</v>
      </c>
      <c r="AD131" s="3">
        <v>0.0</v>
      </c>
      <c r="AE131" s="3" t="s">
        <v>122</v>
      </c>
      <c r="AF131" s="14"/>
      <c r="AG131" s="14"/>
      <c r="AH131" s="14"/>
      <c r="AI131" s="14"/>
      <c r="AJ131" s="14"/>
      <c r="AK131" s="14"/>
      <c r="AL131" s="14"/>
      <c r="AM131" s="14" t="s">
        <v>166</v>
      </c>
      <c r="AN131" s="14" t="s">
        <v>247</v>
      </c>
      <c r="AO131" s="14" t="s">
        <v>84</v>
      </c>
      <c r="AP131" s="14" t="s">
        <v>248</v>
      </c>
      <c r="AQ131" s="14">
        <v>0.0</v>
      </c>
      <c r="AR131" s="14" t="s">
        <v>196</v>
      </c>
    </row>
    <row r="132" ht="15.75" customHeight="1">
      <c r="A132" s="3" t="s">
        <v>39</v>
      </c>
      <c r="B132" s="3" t="s">
        <v>44</v>
      </c>
      <c r="C132" s="3" t="s">
        <v>102</v>
      </c>
      <c r="D132" s="3" t="s">
        <v>499</v>
      </c>
      <c r="E132" s="3" t="s">
        <v>202</v>
      </c>
      <c r="F132" s="3" t="s">
        <v>120</v>
      </c>
      <c r="G132" s="3" t="s">
        <v>39</v>
      </c>
      <c r="H132" s="3" t="s">
        <v>69</v>
      </c>
      <c r="I132" s="19" t="s">
        <v>122</v>
      </c>
      <c r="J132" s="3" t="s">
        <v>71</v>
      </c>
      <c r="K132" s="3">
        <v>0.0</v>
      </c>
      <c r="L132" s="3">
        <v>0.0</v>
      </c>
      <c r="M132" s="3"/>
      <c r="N132" s="3"/>
      <c r="O132" s="3"/>
      <c r="P132" s="3">
        <v>500.0</v>
      </c>
      <c r="Q132" s="3" t="s">
        <v>74</v>
      </c>
      <c r="R132" s="3" t="s">
        <v>75</v>
      </c>
      <c r="S132" s="3" t="s">
        <v>142</v>
      </c>
      <c r="T132" s="3" t="s">
        <v>39</v>
      </c>
      <c r="U132" s="3" t="s">
        <v>90</v>
      </c>
      <c r="V132" s="3" t="s">
        <v>125</v>
      </c>
      <c r="W132" s="3">
        <v>2.0</v>
      </c>
      <c r="X132" s="3">
        <v>2.0</v>
      </c>
      <c r="Y132" s="3">
        <v>5.0</v>
      </c>
      <c r="Z132" s="3">
        <v>3.0</v>
      </c>
      <c r="AA132" s="3">
        <v>2.0</v>
      </c>
      <c r="AB132" s="3">
        <v>0.0</v>
      </c>
      <c r="AC132" s="3">
        <v>2.5</v>
      </c>
      <c r="AD132" s="3">
        <v>0.0</v>
      </c>
      <c r="AE132" s="3" t="s">
        <v>122</v>
      </c>
      <c r="AF132" s="14"/>
      <c r="AG132" s="14"/>
      <c r="AH132" s="14"/>
      <c r="AI132" s="14"/>
      <c r="AJ132" s="14"/>
      <c r="AK132" s="14"/>
      <c r="AL132" s="14"/>
      <c r="AM132" s="14" t="s">
        <v>125</v>
      </c>
      <c r="AN132" s="14" t="s">
        <v>528</v>
      </c>
      <c r="AO132" s="14" t="s">
        <v>84</v>
      </c>
      <c r="AP132" s="14" t="s">
        <v>529</v>
      </c>
      <c r="AQ132" s="14">
        <v>0.0</v>
      </c>
      <c r="AR132" s="14" t="s">
        <v>196</v>
      </c>
    </row>
    <row r="133" ht="15.75" customHeight="1">
      <c r="A133" s="3" t="s">
        <v>39</v>
      </c>
      <c r="B133" s="3" t="s">
        <v>44</v>
      </c>
      <c r="C133" s="3" t="s">
        <v>102</v>
      </c>
      <c r="D133" s="3" t="s">
        <v>501</v>
      </c>
      <c r="E133" s="3" t="s">
        <v>202</v>
      </c>
      <c r="F133" s="3" t="s">
        <v>120</v>
      </c>
      <c r="G133" s="3" t="s">
        <v>39</v>
      </c>
      <c r="H133" s="3" t="s">
        <v>69</v>
      </c>
      <c r="I133" s="19" t="s">
        <v>122</v>
      </c>
      <c r="J133" s="3" t="s">
        <v>71</v>
      </c>
      <c r="K133" s="3">
        <v>0.0</v>
      </c>
      <c r="L133" s="3">
        <v>0.0</v>
      </c>
      <c r="M133" s="3"/>
      <c r="N133" s="3"/>
      <c r="O133" s="3"/>
      <c r="P133" s="3">
        <v>500.0</v>
      </c>
      <c r="Q133" s="3" t="s">
        <v>74</v>
      </c>
      <c r="R133" s="3" t="s">
        <v>75</v>
      </c>
      <c r="S133" s="3" t="s">
        <v>142</v>
      </c>
      <c r="T133" s="3" t="s">
        <v>39</v>
      </c>
      <c r="U133" s="3" t="s">
        <v>90</v>
      </c>
      <c r="V133" s="3" t="s">
        <v>125</v>
      </c>
      <c r="W133" s="3">
        <v>2.0</v>
      </c>
      <c r="X133" s="3">
        <v>2.0</v>
      </c>
      <c r="Y133" s="3">
        <v>5.0</v>
      </c>
      <c r="Z133" s="3">
        <v>3.0</v>
      </c>
      <c r="AA133" s="3">
        <v>2.0</v>
      </c>
      <c r="AB133" s="3">
        <v>0.0</v>
      </c>
      <c r="AC133" s="3">
        <v>2.5</v>
      </c>
      <c r="AD133" s="3">
        <v>0.0</v>
      </c>
      <c r="AE133" s="3" t="s">
        <v>122</v>
      </c>
      <c r="AF133" s="14"/>
      <c r="AG133" s="14"/>
      <c r="AH133" s="14"/>
      <c r="AI133" s="14"/>
      <c r="AJ133" s="14"/>
      <c r="AK133" s="14"/>
      <c r="AL133" s="14"/>
      <c r="AM133" s="14" t="s">
        <v>125</v>
      </c>
      <c r="AN133" s="14" t="s">
        <v>531</v>
      </c>
      <c r="AO133" s="14" t="s">
        <v>84</v>
      </c>
      <c r="AP133" s="14" t="s">
        <v>532</v>
      </c>
      <c r="AQ133" s="14">
        <v>0.0</v>
      </c>
      <c r="AR133" s="14" t="s">
        <v>196</v>
      </c>
    </row>
    <row r="134" ht="15.75" customHeight="1">
      <c r="A134" s="3" t="s">
        <v>39</v>
      </c>
      <c r="B134" s="3" t="s">
        <v>44</v>
      </c>
      <c r="C134" s="3" t="s">
        <v>102</v>
      </c>
      <c r="D134" s="3" t="s">
        <v>269</v>
      </c>
      <c r="E134" s="3" t="s">
        <v>186</v>
      </c>
      <c r="F134" s="3" t="s">
        <v>120</v>
      </c>
      <c r="G134" s="3" t="s">
        <v>39</v>
      </c>
      <c r="H134" s="3" t="s">
        <v>69</v>
      </c>
      <c r="I134" s="19" t="s">
        <v>122</v>
      </c>
      <c r="J134" s="3" t="s">
        <v>71</v>
      </c>
      <c r="K134" s="3">
        <v>0.0</v>
      </c>
      <c r="L134" s="3">
        <v>0.0</v>
      </c>
      <c r="M134" s="3"/>
      <c r="N134" s="3"/>
      <c r="O134" s="3"/>
      <c r="P134" s="3">
        <v>360.0</v>
      </c>
      <c r="Q134" s="3" t="s">
        <v>140</v>
      </c>
      <c r="R134" s="3" t="s">
        <v>75</v>
      </c>
      <c r="S134" s="3" t="s">
        <v>142</v>
      </c>
      <c r="T134" s="3" t="s">
        <v>39</v>
      </c>
      <c r="U134" s="3" t="s">
        <v>90</v>
      </c>
      <c r="V134" s="3" t="s">
        <v>125</v>
      </c>
      <c r="W134" s="3">
        <v>2.0</v>
      </c>
      <c r="X134" s="3">
        <v>3.0</v>
      </c>
      <c r="Y134" s="3">
        <v>5.0</v>
      </c>
      <c r="Z134" s="3">
        <v>3.0</v>
      </c>
      <c r="AA134" s="3">
        <v>2.0</v>
      </c>
      <c r="AB134" s="3">
        <v>0.0</v>
      </c>
      <c r="AC134" s="3">
        <v>2.7</v>
      </c>
      <c r="AD134" s="3">
        <v>0.0</v>
      </c>
      <c r="AE134" s="3" t="s">
        <v>122</v>
      </c>
      <c r="AF134" s="14"/>
      <c r="AG134" s="14"/>
      <c r="AH134" s="14"/>
      <c r="AI134" s="14"/>
      <c r="AJ134" s="14"/>
      <c r="AK134" s="14"/>
      <c r="AL134" s="14"/>
      <c r="AM134" s="14" t="s">
        <v>125</v>
      </c>
      <c r="AN134" s="14" t="s">
        <v>534</v>
      </c>
      <c r="AO134" s="14" t="s">
        <v>84</v>
      </c>
      <c r="AP134" s="14" t="s">
        <v>535</v>
      </c>
      <c r="AQ134" s="14">
        <v>0.0</v>
      </c>
      <c r="AR134" s="14" t="s">
        <v>196</v>
      </c>
    </row>
    <row r="135" ht="15.75" customHeight="1">
      <c r="A135" s="3" t="s">
        <v>39</v>
      </c>
      <c r="B135" s="3" t="s">
        <v>44</v>
      </c>
      <c r="C135" s="3" t="s">
        <v>102</v>
      </c>
      <c r="D135" s="3" t="s">
        <v>209</v>
      </c>
      <c r="E135" s="3" t="s">
        <v>138</v>
      </c>
      <c r="F135" s="3" t="s">
        <v>120</v>
      </c>
      <c r="G135" s="3" t="s">
        <v>39</v>
      </c>
      <c r="H135" s="3" t="s">
        <v>69</v>
      </c>
      <c r="I135" s="19" t="s">
        <v>122</v>
      </c>
      <c r="J135" s="3" t="s">
        <v>71</v>
      </c>
      <c r="K135" s="3">
        <v>0.0</v>
      </c>
      <c r="L135" s="3">
        <v>0.0</v>
      </c>
      <c r="M135" s="3"/>
      <c r="N135" s="3"/>
      <c r="O135" s="3"/>
      <c r="P135" s="3">
        <v>300.0</v>
      </c>
      <c r="Q135" s="3" t="s">
        <v>140</v>
      </c>
      <c r="R135" s="3" t="s">
        <v>75</v>
      </c>
      <c r="S135" s="3" t="s">
        <v>142</v>
      </c>
      <c r="T135" s="3" t="s">
        <v>39</v>
      </c>
      <c r="U135" s="3" t="s">
        <v>90</v>
      </c>
      <c r="V135" s="3" t="s">
        <v>125</v>
      </c>
      <c r="W135" s="3">
        <v>2.0</v>
      </c>
      <c r="X135" s="3">
        <v>4.0</v>
      </c>
      <c r="Y135" s="3">
        <v>5.0</v>
      </c>
      <c r="Z135" s="3">
        <v>3.0</v>
      </c>
      <c r="AA135" s="3">
        <v>2.0</v>
      </c>
      <c r="AB135" s="3">
        <v>0.0</v>
      </c>
      <c r="AC135" s="3">
        <v>2.9</v>
      </c>
      <c r="AD135" s="3">
        <v>0.0</v>
      </c>
      <c r="AE135" s="3" t="s">
        <v>122</v>
      </c>
      <c r="AF135" s="14"/>
      <c r="AG135" s="14"/>
      <c r="AH135" s="14"/>
      <c r="AI135" s="14"/>
      <c r="AJ135" s="14"/>
      <c r="AK135" s="14"/>
      <c r="AL135" s="14"/>
      <c r="AM135" s="14" t="s">
        <v>125</v>
      </c>
      <c r="AN135" s="14" t="s">
        <v>259</v>
      </c>
      <c r="AO135" s="14" t="s">
        <v>84</v>
      </c>
      <c r="AP135" s="14" t="s">
        <v>261</v>
      </c>
      <c r="AQ135" s="14">
        <v>0.0</v>
      </c>
      <c r="AR135" s="14" t="s">
        <v>196</v>
      </c>
    </row>
    <row r="136" ht="15.75" customHeight="1">
      <c r="A136" s="3" t="s">
        <v>39</v>
      </c>
      <c r="B136" s="3" t="s">
        <v>44</v>
      </c>
      <c r="C136" s="3" t="s">
        <v>102</v>
      </c>
      <c r="D136" s="3" t="s">
        <v>509</v>
      </c>
      <c r="E136" s="3" t="s">
        <v>271</v>
      </c>
      <c r="F136" s="3" t="s">
        <v>257</v>
      </c>
      <c r="G136" s="3" t="s">
        <v>39</v>
      </c>
      <c r="H136" s="3" t="s">
        <v>69</v>
      </c>
      <c r="I136" s="19" t="s">
        <v>122</v>
      </c>
      <c r="J136" s="3" t="s">
        <v>71</v>
      </c>
      <c r="K136" s="3">
        <v>0.0</v>
      </c>
      <c r="L136" s="3">
        <v>0.0</v>
      </c>
      <c r="M136" s="3"/>
      <c r="N136" s="3"/>
      <c r="O136" s="3"/>
      <c r="P136" s="3">
        <v>570.0</v>
      </c>
      <c r="Q136" s="3" t="s">
        <v>74</v>
      </c>
      <c r="R136" s="3" t="s">
        <v>75</v>
      </c>
      <c r="S136" s="3" t="s">
        <v>142</v>
      </c>
      <c r="T136" s="3" t="s">
        <v>39</v>
      </c>
      <c r="U136" s="3" t="s">
        <v>232</v>
      </c>
      <c r="V136" s="3" t="s">
        <v>258</v>
      </c>
      <c r="W136" s="3">
        <v>2.0</v>
      </c>
      <c r="X136" s="3">
        <v>2.0</v>
      </c>
      <c r="Y136" s="3">
        <v>5.0</v>
      </c>
      <c r="Z136" s="3">
        <v>3.0</v>
      </c>
      <c r="AA136" s="3">
        <v>2.0</v>
      </c>
      <c r="AB136" s="3">
        <v>0.0</v>
      </c>
      <c r="AC136" s="3">
        <v>2.5</v>
      </c>
      <c r="AD136" s="3">
        <v>0.0</v>
      </c>
      <c r="AE136" s="3" t="s">
        <v>122</v>
      </c>
      <c r="AF136" s="14"/>
      <c r="AG136" s="14"/>
      <c r="AH136" s="14"/>
      <c r="AI136" s="14"/>
      <c r="AJ136" s="14"/>
      <c r="AK136" s="14"/>
      <c r="AL136" s="14"/>
      <c r="AM136" s="14" t="s">
        <v>258</v>
      </c>
      <c r="AN136" s="14" t="s">
        <v>536</v>
      </c>
      <c r="AO136" s="14" t="s">
        <v>84</v>
      </c>
      <c r="AP136" s="14" t="s">
        <v>537</v>
      </c>
      <c r="AQ136" s="14">
        <v>0.0</v>
      </c>
      <c r="AR136" s="14" t="s">
        <v>196</v>
      </c>
    </row>
    <row r="137" ht="15.75" customHeight="1">
      <c r="A137" s="3" t="s">
        <v>39</v>
      </c>
      <c r="B137" s="3" t="s">
        <v>44</v>
      </c>
      <c r="C137" s="3" t="s">
        <v>102</v>
      </c>
      <c r="D137" s="3" t="s">
        <v>213</v>
      </c>
      <c r="E137" s="3" t="s">
        <v>138</v>
      </c>
      <c r="F137" s="3" t="s">
        <v>120</v>
      </c>
      <c r="G137" s="3" t="s">
        <v>39</v>
      </c>
      <c r="H137" s="3" t="s">
        <v>69</v>
      </c>
      <c r="I137" s="19" t="s">
        <v>122</v>
      </c>
      <c r="J137" s="3" t="s">
        <v>71</v>
      </c>
      <c r="K137" s="3">
        <v>0.0</v>
      </c>
      <c r="L137" s="3">
        <v>0.0</v>
      </c>
      <c r="M137" s="3"/>
      <c r="N137" s="3"/>
      <c r="O137" s="3"/>
      <c r="P137" s="3">
        <v>300.0</v>
      </c>
      <c r="Q137" s="3" t="s">
        <v>140</v>
      </c>
      <c r="R137" s="3" t="s">
        <v>75</v>
      </c>
      <c r="S137" s="3" t="s">
        <v>142</v>
      </c>
      <c r="T137" s="3" t="s">
        <v>39</v>
      </c>
      <c r="U137" s="3" t="s">
        <v>90</v>
      </c>
      <c r="V137" s="3" t="s">
        <v>125</v>
      </c>
      <c r="W137" s="3">
        <v>2.0</v>
      </c>
      <c r="X137" s="3">
        <v>4.0</v>
      </c>
      <c r="Y137" s="3">
        <v>5.0</v>
      </c>
      <c r="Z137" s="3">
        <v>3.0</v>
      </c>
      <c r="AA137" s="3">
        <v>2.0</v>
      </c>
      <c r="AB137" s="3">
        <v>0.0</v>
      </c>
      <c r="AC137" s="3">
        <v>2.9</v>
      </c>
      <c r="AD137" s="3">
        <v>0.0</v>
      </c>
      <c r="AE137" s="3" t="s">
        <v>122</v>
      </c>
      <c r="AF137" s="14"/>
      <c r="AG137" s="14"/>
      <c r="AH137" s="14"/>
      <c r="AI137" s="14"/>
      <c r="AJ137" s="14"/>
      <c r="AK137" s="14"/>
      <c r="AL137" s="14"/>
      <c r="AM137" s="14" t="s">
        <v>125</v>
      </c>
      <c r="AN137" s="14" t="s">
        <v>374</v>
      </c>
      <c r="AO137" s="14" t="s">
        <v>84</v>
      </c>
      <c r="AP137" s="14" t="s">
        <v>375</v>
      </c>
      <c r="AQ137" s="14">
        <v>0.0</v>
      </c>
      <c r="AR137" s="14" t="s">
        <v>196</v>
      </c>
    </row>
    <row r="138" ht="15.75" customHeight="1">
      <c r="A138" s="3" t="s">
        <v>39</v>
      </c>
      <c r="B138" s="3" t="s">
        <v>44</v>
      </c>
      <c r="C138" s="3" t="s">
        <v>102</v>
      </c>
      <c r="D138" s="3" t="s">
        <v>103</v>
      </c>
      <c r="E138" s="3" t="s">
        <v>138</v>
      </c>
      <c r="F138" s="3" t="s">
        <v>224</v>
      </c>
      <c r="G138" s="3" t="s">
        <v>69</v>
      </c>
      <c r="H138" s="3" t="s">
        <v>69</v>
      </c>
      <c r="I138" s="19" t="s">
        <v>122</v>
      </c>
      <c r="J138" s="3" t="s">
        <v>71</v>
      </c>
      <c r="K138" s="3">
        <v>3.0</v>
      </c>
      <c r="L138" s="3"/>
      <c r="M138" s="3"/>
      <c r="N138" s="3"/>
      <c r="O138" s="3"/>
      <c r="P138" s="3">
        <v>300.0</v>
      </c>
      <c r="Q138" s="3" t="s">
        <v>140</v>
      </c>
      <c r="R138" s="3" t="s">
        <v>75</v>
      </c>
      <c r="S138" s="3" t="s">
        <v>142</v>
      </c>
      <c r="T138" s="3" t="s">
        <v>39</v>
      </c>
      <c r="U138" s="3" t="s">
        <v>90</v>
      </c>
      <c r="V138" s="3" t="s">
        <v>225</v>
      </c>
      <c r="W138" s="3">
        <v>2.0</v>
      </c>
      <c r="X138" s="3">
        <v>4.0</v>
      </c>
      <c r="Y138" s="3">
        <v>4.0</v>
      </c>
      <c r="Z138" s="3">
        <v>3.0</v>
      </c>
      <c r="AA138" s="3">
        <v>2.0</v>
      </c>
      <c r="AB138" s="3">
        <v>0.0</v>
      </c>
      <c r="AC138" s="3">
        <v>2.6</v>
      </c>
      <c r="AD138" s="3"/>
      <c r="AE138" s="3" t="s">
        <v>122</v>
      </c>
      <c r="AF138" s="14"/>
      <c r="AG138" s="14"/>
      <c r="AH138" s="14"/>
      <c r="AI138" s="14"/>
      <c r="AJ138" s="14"/>
      <c r="AK138" s="14"/>
      <c r="AL138" s="14"/>
      <c r="AM138" s="14" t="s">
        <v>225</v>
      </c>
      <c r="AN138" s="14" t="s">
        <v>145</v>
      </c>
      <c r="AO138" s="14" t="s">
        <v>84</v>
      </c>
      <c r="AP138" s="14" t="s">
        <v>146</v>
      </c>
      <c r="AQ138" s="14">
        <v>0.0</v>
      </c>
      <c r="AR138" s="14" t="s">
        <v>196</v>
      </c>
    </row>
    <row r="139" ht="15.75" customHeight="1">
      <c r="A139" s="3" t="s">
        <v>39</v>
      </c>
      <c r="B139" s="3" t="s">
        <v>44</v>
      </c>
      <c r="C139" s="3" t="s">
        <v>102</v>
      </c>
      <c r="D139" s="3" t="s">
        <v>362</v>
      </c>
      <c r="E139" s="3" t="s">
        <v>271</v>
      </c>
      <c r="F139" s="3" t="s">
        <v>538</v>
      </c>
      <c r="G139" s="3" t="s">
        <v>69</v>
      </c>
      <c r="H139" s="3" t="s">
        <v>39</v>
      </c>
      <c r="I139" s="19" t="s">
        <v>122</v>
      </c>
      <c r="J139" s="3" t="s">
        <v>71</v>
      </c>
      <c r="K139" s="3">
        <v>0.0</v>
      </c>
      <c r="L139" s="3">
        <v>0.0</v>
      </c>
      <c r="M139" s="3"/>
      <c r="N139" s="3"/>
      <c r="O139" s="3"/>
      <c r="P139" s="3">
        <v>570.0</v>
      </c>
      <c r="Q139" s="3" t="s">
        <v>74</v>
      </c>
      <c r="R139" s="3" t="s">
        <v>75</v>
      </c>
      <c r="S139" s="3" t="s">
        <v>142</v>
      </c>
      <c r="T139" s="3" t="s">
        <v>39</v>
      </c>
      <c r="U139" s="3" t="s">
        <v>232</v>
      </c>
      <c r="V139" s="3" t="s">
        <v>539</v>
      </c>
      <c r="W139" s="3">
        <v>2.0</v>
      </c>
      <c r="X139" s="3">
        <v>2.0</v>
      </c>
      <c r="Y139" s="3">
        <v>1.0</v>
      </c>
      <c r="Z139" s="3">
        <v>3.0</v>
      </c>
      <c r="AA139" s="3">
        <v>2.0</v>
      </c>
      <c r="AB139" s="3">
        <v>0.0</v>
      </c>
      <c r="AC139" s="3">
        <v>1.6</v>
      </c>
      <c r="AD139" s="3">
        <v>0.0</v>
      </c>
      <c r="AE139" s="3" t="s">
        <v>122</v>
      </c>
      <c r="AF139" s="14"/>
      <c r="AG139" s="14"/>
      <c r="AH139" s="14"/>
      <c r="AI139" s="14"/>
      <c r="AJ139" s="14"/>
      <c r="AK139" s="14"/>
      <c r="AL139" s="14"/>
      <c r="AM139" s="14" t="s">
        <v>539</v>
      </c>
      <c r="AN139" s="14" t="s">
        <v>478</v>
      </c>
      <c r="AO139" s="14" t="s">
        <v>84</v>
      </c>
      <c r="AP139" s="14" t="s">
        <v>479</v>
      </c>
      <c r="AQ139" s="14">
        <v>0.0</v>
      </c>
      <c r="AR139" s="14" t="s">
        <v>196</v>
      </c>
    </row>
    <row r="140" ht="15.75" customHeight="1">
      <c r="A140" s="3" t="s">
        <v>39</v>
      </c>
      <c r="B140" s="3" t="s">
        <v>44</v>
      </c>
      <c r="C140" s="3" t="s">
        <v>102</v>
      </c>
      <c r="D140" s="3" t="s">
        <v>362</v>
      </c>
      <c r="E140" s="3" t="s">
        <v>271</v>
      </c>
      <c r="F140" s="3" t="s">
        <v>540</v>
      </c>
      <c r="G140" s="3" t="s">
        <v>69</v>
      </c>
      <c r="H140" s="3" t="s">
        <v>39</v>
      </c>
      <c r="I140" s="19" t="s">
        <v>122</v>
      </c>
      <c r="J140" s="3" t="s">
        <v>71</v>
      </c>
      <c r="K140" s="3">
        <v>0.0</v>
      </c>
      <c r="L140" s="3">
        <v>0.0</v>
      </c>
      <c r="M140" s="3"/>
      <c r="N140" s="3"/>
      <c r="O140" s="3"/>
      <c r="P140" s="3">
        <v>570.0</v>
      </c>
      <c r="Q140" s="3" t="s">
        <v>74</v>
      </c>
      <c r="R140" s="3" t="s">
        <v>75</v>
      </c>
      <c r="S140" s="3" t="s">
        <v>142</v>
      </c>
      <c r="T140" s="3" t="s">
        <v>39</v>
      </c>
      <c r="U140" s="3" t="s">
        <v>232</v>
      </c>
      <c r="V140" s="3" t="s">
        <v>541</v>
      </c>
      <c r="W140" s="3">
        <v>2.0</v>
      </c>
      <c r="X140" s="3">
        <v>2.0</v>
      </c>
      <c r="Y140" s="3">
        <v>1.0</v>
      </c>
      <c r="Z140" s="3">
        <v>3.0</v>
      </c>
      <c r="AA140" s="3">
        <v>2.0</v>
      </c>
      <c r="AB140" s="3">
        <v>0.0</v>
      </c>
      <c r="AC140" s="3">
        <v>1.6</v>
      </c>
      <c r="AD140" s="3">
        <v>0.0</v>
      </c>
      <c r="AE140" s="3" t="s">
        <v>122</v>
      </c>
      <c r="AF140" s="14"/>
      <c r="AG140" s="14"/>
      <c r="AH140" s="14"/>
      <c r="AI140" s="14"/>
      <c r="AJ140" s="14"/>
      <c r="AK140" s="14"/>
      <c r="AL140" s="14"/>
      <c r="AM140" s="14" t="s">
        <v>541</v>
      </c>
      <c r="AN140" s="14" t="s">
        <v>478</v>
      </c>
      <c r="AO140" s="14" t="s">
        <v>84</v>
      </c>
      <c r="AP140" s="14" t="s">
        <v>479</v>
      </c>
      <c r="AQ140" s="14">
        <v>0.0</v>
      </c>
      <c r="AR140" s="14" t="s">
        <v>196</v>
      </c>
    </row>
    <row r="141" ht="15.75" customHeight="1">
      <c r="A141" s="3" t="s">
        <v>39</v>
      </c>
      <c r="B141" s="3" t="s">
        <v>44</v>
      </c>
      <c r="C141" s="3" t="s">
        <v>102</v>
      </c>
      <c r="D141" s="3" t="s">
        <v>218</v>
      </c>
      <c r="E141" s="3" t="s">
        <v>271</v>
      </c>
      <c r="F141" s="3" t="s">
        <v>224</v>
      </c>
      <c r="G141" s="3" t="s">
        <v>69</v>
      </c>
      <c r="H141" s="3" t="s">
        <v>69</v>
      </c>
      <c r="I141" s="19" t="s">
        <v>122</v>
      </c>
      <c r="J141" s="3" t="s">
        <v>71</v>
      </c>
      <c r="K141" s="3">
        <v>3.0</v>
      </c>
      <c r="L141" s="3"/>
      <c r="M141" s="3"/>
      <c r="N141" s="3"/>
      <c r="O141" s="3"/>
      <c r="P141" s="3">
        <v>570.0</v>
      </c>
      <c r="Q141" s="3" t="s">
        <v>74</v>
      </c>
      <c r="R141" s="3" t="s">
        <v>75</v>
      </c>
      <c r="S141" s="3" t="s">
        <v>142</v>
      </c>
      <c r="T141" s="3" t="s">
        <v>39</v>
      </c>
      <c r="U141" s="3" t="s">
        <v>90</v>
      </c>
      <c r="V141" s="3" t="s">
        <v>225</v>
      </c>
      <c r="W141" s="3">
        <v>2.0</v>
      </c>
      <c r="X141" s="3">
        <v>2.0</v>
      </c>
      <c r="Y141" s="3">
        <v>4.0</v>
      </c>
      <c r="Z141" s="3">
        <v>3.0</v>
      </c>
      <c r="AA141" s="3">
        <v>2.0</v>
      </c>
      <c r="AB141" s="3">
        <v>0.0</v>
      </c>
      <c r="AC141" s="3">
        <v>2.3</v>
      </c>
      <c r="AD141" s="3"/>
      <c r="AE141" s="3" t="s">
        <v>122</v>
      </c>
      <c r="AF141" s="14"/>
      <c r="AG141" s="14"/>
      <c r="AH141" s="14"/>
      <c r="AI141" s="14"/>
      <c r="AJ141" s="14"/>
      <c r="AK141" s="14"/>
      <c r="AL141" s="14"/>
      <c r="AM141" s="14" t="s">
        <v>225</v>
      </c>
      <c r="AN141" s="14" t="s">
        <v>272</v>
      </c>
      <c r="AO141" s="14" t="s">
        <v>84</v>
      </c>
      <c r="AP141" s="14" t="s">
        <v>273</v>
      </c>
      <c r="AQ141" s="14">
        <v>0.0</v>
      </c>
      <c r="AR141" s="14" t="s">
        <v>196</v>
      </c>
    </row>
    <row r="142" ht="15.75" customHeight="1">
      <c r="A142" s="3" t="s">
        <v>39</v>
      </c>
      <c r="B142" s="3" t="s">
        <v>44</v>
      </c>
      <c r="C142" s="3" t="s">
        <v>102</v>
      </c>
      <c r="D142" s="3" t="s">
        <v>223</v>
      </c>
      <c r="E142" s="3" t="s">
        <v>240</v>
      </c>
      <c r="F142" s="3" t="s">
        <v>367</v>
      </c>
      <c r="G142" s="3" t="s">
        <v>69</v>
      </c>
      <c r="H142" s="3" t="s">
        <v>69</v>
      </c>
      <c r="I142" s="19" t="s">
        <v>122</v>
      </c>
      <c r="J142" s="3" t="s">
        <v>71</v>
      </c>
      <c r="K142" s="3">
        <v>3.0</v>
      </c>
      <c r="L142" s="3"/>
      <c r="M142" s="3"/>
      <c r="N142" s="3"/>
      <c r="O142" s="3"/>
      <c r="P142" s="3">
        <v>610.0</v>
      </c>
      <c r="Q142" s="3" t="s">
        <v>153</v>
      </c>
      <c r="R142" s="3" t="s">
        <v>75</v>
      </c>
      <c r="S142" s="3" t="s">
        <v>142</v>
      </c>
      <c r="T142" s="3" t="s">
        <v>39</v>
      </c>
      <c r="U142" s="3" t="s">
        <v>226</v>
      </c>
      <c r="V142" s="3" t="s">
        <v>368</v>
      </c>
      <c r="W142" s="3">
        <v>2.0</v>
      </c>
      <c r="X142" s="3">
        <v>1.0</v>
      </c>
      <c r="Y142" s="3">
        <v>4.0</v>
      </c>
      <c r="Z142" s="3">
        <v>3.0</v>
      </c>
      <c r="AA142" s="3">
        <v>2.0</v>
      </c>
      <c r="AB142" s="3">
        <v>0.0</v>
      </c>
      <c r="AC142" s="3">
        <v>2.1</v>
      </c>
      <c r="AD142" s="3"/>
      <c r="AE142" s="3" t="s">
        <v>122</v>
      </c>
      <c r="AF142" s="14"/>
      <c r="AG142" s="14"/>
      <c r="AH142" s="14"/>
      <c r="AI142" s="14"/>
      <c r="AJ142" s="14"/>
      <c r="AK142" s="14"/>
      <c r="AL142" s="14"/>
      <c r="AM142" s="14" t="s">
        <v>368</v>
      </c>
      <c r="AN142" s="14" t="s">
        <v>393</v>
      </c>
      <c r="AO142" s="14" t="s">
        <v>84</v>
      </c>
      <c r="AP142" s="14" t="s">
        <v>394</v>
      </c>
      <c r="AQ142" s="14">
        <v>0.0</v>
      </c>
      <c r="AR142" s="14" t="s">
        <v>196</v>
      </c>
    </row>
    <row r="143" ht="15.75" customHeight="1">
      <c r="A143" s="3" t="s">
        <v>39</v>
      </c>
      <c r="B143" s="3" t="s">
        <v>44</v>
      </c>
      <c r="C143" s="3" t="s">
        <v>102</v>
      </c>
      <c r="D143" s="3" t="s">
        <v>228</v>
      </c>
      <c r="E143" s="3" t="s">
        <v>271</v>
      </c>
      <c r="F143" s="3" t="s">
        <v>219</v>
      </c>
      <c r="G143" s="3" t="s">
        <v>69</v>
      </c>
      <c r="H143" s="3" t="s">
        <v>69</v>
      </c>
      <c r="I143" s="19" t="s">
        <v>122</v>
      </c>
      <c r="J143" s="3" t="s">
        <v>71</v>
      </c>
      <c r="K143" s="3">
        <v>3.0</v>
      </c>
      <c r="L143" s="3"/>
      <c r="M143" s="3"/>
      <c r="N143" s="3"/>
      <c r="O143" s="3"/>
      <c r="P143" s="3">
        <v>570.0</v>
      </c>
      <c r="Q143" s="3" t="s">
        <v>74</v>
      </c>
      <c r="R143" s="3" t="s">
        <v>75</v>
      </c>
      <c r="S143" s="3" t="s">
        <v>142</v>
      </c>
      <c r="T143" s="3" t="s">
        <v>39</v>
      </c>
      <c r="U143" s="3" t="s">
        <v>90</v>
      </c>
      <c r="V143" s="3" t="s">
        <v>220</v>
      </c>
      <c r="W143" s="3">
        <v>2.0</v>
      </c>
      <c r="X143" s="3">
        <v>2.0</v>
      </c>
      <c r="Y143" s="3">
        <v>4.0</v>
      </c>
      <c r="Z143" s="3">
        <v>3.0</v>
      </c>
      <c r="AA143" s="3">
        <v>2.0</v>
      </c>
      <c r="AB143" s="3">
        <v>0.0</v>
      </c>
      <c r="AC143" s="3">
        <v>2.3</v>
      </c>
      <c r="AD143" s="3"/>
      <c r="AE143" s="3" t="s">
        <v>122</v>
      </c>
      <c r="AF143" s="14"/>
      <c r="AG143" s="14"/>
      <c r="AH143" s="14"/>
      <c r="AI143" s="14"/>
      <c r="AJ143" s="14"/>
      <c r="AK143" s="14"/>
      <c r="AL143" s="14"/>
      <c r="AM143" s="14" t="s">
        <v>220</v>
      </c>
      <c r="AN143" s="14" t="s">
        <v>274</v>
      </c>
      <c r="AO143" s="14" t="s">
        <v>84</v>
      </c>
      <c r="AP143" s="14" t="s">
        <v>275</v>
      </c>
      <c r="AQ143" s="14">
        <v>0.0</v>
      </c>
      <c r="AR143" s="14" t="s">
        <v>196</v>
      </c>
    </row>
    <row r="144" ht="15.75" customHeight="1">
      <c r="A144" s="3" t="s">
        <v>39</v>
      </c>
      <c r="B144" s="3" t="s">
        <v>44</v>
      </c>
      <c r="C144" s="3" t="s">
        <v>102</v>
      </c>
      <c r="D144" s="3" t="s">
        <v>228</v>
      </c>
      <c r="E144" s="3" t="s">
        <v>271</v>
      </c>
      <c r="F144" s="3" t="s">
        <v>224</v>
      </c>
      <c r="G144" s="3" t="s">
        <v>69</v>
      </c>
      <c r="H144" s="3" t="s">
        <v>69</v>
      </c>
      <c r="I144" s="19" t="s">
        <v>122</v>
      </c>
      <c r="J144" s="3" t="s">
        <v>71</v>
      </c>
      <c r="K144" s="3">
        <v>3.0</v>
      </c>
      <c r="L144" s="3"/>
      <c r="M144" s="3"/>
      <c r="N144" s="3"/>
      <c r="O144" s="3"/>
      <c r="P144" s="3">
        <v>570.0</v>
      </c>
      <c r="Q144" s="3" t="s">
        <v>74</v>
      </c>
      <c r="R144" s="3" t="s">
        <v>75</v>
      </c>
      <c r="S144" s="3" t="s">
        <v>142</v>
      </c>
      <c r="T144" s="3" t="s">
        <v>39</v>
      </c>
      <c r="U144" s="3" t="s">
        <v>90</v>
      </c>
      <c r="V144" s="3" t="s">
        <v>225</v>
      </c>
      <c r="W144" s="3">
        <v>2.0</v>
      </c>
      <c r="X144" s="3">
        <v>2.0</v>
      </c>
      <c r="Y144" s="3">
        <v>4.0</v>
      </c>
      <c r="Z144" s="3">
        <v>3.0</v>
      </c>
      <c r="AA144" s="3">
        <v>2.0</v>
      </c>
      <c r="AB144" s="3">
        <v>0.0</v>
      </c>
      <c r="AC144" s="3">
        <v>2.3</v>
      </c>
      <c r="AD144" s="3"/>
      <c r="AE144" s="3" t="s">
        <v>122</v>
      </c>
      <c r="AF144" s="14"/>
      <c r="AG144" s="14"/>
      <c r="AH144" s="14"/>
      <c r="AI144" s="14"/>
      <c r="AJ144" s="14"/>
      <c r="AK144" s="14"/>
      <c r="AL144" s="14"/>
      <c r="AM144" s="14" t="s">
        <v>225</v>
      </c>
      <c r="AN144" s="14" t="s">
        <v>274</v>
      </c>
      <c r="AO144" s="14" t="s">
        <v>84</v>
      </c>
      <c r="AP144" s="14" t="s">
        <v>275</v>
      </c>
      <c r="AQ144" s="14">
        <v>0.0</v>
      </c>
      <c r="AR144" s="14" t="s">
        <v>196</v>
      </c>
    </row>
    <row r="145" ht="15.75" customHeight="1">
      <c r="A145" s="3" t="s">
        <v>39</v>
      </c>
      <c r="B145" s="3" t="s">
        <v>44</v>
      </c>
      <c r="C145" s="3" t="s">
        <v>102</v>
      </c>
      <c r="D145" s="3" t="s">
        <v>230</v>
      </c>
      <c r="E145" s="3" t="s">
        <v>202</v>
      </c>
      <c r="F145" s="3" t="s">
        <v>367</v>
      </c>
      <c r="G145" s="3" t="s">
        <v>69</v>
      </c>
      <c r="H145" s="3" t="s">
        <v>69</v>
      </c>
      <c r="I145" s="19" t="s">
        <v>122</v>
      </c>
      <c r="J145" s="3" t="s">
        <v>71</v>
      </c>
      <c r="K145" s="3">
        <v>3.0</v>
      </c>
      <c r="L145" s="3"/>
      <c r="M145" s="3"/>
      <c r="N145" s="3"/>
      <c r="O145" s="3"/>
      <c r="P145" s="3">
        <v>500.0</v>
      </c>
      <c r="Q145" s="3" t="s">
        <v>74</v>
      </c>
      <c r="R145" s="3" t="s">
        <v>75</v>
      </c>
      <c r="S145" s="3" t="s">
        <v>142</v>
      </c>
      <c r="T145" s="3" t="s">
        <v>39</v>
      </c>
      <c r="U145" s="3" t="s">
        <v>226</v>
      </c>
      <c r="V145" s="3" t="s">
        <v>368</v>
      </c>
      <c r="W145" s="3">
        <v>2.0</v>
      </c>
      <c r="X145" s="3">
        <v>2.0</v>
      </c>
      <c r="Y145" s="3">
        <v>4.0</v>
      </c>
      <c r="Z145" s="3">
        <v>3.0</v>
      </c>
      <c r="AA145" s="3">
        <v>2.0</v>
      </c>
      <c r="AB145" s="3">
        <v>0.0</v>
      </c>
      <c r="AC145" s="3">
        <v>2.3</v>
      </c>
      <c r="AD145" s="3"/>
      <c r="AE145" s="3" t="s">
        <v>122</v>
      </c>
      <c r="AF145" s="14"/>
      <c r="AG145" s="14"/>
      <c r="AH145" s="14"/>
      <c r="AI145" s="14"/>
      <c r="AJ145" s="14"/>
      <c r="AK145" s="14"/>
      <c r="AL145" s="14"/>
      <c r="AM145" s="14" t="s">
        <v>368</v>
      </c>
      <c r="AN145" s="14" t="s">
        <v>395</v>
      </c>
      <c r="AO145" s="14" t="s">
        <v>84</v>
      </c>
      <c r="AP145" s="14" t="s">
        <v>396</v>
      </c>
      <c r="AQ145" s="14">
        <v>0.0</v>
      </c>
      <c r="AR145" s="14" t="s">
        <v>196</v>
      </c>
    </row>
    <row r="146" ht="15.75" customHeight="1">
      <c r="A146" s="3" t="s">
        <v>39</v>
      </c>
      <c r="B146" s="3" t="s">
        <v>44</v>
      </c>
      <c r="C146" s="3" t="s">
        <v>102</v>
      </c>
      <c r="D146" s="3" t="s">
        <v>371</v>
      </c>
      <c r="E146" s="3" t="s">
        <v>271</v>
      </c>
      <c r="F146" s="3" t="s">
        <v>538</v>
      </c>
      <c r="G146" s="3" t="s">
        <v>69</v>
      </c>
      <c r="H146" s="3" t="s">
        <v>39</v>
      </c>
      <c r="I146" s="19" t="s">
        <v>122</v>
      </c>
      <c r="J146" s="3" t="s">
        <v>71</v>
      </c>
      <c r="K146" s="3">
        <v>0.0</v>
      </c>
      <c r="L146" s="3">
        <v>0.0</v>
      </c>
      <c r="M146" s="3"/>
      <c r="N146" s="3"/>
      <c r="O146" s="3"/>
      <c r="P146" s="3">
        <v>570.0</v>
      </c>
      <c r="Q146" s="3" t="s">
        <v>74</v>
      </c>
      <c r="R146" s="3" t="s">
        <v>75</v>
      </c>
      <c r="S146" s="3" t="s">
        <v>142</v>
      </c>
      <c r="T146" s="3" t="s">
        <v>39</v>
      </c>
      <c r="U146" s="3" t="s">
        <v>232</v>
      </c>
      <c r="V146" s="3" t="s">
        <v>539</v>
      </c>
      <c r="W146" s="3">
        <v>2.0</v>
      </c>
      <c r="X146" s="3">
        <v>2.0</v>
      </c>
      <c r="Y146" s="3">
        <v>1.0</v>
      </c>
      <c r="Z146" s="3">
        <v>3.0</v>
      </c>
      <c r="AA146" s="3">
        <v>2.0</v>
      </c>
      <c r="AB146" s="3">
        <v>0.0</v>
      </c>
      <c r="AC146" s="3">
        <v>1.6</v>
      </c>
      <c r="AD146" s="3">
        <v>0.0</v>
      </c>
      <c r="AE146" s="3" t="s">
        <v>122</v>
      </c>
      <c r="AF146" s="14"/>
      <c r="AG146" s="14"/>
      <c r="AH146" s="14"/>
      <c r="AI146" s="14"/>
      <c r="AJ146" s="14"/>
      <c r="AK146" s="14"/>
      <c r="AL146" s="14"/>
      <c r="AM146" s="14" t="s">
        <v>539</v>
      </c>
      <c r="AN146" s="14" t="s">
        <v>481</v>
      </c>
      <c r="AO146" s="14" t="s">
        <v>84</v>
      </c>
      <c r="AP146" s="14" t="s">
        <v>482</v>
      </c>
      <c r="AQ146" s="14">
        <v>0.0</v>
      </c>
      <c r="AR146" s="14" t="s">
        <v>196</v>
      </c>
    </row>
    <row r="147" ht="15.75" customHeight="1">
      <c r="A147" s="3" t="s">
        <v>39</v>
      </c>
      <c r="B147" s="3" t="s">
        <v>44</v>
      </c>
      <c r="C147" s="3" t="s">
        <v>102</v>
      </c>
      <c r="D147" s="3" t="s">
        <v>241</v>
      </c>
      <c r="E147" s="3" t="s">
        <v>164</v>
      </c>
      <c r="F147" s="3" t="s">
        <v>219</v>
      </c>
      <c r="G147" s="3" t="s">
        <v>69</v>
      </c>
      <c r="H147" s="3" t="s">
        <v>69</v>
      </c>
      <c r="I147" s="19" t="s">
        <v>122</v>
      </c>
      <c r="J147" s="3" t="s">
        <v>71</v>
      </c>
      <c r="K147" s="3">
        <v>3.0</v>
      </c>
      <c r="L147" s="3"/>
      <c r="M147" s="3"/>
      <c r="N147" s="3"/>
      <c r="O147" s="3"/>
      <c r="P147" s="3">
        <v>490.0</v>
      </c>
      <c r="Q147" s="3" t="s">
        <v>74</v>
      </c>
      <c r="R147" s="3" t="s">
        <v>75</v>
      </c>
      <c r="S147" s="3" t="s">
        <v>142</v>
      </c>
      <c r="T147" s="3" t="s">
        <v>39</v>
      </c>
      <c r="U147" s="3" t="s">
        <v>90</v>
      </c>
      <c r="V147" s="3" t="s">
        <v>220</v>
      </c>
      <c r="W147" s="3">
        <v>2.0</v>
      </c>
      <c r="X147" s="3">
        <v>2.0</v>
      </c>
      <c r="Y147" s="3">
        <v>4.0</v>
      </c>
      <c r="Z147" s="3">
        <v>3.0</v>
      </c>
      <c r="AA147" s="3">
        <v>2.0</v>
      </c>
      <c r="AB147" s="3">
        <v>0.0</v>
      </c>
      <c r="AC147" s="3">
        <v>2.3</v>
      </c>
      <c r="AD147" s="3"/>
      <c r="AE147" s="3" t="s">
        <v>122</v>
      </c>
      <c r="AF147" s="14"/>
      <c r="AG147" s="14"/>
      <c r="AH147" s="14"/>
      <c r="AI147" s="14"/>
      <c r="AJ147" s="14"/>
      <c r="AK147" s="14"/>
      <c r="AL147" s="14"/>
      <c r="AM147" s="14" t="s">
        <v>220</v>
      </c>
      <c r="AN147" s="14" t="s">
        <v>278</v>
      </c>
      <c r="AO147" s="14" t="s">
        <v>84</v>
      </c>
      <c r="AP147" s="14" t="s">
        <v>279</v>
      </c>
      <c r="AQ147" s="14">
        <v>0.0</v>
      </c>
      <c r="AR147" s="14" t="s">
        <v>196</v>
      </c>
    </row>
    <row r="148" ht="15.75" customHeight="1">
      <c r="A148" s="3" t="s">
        <v>39</v>
      </c>
      <c r="B148" s="3" t="s">
        <v>44</v>
      </c>
      <c r="C148" s="3" t="s">
        <v>102</v>
      </c>
      <c r="D148" s="3" t="s">
        <v>376</v>
      </c>
      <c r="E148" s="3" t="s">
        <v>271</v>
      </c>
      <c r="F148" s="3" t="s">
        <v>224</v>
      </c>
      <c r="G148" s="3" t="s">
        <v>69</v>
      </c>
      <c r="H148" s="3" t="s">
        <v>69</v>
      </c>
      <c r="I148" s="19" t="s">
        <v>122</v>
      </c>
      <c r="J148" s="3" t="s">
        <v>71</v>
      </c>
      <c r="K148" s="3">
        <v>3.0</v>
      </c>
      <c r="L148" s="3"/>
      <c r="M148" s="3"/>
      <c r="N148" s="3"/>
      <c r="O148" s="3"/>
      <c r="P148" s="3">
        <v>570.0</v>
      </c>
      <c r="Q148" s="3" t="s">
        <v>74</v>
      </c>
      <c r="R148" s="3" t="s">
        <v>75</v>
      </c>
      <c r="S148" s="3" t="s">
        <v>142</v>
      </c>
      <c r="T148" s="3" t="s">
        <v>39</v>
      </c>
      <c r="U148" s="3" t="s">
        <v>90</v>
      </c>
      <c r="V148" s="3" t="s">
        <v>225</v>
      </c>
      <c r="W148" s="3">
        <v>2.0</v>
      </c>
      <c r="X148" s="3">
        <v>2.0</v>
      </c>
      <c r="Y148" s="3">
        <v>4.0</v>
      </c>
      <c r="Z148" s="3">
        <v>3.0</v>
      </c>
      <c r="AA148" s="3">
        <v>2.0</v>
      </c>
      <c r="AB148" s="3">
        <v>0.0</v>
      </c>
      <c r="AC148" s="3">
        <v>2.3</v>
      </c>
      <c r="AD148" s="3"/>
      <c r="AE148" s="3" t="s">
        <v>122</v>
      </c>
      <c r="AF148" s="14"/>
      <c r="AG148" s="14"/>
      <c r="AH148" s="14"/>
      <c r="AI148" s="14"/>
      <c r="AJ148" s="14"/>
      <c r="AK148" s="14"/>
      <c r="AL148" s="14"/>
      <c r="AM148" s="14" t="s">
        <v>225</v>
      </c>
      <c r="AN148" s="14" t="s">
        <v>553</v>
      </c>
      <c r="AO148" s="14" t="s">
        <v>84</v>
      </c>
      <c r="AP148" s="14" t="s">
        <v>554</v>
      </c>
      <c r="AQ148" s="14">
        <v>0.0</v>
      </c>
      <c r="AR148" s="14" t="s">
        <v>196</v>
      </c>
    </row>
    <row r="149" ht="15.75" customHeight="1">
      <c r="A149" s="3" t="s">
        <v>39</v>
      </c>
      <c r="B149" s="3" t="s">
        <v>44</v>
      </c>
      <c r="C149" s="3" t="s">
        <v>102</v>
      </c>
      <c r="D149" s="3" t="s">
        <v>246</v>
      </c>
      <c r="E149" s="3" t="s">
        <v>202</v>
      </c>
      <c r="F149" s="3" t="s">
        <v>216</v>
      </c>
      <c r="G149" s="3" t="s">
        <v>69</v>
      </c>
      <c r="H149" s="3" t="s">
        <v>69</v>
      </c>
      <c r="I149" s="19" t="s">
        <v>122</v>
      </c>
      <c r="J149" s="3" t="s">
        <v>71</v>
      </c>
      <c r="K149" s="3">
        <v>0.0</v>
      </c>
      <c r="L149" s="3">
        <v>0.0</v>
      </c>
      <c r="M149" s="3"/>
      <c r="N149" s="3"/>
      <c r="O149" s="3"/>
      <c r="P149" s="3">
        <v>500.0</v>
      </c>
      <c r="Q149" s="3" t="s">
        <v>74</v>
      </c>
      <c r="R149" s="3" t="s">
        <v>75</v>
      </c>
      <c r="S149" s="3" t="s">
        <v>142</v>
      </c>
      <c r="T149" s="3" t="s">
        <v>39</v>
      </c>
      <c r="U149" s="3" t="s">
        <v>232</v>
      </c>
      <c r="V149" s="3" t="s">
        <v>217</v>
      </c>
      <c r="W149" s="3">
        <v>2.0</v>
      </c>
      <c r="X149" s="3">
        <v>2.0</v>
      </c>
      <c r="Y149" s="3">
        <v>4.0</v>
      </c>
      <c r="Z149" s="3">
        <v>3.0</v>
      </c>
      <c r="AA149" s="3">
        <v>2.0</v>
      </c>
      <c r="AB149" s="3">
        <v>0.0</v>
      </c>
      <c r="AC149" s="3">
        <v>2.3</v>
      </c>
      <c r="AD149" s="3">
        <v>0.0</v>
      </c>
      <c r="AE149" s="3" t="s">
        <v>122</v>
      </c>
      <c r="AF149" s="14"/>
      <c r="AG149" s="14"/>
      <c r="AH149" s="14"/>
      <c r="AI149" s="14"/>
      <c r="AJ149" s="14"/>
      <c r="AK149" s="14"/>
      <c r="AL149" s="14"/>
      <c r="AM149" s="14" t="s">
        <v>217</v>
      </c>
      <c r="AN149" s="14" t="s">
        <v>399</v>
      </c>
      <c r="AO149" s="14" t="s">
        <v>84</v>
      </c>
      <c r="AP149" s="14" t="s">
        <v>401</v>
      </c>
      <c r="AQ149" s="14">
        <v>0.0</v>
      </c>
      <c r="AR149" s="14" t="s">
        <v>196</v>
      </c>
    </row>
    <row r="150" ht="15.75" customHeight="1">
      <c r="A150" s="3" t="s">
        <v>39</v>
      </c>
      <c r="B150" s="3" t="s">
        <v>44</v>
      </c>
      <c r="C150" s="3" t="s">
        <v>102</v>
      </c>
      <c r="D150" s="3" t="s">
        <v>383</v>
      </c>
      <c r="E150" s="3" t="s">
        <v>240</v>
      </c>
      <c r="F150" s="3" t="s">
        <v>219</v>
      </c>
      <c r="G150" s="3" t="s">
        <v>69</v>
      </c>
      <c r="H150" s="3" t="s">
        <v>69</v>
      </c>
      <c r="I150" s="19" t="s">
        <v>122</v>
      </c>
      <c r="J150" s="3" t="s">
        <v>71</v>
      </c>
      <c r="K150" s="3">
        <v>3.0</v>
      </c>
      <c r="L150" s="3"/>
      <c r="M150" s="3"/>
      <c r="N150" s="3"/>
      <c r="O150" s="3"/>
      <c r="P150" s="3">
        <v>610.0</v>
      </c>
      <c r="Q150" s="3" t="s">
        <v>153</v>
      </c>
      <c r="R150" s="3" t="s">
        <v>75</v>
      </c>
      <c r="S150" s="3" t="s">
        <v>142</v>
      </c>
      <c r="T150" s="3" t="s">
        <v>39</v>
      </c>
      <c r="U150" s="3" t="s">
        <v>90</v>
      </c>
      <c r="V150" s="3" t="s">
        <v>220</v>
      </c>
      <c r="W150" s="3">
        <v>2.0</v>
      </c>
      <c r="X150" s="3">
        <v>1.0</v>
      </c>
      <c r="Y150" s="3">
        <v>4.0</v>
      </c>
      <c r="Z150" s="3">
        <v>3.0</v>
      </c>
      <c r="AA150" s="3">
        <v>2.0</v>
      </c>
      <c r="AB150" s="3">
        <v>0.0</v>
      </c>
      <c r="AC150" s="3">
        <v>2.1</v>
      </c>
      <c r="AD150" s="3"/>
      <c r="AE150" s="3" t="s">
        <v>122</v>
      </c>
      <c r="AF150" s="14"/>
      <c r="AG150" s="14"/>
      <c r="AH150" s="14"/>
      <c r="AI150" s="14"/>
      <c r="AJ150" s="14"/>
      <c r="AK150" s="14"/>
      <c r="AL150" s="14"/>
      <c r="AM150" s="14" t="s">
        <v>220</v>
      </c>
      <c r="AN150" s="14" t="s">
        <v>483</v>
      </c>
      <c r="AO150" s="14" t="s">
        <v>84</v>
      </c>
      <c r="AP150" s="14" t="s">
        <v>484</v>
      </c>
      <c r="AQ150" s="14">
        <v>0.0</v>
      </c>
      <c r="AR150" s="14" t="s">
        <v>196</v>
      </c>
    </row>
    <row r="151" ht="15.75" customHeight="1">
      <c r="A151" s="3" t="s">
        <v>39</v>
      </c>
      <c r="B151" s="3" t="s">
        <v>44</v>
      </c>
      <c r="C151" s="3" t="s">
        <v>102</v>
      </c>
      <c r="D151" s="3" t="s">
        <v>383</v>
      </c>
      <c r="E151" s="3" t="s">
        <v>240</v>
      </c>
      <c r="F151" s="3" t="s">
        <v>224</v>
      </c>
      <c r="G151" s="3" t="s">
        <v>69</v>
      </c>
      <c r="H151" s="3" t="s">
        <v>69</v>
      </c>
      <c r="I151" s="19" t="s">
        <v>122</v>
      </c>
      <c r="J151" s="3" t="s">
        <v>71</v>
      </c>
      <c r="K151" s="3">
        <v>3.0</v>
      </c>
      <c r="L151" s="3"/>
      <c r="M151" s="3"/>
      <c r="N151" s="3"/>
      <c r="O151" s="3"/>
      <c r="P151" s="3">
        <v>610.0</v>
      </c>
      <c r="Q151" s="3" t="s">
        <v>153</v>
      </c>
      <c r="R151" s="3" t="s">
        <v>75</v>
      </c>
      <c r="S151" s="3" t="s">
        <v>142</v>
      </c>
      <c r="T151" s="3" t="s">
        <v>39</v>
      </c>
      <c r="U151" s="3" t="s">
        <v>90</v>
      </c>
      <c r="V151" s="3" t="s">
        <v>225</v>
      </c>
      <c r="W151" s="3">
        <v>2.0</v>
      </c>
      <c r="X151" s="3">
        <v>1.0</v>
      </c>
      <c r="Y151" s="3">
        <v>4.0</v>
      </c>
      <c r="Z151" s="3">
        <v>3.0</v>
      </c>
      <c r="AA151" s="3">
        <v>2.0</v>
      </c>
      <c r="AB151" s="3">
        <v>0.0</v>
      </c>
      <c r="AC151" s="3">
        <v>2.1</v>
      </c>
      <c r="AD151" s="3"/>
      <c r="AE151" s="3" t="s">
        <v>122</v>
      </c>
      <c r="AF151" s="14"/>
      <c r="AG151" s="14"/>
      <c r="AH151" s="14"/>
      <c r="AI151" s="14"/>
      <c r="AJ151" s="14"/>
      <c r="AK151" s="14"/>
      <c r="AL151" s="14"/>
      <c r="AM151" s="14" t="s">
        <v>225</v>
      </c>
      <c r="AN151" s="14" t="s">
        <v>483</v>
      </c>
      <c r="AO151" s="14" t="s">
        <v>84</v>
      </c>
      <c r="AP151" s="14" t="s">
        <v>484</v>
      </c>
      <c r="AQ151" s="14">
        <v>0.0</v>
      </c>
      <c r="AR151" s="14" t="s">
        <v>196</v>
      </c>
    </row>
    <row r="152" ht="15.75" customHeight="1">
      <c r="A152" s="3" t="s">
        <v>39</v>
      </c>
      <c r="B152" s="3" t="s">
        <v>44</v>
      </c>
      <c r="C152" s="3" t="s">
        <v>102</v>
      </c>
      <c r="D152" s="3" t="s">
        <v>388</v>
      </c>
      <c r="E152" s="3" t="s">
        <v>271</v>
      </c>
      <c r="F152" s="3" t="s">
        <v>367</v>
      </c>
      <c r="G152" s="3" t="s">
        <v>69</v>
      </c>
      <c r="H152" s="3" t="s">
        <v>69</v>
      </c>
      <c r="I152" s="19" t="s">
        <v>122</v>
      </c>
      <c r="J152" s="3" t="s">
        <v>71</v>
      </c>
      <c r="K152" s="3">
        <v>3.0</v>
      </c>
      <c r="L152" s="3"/>
      <c r="M152" s="3"/>
      <c r="N152" s="3"/>
      <c r="O152" s="3"/>
      <c r="P152" s="3">
        <v>570.0</v>
      </c>
      <c r="Q152" s="3" t="s">
        <v>74</v>
      </c>
      <c r="R152" s="3" t="s">
        <v>75</v>
      </c>
      <c r="S152" s="3" t="s">
        <v>142</v>
      </c>
      <c r="T152" s="3" t="s">
        <v>39</v>
      </c>
      <c r="U152" s="3" t="s">
        <v>226</v>
      </c>
      <c r="V152" s="3" t="s">
        <v>368</v>
      </c>
      <c r="W152" s="3">
        <v>2.0</v>
      </c>
      <c r="X152" s="3">
        <v>2.0</v>
      </c>
      <c r="Y152" s="3">
        <v>4.0</v>
      </c>
      <c r="Z152" s="3">
        <v>3.0</v>
      </c>
      <c r="AA152" s="3">
        <v>2.0</v>
      </c>
      <c r="AB152" s="3">
        <v>0.0</v>
      </c>
      <c r="AC152" s="3">
        <v>2.3</v>
      </c>
      <c r="AD152" s="3"/>
      <c r="AE152" s="3" t="s">
        <v>122</v>
      </c>
      <c r="AF152" s="14"/>
      <c r="AG152" s="14"/>
      <c r="AH152" s="14"/>
      <c r="AI152" s="14"/>
      <c r="AJ152" s="14"/>
      <c r="AK152" s="14"/>
      <c r="AL152" s="14"/>
      <c r="AM152" s="14" t="s">
        <v>368</v>
      </c>
      <c r="AN152" s="14" t="s">
        <v>559</v>
      </c>
      <c r="AO152" s="14" t="s">
        <v>84</v>
      </c>
      <c r="AP152" s="14" t="s">
        <v>560</v>
      </c>
      <c r="AQ152" s="14">
        <v>0.0</v>
      </c>
      <c r="AR152" s="14" t="s">
        <v>196</v>
      </c>
    </row>
    <row r="153" ht="15.75" customHeight="1">
      <c r="A153" s="3" t="s">
        <v>39</v>
      </c>
      <c r="B153" s="3" t="s">
        <v>44</v>
      </c>
      <c r="C153" s="3" t="s">
        <v>102</v>
      </c>
      <c r="D153" s="3" t="s">
        <v>391</v>
      </c>
      <c r="E153" s="3" t="s">
        <v>271</v>
      </c>
      <c r="F153" s="3" t="s">
        <v>216</v>
      </c>
      <c r="G153" s="3" t="s">
        <v>69</v>
      </c>
      <c r="H153" s="3" t="s">
        <v>69</v>
      </c>
      <c r="I153" s="19" t="s">
        <v>122</v>
      </c>
      <c r="J153" s="3" t="s">
        <v>71</v>
      </c>
      <c r="K153" s="3">
        <v>0.0</v>
      </c>
      <c r="L153" s="3">
        <v>0.0</v>
      </c>
      <c r="M153" s="3"/>
      <c r="N153" s="3"/>
      <c r="O153" s="3"/>
      <c r="P153" s="3">
        <v>570.0</v>
      </c>
      <c r="Q153" s="3" t="s">
        <v>74</v>
      </c>
      <c r="R153" s="3" t="s">
        <v>75</v>
      </c>
      <c r="S153" s="3" t="s">
        <v>142</v>
      </c>
      <c r="T153" s="3" t="s">
        <v>39</v>
      </c>
      <c r="U153" s="3" t="s">
        <v>232</v>
      </c>
      <c r="V153" s="3" t="s">
        <v>217</v>
      </c>
      <c r="W153" s="3">
        <v>2.0</v>
      </c>
      <c r="X153" s="3">
        <v>2.0</v>
      </c>
      <c r="Y153" s="3">
        <v>4.0</v>
      </c>
      <c r="Z153" s="3">
        <v>3.0</v>
      </c>
      <c r="AA153" s="3">
        <v>2.0</v>
      </c>
      <c r="AB153" s="3">
        <v>0.0</v>
      </c>
      <c r="AC153" s="3">
        <v>2.3</v>
      </c>
      <c r="AD153" s="3">
        <v>0.0</v>
      </c>
      <c r="AE153" s="3" t="s">
        <v>122</v>
      </c>
      <c r="AF153" s="14"/>
      <c r="AG153" s="14"/>
      <c r="AH153" s="14"/>
      <c r="AI153" s="14"/>
      <c r="AJ153" s="14"/>
      <c r="AK153" s="14"/>
      <c r="AL153" s="14"/>
      <c r="AM153" s="14" t="s">
        <v>217</v>
      </c>
      <c r="AN153" s="14" t="s">
        <v>486</v>
      </c>
      <c r="AO153" s="14" t="s">
        <v>84</v>
      </c>
      <c r="AP153" s="14" t="s">
        <v>487</v>
      </c>
      <c r="AQ153" s="14">
        <v>0.0</v>
      </c>
      <c r="AR153" s="14" t="s">
        <v>196</v>
      </c>
    </row>
    <row r="154" ht="15.75" customHeight="1">
      <c r="A154" s="3" t="s">
        <v>39</v>
      </c>
      <c r="B154" s="3" t="s">
        <v>44</v>
      </c>
      <c r="C154" s="3" t="s">
        <v>102</v>
      </c>
      <c r="D154" s="3" t="s">
        <v>256</v>
      </c>
      <c r="E154" s="3" t="s">
        <v>186</v>
      </c>
      <c r="F154" s="3" t="s">
        <v>538</v>
      </c>
      <c r="G154" s="3" t="s">
        <v>69</v>
      </c>
      <c r="H154" s="3" t="s">
        <v>39</v>
      </c>
      <c r="I154" s="19" t="s">
        <v>122</v>
      </c>
      <c r="J154" s="3" t="s">
        <v>71</v>
      </c>
      <c r="K154" s="3">
        <v>0.0</v>
      </c>
      <c r="L154" s="3">
        <v>0.0</v>
      </c>
      <c r="M154" s="3"/>
      <c r="N154" s="3"/>
      <c r="O154" s="3"/>
      <c r="P154" s="3">
        <v>360.0</v>
      </c>
      <c r="Q154" s="3" t="s">
        <v>140</v>
      </c>
      <c r="R154" s="3" t="s">
        <v>75</v>
      </c>
      <c r="S154" s="3" t="s">
        <v>142</v>
      </c>
      <c r="T154" s="3" t="s">
        <v>39</v>
      </c>
      <c r="U154" s="3" t="s">
        <v>232</v>
      </c>
      <c r="V154" s="3" t="s">
        <v>539</v>
      </c>
      <c r="W154" s="3">
        <v>2.0</v>
      </c>
      <c r="X154" s="3">
        <v>3.0</v>
      </c>
      <c r="Y154" s="3">
        <v>1.0</v>
      </c>
      <c r="Z154" s="3">
        <v>3.0</v>
      </c>
      <c r="AA154" s="3">
        <v>2.0</v>
      </c>
      <c r="AB154" s="3">
        <v>0.0</v>
      </c>
      <c r="AC154" s="3">
        <v>1.7</v>
      </c>
      <c r="AD154" s="3">
        <v>0.0</v>
      </c>
      <c r="AE154" s="3" t="s">
        <v>122</v>
      </c>
      <c r="AF154" s="14"/>
      <c r="AG154" s="14"/>
      <c r="AH154" s="14"/>
      <c r="AI154" s="14"/>
      <c r="AJ154" s="14"/>
      <c r="AK154" s="14"/>
      <c r="AL154" s="14"/>
      <c r="AM154" s="14" t="s">
        <v>539</v>
      </c>
      <c r="AN154" s="14" t="s">
        <v>489</v>
      </c>
      <c r="AO154" s="14" t="s">
        <v>84</v>
      </c>
      <c r="AP154" s="14" t="s">
        <v>490</v>
      </c>
      <c r="AQ154" s="14">
        <v>0.0</v>
      </c>
      <c r="AR154" s="14" t="s">
        <v>196</v>
      </c>
    </row>
    <row r="155" ht="15.75" customHeight="1">
      <c r="A155" s="3" t="s">
        <v>39</v>
      </c>
      <c r="B155" s="3" t="s">
        <v>44</v>
      </c>
      <c r="C155" s="3" t="s">
        <v>102</v>
      </c>
      <c r="D155" s="3" t="s">
        <v>262</v>
      </c>
      <c r="E155" s="3" t="s">
        <v>186</v>
      </c>
      <c r="F155" s="3" t="s">
        <v>538</v>
      </c>
      <c r="G155" s="3" t="s">
        <v>69</v>
      </c>
      <c r="H155" s="3" t="s">
        <v>39</v>
      </c>
      <c r="I155" s="19" t="s">
        <v>122</v>
      </c>
      <c r="J155" s="3" t="s">
        <v>71</v>
      </c>
      <c r="K155" s="3">
        <v>0.0</v>
      </c>
      <c r="L155" s="3">
        <v>0.0</v>
      </c>
      <c r="M155" s="3"/>
      <c r="N155" s="3"/>
      <c r="O155" s="3"/>
      <c r="P155" s="3">
        <v>360.0</v>
      </c>
      <c r="Q155" s="3" t="s">
        <v>140</v>
      </c>
      <c r="R155" s="3" t="s">
        <v>75</v>
      </c>
      <c r="S155" s="3" t="s">
        <v>142</v>
      </c>
      <c r="T155" s="3" t="s">
        <v>39</v>
      </c>
      <c r="U155" s="3" t="s">
        <v>232</v>
      </c>
      <c r="V155" s="3" t="s">
        <v>539</v>
      </c>
      <c r="W155" s="3">
        <v>2.0</v>
      </c>
      <c r="X155" s="3">
        <v>3.0</v>
      </c>
      <c r="Y155" s="3">
        <v>1.0</v>
      </c>
      <c r="Z155" s="3">
        <v>3.0</v>
      </c>
      <c r="AA155" s="3">
        <v>2.0</v>
      </c>
      <c r="AB155" s="3">
        <v>0.0</v>
      </c>
      <c r="AC155" s="3">
        <v>1.7</v>
      </c>
      <c r="AD155" s="3">
        <v>0.0</v>
      </c>
      <c r="AE155" s="3" t="s">
        <v>122</v>
      </c>
      <c r="AF155" s="14"/>
      <c r="AG155" s="14"/>
      <c r="AH155" s="14"/>
      <c r="AI155" s="14"/>
      <c r="AJ155" s="14"/>
      <c r="AK155" s="14"/>
      <c r="AL155" s="14"/>
      <c r="AM155" s="14" t="s">
        <v>539</v>
      </c>
      <c r="AN155" s="14" t="s">
        <v>492</v>
      </c>
      <c r="AO155" s="14" t="s">
        <v>84</v>
      </c>
      <c r="AP155" s="14" t="s">
        <v>493</v>
      </c>
      <c r="AQ155" s="14">
        <v>0.0</v>
      </c>
      <c r="AR155" s="14" t="s">
        <v>196</v>
      </c>
    </row>
    <row r="156" ht="15.75" customHeight="1">
      <c r="A156" s="3" t="s">
        <v>39</v>
      </c>
      <c r="B156" s="3" t="s">
        <v>44</v>
      </c>
      <c r="C156" s="3" t="s">
        <v>102</v>
      </c>
      <c r="D156" s="3" t="s">
        <v>105</v>
      </c>
      <c r="E156" s="3" t="s">
        <v>106</v>
      </c>
      <c r="F156" s="3" t="s">
        <v>216</v>
      </c>
      <c r="G156" s="3" t="s">
        <v>69</v>
      </c>
      <c r="H156" s="3" t="s">
        <v>69</v>
      </c>
      <c r="I156" s="19" t="s">
        <v>122</v>
      </c>
      <c r="J156" s="3" t="s">
        <v>71</v>
      </c>
      <c r="K156" s="3">
        <v>0.0</v>
      </c>
      <c r="L156" s="3">
        <v>0.0</v>
      </c>
      <c r="M156" s="3"/>
      <c r="N156" s="3"/>
      <c r="O156" s="3"/>
      <c r="P156" s="3">
        <v>130.0</v>
      </c>
      <c r="Q156" s="3" t="s">
        <v>121</v>
      </c>
      <c r="R156" s="3" t="s">
        <v>75</v>
      </c>
      <c r="S156" s="3" t="s">
        <v>76</v>
      </c>
      <c r="T156" s="3" t="s">
        <v>39</v>
      </c>
      <c r="U156" s="3" t="s">
        <v>232</v>
      </c>
      <c r="V156" s="3" t="s">
        <v>217</v>
      </c>
      <c r="W156" s="3">
        <v>2.0</v>
      </c>
      <c r="X156" s="3">
        <v>5.0</v>
      </c>
      <c r="Y156" s="3">
        <v>4.0</v>
      </c>
      <c r="Z156" s="3">
        <v>3.0</v>
      </c>
      <c r="AA156" s="3">
        <v>4.0</v>
      </c>
      <c r="AB156" s="3">
        <v>0.0</v>
      </c>
      <c r="AC156" s="3">
        <v>2.9</v>
      </c>
      <c r="AD156" s="3">
        <v>0.0</v>
      </c>
      <c r="AE156" s="3" t="s">
        <v>122</v>
      </c>
      <c r="AF156" s="14"/>
      <c r="AG156" s="14"/>
      <c r="AH156" s="14"/>
      <c r="AI156" s="14"/>
      <c r="AJ156" s="14"/>
      <c r="AK156" s="14"/>
      <c r="AL156" s="14"/>
      <c r="AM156" s="14" t="s">
        <v>217</v>
      </c>
      <c r="AN156" s="14" t="s">
        <v>266</v>
      </c>
      <c r="AO156" s="14" t="s">
        <v>84</v>
      </c>
      <c r="AP156" s="14" t="s">
        <v>267</v>
      </c>
      <c r="AQ156" s="14">
        <v>0.0</v>
      </c>
      <c r="AR156" s="14" t="s">
        <v>196</v>
      </c>
    </row>
    <row r="157" ht="15.75" customHeight="1">
      <c r="A157" s="3" t="s">
        <v>39</v>
      </c>
      <c r="B157" s="3" t="s">
        <v>44</v>
      </c>
      <c r="C157" s="3" t="s">
        <v>102</v>
      </c>
      <c r="D157" s="3" t="s">
        <v>118</v>
      </c>
      <c r="E157" s="3" t="s">
        <v>150</v>
      </c>
      <c r="F157" s="3" t="s">
        <v>224</v>
      </c>
      <c r="G157" s="3" t="s">
        <v>69</v>
      </c>
      <c r="H157" s="3" t="s">
        <v>69</v>
      </c>
      <c r="I157" s="19" t="s">
        <v>122</v>
      </c>
      <c r="J157" s="3" t="s">
        <v>71</v>
      </c>
      <c r="K157" s="3">
        <v>3.0</v>
      </c>
      <c r="L157" s="3"/>
      <c r="M157" s="3"/>
      <c r="N157" s="3"/>
      <c r="O157" s="3"/>
      <c r="P157" s="3">
        <v>700.0</v>
      </c>
      <c r="Q157" s="3" t="s">
        <v>153</v>
      </c>
      <c r="R157" s="3" t="s">
        <v>75</v>
      </c>
      <c r="S157" s="3" t="s">
        <v>142</v>
      </c>
      <c r="T157" s="3" t="s">
        <v>39</v>
      </c>
      <c r="U157" s="3" t="s">
        <v>90</v>
      </c>
      <c r="V157" s="3" t="s">
        <v>225</v>
      </c>
      <c r="W157" s="3">
        <v>2.0</v>
      </c>
      <c r="X157" s="3">
        <v>1.0</v>
      </c>
      <c r="Y157" s="3">
        <v>4.0</v>
      </c>
      <c r="Z157" s="3">
        <v>3.0</v>
      </c>
      <c r="AA157" s="3">
        <v>2.0</v>
      </c>
      <c r="AB157" s="3">
        <v>0.0</v>
      </c>
      <c r="AC157" s="3">
        <v>2.1</v>
      </c>
      <c r="AD157" s="3"/>
      <c r="AE157" s="3" t="s">
        <v>122</v>
      </c>
      <c r="AF157" s="14"/>
      <c r="AG157" s="14"/>
      <c r="AH157" s="14"/>
      <c r="AI157" s="14"/>
      <c r="AJ157" s="14"/>
      <c r="AK157" s="14"/>
      <c r="AL157" s="14"/>
      <c r="AM157" s="14" t="s">
        <v>225</v>
      </c>
      <c r="AN157" s="14" t="s">
        <v>156</v>
      </c>
      <c r="AO157" s="14" t="s">
        <v>84</v>
      </c>
      <c r="AP157" s="14" t="s">
        <v>157</v>
      </c>
      <c r="AQ157" s="14">
        <v>0.0</v>
      </c>
      <c r="AR157" s="14" t="s">
        <v>196</v>
      </c>
    </row>
    <row r="158" ht="15.75" customHeight="1">
      <c r="A158" s="3" t="s">
        <v>39</v>
      </c>
      <c r="B158" s="3" t="s">
        <v>44</v>
      </c>
      <c r="C158" s="3" t="s">
        <v>102</v>
      </c>
      <c r="D158" s="3" t="s">
        <v>400</v>
      </c>
      <c r="E158" s="3" t="s">
        <v>150</v>
      </c>
      <c r="F158" s="3" t="s">
        <v>402</v>
      </c>
      <c r="G158" s="3" t="s">
        <v>69</v>
      </c>
      <c r="H158" s="3" t="s">
        <v>69</v>
      </c>
      <c r="I158" s="19" t="s">
        <v>122</v>
      </c>
      <c r="J158" s="3" t="s">
        <v>71</v>
      </c>
      <c r="K158" s="3">
        <v>3.0</v>
      </c>
      <c r="L158" s="3"/>
      <c r="M158" s="3"/>
      <c r="N158" s="3"/>
      <c r="O158" s="3"/>
      <c r="P158" s="3">
        <v>700.0</v>
      </c>
      <c r="Q158" s="3" t="s">
        <v>153</v>
      </c>
      <c r="R158" s="3" t="s">
        <v>75</v>
      </c>
      <c r="S158" s="3" t="s">
        <v>142</v>
      </c>
      <c r="T158" s="3" t="s">
        <v>39</v>
      </c>
      <c r="U158" s="3" t="s">
        <v>90</v>
      </c>
      <c r="V158" s="3" t="s">
        <v>403</v>
      </c>
      <c r="W158" s="3">
        <v>2.0</v>
      </c>
      <c r="X158" s="3">
        <v>1.0</v>
      </c>
      <c r="Y158" s="3">
        <v>4.0</v>
      </c>
      <c r="Z158" s="3">
        <v>3.0</v>
      </c>
      <c r="AA158" s="3">
        <v>2.0</v>
      </c>
      <c r="AB158" s="3">
        <v>0.0</v>
      </c>
      <c r="AC158" s="3">
        <v>2.1</v>
      </c>
      <c r="AD158" s="3"/>
      <c r="AE158" s="3" t="s">
        <v>122</v>
      </c>
      <c r="AF158" s="14"/>
      <c r="AG158" s="14"/>
      <c r="AH158" s="14"/>
      <c r="AI158" s="14"/>
      <c r="AJ158" s="14"/>
      <c r="AK158" s="14"/>
      <c r="AL158" s="14"/>
      <c r="AM158" s="14" t="s">
        <v>403</v>
      </c>
      <c r="AN158" s="14" t="s">
        <v>561</v>
      </c>
      <c r="AO158" s="14" t="s">
        <v>84</v>
      </c>
      <c r="AP158" s="14" t="s">
        <v>562</v>
      </c>
      <c r="AQ158" s="14">
        <v>0.0</v>
      </c>
      <c r="AR158" s="14" t="s">
        <v>196</v>
      </c>
    </row>
    <row r="159" ht="15.75" customHeight="1">
      <c r="A159" s="3" t="s">
        <v>39</v>
      </c>
      <c r="B159" s="3" t="s">
        <v>44</v>
      </c>
      <c r="C159" s="3" t="s">
        <v>102</v>
      </c>
      <c r="D159" s="3" t="s">
        <v>126</v>
      </c>
      <c r="E159" s="3" t="s">
        <v>150</v>
      </c>
      <c r="F159" s="3" t="s">
        <v>224</v>
      </c>
      <c r="G159" s="3" t="s">
        <v>69</v>
      </c>
      <c r="H159" s="3" t="s">
        <v>69</v>
      </c>
      <c r="I159" s="19" t="s">
        <v>122</v>
      </c>
      <c r="J159" s="3" t="s">
        <v>71</v>
      </c>
      <c r="K159" s="3">
        <v>3.0</v>
      </c>
      <c r="L159" s="3"/>
      <c r="M159" s="3"/>
      <c r="N159" s="3"/>
      <c r="O159" s="3"/>
      <c r="P159" s="3">
        <v>700.0</v>
      </c>
      <c r="Q159" s="3" t="s">
        <v>153</v>
      </c>
      <c r="R159" s="3" t="s">
        <v>75</v>
      </c>
      <c r="S159" s="3" t="s">
        <v>142</v>
      </c>
      <c r="T159" s="3" t="s">
        <v>39</v>
      </c>
      <c r="U159" s="3" t="s">
        <v>90</v>
      </c>
      <c r="V159" s="3" t="s">
        <v>225</v>
      </c>
      <c r="W159" s="3">
        <v>2.0</v>
      </c>
      <c r="X159" s="3">
        <v>1.0</v>
      </c>
      <c r="Y159" s="3">
        <v>4.0</v>
      </c>
      <c r="Z159" s="3">
        <v>3.0</v>
      </c>
      <c r="AA159" s="3">
        <v>2.0</v>
      </c>
      <c r="AB159" s="3">
        <v>0.0</v>
      </c>
      <c r="AC159" s="3">
        <v>2.1</v>
      </c>
      <c r="AD159" s="3"/>
      <c r="AE159" s="3" t="s">
        <v>122</v>
      </c>
      <c r="AF159" s="14"/>
      <c r="AG159" s="14"/>
      <c r="AH159" s="14"/>
      <c r="AI159" s="14"/>
      <c r="AJ159" s="14"/>
      <c r="AK159" s="14"/>
      <c r="AL159" s="14"/>
      <c r="AM159" s="14" t="s">
        <v>225</v>
      </c>
      <c r="AN159" s="14" t="s">
        <v>161</v>
      </c>
      <c r="AO159" s="14" t="s">
        <v>84</v>
      </c>
      <c r="AP159" s="14" t="s">
        <v>162</v>
      </c>
      <c r="AQ159" s="14">
        <v>0.0</v>
      </c>
      <c r="AR159" s="14" t="s">
        <v>196</v>
      </c>
    </row>
    <row r="160" ht="15.75" customHeight="1">
      <c r="A160" s="3" t="s">
        <v>39</v>
      </c>
      <c r="B160" s="3" t="s">
        <v>44</v>
      </c>
      <c r="C160" s="3" t="s">
        <v>102</v>
      </c>
      <c r="D160" s="3" t="s">
        <v>126</v>
      </c>
      <c r="E160" s="3" t="s">
        <v>150</v>
      </c>
      <c r="F160" s="3" t="s">
        <v>402</v>
      </c>
      <c r="G160" s="3" t="s">
        <v>69</v>
      </c>
      <c r="H160" s="3" t="s">
        <v>69</v>
      </c>
      <c r="I160" s="19" t="s">
        <v>122</v>
      </c>
      <c r="J160" s="3" t="s">
        <v>71</v>
      </c>
      <c r="K160" s="3">
        <v>3.0</v>
      </c>
      <c r="L160" s="3"/>
      <c r="M160" s="3"/>
      <c r="N160" s="3"/>
      <c r="O160" s="3"/>
      <c r="P160" s="3">
        <v>700.0</v>
      </c>
      <c r="Q160" s="3" t="s">
        <v>153</v>
      </c>
      <c r="R160" s="3" t="s">
        <v>75</v>
      </c>
      <c r="S160" s="3" t="s">
        <v>142</v>
      </c>
      <c r="T160" s="3" t="s">
        <v>39</v>
      </c>
      <c r="U160" s="3" t="s">
        <v>90</v>
      </c>
      <c r="V160" s="3" t="s">
        <v>403</v>
      </c>
      <c r="W160" s="3">
        <v>2.0</v>
      </c>
      <c r="X160" s="3">
        <v>1.0</v>
      </c>
      <c r="Y160" s="3">
        <v>4.0</v>
      </c>
      <c r="Z160" s="3">
        <v>3.0</v>
      </c>
      <c r="AA160" s="3">
        <v>2.0</v>
      </c>
      <c r="AB160" s="3">
        <v>0.0</v>
      </c>
      <c r="AC160" s="3">
        <v>2.1</v>
      </c>
      <c r="AD160" s="3"/>
      <c r="AE160" s="3" t="s">
        <v>122</v>
      </c>
      <c r="AF160" s="14"/>
      <c r="AG160" s="14"/>
      <c r="AH160" s="14"/>
      <c r="AI160" s="14"/>
      <c r="AJ160" s="14"/>
      <c r="AK160" s="14"/>
      <c r="AL160" s="14"/>
      <c r="AM160" s="14" t="s">
        <v>403</v>
      </c>
      <c r="AN160" s="14" t="s">
        <v>161</v>
      </c>
      <c r="AO160" s="14" t="s">
        <v>84</v>
      </c>
      <c r="AP160" s="14" t="s">
        <v>162</v>
      </c>
      <c r="AQ160" s="14">
        <v>0.0</v>
      </c>
      <c r="AR160" s="14" t="s">
        <v>196</v>
      </c>
    </row>
    <row r="161" ht="15.75" customHeight="1">
      <c r="A161" s="3" t="s">
        <v>39</v>
      </c>
      <c r="B161" s="3" t="s">
        <v>44</v>
      </c>
      <c r="C161" s="3" t="s">
        <v>102</v>
      </c>
      <c r="D161" s="3" t="s">
        <v>408</v>
      </c>
      <c r="E161" s="3" t="s">
        <v>150</v>
      </c>
      <c r="F161" s="3" t="s">
        <v>402</v>
      </c>
      <c r="G161" s="3" t="s">
        <v>69</v>
      </c>
      <c r="H161" s="3" t="s">
        <v>69</v>
      </c>
      <c r="I161" s="19" t="s">
        <v>122</v>
      </c>
      <c r="J161" s="3" t="s">
        <v>71</v>
      </c>
      <c r="K161" s="3">
        <v>3.0</v>
      </c>
      <c r="L161" s="3"/>
      <c r="M161" s="3"/>
      <c r="N161" s="3"/>
      <c r="O161" s="3"/>
      <c r="P161" s="3">
        <v>700.0</v>
      </c>
      <c r="Q161" s="3" t="s">
        <v>153</v>
      </c>
      <c r="R161" s="3" t="s">
        <v>75</v>
      </c>
      <c r="S161" s="3" t="s">
        <v>142</v>
      </c>
      <c r="T161" s="3" t="s">
        <v>39</v>
      </c>
      <c r="U161" s="3" t="s">
        <v>90</v>
      </c>
      <c r="V161" s="3" t="s">
        <v>403</v>
      </c>
      <c r="W161" s="3">
        <v>2.0</v>
      </c>
      <c r="X161" s="3">
        <v>1.0</v>
      </c>
      <c r="Y161" s="3">
        <v>4.0</v>
      </c>
      <c r="Z161" s="3">
        <v>3.0</v>
      </c>
      <c r="AA161" s="3">
        <v>2.0</v>
      </c>
      <c r="AB161" s="3">
        <v>0.0</v>
      </c>
      <c r="AC161" s="3">
        <v>2.1</v>
      </c>
      <c r="AD161" s="3"/>
      <c r="AE161" s="3" t="s">
        <v>122</v>
      </c>
      <c r="AF161" s="14"/>
      <c r="AG161" s="14"/>
      <c r="AH161" s="14"/>
      <c r="AI161" s="14"/>
      <c r="AJ161" s="14"/>
      <c r="AK161" s="14"/>
      <c r="AL161" s="14"/>
      <c r="AM161" s="14" t="s">
        <v>403</v>
      </c>
      <c r="AN161" s="14" t="s">
        <v>563</v>
      </c>
      <c r="AO161" s="14" t="s">
        <v>84</v>
      </c>
      <c r="AP161" s="14" t="s">
        <v>564</v>
      </c>
      <c r="AQ161" s="14">
        <v>0.0</v>
      </c>
      <c r="AR161" s="14" t="s">
        <v>196</v>
      </c>
    </row>
    <row r="162" ht="15.75" customHeight="1">
      <c r="A162" s="3" t="s">
        <v>39</v>
      </c>
      <c r="B162" s="3" t="s">
        <v>44</v>
      </c>
      <c r="C162" s="3" t="s">
        <v>102</v>
      </c>
      <c r="D162" s="3" t="s">
        <v>132</v>
      </c>
      <c r="E162" s="3" t="s">
        <v>164</v>
      </c>
      <c r="F162" s="3" t="s">
        <v>219</v>
      </c>
      <c r="G162" s="3" t="s">
        <v>69</v>
      </c>
      <c r="H162" s="3" t="s">
        <v>69</v>
      </c>
      <c r="I162" s="19" t="s">
        <v>122</v>
      </c>
      <c r="J162" s="3" t="s">
        <v>71</v>
      </c>
      <c r="K162" s="3">
        <v>3.0</v>
      </c>
      <c r="L162" s="3"/>
      <c r="M162" s="3"/>
      <c r="N162" s="3"/>
      <c r="O162" s="3"/>
      <c r="P162" s="3">
        <v>490.0</v>
      </c>
      <c r="Q162" s="3" t="s">
        <v>74</v>
      </c>
      <c r="R162" s="3" t="s">
        <v>75</v>
      </c>
      <c r="S162" s="3" t="s">
        <v>142</v>
      </c>
      <c r="T162" s="3" t="s">
        <v>39</v>
      </c>
      <c r="U162" s="3" t="s">
        <v>90</v>
      </c>
      <c r="V162" s="3" t="s">
        <v>220</v>
      </c>
      <c r="W162" s="3">
        <v>2.0</v>
      </c>
      <c r="X162" s="3">
        <v>2.0</v>
      </c>
      <c r="Y162" s="3">
        <v>4.0</v>
      </c>
      <c r="Z162" s="3">
        <v>3.0</v>
      </c>
      <c r="AA162" s="3">
        <v>2.0</v>
      </c>
      <c r="AB162" s="3">
        <v>0.0</v>
      </c>
      <c r="AC162" s="3">
        <v>2.3</v>
      </c>
      <c r="AD162" s="3"/>
      <c r="AE162" s="3" t="s">
        <v>122</v>
      </c>
      <c r="AF162" s="14"/>
      <c r="AG162" s="14"/>
      <c r="AH162" s="14"/>
      <c r="AI162" s="14"/>
      <c r="AJ162" s="14"/>
      <c r="AK162" s="14"/>
      <c r="AL162" s="14"/>
      <c r="AM162" s="14" t="s">
        <v>220</v>
      </c>
      <c r="AN162" s="14" t="s">
        <v>171</v>
      </c>
      <c r="AO162" s="14" t="s">
        <v>84</v>
      </c>
      <c r="AP162" s="14" t="s">
        <v>172</v>
      </c>
      <c r="AQ162" s="14">
        <v>0.0</v>
      </c>
      <c r="AR162" s="14" t="s">
        <v>196</v>
      </c>
    </row>
    <row r="163" ht="15.75" customHeight="1">
      <c r="A163" s="3" t="s">
        <v>39</v>
      </c>
      <c r="B163" s="3" t="s">
        <v>44</v>
      </c>
      <c r="C163" s="3" t="s">
        <v>102</v>
      </c>
      <c r="D163" s="3" t="s">
        <v>251</v>
      </c>
      <c r="E163" s="3" t="s">
        <v>186</v>
      </c>
      <c r="F163" s="3" t="s">
        <v>219</v>
      </c>
      <c r="G163" s="3" t="s">
        <v>69</v>
      </c>
      <c r="H163" s="3" t="s">
        <v>69</v>
      </c>
      <c r="I163" s="19" t="s">
        <v>122</v>
      </c>
      <c r="J163" s="3" t="s">
        <v>71</v>
      </c>
      <c r="K163" s="3">
        <v>3.0</v>
      </c>
      <c r="L163" s="3"/>
      <c r="M163" s="3"/>
      <c r="N163" s="3"/>
      <c r="O163" s="3"/>
      <c r="P163" s="3">
        <v>360.0</v>
      </c>
      <c r="Q163" s="3" t="s">
        <v>140</v>
      </c>
      <c r="R163" s="3" t="s">
        <v>75</v>
      </c>
      <c r="S163" s="3" t="s">
        <v>142</v>
      </c>
      <c r="T163" s="3" t="s">
        <v>39</v>
      </c>
      <c r="U163" s="3" t="s">
        <v>90</v>
      </c>
      <c r="V163" s="3" t="s">
        <v>220</v>
      </c>
      <c r="W163" s="3">
        <v>2.0</v>
      </c>
      <c r="X163" s="3">
        <v>3.0</v>
      </c>
      <c r="Y163" s="3">
        <v>4.0</v>
      </c>
      <c r="Z163" s="3">
        <v>3.0</v>
      </c>
      <c r="AA163" s="3">
        <v>2.0</v>
      </c>
      <c r="AB163" s="3">
        <v>0.0</v>
      </c>
      <c r="AC163" s="3">
        <v>2.5</v>
      </c>
      <c r="AD163" s="3"/>
      <c r="AE163" s="3" t="s">
        <v>122</v>
      </c>
      <c r="AF163" s="14"/>
      <c r="AG163" s="14"/>
      <c r="AH163" s="14"/>
      <c r="AI163" s="14"/>
      <c r="AJ163" s="14"/>
      <c r="AK163" s="14"/>
      <c r="AL163" s="14"/>
      <c r="AM163" s="14" t="s">
        <v>220</v>
      </c>
      <c r="AN163" s="14" t="s">
        <v>287</v>
      </c>
      <c r="AO163" s="14" t="s">
        <v>84</v>
      </c>
      <c r="AP163" s="14" t="s">
        <v>288</v>
      </c>
      <c r="AQ163" s="14">
        <v>0.0</v>
      </c>
      <c r="AR163" s="14" t="s">
        <v>196</v>
      </c>
    </row>
    <row r="164" ht="15.75" customHeight="1">
      <c r="A164" s="3" t="s">
        <v>39</v>
      </c>
      <c r="B164" s="3" t="s">
        <v>44</v>
      </c>
      <c r="C164" s="3" t="s">
        <v>102</v>
      </c>
      <c r="D164" s="3" t="s">
        <v>141</v>
      </c>
      <c r="E164" s="3" t="s">
        <v>138</v>
      </c>
      <c r="F164" s="3" t="s">
        <v>219</v>
      </c>
      <c r="G164" s="3" t="s">
        <v>69</v>
      </c>
      <c r="H164" s="3" t="s">
        <v>69</v>
      </c>
      <c r="I164" s="19" t="s">
        <v>122</v>
      </c>
      <c r="J164" s="3" t="s">
        <v>71</v>
      </c>
      <c r="K164" s="3">
        <v>3.0</v>
      </c>
      <c r="L164" s="3"/>
      <c r="M164" s="3"/>
      <c r="N164" s="3"/>
      <c r="O164" s="3"/>
      <c r="P164" s="3">
        <v>300.0</v>
      </c>
      <c r="Q164" s="3" t="s">
        <v>140</v>
      </c>
      <c r="R164" s="3" t="s">
        <v>75</v>
      </c>
      <c r="S164" s="3" t="s">
        <v>142</v>
      </c>
      <c r="T164" s="3" t="s">
        <v>39</v>
      </c>
      <c r="U164" s="3" t="s">
        <v>90</v>
      </c>
      <c r="V164" s="3" t="s">
        <v>220</v>
      </c>
      <c r="W164" s="3">
        <v>2.0</v>
      </c>
      <c r="X164" s="3">
        <v>4.0</v>
      </c>
      <c r="Y164" s="3">
        <v>4.0</v>
      </c>
      <c r="Z164" s="3">
        <v>3.0</v>
      </c>
      <c r="AA164" s="3">
        <v>2.0</v>
      </c>
      <c r="AB164" s="3">
        <v>0.0</v>
      </c>
      <c r="AC164" s="3">
        <v>2.6</v>
      </c>
      <c r="AD164" s="3"/>
      <c r="AE164" s="3" t="s">
        <v>122</v>
      </c>
      <c r="AF164" s="14"/>
      <c r="AG164" s="14"/>
      <c r="AH164" s="14"/>
      <c r="AI164" s="14"/>
      <c r="AJ164" s="14"/>
      <c r="AK164" s="14"/>
      <c r="AL164" s="14"/>
      <c r="AM164" s="14" t="s">
        <v>220</v>
      </c>
      <c r="AN164" s="14" t="s">
        <v>179</v>
      </c>
      <c r="AO164" s="14" t="s">
        <v>84</v>
      </c>
      <c r="AP164" s="14" t="s">
        <v>180</v>
      </c>
      <c r="AQ164" s="14">
        <v>0.0</v>
      </c>
      <c r="AR164" s="14" t="s">
        <v>196</v>
      </c>
    </row>
    <row r="165" ht="15.75" customHeight="1">
      <c r="A165" s="3" t="s">
        <v>39</v>
      </c>
      <c r="B165" s="3" t="s">
        <v>44</v>
      </c>
      <c r="C165" s="3" t="s">
        <v>102</v>
      </c>
      <c r="D165" s="3" t="s">
        <v>264</v>
      </c>
      <c r="E165" s="3" t="s">
        <v>181</v>
      </c>
      <c r="F165" s="3" t="s">
        <v>219</v>
      </c>
      <c r="G165" s="3" t="s">
        <v>69</v>
      </c>
      <c r="H165" s="3" t="s">
        <v>69</v>
      </c>
      <c r="I165" s="19" t="s">
        <v>122</v>
      </c>
      <c r="J165" s="3" t="s">
        <v>71</v>
      </c>
      <c r="K165" s="3">
        <v>3.0</v>
      </c>
      <c r="L165" s="3"/>
      <c r="M165" s="3"/>
      <c r="N165" s="3"/>
      <c r="O165" s="3"/>
      <c r="P165" s="3">
        <v>520.0</v>
      </c>
      <c r="Q165" s="3" t="s">
        <v>74</v>
      </c>
      <c r="R165" s="3" t="s">
        <v>75</v>
      </c>
      <c r="S165" s="3" t="s">
        <v>142</v>
      </c>
      <c r="T165" s="3" t="s">
        <v>39</v>
      </c>
      <c r="U165" s="3" t="s">
        <v>90</v>
      </c>
      <c r="V165" s="3" t="s">
        <v>220</v>
      </c>
      <c r="W165" s="3">
        <v>2.0</v>
      </c>
      <c r="X165" s="3">
        <v>2.0</v>
      </c>
      <c r="Y165" s="3">
        <v>4.0</v>
      </c>
      <c r="Z165" s="3">
        <v>3.0</v>
      </c>
      <c r="AA165" s="3">
        <v>2.0</v>
      </c>
      <c r="AB165" s="3">
        <v>0.0</v>
      </c>
      <c r="AC165" s="3">
        <v>2.3</v>
      </c>
      <c r="AD165" s="3"/>
      <c r="AE165" s="3" t="s">
        <v>122</v>
      </c>
      <c r="AF165" s="14"/>
      <c r="AG165" s="14"/>
      <c r="AH165" s="14"/>
      <c r="AI165" s="14"/>
      <c r="AJ165" s="14"/>
      <c r="AK165" s="14"/>
      <c r="AL165" s="14"/>
      <c r="AM165" s="14" t="s">
        <v>220</v>
      </c>
      <c r="AN165" s="14" t="s">
        <v>290</v>
      </c>
      <c r="AO165" s="14" t="s">
        <v>84</v>
      </c>
      <c r="AP165" s="14" t="s">
        <v>291</v>
      </c>
      <c r="AQ165" s="14">
        <v>0.0</v>
      </c>
      <c r="AR165" s="14" t="s">
        <v>196</v>
      </c>
    </row>
    <row r="166" ht="15.75" customHeight="1">
      <c r="A166" s="3" t="s">
        <v>39</v>
      </c>
      <c r="B166" s="3" t="s">
        <v>44</v>
      </c>
      <c r="C166" s="3" t="s">
        <v>102</v>
      </c>
      <c r="D166" s="3" t="s">
        <v>415</v>
      </c>
      <c r="E166" s="3" t="s">
        <v>68</v>
      </c>
      <c r="F166" s="3" t="s">
        <v>402</v>
      </c>
      <c r="G166" s="3" t="s">
        <v>69</v>
      </c>
      <c r="H166" s="3" t="s">
        <v>69</v>
      </c>
      <c r="I166" s="19" t="s">
        <v>122</v>
      </c>
      <c r="J166" s="3" t="s">
        <v>71</v>
      </c>
      <c r="K166" s="3">
        <v>3.0</v>
      </c>
      <c r="L166" s="3"/>
      <c r="M166" s="3"/>
      <c r="N166" s="3"/>
      <c r="O166" s="3"/>
      <c r="P166" s="3">
        <v>520.0</v>
      </c>
      <c r="Q166" s="3" t="s">
        <v>74</v>
      </c>
      <c r="R166" s="3" t="s">
        <v>75</v>
      </c>
      <c r="S166" s="3" t="s">
        <v>76</v>
      </c>
      <c r="T166" s="3" t="s">
        <v>39</v>
      </c>
      <c r="U166" s="3" t="s">
        <v>59</v>
      </c>
      <c r="V166" s="3" t="s">
        <v>403</v>
      </c>
      <c r="W166" s="3">
        <v>2.0</v>
      </c>
      <c r="X166" s="3">
        <v>2.0</v>
      </c>
      <c r="Y166" s="3">
        <v>4.0</v>
      </c>
      <c r="Z166" s="3">
        <v>3.0</v>
      </c>
      <c r="AA166" s="3">
        <v>4.0</v>
      </c>
      <c r="AB166" s="3">
        <v>0.0</v>
      </c>
      <c r="AC166" s="3">
        <v>2.5</v>
      </c>
      <c r="AD166" s="3"/>
      <c r="AE166" s="3" t="s">
        <v>122</v>
      </c>
      <c r="AF166" s="14"/>
      <c r="AG166" s="14"/>
      <c r="AH166" s="14"/>
      <c r="AI166" s="14"/>
      <c r="AJ166" s="14"/>
      <c r="AK166" s="14"/>
      <c r="AL166" s="14"/>
      <c r="AM166" s="14" t="s">
        <v>403</v>
      </c>
      <c r="AN166" s="14" t="s">
        <v>565</v>
      </c>
      <c r="AO166" s="14" t="s">
        <v>84</v>
      </c>
      <c r="AP166" s="14" t="s">
        <v>566</v>
      </c>
      <c r="AQ166" s="14">
        <v>0.0</v>
      </c>
      <c r="AR166" s="14" t="s">
        <v>196</v>
      </c>
    </row>
    <row r="167" ht="15.75" customHeight="1">
      <c r="A167" s="3" t="s">
        <v>39</v>
      </c>
      <c r="B167" s="3" t="s">
        <v>44</v>
      </c>
      <c r="C167" s="3" t="s">
        <v>102</v>
      </c>
      <c r="D167" s="3" t="s">
        <v>418</v>
      </c>
      <c r="E167" s="3" t="s">
        <v>202</v>
      </c>
      <c r="F167" s="3" t="s">
        <v>219</v>
      </c>
      <c r="G167" s="3" t="s">
        <v>69</v>
      </c>
      <c r="H167" s="3" t="s">
        <v>69</v>
      </c>
      <c r="I167" s="19" t="s">
        <v>122</v>
      </c>
      <c r="J167" s="3" t="s">
        <v>71</v>
      </c>
      <c r="K167" s="3">
        <v>3.0</v>
      </c>
      <c r="L167" s="3"/>
      <c r="M167" s="3"/>
      <c r="N167" s="3"/>
      <c r="O167" s="3"/>
      <c r="P167" s="3">
        <v>500.0</v>
      </c>
      <c r="Q167" s="3" t="s">
        <v>74</v>
      </c>
      <c r="R167" s="3" t="s">
        <v>75</v>
      </c>
      <c r="S167" s="3" t="s">
        <v>142</v>
      </c>
      <c r="T167" s="3" t="s">
        <v>39</v>
      </c>
      <c r="U167" s="3" t="s">
        <v>90</v>
      </c>
      <c r="V167" s="3" t="s">
        <v>220</v>
      </c>
      <c r="W167" s="3">
        <v>2.0</v>
      </c>
      <c r="X167" s="3">
        <v>2.0</v>
      </c>
      <c r="Y167" s="3">
        <v>4.0</v>
      </c>
      <c r="Z167" s="3">
        <v>3.0</v>
      </c>
      <c r="AA167" s="3">
        <v>2.0</v>
      </c>
      <c r="AB167" s="3">
        <v>0.0</v>
      </c>
      <c r="AC167" s="3">
        <v>2.3</v>
      </c>
      <c r="AD167" s="3"/>
      <c r="AE167" s="3" t="s">
        <v>122</v>
      </c>
      <c r="AF167" s="14"/>
      <c r="AG167" s="14"/>
      <c r="AH167" s="14"/>
      <c r="AI167" s="14"/>
      <c r="AJ167" s="14"/>
      <c r="AK167" s="14"/>
      <c r="AL167" s="14"/>
      <c r="AM167" s="14" t="s">
        <v>220</v>
      </c>
      <c r="AN167" s="14" t="s">
        <v>567</v>
      </c>
      <c r="AO167" s="14" t="s">
        <v>84</v>
      </c>
      <c r="AP167" s="14" t="s">
        <v>568</v>
      </c>
      <c r="AQ167" s="14">
        <v>0.0</v>
      </c>
      <c r="AR167" s="14" t="s">
        <v>196</v>
      </c>
    </row>
    <row r="168" ht="15.75" customHeight="1">
      <c r="A168" s="3" t="s">
        <v>39</v>
      </c>
      <c r="B168" s="3" t="s">
        <v>44</v>
      </c>
      <c r="C168" s="3" t="s">
        <v>102</v>
      </c>
      <c r="D168" s="3" t="s">
        <v>418</v>
      </c>
      <c r="E168" s="3" t="s">
        <v>202</v>
      </c>
      <c r="F168" s="3" t="s">
        <v>224</v>
      </c>
      <c r="G168" s="3" t="s">
        <v>69</v>
      </c>
      <c r="H168" s="3" t="s">
        <v>69</v>
      </c>
      <c r="I168" s="19" t="s">
        <v>122</v>
      </c>
      <c r="J168" s="3" t="s">
        <v>71</v>
      </c>
      <c r="K168" s="3">
        <v>3.0</v>
      </c>
      <c r="L168" s="3"/>
      <c r="M168" s="3"/>
      <c r="N168" s="3"/>
      <c r="O168" s="3"/>
      <c r="P168" s="3">
        <v>500.0</v>
      </c>
      <c r="Q168" s="3" t="s">
        <v>74</v>
      </c>
      <c r="R168" s="3" t="s">
        <v>75</v>
      </c>
      <c r="S168" s="3" t="s">
        <v>142</v>
      </c>
      <c r="T168" s="3" t="s">
        <v>39</v>
      </c>
      <c r="U168" s="3" t="s">
        <v>90</v>
      </c>
      <c r="V168" s="3" t="s">
        <v>225</v>
      </c>
      <c r="W168" s="3">
        <v>2.0</v>
      </c>
      <c r="X168" s="3">
        <v>2.0</v>
      </c>
      <c r="Y168" s="3">
        <v>4.0</v>
      </c>
      <c r="Z168" s="3">
        <v>3.0</v>
      </c>
      <c r="AA168" s="3">
        <v>2.0</v>
      </c>
      <c r="AB168" s="3">
        <v>0.0</v>
      </c>
      <c r="AC168" s="3">
        <v>2.3</v>
      </c>
      <c r="AD168" s="3"/>
      <c r="AE168" s="3" t="s">
        <v>122</v>
      </c>
      <c r="AF168" s="14"/>
      <c r="AG168" s="14"/>
      <c r="AH168" s="14"/>
      <c r="AI168" s="14"/>
      <c r="AJ168" s="14"/>
      <c r="AK168" s="14"/>
      <c r="AL168" s="14"/>
      <c r="AM168" s="14" t="s">
        <v>225</v>
      </c>
      <c r="AN168" s="14" t="s">
        <v>567</v>
      </c>
      <c r="AO168" s="14" t="s">
        <v>84</v>
      </c>
      <c r="AP168" s="14" t="s">
        <v>568</v>
      </c>
      <c r="AQ168" s="14">
        <v>0.0</v>
      </c>
      <c r="AR168" s="14" t="s">
        <v>196</v>
      </c>
    </row>
    <row r="169" ht="15.75" customHeight="1">
      <c r="A169" s="3" t="s">
        <v>39</v>
      </c>
      <c r="B169" s="3" t="s">
        <v>44</v>
      </c>
      <c r="C169" s="3" t="s">
        <v>102</v>
      </c>
      <c r="D169" s="3" t="s">
        <v>80</v>
      </c>
      <c r="E169" s="3" t="s">
        <v>68</v>
      </c>
      <c r="F169" s="3" t="s">
        <v>402</v>
      </c>
      <c r="G169" s="3" t="s">
        <v>69</v>
      </c>
      <c r="H169" s="3" t="s">
        <v>69</v>
      </c>
      <c r="I169" s="19" t="s">
        <v>122</v>
      </c>
      <c r="J169" s="3" t="s">
        <v>71</v>
      </c>
      <c r="K169" s="3">
        <v>3.0</v>
      </c>
      <c r="L169" s="3"/>
      <c r="M169" s="3"/>
      <c r="N169" s="3"/>
      <c r="O169" s="3"/>
      <c r="P169" s="3">
        <v>520.0</v>
      </c>
      <c r="Q169" s="3" t="s">
        <v>74</v>
      </c>
      <c r="R169" s="3" t="s">
        <v>75</v>
      </c>
      <c r="S169" s="3" t="s">
        <v>76</v>
      </c>
      <c r="T169" s="3" t="s">
        <v>39</v>
      </c>
      <c r="U169" s="3" t="s">
        <v>59</v>
      </c>
      <c r="V169" s="3" t="s">
        <v>403</v>
      </c>
      <c r="W169" s="3">
        <v>2.0</v>
      </c>
      <c r="X169" s="3">
        <v>2.0</v>
      </c>
      <c r="Y169" s="3">
        <v>4.0</v>
      </c>
      <c r="Z169" s="3">
        <v>3.0</v>
      </c>
      <c r="AA169" s="3">
        <v>4.0</v>
      </c>
      <c r="AB169" s="3">
        <v>0.0</v>
      </c>
      <c r="AC169" s="3">
        <v>2.5</v>
      </c>
      <c r="AD169" s="3"/>
      <c r="AE169" s="3" t="s">
        <v>122</v>
      </c>
      <c r="AF169" s="14"/>
      <c r="AG169" s="14"/>
      <c r="AH169" s="14"/>
      <c r="AI169" s="14"/>
      <c r="AJ169" s="14"/>
      <c r="AK169" s="14"/>
      <c r="AL169" s="14"/>
      <c r="AM169" s="14" t="s">
        <v>403</v>
      </c>
      <c r="AN169" s="14" t="s">
        <v>112</v>
      </c>
      <c r="AO169" s="14" t="s">
        <v>84</v>
      </c>
      <c r="AP169" s="14" t="s">
        <v>115</v>
      </c>
      <c r="AQ169" s="14">
        <v>0.0</v>
      </c>
      <c r="AR169" s="14" t="s">
        <v>196</v>
      </c>
    </row>
    <row r="170" ht="15.75" customHeight="1">
      <c r="A170" s="3" t="s">
        <v>39</v>
      </c>
      <c r="B170" s="3" t="s">
        <v>44</v>
      </c>
      <c r="C170" s="3" t="s">
        <v>102</v>
      </c>
      <c r="D170" s="3" t="s">
        <v>149</v>
      </c>
      <c r="E170" s="3" t="s">
        <v>181</v>
      </c>
      <c r="F170" s="3" t="s">
        <v>219</v>
      </c>
      <c r="G170" s="3" t="s">
        <v>69</v>
      </c>
      <c r="H170" s="3" t="s">
        <v>69</v>
      </c>
      <c r="I170" s="19" t="s">
        <v>122</v>
      </c>
      <c r="J170" s="3" t="s">
        <v>71</v>
      </c>
      <c r="K170" s="3">
        <v>3.0</v>
      </c>
      <c r="L170" s="3"/>
      <c r="M170" s="3"/>
      <c r="N170" s="3"/>
      <c r="O170" s="3"/>
      <c r="P170" s="3">
        <v>520.0</v>
      </c>
      <c r="Q170" s="3" t="s">
        <v>74</v>
      </c>
      <c r="R170" s="3" t="s">
        <v>75</v>
      </c>
      <c r="S170" s="3" t="s">
        <v>142</v>
      </c>
      <c r="T170" s="3" t="s">
        <v>39</v>
      </c>
      <c r="U170" s="3" t="s">
        <v>90</v>
      </c>
      <c r="V170" s="3" t="s">
        <v>220</v>
      </c>
      <c r="W170" s="3">
        <v>2.0</v>
      </c>
      <c r="X170" s="3">
        <v>2.0</v>
      </c>
      <c r="Y170" s="3">
        <v>4.0</v>
      </c>
      <c r="Z170" s="3">
        <v>3.0</v>
      </c>
      <c r="AA170" s="3">
        <v>2.0</v>
      </c>
      <c r="AB170" s="3">
        <v>0.0</v>
      </c>
      <c r="AC170" s="3">
        <v>2.3</v>
      </c>
      <c r="AD170" s="3"/>
      <c r="AE170" s="3" t="s">
        <v>122</v>
      </c>
      <c r="AF170" s="14"/>
      <c r="AG170" s="14"/>
      <c r="AH170" s="14"/>
      <c r="AI170" s="14"/>
      <c r="AJ170" s="14"/>
      <c r="AK170" s="14"/>
      <c r="AL170" s="14"/>
      <c r="AM170" s="14" t="s">
        <v>220</v>
      </c>
      <c r="AN170" s="14" t="s">
        <v>183</v>
      </c>
      <c r="AO170" s="14" t="s">
        <v>84</v>
      </c>
      <c r="AP170" s="14" t="s">
        <v>185</v>
      </c>
      <c r="AQ170" s="14">
        <v>0.0</v>
      </c>
      <c r="AR170" s="14" t="s">
        <v>196</v>
      </c>
    </row>
    <row r="171" ht="15.75" customHeight="1">
      <c r="A171" s="3" t="s">
        <v>39</v>
      </c>
      <c r="B171" s="3" t="s">
        <v>44</v>
      </c>
      <c r="C171" s="3" t="s">
        <v>102</v>
      </c>
      <c r="D171" s="3" t="s">
        <v>149</v>
      </c>
      <c r="E171" s="3" t="s">
        <v>181</v>
      </c>
      <c r="F171" s="3" t="s">
        <v>224</v>
      </c>
      <c r="G171" s="3" t="s">
        <v>69</v>
      </c>
      <c r="H171" s="3" t="s">
        <v>69</v>
      </c>
      <c r="I171" s="19" t="s">
        <v>122</v>
      </c>
      <c r="J171" s="3" t="s">
        <v>71</v>
      </c>
      <c r="K171" s="3">
        <v>3.0</v>
      </c>
      <c r="L171" s="3"/>
      <c r="M171" s="3"/>
      <c r="N171" s="3"/>
      <c r="O171" s="3"/>
      <c r="P171" s="3">
        <v>520.0</v>
      </c>
      <c r="Q171" s="3" t="s">
        <v>74</v>
      </c>
      <c r="R171" s="3" t="s">
        <v>75</v>
      </c>
      <c r="S171" s="3" t="s">
        <v>142</v>
      </c>
      <c r="T171" s="3" t="s">
        <v>39</v>
      </c>
      <c r="U171" s="3" t="s">
        <v>90</v>
      </c>
      <c r="V171" s="3" t="s">
        <v>225</v>
      </c>
      <c r="W171" s="3">
        <v>2.0</v>
      </c>
      <c r="X171" s="3">
        <v>2.0</v>
      </c>
      <c r="Y171" s="3">
        <v>4.0</v>
      </c>
      <c r="Z171" s="3">
        <v>3.0</v>
      </c>
      <c r="AA171" s="3">
        <v>2.0</v>
      </c>
      <c r="AB171" s="3">
        <v>0.0</v>
      </c>
      <c r="AC171" s="3">
        <v>2.3</v>
      </c>
      <c r="AD171" s="3"/>
      <c r="AE171" s="3" t="s">
        <v>122</v>
      </c>
      <c r="AF171" s="14"/>
      <c r="AG171" s="14"/>
      <c r="AH171" s="14"/>
      <c r="AI171" s="14"/>
      <c r="AJ171" s="14"/>
      <c r="AK171" s="14"/>
      <c r="AL171" s="14"/>
      <c r="AM171" s="14" t="s">
        <v>225</v>
      </c>
      <c r="AN171" s="14" t="s">
        <v>183</v>
      </c>
      <c r="AO171" s="14" t="s">
        <v>84</v>
      </c>
      <c r="AP171" s="14" t="s">
        <v>185</v>
      </c>
      <c r="AQ171" s="14">
        <v>0.0</v>
      </c>
      <c r="AR171" s="14" t="s">
        <v>196</v>
      </c>
    </row>
    <row r="172" ht="15.75" customHeight="1">
      <c r="A172" s="3" t="s">
        <v>39</v>
      </c>
      <c r="B172" s="3" t="s">
        <v>44</v>
      </c>
      <c r="C172" s="3" t="s">
        <v>102</v>
      </c>
      <c r="D172" s="3" t="s">
        <v>154</v>
      </c>
      <c r="E172" s="3" t="s">
        <v>186</v>
      </c>
      <c r="F172" s="3" t="s">
        <v>224</v>
      </c>
      <c r="G172" s="3" t="s">
        <v>69</v>
      </c>
      <c r="H172" s="3" t="s">
        <v>69</v>
      </c>
      <c r="I172" s="19" t="s">
        <v>122</v>
      </c>
      <c r="J172" s="3" t="s">
        <v>71</v>
      </c>
      <c r="K172" s="3">
        <v>3.0</v>
      </c>
      <c r="L172" s="3"/>
      <c r="M172" s="3"/>
      <c r="N172" s="3"/>
      <c r="O172" s="3"/>
      <c r="P172" s="3">
        <v>360.0</v>
      </c>
      <c r="Q172" s="3" t="s">
        <v>140</v>
      </c>
      <c r="R172" s="3" t="s">
        <v>75</v>
      </c>
      <c r="S172" s="3" t="s">
        <v>142</v>
      </c>
      <c r="T172" s="3" t="s">
        <v>39</v>
      </c>
      <c r="U172" s="3" t="s">
        <v>90</v>
      </c>
      <c r="V172" s="3" t="s">
        <v>225</v>
      </c>
      <c r="W172" s="3">
        <v>2.0</v>
      </c>
      <c r="X172" s="3">
        <v>3.0</v>
      </c>
      <c r="Y172" s="3">
        <v>4.0</v>
      </c>
      <c r="Z172" s="3">
        <v>3.0</v>
      </c>
      <c r="AA172" s="3">
        <v>2.0</v>
      </c>
      <c r="AB172" s="3">
        <v>0.0</v>
      </c>
      <c r="AC172" s="3">
        <v>2.5</v>
      </c>
      <c r="AD172" s="3"/>
      <c r="AE172" s="3" t="s">
        <v>122</v>
      </c>
      <c r="AF172" s="14"/>
      <c r="AG172" s="14"/>
      <c r="AH172" s="14"/>
      <c r="AI172" s="14"/>
      <c r="AJ172" s="14"/>
      <c r="AK172" s="14"/>
      <c r="AL172" s="14"/>
      <c r="AM172" s="14" t="s">
        <v>225</v>
      </c>
      <c r="AN172" s="14" t="s">
        <v>188</v>
      </c>
      <c r="AO172" s="14" t="s">
        <v>84</v>
      </c>
      <c r="AP172" s="14" t="s">
        <v>189</v>
      </c>
      <c r="AQ172" s="14">
        <v>0.0</v>
      </c>
      <c r="AR172" s="14" t="s">
        <v>196</v>
      </c>
    </row>
    <row r="173" ht="15.75" customHeight="1">
      <c r="A173" s="3" t="s">
        <v>39</v>
      </c>
      <c r="B173" s="3" t="s">
        <v>44</v>
      </c>
      <c r="C173" s="3" t="s">
        <v>102</v>
      </c>
      <c r="D173" s="3" t="s">
        <v>133</v>
      </c>
      <c r="E173" s="3" t="s">
        <v>106</v>
      </c>
      <c r="F173" s="3" t="s">
        <v>219</v>
      </c>
      <c r="G173" s="3" t="s">
        <v>69</v>
      </c>
      <c r="H173" s="3" t="s">
        <v>69</v>
      </c>
      <c r="I173" s="19" t="s">
        <v>122</v>
      </c>
      <c r="J173" s="3" t="s">
        <v>71</v>
      </c>
      <c r="K173" s="3">
        <v>3.0</v>
      </c>
      <c r="L173" s="3"/>
      <c r="M173" s="3"/>
      <c r="N173" s="3"/>
      <c r="O173" s="3"/>
      <c r="P173" s="3">
        <v>130.0</v>
      </c>
      <c r="Q173" s="3" t="s">
        <v>121</v>
      </c>
      <c r="R173" s="3" t="s">
        <v>75</v>
      </c>
      <c r="S173" s="3" t="s">
        <v>76</v>
      </c>
      <c r="T173" s="3" t="s">
        <v>39</v>
      </c>
      <c r="U173" s="3" t="s">
        <v>90</v>
      </c>
      <c r="V173" s="3" t="s">
        <v>220</v>
      </c>
      <c r="W173" s="3">
        <v>2.0</v>
      </c>
      <c r="X173" s="3">
        <v>5.0</v>
      </c>
      <c r="Y173" s="3">
        <v>4.0</v>
      </c>
      <c r="Z173" s="3">
        <v>3.0</v>
      </c>
      <c r="AA173" s="3">
        <v>4.0</v>
      </c>
      <c r="AB173" s="3">
        <v>0.0</v>
      </c>
      <c r="AC173" s="3">
        <v>2.9</v>
      </c>
      <c r="AD173" s="3"/>
      <c r="AE173" s="3" t="s">
        <v>122</v>
      </c>
      <c r="AF173" s="14"/>
      <c r="AG173" s="14"/>
      <c r="AH173" s="14"/>
      <c r="AI173" s="14"/>
      <c r="AJ173" s="14"/>
      <c r="AK173" s="14"/>
      <c r="AL173" s="14"/>
      <c r="AM173" s="14" t="s">
        <v>220</v>
      </c>
      <c r="AN173" s="14" t="s">
        <v>194</v>
      </c>
      <c r="AO173" s="14" t="s">
        <v>84</v>
      </c>
      <c r="AP173" s="14" t="s">
        <v>195</v>
      </c>
      <c r="AQ173" s="14">
        <v>0.0</v>
      </c>
      <c r="AR173" s="14" t="s">
        <v>196</v>
      </c>
    </row>
    <row r="174" ht="15.75" customHeight="1">
      <c r="A174" s="3" t="s">
        <v>39</v>
      </c>
      <c r="B174" s="3" t="s">
        <v>44</v>
      </c>
      <c r="C174" s="3" t="s">
        <v>102</v>
      </c>
      <c r="D174" s="3" t="s">
        <v>133</v>
      </c>
      <c r="E174" s="3" t="s">
        <v>106</v>
      </c>
      <c r="F174" s="3" t="s">
        <v>224</v>
      </c>
      <c r="G174" s="3" t="s">
        <v>69</v>
      </c>
      <c r="H174" s="3" t="s">
        <v>69</v>
      </c>
      <c r="I174" s="19" t="s">
        <v>122</v>
      </c>
      <c r="J174" s="3" t="s">
        <v>71</v>
      </c>
      <c r="K174" s="3">
        <v>3.0</v>
      </c>
      <c r="L174" s="3"/>
      <c r="M174" s="3"/>
      <c r="N174" s="3"/>
      <c r="O174" s="3"/>
      <c r="P174" s="3">
        <v>130.0</v>
      </c>
      <c r="Q174" s="3" t="s">
        <v>121</v>
      </c>
      <c r="R174" s="3" t="s">
        <v>75</v>
      </c>
      <c r="S174" s="3" t="s">
        <v>76</v>
      </c>
      <c r="T174" s="3" t="s">
        <v>39</v>
      </c>
      <c r="U174" s="3" t="s">
        <v>90</v>
      </c>
      <c r="V174" s="3" t="s">
        <v>225</v>
      </c>
      <c r="W174" s="3">
        <v>2.0</v>
      </c>
      <c r="X174" s="3">
        <v>5.0</v>
      </c>
      <c r="Y174" s="3">
        <v>4.0</v>
      </c>
      <c r="Z174" s="3">
        <v>3.0</v>
      </c>
      <c r="AA174" s="3">
        <v>4.0</v>
      </c>
      <c r="AB174" s="3">
        <v>0.0</v>
      </c>
      <c r="AC174" s="3">
        <v>2.9</v>
      </c>
      <c r="AD174" s="3"/>
      <c r="AE174" s="3" t="s">
        <v>122</v>
      </c>
      <c r="AF174" s="14"/>
      <c r="AG174" s="14"/>
      <c r="AH174" s="14"/>
      <c r="AI174" s="14"/>
      <c r="AJ174" s="14"/>
      <c r="AK174" s="14"/>
      <c r="AL174" s="14"/>
      <c r="AM174" s="14" t="s">
        <v>225</v>
      </c>
      <c r="AN174" s="14" t="s">
        <v>194</v>
      </c>
      <c r="AO174" s="14" t="s">
        <v>84</v>
      </c>
      <c r="AP174" s="14" t="s">
        <v>195</v>
      </c>
      <c r="AQ174" s="14">
        <v>0.0</v>
      </c>
      <c r="AR174" s="14" t="s">
        <v>196</v>
      </c>
    </row>
    <row r="175" ht="15.75" customHeight="1">
      <c r="A175" s="3" t="s">
        <v>39</v>
      </c>
      <c r="B175" s="3" t="s">
        <v>44</v>
      </c>
      <c r="C175" s="3" t="s">
        <v>102</v>
      </c>
      <c r="D175" s="3" t="s">
        <v>169</v>
      </c>
      <c r="E175" s="3" t="s">
        <v>181</v>
      </c>
      <c r="F175" s="3" t="s">
        <v>224</v>
      </c>
      <c r="G175" s="3" t="s">
        <v>69</v>
      </c>
      <c r="H175" s="3" t="s">
        <v>69</v>
      </c>
      <c r="I175" s="19" t="s">
        <v>122</v>
      </c>
      <c r="J175" s="3" t="s">
        <v>71</v>
      </c>
      <c r="K175" s="3">
        <v>3.0</v>
      </c>
      <c r="L175" s="3"/>
      <c r="M175" s="3"/>
      <c r="N175" s="3"/>
      <c r="O175" s="3"/>
      <c r="P175" s="3">
        <v>520.0</v>
      </c>
      <c r="Q175" s="3" t="s">
        <v>74</v>
      </c>
      <c r="R175" s="3" t="s">
        <v>75</v>
      </c>
      <c r="S175" s="3" t="s">
        <v>142</v>
      </c>
      <c r="T175" s="3" t="s">
        <v>39</v>
      </c>
      <c r="U175" s="3" t="s">
        <v>90</v>
      </c>
      <c r="V175" s="3" t="s">
        <v>225</v>
      </c>
      <c r="W175" s="3">
        <v>2.0</v>
      </c>
      <c r="X175" s="3">
        <v>2.0</v>
      </c>
      <c r="Y175" s="3">
        <v>4.0</v>
      </c>
      <c r="Z175" s="3">
        <v>3.0</v>
      </c>
      <c r="AA175" s="3">
        <v>2.0</v>
      </c>
      <c r="AB175" s="3">
        <v>0.0</v>
      </c>
      <c r="AC175" s="3">
        <v>2.3</v>
      </c>
      <c r="AD175" s="3"/>
      <c r="AE175" s="3" t="s">
        <v>122</v>
      </c>
      <c r="AF175" s="14"/>
      <c r="AG175" s="14"/>
      <c r="AH175" s="14"/>
      <c r="AI175" s="14"/>
      <c r="AJ175" s="14"/>
      <c r="AK175" s="14"/>
      <c r="AL175" s="14"/>
      <c r="AM175" s="14" t="s">
        <v>225</v>
      </c>
      <c r="AN175" s="14" t="s">
        <v>199</v>
      </c>
      <c r="AO175" s="14" t="s">
        <v>84</v>
      </c>
      <c r="AP175" s="14" t="s">
        <v>200</v>
      </c>
      <c r="AQ175" s="14">
        <v>0.0</v>
      </c>
      <c r="AR175" s="14" t="s">
        <v>196</v>
      </c>
    </row>
    <row r="176" ht="15.75" customHeight="1">
      <c r="A176" s="3" t="s">
        <v>39</v>
      </c>
      <c r="B176" s="3" t="s">
        <v>44</v>
      </c>
      <c r="C176" s="3" t="s">
        <v>102</v>
      </c>
      <c r="D176" s="3" t="s">
        <v>277</v>
      </c>
      <c r="E176" s="3" t="s">
        <v>181</v>
      </c>
      <c r="F176" s="3" t="s">
        <v>224</v>
      </c>
      <c r="G176" s="3" t="s">
        <v>69</v>
      </c>
      <c r="H176" s="3" t="s">
        <v>69</v>
      </c>
      <c r="I176" s="19" t="s">
        <v>122</v>
      </c>
      <c r="J176" s="3" t="s">
        <v>71</v>
      </c>
      <c r="K176" s="3">
        <v>3.0</v>
      </c>
      <c r="L176" s="3"/>
      <c r="M176" s="3"/>
      <c r="N176" s="3"/>
      <c r="O176" s="3"/>
      <c r="P176" s="3">
        <v>520.0</v>
      </c>
      <c r="Q176" s="3" t="s">
        <v>74</v>
      </c>
      <c r="R176" s="3" t="s">
        <v>75</v>
      </c>
      <c r="S176" s="3" t="s">
        <v>142</v>
      </c>
      <c r="T176" s="3" t="s">
        <v>39</v>
      </c>
      <c r="U176" s="3" t="s">
        <v>90</v>
      </c>
      <c r="V176" s="3" t="s">
        <v>225</v>
      </c>
      <c r="W176" s="3">
        <v>2.0</v>
      </c>
      <c r="X176" s="3">
        <v>2.0</v>
      </c>
      <c r="Y176" s="3">
        <v>4.0</v>
      </c>
      <c r="Z176" s="3">
        <v>3.0</v>
      </c>
      <c r="AA176" s="3">
        <v>2.0</v>
      </c>
      <c r="AB176" s="3">
        <v>0.0</v>
      </c>
      <c r="AC176" s="3">
        <v>2.3</v>
      </c>
      <c r="AD176" s="3"/>
      <c r="AE176" s="3" t="s">
        <v>122</v>
      </c>
      <c r="AF176" s="14"/>
      <c r="AG176" s="14"/>
      <c r="AH176" s="14"/>
      <c r="AI176" s="14"/>
      <c r="AJ176" s="14"/>
      <c r="AK176" s="14"/>
      <c r="AL176" s="14"/>
      <c r="AM176" s="14" t="s">
        <v>225</v>
      </c>
      <c r="AN176" s="14" t="s">
        <v>305</v>
      </c>
      <c r="AO176" s="14" t="s">
        <v>84</v>
      </c>
      <c r="AP176" s="14" t="s">
        <v>306</v>
      </c>
      <c r="AQ176" s="14">
        <v>0.0</v>
      </c>
      <c r="AR176" s="14" t="s">
        <v>196</v>
      </c>
    </row>
    <row r="177" ht="15.75" customHeight="1">
      <c r="A177" s="3" t="s">
        <v>39</v>
      </c>
      <c r="B177" s="3" t="s">
        <v>44</v>
      </c>
      <c r="C177" s="3" t="s">
        <v>102</v>
      </c>
      <c r="D177" s="3" t="s">
        <v>173</v>
      </c>
      <c r="E177" s="3" t="s">
        <v>202</v>
      </c>
      <c r="F177" s="3" t="s">
        <v>219</v>
      </c>
      <c r="G177" s="3" t="s">
        <v>69</v>
      </c>
      <c r="H177" s="3" t="s">
        <v>69</v>
      </c>
      <c r="I177" s="19" t="s">
        <v>122</v>
      </c>
      <c r="J177" s="3" t="s">
        <v>71</v>
      </c>
      <c r="K177" s="3">
        <v>3.0</v>
      </c>
      <c r="L177" s="3"/>
      <c r="M177" s="3"/>
      <c r="N177" s="3"/>
      <c r="O177" s="3"/>
      <c r="P177" s="3">
        <v>500.0</v>
      </c>
      <c r="Q177" s="3" t="s">
        <v>74</v>
      </c>
      <c r="R177" s="3" t="s">
        <v>75</v>
      </c>
      <c r="S177" s="3" t="s">
        <v>142</v>
      </c>
      <c r="T177" s="3" t="s">
        <v>39</v>
      </c>
      <c r="U177" s="3" t="s">
        <v>90</v>
      </c>
      <c r="V177" s="3" t="s">
        <v>220</v>
      </c>
      <c r="W177" s="3">
        <v>2.0</v>
      </c>
      <c r="X177" s="3">
        <v>2.0</v>
      </c>
      <c r="Y177" s="3">
        <v>4.0</v>
      </c>
      <c r="Z177" s="3">
        <v>3.0</v>
      </c>
      <c r="AA177" s="3">
        <v>2.0</v>
      </c>
      <c r="AB177" s="3">
        <v>0.0</v>
      </c>
      <c r="AC177" s="3">
        <v>2.3</v>
      </c>
      <c r="AD177" s="3"/>
      <c r="AE177" s="3" t="s">
        <v>122</v>
      </c>
      <c r="AF177" s="14"/>
      <c r="AG177" s="14"/>
      <c r="AH177" s="14"/>
      <c r="AI177" s="14"/>
      <c r="AJ177" s="14"/>
      <c r="AK177" s="14"/>
      <c r="AL177" s="14"/>
      <c r="AM177" s="14" t="s">
        <v>220</v>
      </c>
      <c r="AN177" s="14" t="s">
        <v>204</v>
      </c>
      <c r="AO177" s="14" t="s">
        <v>84</v>
      </c>
      <c r="AP177" s="14" t="s">
        <v>205</v>
      </c>
      <c r="AQ177" s="14">
        <v>0.0</v>
      </c>
      <c r="AR177" s="14" t="s">
        <v>196</v>
      </c>
    </row>
    <row r="178" ht="15.75" customHeight="1">
      <c r="A178" s="3" t="s">
        <v>39</v>
      </c>
      <c r="B178" s="3" t="s">
        <v>44</v>
      </c>
      <c r="C178" s="3" t="s">
        <v>102</v>
      </c>
      <c r="D178" s="3" t="s">
        <v>173</v>
      </c>
      <c r="E178" s="3" t="s">
        <v>202</v>
      </c>
      <c r="F178" s="3" t="s">
        <v>224</v>
      </c>
      <c r="G178" s="3" t="s">
        <v>69</v>
      </c>
      <c r="H178" s="3" t="s">
        <v>69</v>
      </c>
      <c r="I178" s="19" t="s">
        <v>122</v>
      </c>
      <c r="J178" s="3" t="s">
        <v>71</v>
      </c>
      <c r="K178" s="3">
        <v>3.0</v>
      </c>
      <c r="L178" s="3"/>
      <c r="M178" s="3"/>
      <c r="N178" s="3"/>
      <c r="O178" s="3"/>
      <c r="P178" s="3">
        <v>500.0</v>
      </c>
      <c r="Q178" s="3" t="s">
        <v>74</v>
      </c>
      <c r="R178" s="3" t="s">
        <v>75</v>
      </c>
      <c r="S178" s="3" t="s">
        <v>142</v>
      </c>
      <c r="T178" s="3" t="s">
        <v>39</v>
      </c>
      <c r="U178" s="3" t="s">
        <v>90</v>
      </c>
      <c r="V178" s="3" t="s">
        <v>225</v>
      </c>
      <c r="W178" s="3">
        <v>2.0</v>
      </c>
      <c r="X178" s="3">
        <v>2.0</v>
      </c>
      <c r="Y178" s="3">
        <v>4.0</v>
      </c>
      <c r="Z178" s="3">
        <v>3.0</v>
      </c>
      <c r="AA178" s="3">
        <v>2.0</v>
      </c>
      <c r="AB178" s="3">
        <v>0.0</v>
      </c>
      <c r="AC178" s="3">
        <v>2.3</v>
      </c>
      <c r="AD178" s="3"/>
      <c r="AE178" s="3" t="s">
        <v>122</v>
      </c>
      <c r="AF178" s="14"/>
      <c r="AG178" s="14"/>
      <c r="AH178" s="14"/>
      <c r="AI178" s="14"/>
      <c r="AJ178" s="14"/>
      <c r="AK178" s="14"/>
      <c r="AL178" s="14"/>
      <c r="AM178" s="14" t="s">
        <v>225</v>
      </c>
      <c r="AN178" s="14" t="s">
        <v>204</v>
      </c>
      <c r="AO178" s="14" t="s">
        <v>84</v>
      </c>
      <c r="AP178" s="14" t="s">
        <v>205</v>
      </c>
      <c r="AQ178" s="14">
        <v>0.0</v>
      </c>
      <c r="AR178" s="14" t="s">
        <v>196</v>
      </c>
    </row>
    <row r="179" ht="15.75" customHeight="1">
      <c r="A179" s="3" t="s">
        <v>39</v>
      </c>
      <c r="B179" s="3" t="s">
        <v>44</v>
      </c>
      <c r="C179" s="3" t="s">
        <v>102</v>
      </c>
      <c r="D179" s="3" t="s">
        <v>281</v>
      </c>
      <c r="E179" s="3" t="s">
        <v>181</v>
      </c>
      <c r="F179" s="3" t="s">
        <v>219</v>
      </c>
      <c r="G179" s="3" t="s">
        <v>69</v>
      </c>
      <c r="H179" s="3" t="s">
        <v>69</v>
      </c>
      <c r="I179" s="19" t="s">
        <v>122</v>
      </c>
      <c r="J179" s="3" t="s">
        <v>71</v>
      </c>
      <c r="K179" s="3">
        <v>3.0</v>
      </c>
      <c r="L179" s="3"/>
      <c r="M179" s="3"/>
      <c r="N179" s="3"/>
      <c r="O179" s="3"/>
      <c r="P179" s="3">
        <v>520.0</v>
      </c>
      <c r="Q179" s="3" t="s">
        <v>74</v>
      </c>
      <c r="R179" s="3" t="s">
        <v>75</v>
      </c>
      <c r="S179" s="3" t="s">
        <v>142</v>
      </c>
      <c r="T179" s="3" t="s">
        <v>39</v>
      </c>
      <c r="U179" s="3" t="s">
        <v>90</v>
      </c>
      <c r="V179" s="3" t="s">
        <v>220</v>
      </c>
      <c r="W179" s="3">
        <v>2.0</v>
      </c>
      <c r="X179" s="3">
        <v>2.0</v>
      </c>
      <c r="Y179" s="3">
        <v>4.0</v>
      </c>
      <c r="Z179" s="3">
        <v>3.0</v>
      </c>
      <c r="AA179" s="3">
        <v>2.0</v>
      </c>
      <c r="AB179" s="3">
        <v>0.0</v>
      </c>
      <c r="AC179" s="3">
        <v>2.3</v>
      </c>
      <c r="AD179" s="3"/>
      <c r="AE179" s="3" t="s">
        <v>122</v>
      </c>
      <c r="AF179" s="14"/>
      <c r="AG179" s="14"/>
      <c r="AH179" s="14"/>
      <c r="AI179" s="14"/>
      <c r="AJ179" s="14"/>
      <c r="AK179" s="14"/>
      <c r="AL179" s="14"/>
      <c r="AM179" s="14" t="s">
        <v>220</v>
      </c>
      <c r="AN179" s="14" t="s">
        <v>309</v>
      </c>
      <c r="AO179" s="14" t="s">
        <v>84</v>
      </c>
      <c r="AP179" s="14" t="s">
        <v>310</v>
      </c>
      <c r="AQ179" s="14">
        <v>0.0</v>
      </c>
      <c r="AR179" s="14" t="s">
        <v>196</v>
      </c>
    </row>
    <row r="180" ht="15.75" customHeight="1">
      <c r="A180" s="3" t="s">
        <v>39</v>
      </c>
      <c r="B180" s="3" t="s">
        <v>44</v>
      </c>
      <c r="C180" s="3" t="s">
        <v>102</v>
      </c>
      <c r="D180" s="3" t="s">
        <v>282</v>
      </c>
      <c r="E180" s="3" t="s">
        <v>181</v>
      </c>
      <c r="F180" s="3" t="s">
        <v>224</v>
      </c>
      <c r="G180" s="3" t="s">
        <v>69</v>
      </c>
      <c r="H180" s="3" t="s">
        <v>69</v>
      </c>
      <c r="I180" s="19" t="s">
        <v>122</v>
      </c>
      <c r="J180" s="3" t="s">
        <v>71</v>
      </c>
      <c r="K180" s="3">
        <v>3.0</v>
      </c>
      <c r="L180" s="3"/>
      <c r="M180" s="3"/>
      <c r="N180" s="3"/>
      <c r="O180" s="3"/>
      <c r="P180" s="3">
        <v>520.0</v>
      </c>
      <c r="Q180" s="3" t="s">
        <v>74</v>
      </c>
      <c r="R180" s="3" t="s">
        <v>75</v>
      </c>
      <c r="S180" s="3" t="s">
        <v>142</v>
      </c>
      <c r="T180" s="3" t="s">
        <v>39</v>
      </c>
      <c r="U180" s="3" t="s">
        <v>90</v>
      </c>
      <c r="V180" s="3" t="s">
        <v>225</v>
      </c>
      <c r="W180" s="3">
        <v>2.0</v>
      </c>
      <c r="X180" s="3">
        <v>2.0</v>
      </c>
      <c r="Y180" s="3">
        <v>4.0</v>
      </c>
      <c r="Z180" s="3">
        <v>3.0</v>
      </c>
      <c r="AA180" s="3">
        <v>2.0</v>
      </c>
      <c r="AB180" s="3">
        <v>0.0</v>
      </c>
      <c r="AC180" s="3">
        <v>2.3</v>
      </c>
      <c r="AD180" s="3"/>
      <c r="AE180" s="3" t="s">
        <v>122</v>
      </c>
      <c r="AF180" s="14"/>
      <c r="AG180" s="14"/>
      <c r="AH180" s="14"/>
      <c r="AI180" s="14"/>
      <c r="AJ180" s="14"/>
      <c r="AK180" s="14"/>
      <c r="AL180" s="14"/>
      <c r="AM180" s="14" t="s">
        <v>225</v>
      </c>
      <c r="AN180" s="14" t="s">
        <v>312</v>
      </c>
      <c r="AO180" s="14" t="s">
        <v>84</v>
      </c>
      <c r="AP180" s="14" t="s">
        <v>313</v>
      </c>
      <c r="AQ180" s="14">
        <v>0.0</v>
      </c>
      <c r="AR180" s="14" t="s">
        <v>196</v>
      </c>
    </row>
    <row r="181" ht="15.75" customHeight="1">
      <c r="A181" s="3" t="s">
        <v>39</v>
      </c>
      <c r="B181" s="3" t="s">
        <v>44</v>
      </c>
      <c r="C181" s="3" t="s">
        <v>102</v>
      </c>
      <c r="D181" s="3" t="s">
        <v>283</v>
      </c>
      <c r="E181" s="3" t="s">
        <v>271</v>
      </c>
      <c r="F181" s="3" t="s">
        <v>224</v>
      </c>
      <c r="G181" s="3" t="s">
        <v>69</v>
      </c>
      <c r="H181" s="3" t="s">
        <v>69</v>
      </c>
      <c r="I181" s="19" t="s">
        <v>122</v>
      </c>
      <c r="J181" s="3" t="s">
        <v>71</v>
      </c>
      <c r="K181" s="3">
        <v>3.0</v>
      </c>
      <c r="L181" s="3"/>
      <c r="M181" s="3"/>
      <c r="N181" s="3"/>
      <c r="O181" s="3"/>
      <c r="P181" s="3">
        <v>570.0</v>
      </c>
      <c r="Q181" s="3" t="s">
        <v>74</v>
      </c>
      <c r="R181" s="3" t="s">
        <v>75</v>
      </c>
      <c r="S181" s="3" t="s">
        <v>142</v>
      </c>
      <c r="T181" s="3" t="s">
        <v>39</v>
      </c>
      <c r="U181" s="3" t="s">
        <v>90</v>
      </c>
      <c r="V181" s="3" t="s">
        <v>225</v>
      </c>
      <c r="W181" s="3">
        <v>2.0</v>
      </c>
      <c r="X181" s="3">
        <v>2.0</v>
      </c>
      <c r="Y181" s="3">
        <v>4.0</v>
      </c>
      <c r="Z181" s="3">
        <v>3.0</v>
      </c>
      <c r="AA181" s="3">
        <v>2.0</v>
      </c>
      <c r="AB181" s="3">
        <v>0.0</v>
      </c>
      <c r="AC181" s="3">
        <v>2.3</v>
      </c>
      <c r="AD181" s="3"/>
      <c r="AE181" s="3" t="s">
        <v>122</v>
      </c>
      <c r="AF181" s="14"/>
      <c r="AG181" s="14"/>
      <c r="AH181" s="14"/>
      <c r="AI181" s="14"/>
      <c r="AJ181" s="14"/>
      <c r="AK181" s="14"/>
      <c r="AL181" s="14"/>
      <c r="AM181" s="14" t="s">
        <v>225</v>
      </c>
      <c r="AN181" s="14" t="s">
        <v>316</v>
      </c>
      <c r="AO181" s="14" t="s">
        <v>84</v>
      </c>
      <c r="AP181" s="14" t="s">
        <v>317</v>
      </c>
      <c r="AQ181" s="14">
        <v>0.0</v>
      </c>
      <c r="AR181" s="14" t="s">
        <v>196</v>
      </c>
    </row>
    <row r="182" ht="15.75" customHeight="1">
      <c r="A182" s="3" t="s">
        <v>39</v>
      </c>
      <c r="B182" s="3" t="s">
        <v>44</v>
      </c>
      <c r="C182" s="3" t="s">
        <v>102</v>
      </c>
      <c r="D182" s="3" t="s">
        <v>286</v>
      </c>
      <c r="E182" s="3" t="s">
        <v>164</v>
      </c>
      <c r="F182" s="3" t="s">
        <v>219</v>
      </c>
      <c r="G182" s="3" t="s">
        <v>69</v>
      </c>
      <c r="H182" s="3" t="s">
        <v>69</v>
      </c>
      <c r="I182" s="19" t="s">
        <v>122</v>
      </c>
      <c r="J182" s="3" t="s">
        <v>71</v>
      </c>
      <c r="K182" s="3">
        <v>3.0</v>
      </c>
      <c r="L182" s="3"/>
      <c r="M182" s="3"/>
      <c r="N182" s="3"/>
      <c r="O182" s="3"/>
      <c r="P182" s="3">
        <v>490.0</v>
      </c>
      <c r="Q182" s="3" t="s">
        <v>74</v>
      </c>
      <c r="R182" s="3" t="s">
        <v>75</v>
      </c>
      <c r="S182" s="3" t="s">
        <v>142</v>
      </c>
      <c r="T182" s="3" t="s">
        <v>39</v>
      </c>
      <c r="U182" s="3" t="s">
        <v>90</v>
      </c>
      <c r="V182" s="3" t="s">
        <v>220</v>
      </c>
      <c r="W182" s="3">
        <v>2.0</v>
      </c>
      <c r="X182" s="3">
        <v>2.0</v>
      </c>
      <c r="Y182" s="3">
        <v>4.0</v>
      </c>
      <c r="Z182" s="3">
        <v>3.0</v>
      </c>
      <c r="AA182" s="3">
        <v>2.0</v>
      </c>
      <c r="AB182" s="3">
        <v>0.0</v>
      </c>
      <c r="AC182" s="3">
        <v>2.3</v>
      </c>
      <c r="AD182" s="3"/>
      <c r="AE182" s="3" t="s">
        <v>122</v>
      </c>
      <c r="AF182" s="14"/>
      <c r="AG182" s="14"/>
      <c r="AH182" s="14"/>
      <c r="AI182" s="14"/>
      <c r="AJ182" s="14"/>
      <c r="AK182" s="14"/>
      <c r="AL182" s="14"/>
      <c r="AM182" s="14" t="s">
        <v>220</v>
      </c>
      <c r="AN182" s="14" t="s">
        <v>321</v>
      </c>
      <c r="AO182" s="14" t="s">
        <v>84</v>
      </c>
      <c r="AP182" s="14" t="s">
        <v>322</v>
      </c>
      <c r="AQ182" s="14">
        <v>0.0</v>
      </c>
      <c r="AR182" s="14" t="s">
        <v>196</v>
      </c>
    </row>
    <row r="183" ht="15.75" customHeight="1">
      <c r="A183" s="3" t="s">
        <v>39</v>
      </c>
      <c r="B183" s="3" t="s">
        <v>44</v>
      </c>
      <c r="C183" s="3" t="s">
        <v>102</v>
      </c>
      <c r="D183" s="3" t="s">
        <v>286</v>
      </c>
      <c r="E183" s="3" t="s">
        <v>164</v>
      </c>
      <c r="F183" s="3" t="s">
        <v>224</v>
      </c>
      <c r="G183" s="3" t="s">
        <v>69</v>
      </c>
      <c r="H183" s="3" t="s">
        <v>69</v>
      </c>
      <c r="I183" s="19" t="s">
        <v>122</v>
      </c>
      <c r="J183" s="3" t="s">
        <v>71</v>
      </c>
      <c r="K183" s="3">
        <v>3.0</v>
      </c>
      <c r="L183" s="3"/>
      <c r="M183" s="3"/>
      <c r="N183" s="3"/>
      <c r="O183" s="3"/>
      <c r="P183" s="3">
        <v>490.0</v>
      </c>
      <c r="Q183" s="3" t="s">
        <v>74</v>
      </c>
      <c r="R183" s="3" t="s">
        <v>75</v>
      </c>
      <c r="S183" s="3" t="s">
        <v>142</v>
      </c>
      <c r="T183" s="3" t="s">
        <v>39</v>
      </c>
      <c r="U183" s="3" t="s">
        <v>90</v>
      </c>
      <c r="V183" s="3" t="s">
        <v>225</v>
      </c>
      <c r="W183" s="3">
        <v>2.0</v>
      </c>
      <c r="X183" s="3">
        <v>2.0</v>
      </c>
      <c r="Y183" s="3">
        <v>4.0</v>
      </c>
      <c r="Z183" s="3">
        <v>3.0</v>
      </c>
      <c r="AA183" s="3">
        <v>2.0</v>
      </c>
      <c r="AB183" s="3">
        <v>0.0</v>
      </c>
      <c r="AC183" s="3">
        <v>2.3</v>
      </c>
      <c r="AD183" s="3"/>
      <c r="AE183" s="3" t="s">
        <v>122</v>
      </c>
      <c r="AF183" s="14"/>
      <c r="AG183" s="14"/>
      <c r="AH183" s="14"/>
      <c r="AI183" s="14"/>
      <c r="AJ183" s="14"/>
      <c r="AK183" s="14"/>
      <c r="AL183" s="14"/>
      <c r="AM183" s="14" t="s">
        <v>225</v>
      </c>
      <c r="AN183" s="14" t="s">
        <v>321</v>
      </c>
      <c r="AO183" s="14" t="s">
        <v>84</v>
      </c>
      <c r="AP183" s="14" t="s">
        <v>322</v>
      </c>
      <c r="AQ183" s="14">
        <v>0.0</v>
      </c>
      <c r="AR183" s="14" t="s">
        <v>196</v>
      </c>
    </row>
    <row r="184" ht="15.75" customHeight="1">
      <c r="A184" s="3" t="s">
        <v>39</v>
      </c>
      <c r="B184" s="3" t="s">
        <v>44</v>
      </c>
      <c r="C184" s="3" t="s">
        <v>102</v>
      </c>
      <c r="D184" s="3" t="s">
        <v>178</v>
      </c>
      <c r="E184" s="3" t="s">
        <v>150</v>
      </c>
      <c r="F184" s="3" t="s">
        <v>224</v>
      </c>
      <c r="G184" s="3" t="s">
        <v>69</v>
      </c>
      <c r="H184" s="3" t="s">
        <v>69</v>
      </c>
      <c r="I184" s="19" t="s">
        <v>122</v>
      </c>
      <c r="J184" s="3" t="s">
        <v>71</v>
      </c>
      <c r="K184" s="3">
        <v>3.0</v>
      </c>
      <c r="L184" s="3"/>
      <c r="M184" s="3"/>
      <c r="N184" s="3"/>
      <c r="O184" s="3"/>
      <c r="P184" s="3">
        <v>700.0</v>
      </c>
      <c r="Q184" s="3" t="s">
        <v>153</v>
      </c>
      <c r="R184" s="3" t="s">
        <v>75</v>
      </c>
      <c r="S184" s="3" t="s">
        <v>142</v>
      </c>
      <c r="T184" s="3" t="s">
        <v>39</v>
      </c>
      <c r="U184" s="3" t="s">
        <v>90</v>
      </c>
      <c r="V184" s="3" t="s">
        <v>225</v>
      </c>
      <c r="W184" s="3">
        <v>2.0</v>
      </c>
      <c r="X184" s="3">
        <v>1.0</v>
      </c>
      <c r="Y184" s="3">
        <v>4.0</v>
      </c>
      <c r="Z184" s="3">
        <v>3.0</v>
      </c>
      <c r="AA184" s="3">
        <v>2.0</v>
      </c>
      <c r="AB184" s="3">
        <v>0.0</v>
      </c>
      <c r="AC184" s="3">
        <v>2.1</v>
      </c>
      <c r="AD184" s="3"/>
      <c r="AE184" s="3" t="s">
        <v>122</v>
      </c>
      <c r="AF184" s="14"/>
      <c r="AG184" s="14"/>
      <c r="AH184" s="14"/>
      <c r="AI184" s="14"/>
      <c r="AJ184" s="14"/>
      <c r="AK184" s="14"/>
      <c r="AL184" s="14"/>
      <c r="AM184" s="14" t="s">
        <v>225</v>
      </c>
      <c r="AN184" s="14" t="s">
        <v>211</v>
      </c>
      <c r="AO184" s="14" t="s">
        <v>84</v>
      </c>
      <c r="AP184" s="14" t="s">
        <v>212</v>
      </c>
      <c r="AQ184" s="14">
        <v>0.0</v>
      </c>
      <c r="AR184" s="14" t="s">
        <v>196</v>
      </c>
    </row>
    <row r="185" ht="15.75" customHeight="1">
      <c r="A185" s="3" t="s">
        <v>39</v>
      </c>
      <c r="B185" s="3" t="s">
        <v>44</v>
      </c>
      <c r="C185" s="3" t="s">
        <v>102</v>
      </c>
      <c r="D185" s="3" t="s">
        <v>178</v>
      </c>
      <c r="E185" s="3" t="s">
        <v>150</v>
      </c>
      <c r="F185" s="3" t="s">
        <v>402</v>
      </c>
      <c r="G185" s="3" t="s">
        <v>69</v>
      </c>
      <c r="H185" s="3" t="s">
        <v>69</v>
      </c>
      <c r="I185" s="19" t="s">
        <v>122</v>
      </c>
      <c r="J185" s="3" t="s">
        <v>71</v>
      </c>
      <c r="K185" s="3">
        <v>3.0</v>
      </c>
      <c r="L185" s="3"/>
      <c r="M185" s="3"/>
      <c r="N185" s="3"/>
      <c r="O185" s="3"/>
      <c r="P185" s="3">
        <v>700.0</v>
      </c>
      <c r="Q185" s="3" t="s">
        <v>153</v>
      </c>
      <c r="R185" s="3" t="s">
        <v>75</v>
      </c>
      <c r="S185" s="3" t="s">
        <v>142</v>
      </c>
      <c r="T185" s="3" t="s">
        <v>39</v>
      </c>
      <c r="U185" s="3" t="s">
        <v>90</v>
      </c>
      <c r="V185" s="3" t="s">
        <v>403</v>
      </c>
      <c r="W185" s="3">
        <v>2.0</v>
      </c>
      <c r="X185" s="3">
        <v>1.0</v>
      </c>
      <c r="Y185" s="3">
        <v>4.0</v>
      </c>
      <c r="Z185" s="3">
        <v>3.0</v>
      </c>
      <c r="AA185" s="3">
        <v>2.0</v>
      </c>
      <c r="AB185" s="3">
        <v>0.0</v>
      </c>
      <c r="AC185" s="3">
        <v>2.1</v>
      </c>
      <c r="AD185" s="3"/>
      <c r="AE185" s="3" t="s">
        <v>122</v>
      </c>
      <c r="AF185" s="14"/>
      <c r="AG185" s="14"/>
      <c r="AH185" s="14"/>
      <c r="AI185" s="14"/>
      <c r="AJ185" s="14"/>
      <c r="AK185" s="14"/>
      <c r="AL185" s="14"/>
      <c r="AM185" s="14" t="s">
        <v>403</v>
      </c>
      <c r="AN185" s="14" t="s">
        <v>211</v>
      </c>
      <c r="AO185" s="14" t="s">
        <v>84</v>
      </c>
      <c r="AP185" s="14" t="s">
        <v>212</v>
      </c>
      <c r="AQ185" s="14">
        <v>0.0</v>
      </c>
      <c r="AR185" s="14" t="s">
        <v>196</v>
      </c>
    </row>
    <row r="186" ht="15.75" customHeight="1">
      <c r="A186" s="3" t="s">
        <v>39</v>
      </c>
      <c r="B186" s="3" t="s">
        <v>44</v>
      </c>
      <c r="C186" s="3" t="s">
        <v>102</v>
      </c>
      <c r="D186" s="3" t="s">
        <v>293</v>
      </c>
      <c r="E186" s="3" t="s">
        <v>202</v>
      </c>
      <c r="F186" s="3" t="s">
        <v>216</v>
      </c>
      <c r="G186" s="3" t="s">
        <v>69</v>
      </c>
      <c r="H186" s="3" t="s">
        <v>69</v>
      </c>
      <c r="I186" s="19" t="s">
        <v>122</v>
      </c>
      <c r="J186" s="3" t="s">
        <v>71</v>
      </c>
      <c r="K186" s="3">
        <v>0.0</v>
      </c>
      <c r="L186" s="3">
        <v>0.0</v>
      </c>
      <c r="M186" s="3"/>
      <c r="N186" s="3"/>
      <c r="O186" s="3"/>
      <c r="P186" s="3">
        <v>500.0</v>
      </c>
      <c r="Q186" s="3" t="s">
        <v>74</v>
      </c>
      <c r="R186" s="3" t="s">
        <v>75</v>
      </c>
      <c r="S186" s="3" t="s">
        <v>142</v>
      </c>
      <c r="T186" s="3" t="s">
        <v>39</v>
      </c>
      <c r="U186" s="3" t="s">
        <v>232</v>
      </c>
      <c r="V186" s="3" t="s">
        <v>217</v>
      </c>
      <c r="W186" s="3">
        <v>2.0</v>
      </c>
      <c r="X186" s="3">
        <v>2.0</v>
      </c>
      <c r="Y186" s="3">
        <v>4.0</v>
      </c>
      <c r="Z186" s="3">
        <v>3.0</v>
      </c>
      <c r="AA186" s="3">
        <v>2.0</v>
      </c>
      <c r="AB186" s="3">
        <v>0.0</v>
      </c>
      <c r="AC186" s="3">
        <v>2.3</v>
      </c>
      <c r="AD186" s="3">
        <v>0.0</v>
      </c>
      <c r="AE186" s="3" t="s">
        <v>122</v>
      </c>
      <c r="AF186" s="14"/>
      <c r="AG186" s="14"/>
      <c r="AH186" s="14"/>
      <c r="AI186" s="14"/>
      <c r="AJ186" s="14"/>
      <c r="AK186" s="14"/>
      <c r="AL186" s="14"/>
      <c r="AM186" s="14" t="s">
        <v>217</v>
      </c>
      <c r="AN186" s="14" t="s">
        <v>416</v>
      </c>
      <c r="AO186" s="14" t="s">
        <v>84</v>
      </c>
      <c r="AP186" s="14" t="s">
        <v>417</v>
      </c>
      <c r="AQ186" s="14">
        <v>0.0</v>
      </c>
      <c r="AR186" s="14" t="s">
        <v>196</v>
      </c>
    </row>
    <row r="187" ht="15.75" customHeight="1">
      <c r="A187" s="3" t="s">
        <v>39</v>
      </c>
      <c r="B187" s="3" t="s">
        <v>44</v>
      </c>
      <c r="C187" s="3" t="s">
        <v>102</v>
      </c>
      <c r="D187" s="3" t="s">
        <v>296</v>
      </c>
      <c r="E187" s="3" t="s">
        <v>181</v>
      </c>
      <c r="F187" s="3" t="s">
        <v>224</v>
      </c>
      <c r="G187" s="3" t="s">
        <v>69</v>
      </c>
      <c r="H187" s="3" t="s">
        <v>69</v>
      </c>
      <c r="I187" s="19" t="s">
        <v>122</v>
      </c>
      <c r="J187" s="3" t="s">
        <v>71</v>
      </c>
      <c r="K187" s="3">
        <v>3.0</v>
      </c>
      <c r="L187" s="3"/>
      <c r="M187" s="3"/>
      <c r="N187" s="3"/>
      <c r="O187" s="3"/>
      <c r="P187" s="3">
        <v>520.0</v>
      </c>
      <c r="Q187" s="3" t="s">
        <v>74</v>
      </c>
      <c r="R187" s="3" t="s">
        <v>75</v>
      </c>
      <c r="S187" s="3" t="s">
        <v>142</v>
      </c>
      <c r="T187" s="3" t="s">
        <v>39</v>
      </c>
      <c r="U187" s="3" t="s">
        <v>90</v>
      </c>
      <c r="V187" s="3" t="s">
        <v>225</v>
      </c>
      <c r="W187" s="3">
        <v>2.0</v>
      </c>
      <c r="X187" s="3">
        <v>2.0</v>
      </c>
      <c r="Y187" s="3">
        <v>4.0</v>
      </c>
      <c r="Z187" s="3">
        <v>3.0</v>
      </c>
      <c r="AA187" s="3">
        <v>2.0</v>
      </c>
      <c r="AB187" s="3">
        <v>0.0</v>
      </c>
      <c r="AC187" s="3">
        <v>2.3</v>
      </c>
      <c r="AD187" s="3"/>
      <c r="AE187" s="3" t="s">
        <v>122</v>
      </c>
      <c r="AF187" s="14"/>
      <c r="AG187" s="14"/>
      <c r="AH187" s="14"/>
      <c r="AI187" s="14"/>
      <c r="AJ187" s="14"/>
      <c r="AK187" s="14"/>
      <c r="AL187" s="14"/>
      <c r="AM187" s="14" t="s">
        <v>225</v>
      </c>
      <c r="AN187" s="14" t="s">
        <v>333</v>
      </c>
      <c r="AO187" s="14" t="s">
        <v>84</v>
      </c>
      <c r="AP187" s="14" t="s">
        <v>334</v>
      </c>
      <c r="AQ187" s="14">
        <v>0.0</v>
      </c>
      <c r="AR187" s="14" t="s">
        <v>196</v>
      </c>
    </row>
    <row r="188" ht="15.75" customHeight="1">
      <c r="A188" s="3" t="s">
        <v>39</v>
      </c>
      <c r="B188" s="3" t="s">
        <v>44</v>
      </c>
      <c r="C188" s="3" t="s">
        <v>102</v>
      </c>
      <c r="D188" s="3" t="s">
        <v>296</v>
      </c>
      <c r="E188" s="3" t="s">
        <v>181</v>
      </c>
      <c r="F188" s="3" t="s">
        <v>402</v>
      </c>
      <c r="G188" s="3" t="s">
        <v>69</v>
      </c>
      <c r="H188" s="3" t="s">
        <v>69</v>
      </c>
      <c r="I188" s="19" t="s">
        <v>122</v>
      </c>
      <c r="J188" s="3" t="s">
        <v>71</v>
      </c>
      <c r="K188" s="3">
        <v>3.0</v>
      </c>
      <c r="L188" s="3"/>
      <c r="M188" s="3"/>
      <c r="N188" s="3"/>
      <c r="O188" s="3"/>
      <c r="P188" s="3">
        <v>520.0</v>
      </c>
      <c r="Q188" s="3" t="s">
        <v>74</v>
      </c>
      <c r="R188" s="3" t="s">
        <v>75</v>
      </c>
      <c r="S188" s="3" t="s">
        <v>142</v>
      </c>
      <c r="T188" s="3" t="s">
        <v>39</v>
      </c>
      <c r="U188" s="3" t="s">
        <v>90</v>
      </c>
      <c r="V188" s="3" t="s">
        <v>403</v>
      </c>
      <c r="W188" s="3">
        <v>2.0</v>
      </c>
      <c r="X188" s="3">
        <v>2.0</v>
      </c>
      <c r="Y188" s="3">
        <v>4.0</v>
      </c>
      <c r="Z188" s="3">
        <v>3.0</v>
      </c>
      <c r="AA188" s="3">
        <v>2.0</v>
      </c>
      <c r="AB188" s="3">
        <v>0.0</v>
      </c>
      <c r="AC188" s="3">
        <v>2.3</v>
      </c>
      <c r="AD188" s="3"/>
      <c r="AE188" s="3" t="s">
        <v>122</v>
      </c>
      <c r="AF188" s="14"/>
      <c r="AG188" s="14"/>
      <c r="AH188" s="14"/>
      <c r="AI188" s="14"/>
      <c r="AJ188" s="14"/>
      <c r="AK188" s="14"/>
      <c r="AL188" s="14"/>
      <c r="AM188" s="14" t="s">
        <v>403</v>
      </c>
      <c r="AN188" s="14" t="s">
        <v>333</v>
      </c>
      <c r="AO188" s="14" t="s">
        <v>84</v>
      </c>
      <c r="AP188" s="14" t="s">
        <v>334</v>
      </c>
      <c r="AQ188" s="14">
        <v>0.0</v>
      </c>
      <c r="AR188" s="14" t="s">
        <v>196</v>
      </c>
    </row>
    <row r="189" ht="15.75" customHeight="1">
      <c r="A189" s="3" t="s">
        <v>39</v>
      </c>
      <c r="B189" s="3" t="s">
        <v>44</v>
      </c>
      <c r="C189" s="3" t="s">
        <v>102</v>
      </c>
      <c r="D189" s="3" t="s">
        <v>300</v>
      </c>
      <c r="E189" s="3" t="s">
        <v>150</v>
      </c>
      <c r="F189" s="3" t="s">
        <v>367</v>
      </c>
      <c r="G189" s="3" t="s">
        <v>69</v>
      </c>
      <c r="H189" s="3" t="s">
        <v>69</v>
      </c>
      <c r="I189" s="19" t="s">
        <v>122</v>
      </c>
      <c r="J189" s="3" t="s">
        <v>71</v>
      </c>
      <c r="K189" s="3">
        <v>3.0</v>
      </c>
      <c r="L189" s="3"/>
      <c r="M189" s="3"/>
      <c r="N189" s="3"/>
      <c r="O189" s="3"/>
      <c r="P189" s="3">
        <v>700.0</v>
      </c>
      <c r="Q189" s="3" t="s">
        <v>153</v>
      </c>
      <c r="R189" s="3" t="s">
        <v>75</v>
      </c>
      <c r="S189" s="3" t="s">
        <v>142</v>
      </c>
      <c r="T189" s="3" t="s">
        <v>39</v>
      </c>
      <c r="U189" s="3" t="s">
        <v>226</v>
      </c>
      <c r="V189" s="3" t="s">
        <v>368</v>
      </c>
      <c r="W189" s="3">
        <v>2.0</v>
      </c>
      <c r="X189" s="3">
        <v>1.0</v>
      </c>
      <c r="Y189" s="3">
        <v>4.0</v>
      </c>
      <c r="Z189" s="3">
        <v>3.0</v>
      </c>
      <c r="AA189" s="3">
        <v>2.0</v>
      </c>
      <c r="AB189" s="3">
        <v>0.0</v>
      </c>
      <c r="AC189" s="3">
        <v>2.1</v>
      </c>
      <c r="AD189" s="3"/>
      <c r="AE189" s="3" t="s">
        <v>122</v>
      </c>
      <c r="AF189" s="14"/>
      <c r="AG189" s="14"/>
      <c r="AH189" s="14"/>
      <c r="AI189" s="14"/>
      <c r="AJ189" s="14"/>
      <c r="AK189" s="14"/>
      <c r="AL189" s="14"/>
      <c r="AM189" s="14" t="s">
        <v>368</v>
      </c>
      <c r="AN189" s="14" t="s">
        <v>421</v>
      </c>
      <c r="AO189" s="14" t="s">
        <v>84</v>
      </c>
      <c r="AP189" s="14" t="s">
        <v>422</v>
      </c>
      <c r="AQ189" s="14">
        <v>0.0</v>
      </c>
      <c r="AR189" s="14" t="s">
        <v>196</v>
      </c>
    </row>
    <row r="190" ht="15.75" customHeight="1">
      <c r="A190" s="3" t="s">
        <v>39</v>
      </c>
      <c r="B190" s="3" t="s">
        <v>44</v>
      </c>
      <c r="C190" s="3" t="s">
        <v>102</v>
      </c>
      <c r="D190" s="3" t="s">
        <v>182</v>
      </c>
      <c r="E190" s="3" t="s">
        <v>138</v>
      </c>
      <c r="F190" s="3" t="s">
        <v>219</v>
      </c>
      <c r="G190" s="3" t="s">
        <v>69</v>
      </c>
      <c r="H190" s="3" t="s">
        <v>69</v>
      </c>
      <c r="I190" s="19" t="s">
        <v>122</v>
      </c>
      <c r="J190" s="3" t="s">
        <v>71</v>
      </c>
      <c r="K190" s="3">
        <v>3.0</v>
      </c>
      <c r="L190" s="3"/>
      <c r="M190" s="3"/>
      <c r="N190" s="3"/>
      <c r="O190" s="3"/>
      <c r="P190" s="3">
        <v>300.0</v>
      </c>
      <c r="Q190" s="3" t="s">
        <v>140</v>
      </c>
      <c r="R190" s="3" t="s">
        <v>75</v>
      </c>
      <c r="S190" s="3" t="s">
        <v>142</v>
      </c>
      <c r="T190" s="3" t="s">
        <v>39</v>
      </c>
      <c r="U190" s="3" t="s">
        <v>90</v>
      </c>
      <c r="V190" s="3" t="s">
        <v>220</v>
      </c>
      <c r="W190" s="3">
        <v>2.0</v>
      </c>
      <c r="X190" s="3">
        <v>4.0</v>
      </c>
      <c r="Y190" s="3">
        <v>4.0</v>
      </c>
      <c r="Z190" s="3">
        <v>3.0</v>
      </c>
      <c r="AA190" s="3">
        <v>2.0</v>
      </c>
      <c r="AB190" s="3">
        <v>0.0</v>
      </c>
      <c r="AC190" s="3">
        <v>2.6</v>
      </c>
      <c r="AD190" s="3"/>
      <c r="AE190" s="3" t="s">
        <v>122</v>
      </c>
      <c r="AF190" s="14"/>
      <c r="AG190" s="14"/>
      <c r="AH190" s="14"/>
      <c r="AI190" s="14"/>
      <c r="AJ190" s="14"/>
      <c r="AK190" s="14"/>
      <c r="AL190" s="14"/>
      <c r="AM190" s="14" t="s">
        <v>220</v>
      </c>
      <c r="AN190" s="14" t="s">
        <v>214</v>
      </c>
      <c r="AO190" s="14" t="s">
        <v>84</v>
      </c>
      <c r="AP190" s="14" t="s">
        <v>215</v>
      </c>
      <c r="AQ190" s="14">
        <v>0.0</v>
      </c>
      <c r="AR190" s="14" t="s">
        <v>196</v>
      </c>
    </row>
    <row r="191" ht="15.75" customHeight="1">
      <c r="A191" s="3" t="s">
        <v>39</v>
      </c>
      <c r="B191" s="3" t="s">
        <v>44</v>
      </c>
      <c r="C191" s="3" t="s">
        <v>102</v>
      </c>
      <c r="D191" s="3" t="s">
        <v>184</v>
      </c>
      <c r="E191" s="3" t="s">
        <v>186</v>
      </c>
      <c r="F191" s="3" t="s">
        <v>224</v>
      </c>
      <c r="G191" s="3" t="s">
        <v>69</v>
      </c>
      <c r="H191" s="3" t="s">
        <v>69</v>
      </c>
      <c r="I191" s="19" t="s">
        <v>122</v>
      </c>
      <c r="J191" s="3" t="s">
        <v>71</v>
      </c>
      <c r="K191" s="3">
        <v>3.0</v>
      </c>
      <c r="L191" s="3"/>
      <c r="M191" s="3"/>
      <c r="N191" s="3"/>
      <c r="O191" s="3"/>
      <c r="P191" s="3">
        <v>360.0</v>
      </c>
      <c r="Q191" s="3" t="s">
        <v>140</v>
      </c>
      <c r="R191" s="3" t="s">
        <v>75</v>
      </c>
      <c r="S191" s="3" t="s">
        <v>142</v>
      </c>
      <c r="T191" s="3" t="s">
        <v>39</v>
      </c>
      <c r="U191" s="3" t="s">
        <v>90</v>
      </c>
      <c r="V191" s="3" t="s">
        <v>225</v>
      </c>
      <c r="W191" s="3">
        <v>2.0</v>
      </c>
      <c r="X191" s="3">
        <v>3.0</v>
      </c>
      <c r="Y191" s="3">
        <v>4.0</v>
      </c>
      <c r="Z191" s="3">
        <v>3.0</v>
      </c>
      <c r="AA191" s="3">
        <v>2.0</v>
      </c>
      <c r="AB191" s="3">
        <v>0.0</v>
      </c>
      <c r="AC191" s="3">
        <v>2.5</v>
      </c>
      <c r="AD191" s="3"/>
      <c r="AE191" s="3" t="s">
        <v>122</v>
      </c>
      <c r="AF191" s="14"/>
      <c r="AG191" s="14"/>
      <c r="AH191" s="14"/>
      <c r="AI191" s="14"/>
      <c r="AJ191" s="14"/>
      <c r="AK191" s="14"/>
      <c r="AL191" s="14"/>
      <c r="AM191" s="14" t="s">
        <v>225</v>
      </c>
      <c r="AN191" s="14" t="s">
        <v>221</v>
      </c>
      <c r="AO191" s="14" t="s">
        <v>84</v>
      </c>
      <c r="AP191" s="14" t="s">
        <v>222</v>
      </c>
      <c r="AQ191" s="14">
        <v>0.0</v>
      </c>
      <c r="AR191" s="14" t="s">
        <v>196</v>
      </c>
    </row>
    <row r="192" ht="15.75" customHeight="1">
      <c r="A192" s="3" t="s">
        <v>39</v>
      </c>
      <c r="B192" s="3" t="s">
        <v>44</v>
      </c>
      <c r="C192" s="3" t="s">
        <v>102</v>
      </c>
      <c r="D192" s="3" t="s">
        <v>480</v>
      </c>
      <c r="E192" s="3" t="s">
        <v>164</v>
      </c>
      <c r="F192" s="3" t="s">
        <v>219</v>
      </c>
      <c r="G192" s="3" t="s">
        <v>69</v>
      </c>
      <c r="H192" s="3" t="s">
        <v>69</v>
      </c>
      <c r="I192" s="19" t="s">
        <v>122</v>
      </c>
      <c r="J192" s="3" t="s">
        <v>71</v>
      </c>
      <c r="K192" s="3">
        <v>3.0</v>
      </c>
      <c r="L192" s="3"/>
      <c r="M192" s="3"/>
      <c r="N192" s="3"/>
      <c r="O192" s="3"/>
      <c r="P192" s="3">
        <v>490.0</v>
      </c>
      <c r="Q192" s="3" t="s">
        <v>74</v>
      </c>
      <c r="R192" s="3" t="s">
        <v>75</v>
      </c>
      <c r="S192" s="3" t="s">
        <v>142</v>
      </c>
      <c r="T192" s="3" t="s">
        <v>39</v>
      </c>
      <c r="U192" s="3" t="s">
        <v>90</v>
      </c>
      <c r="V192" s="3" t="s">
        <v>220</v>
      </c>
      <c r="W192" s="3">
        <v>2.0</v>
      </c>
      <c r="X192" s="3">
        <v>2.0</v>
      </c>
      <c r="Y192" s="3">
        <v>4.0</v>
      </c>
      <c r="Z192" s="3">
        <v>3.0</v>
      </c>
      <c r="AA192" s="3">
        <v>2.0</v>
      </c>
      <c r="AB192" s="3">
        <v>0.0</v>
      </c>
      <c r="AC192" s="3">
        <v>2.3</v>
      </c>
      <c r="AD192" s="3"/>
      <c r="AE192" s="3" t="s">
        <v>122</v>
      </c>
      <c r="AF192" s="14"/>
      <c r="AG192" s="14"/>
      <c r="AH192" s="14"/>
      <c r="AI192" s="14"/>
      <c r="AJ192" s="14"/>
      <c r="AK192" s="14"/>
      <c r="AL192" s="14"/>
      <c r="AM192" s="14" t="s">
        <v>220</v>
      </c>
      <c r="AN192" s="14" t="s">
        <v>577</v>
      </c>
      <c r="AO192" s="14" t="s">
        <v>84</v>
      </c>
      <c r="AP192" s="14" t="s">
        <v>578</v>
      </c>
      <c r="AQ192" s="14">
        <v>0.0</v>
      </c>
      <c r="AR192" s="14" t="s">
        <v>196</v>
      </c>
    </row>
    <row r="193" ht="15.75" customHeight="1">
      <c r="A193" s="3" t="s">
        <v>39</v>
      </c>
      <c r="B193" s="3" t="s">
        <v>44</v>
      </c>
      <c r="C193" s="3" t="s">
        <v>102</v>
      </c>
      <c r="D193" s="3" t="s">
        <v>301</v>
      </c>
      <c r="E193" s="3" t="s">
        <v>164</v>
      </c>
      <c r="F193" s="3" t="s">
        <v>219</v>
      </c>
      <c r="G193" s="3" t="s">
        <v>69</v>
      </c>
      <c r="H193" s="3" t="s">
        <v>69</v>
      </c>
      <c r="I193" s="19" t="s">
        <v>122</v>
      </c>
      <c r="J193" s="3" t="s">
        <v>71</v>
      </c>
      <c r="K193" s="3">
        <v>3.0</v>
      </c>
      <c r="L193" s="3"/>
      <c r="M193" s="3"/>
      <c r="N193" s="3"/>
      <c r="O193" s="3"/>
      <c r="P193" s="3">
        <v>490.0</v>
      </c>
      <c r="Q193" s="3" t="s">
        <v>74</v>
      </c>
      <c r="R193" s="3" t="s">
        <v>75</v>
      </c>
      <c r="S193" s="3" t="s">
        <v>142</v>
      </c>
      <c r="T193" s="3" t="s">
        <v>39</v>
      </c>
      <c r="U193" s="3" t="s">
        <v>90</v>
      </c>
      <c r="V193" s="3" t="s">
        <v>220</v>
      </c>
      <c r="W193" s="3">
        <v>2.0</v>
      </c>
      <c r="X193" s="3">
        <v>2.0</v>
      </c>
      <c r="Y193" s="3">
        <v>4.0</v>
      </c>
      <c r="Z193" s="3">
        <v>3.0</v>
      </c>
      <c r="AA193" s="3">
        <v>2.0</v>
      </c>
      <c r="AB193" s="3">
        <v>0.0</v>
      </c>
      <c r="AC193" s="3">
        <v>2.3</v>
      </c>
      <c r="AD193" s="3"/>
      <c r="AE193" s="3" t="s">
        <v>122</v>
      </c>
      <c r="AF193" s="14"/>
      <c r="AG193" s="14"/>
      <c r="AH193" s="14"/>
      <c r="AI193" s="14"/>
      <c r="AJ193" s="14"/>
      <c r="AK193" s="14"/>
      <c r="AL193" s="14"/>
      <c r="AM193" s="14" t="s">
        <v>220</v>
      </c>
      <c r="AN193" s="14" t="s">
        <v>341</v>
      </c>
      <c r="AO193" s="14" t="s">
        <v>84</v>
      </c>
      <c r="AP193" s="14" t="s">
        <v>342</v>
      </c>
      <c r="AQ193" s="14">
        <v>0.0</v>
      </c>
      <c r="AR193" s="14" t="s">
        <v>196</v>
      </c>
    </row>
    <row r="194" ht="15.75" customHeight="1">
      <c r="A194" s="3" t="s">
        <v>39</v>
      </c>
      <c r="B194" s="3" t="s">
        <v>44</v>
      </c>
      <c r="C194" s="3" t="s">
        <v>102</v>
      </c>
      <c r="D194" s="3" t="s">
        <v>302</v>
      </c>
      <c r="E194" s="3" t="s">
        <v>164</v>
      </c>
      <c r="F194" s="3" t="s">
        <v>219</v>
      </c>
      <c r="G194" s="3" t="s">
        <v>69</v>
      </c>
      <c r="H194" s="3" t="s">
        <v>69</v>
      </c>
      <c r="I194" s="19" t="s">
        <v>122</v>
      </c>
      <c r="J194" s="3" t="s">
        <v>71</v>
      </c>
      <c r="K194" s="3">
        <v>3.0</v>
      </c>
      <c r="L194" s="3"/>
      <c r="M194" s="3"/>
      <c r="N194" s="3"/>
      <c r="O194" s="3"/>
      <c r="P194" s="3">
        <v>490.0</v>
      </c>
      <c r="Q194" s="3" t="s">
        <v>74</v>
      </c>
      <c r="R194" s="3" t="s">
        <v>75</v>
      </c>
      <c r="S194" s="3" t="s">
        <v>142</v>
      </c>
      <c r="T194" s="3" t="s">
        <v>39</v>
      </c>
      <c r="U194" s="3" t="s">
        <v>90</v>
      </c>
      <c r="V194" s="3" t="s">
        <v>220</v>
      </c>
      <c r="W194" s="3">
        <v>2.0</v>
      </c>
      <c r="X194" s="3">
        <v>2.0</v>
      </c>
      <c r="Y194" s="3">
        <v>4.0</v>
      </c>
      <c r="Z194" s="3">
        <v>3.0</v>
      </c>
      <c r="AA194" s="3">
        <v>2.0</v>
      </c>
      <c r="AB194" s="3">
        <v>0.0</v>
      </c>
      <c r="AC194" s="3">
        <v>2.3</v>
      </c>
      <c r="AD194" s="3"/>
      <c r="AE194" s="3" t="s">
        <v>122</v>
      </c>
      <c r="AF194" s="14"/>
      <c r="AG194" s="14"/>
      <c r="AH194" s="14"/>
      <c r="AI194" s="14"/>
      <c r="AJ194" s="14"/>
      <c r="AK194" s="14"/>
      <c r="AL194" s="14"/>
      <c r="AM194" s="14" t="s">
        <v>220</v>
      </c>
      <c r="AN194" s="14" t="s">
        <v>345</v>
      </c>
      <c r="AO194" s="14" t="s">
        <v>84</v>
      </c>
      <c r="AP194" s="14" t="s">
        <v>346</v>
      </c>
      <c r="AQ194" s="14">
        <v>0.0</v>
      </c>
      <c r="AR194" s="14" t="s">
        <v>196</v>
      </c>
    </row>
    <row r="195" ht="15.75" customHeight="1">
      <c r="A195" s="3" t="s">
        <v>39</v>
      </c>
      <c r="B195" s="3" t="s">
        <v>44</v>
      </c>
      <c r="C195" s="3" t="s">
        <v>102</v>
      </c>
      <c r="D195" s="3" t="s">
        <v>187</v>
      </c>
      <c r="E195" s="3" t="s">
        <v>150</v>
      </c>
      <c r="F195" s="3" t="s">
        <v>224</v>
      </c>
      <c r="G195" s="3" t="s">
        <v>69</v>
      </c>
      <c r="H195" s="3" t="s">
        <v>69</v>
      </c>
      <c r="I195" s="19" t="s">
        <v>122</v>
      </c>
      <c r="J195" s="3" t="s">
        <v>71</v>
      </c>
      <c r="K195" s="3">
        <v>3.0</v>
      </c>
      <c r="L195" s="3"/>
      <c r="M195" s="3"/>
      <c r="N195" s="3"/>
      <c r="O195" s="3"/>
      <c r="P195" s="3">
        <v>700.0</v>
      </c>
      <c r="Q195" s="3" t="s">
        <v>153</v>
      </c>
      <c r="R195" s="3" t="s">
        <v>75</v>
      </c>
      <c r="S195" s="3" t="s">
        <v>142</v>
      </c>
      <c r="T195" s="3" t="s">
        <v>39</v>
      </c>
      <c r="U195" s="3" t="s">
        <v>90</v>
      </c>
      <c r="V195" s="3" t="s">
        <v>225</v>
      </c>
      <c r="W195" s="3">
        <v>2.0</v>
      </c>
      <c r="X195" s="3">
        <v>1.0</v>
      </c>
      <c r="Y195" s="3">
        <v>4.0</v>
      </c>
      <c r="Z195" s="3">
        <v>3.0</v>
      </c>
      <c r="AA195" s="3">
        <v>2.0</v>
      </c>
      <c r="AB195" s="3">
        <v>0.0</v>
      </c>
      <c r="AC195" s="3">
        <v>2.1</v>
      </c>
      <c r="AD195" s="3"/>
      <c r="AE195" s="3" t="s">
        <v>122</v>
      </c>
      <c r="AF195" s="14"/>
      <c r="AG195" s="14"/>
      <c r="AH195" s="14"/>
      <c r="AI195" s="14"/>
      <c r="AJ195" s="14"/>
      <c r="AK195" s="14"/>
      <c r="AL195" s="14"/>
      <c r="AM195" s="14" t="s">
        <v>225</v>
      </c>
      <c r="AN195" s="14" t="s">
        <v>227</v>
      </c>
      <c r="AO195" s="14" t="s">
        <v>84</v>
      </c>
      <c r="AP195" s="14" t="s">
        <v>229</v>
      </c>
      <c r="AQ195" s="14">
        <v>0.0</v>
      </c>
      <c r="AR195" s="14" t="s">
        <v>196</v>
      </c>
    </row>
    <row r="196" ht="15.75" customHeight="1">
      <c r="A196" s="3" t="s">
        <v>39</v>
      </c>
      <c r="B196" s="3" t="s">
        <v>44</v>
      </c>
      <c r="C196" s="3" t="s">
        <v>102</v>
      </c>
      <c r="D196" s="3" t="s">
        <v>485</v>
      </c>
      <c r="E196" s="3" t="s">
        <v>181</v>
      </c>
      <c r="F196" s="3" t="s">
        <v>219</v>
      </c>
      <c r="G196" s="3" t="s">
        <v>69</v>
      </c>
      <c r="H196" s="3" t="s">
        <v>69</v>
      </c>
      <c r="I196" s="19" t="s">
        <v>122</v>
      </c>
      <c r="J196" s="3" t="s">
        <v>71</v>
      </c>
      <c r="K196" s="3">
        <v>3.0</v>
      </c>
      <c r="L196" s="3"/>
      <c r="M196" s="3"/>
      <c r="N196" s="3"/>
      <c r="O196" s="3"/>
      <c r="P196" s="3">
        <v>520.0</v>
      </c>
      <c r="Q196" s="3" t="s">
        <v>74</v>
      </c>
      <c r="R196" s="3" t="s">
        <v>75</v>
      </c>
      <c r="S196" s="3" t="s">
        <v>142</v>
      </c>
      <c r="T196" s="3" t="s">
        <v>39</v>
      </c>
      <c r="U196" s="3" t="s">
        <v>90</v>
      </c>
      <c r="V196" s="3" t="s">
        <v>220</v>
      </c>
      <c r="W196" s="3">
        <v>2.0</v>
      </c>
      <c r="X196" s="3">
        <v>2.0</v>
      </c>
      <c r="Y196" s="3">
        <v>4.0</v>
      </c>
      <c r="Z196" s="3">
        <v>3.0</v>
      </c>
      <c r="AA196" s="3">
        <v>2.0</v>
      </c>
      <c r="AB196" s="3">
        <v>0.0</v>
      </c>
      <c r="AC196" s="3">
        <v>2.3</v>
      </c>
      <c r="AD196" s="3"/>
      <c r="AE196" s="3" t="s">
        <v>122</v>
      </c>
      <c r="AF196" s="14"/>
      <c r="AG196" s="14"/>
      <c r="AH196" s="14"/>
      <c r="AI196" s="14"/>
      <c r="AJ196" s="14"/>
      <c r="AK196" s="14"/>
      <c r="AL196" s="14"/>
      <c r="AM196" s="14" t="s">
        <v>220</v>
      </c>
      <c r="AN196" s="14" t="s">
        <v>584</v>
      </c>
      <c r="AO196" s="14" t="s">
        <v>84</v>
      </c>
      <c r="AP196" s="14" t="s">
        <v>585</v>
      </c>
      <c r="AQ196" s="14">
        <v>0.0</v>
      </c>
      <c r="AR196" s="14" t="s">
        <v>196</v>
      </c>
    </row>
    <row r="197" ht="15.75" customHeight="1">
      <c r="A197" s="3" t="s">
        <v>39</v>
      </c>
      <c r="B197" s="3" t="s">
        <v>44</v>
      </c>
      <c r="C197" s="3" t="s">
        <v>102</v>
      </c>
      <c r="D197" s="3" t="s">
        <v>488</v>
      </c>
      <c r="E197" s="3" t="s">
        <v>150</v>
      </c>
      <c r="F197" s="3" t="s">
        <v>367</v>
      </c>
      <c r="G197" s="3" t="s">
        <v>69</v>
      </c>
      <c r="H197" s="3" t="s">
        <v>69</v>
      </c>
      <c r="I197" s="19" t="s">
        <v>122</v>
      </c>
      <c r="J197" s="3" t="s">
        <v>71</v>
      </c>
      <c r="K197" s="3">
        <v>3.0</v>
      </c>
      <c r="L197" s="3"/>
      <c r="M197" s="3"/>
      <c r="N197" s="3"/>
      <c r="O197" s="3"/>
      <c r="P197" s="3">
        <v>700.0</v>
      </c>
      <c r="Q197" s="3" t="s">
        <v>153</v>
      </c>
      <c r="R197" s="3" t="s">
        <v>75</v>
      </c>
      <c r="S197" s="3" t="s">
        <v>142</v>
      </c>
      <c r="T197" s="3" t="s">
        <v>39</v>
      </c>
      <c r="U197" s="3" t="s">
        <v>226</v>
      </c>
      <c r="V197" s="3" t="s">
        <v>368</v>
      </c>
      <c r="W197" s="3">
        <v>2.0</v>
      </c>
      <c r="X197" s="3">
        <v>1.0</v>
      </c>
      <c r="Y197" s="3">
        <v>4.0</v>
      </c>
      <c r="Z197" s="3">
        <v>3.0</v>
      </c>
      <c r="AA197" s="3">
        <v>2.0</v>
      </c>
      <c r="AB197" s="3">
        <v>0.0</v>
      </c>
      <c r="AC197" s="3">
        <v>2.1</v>
      </c>
      <c r="AD197" s="3"/>
      <c r="AE197" s="3" t="s">
        <v>122</v>
      </c>
      <c r="AF197" s="14"/>
      <c r="AG197" s="14"/>
      <c r="AH197" s="14"/>
      <c r="AI197" s="14"/>
      <c r="AJ197" s="14"/>
      <c r="AK197" s="14"/>
      <c r="AL197" s="14"/>
      <c r="AM197" s="14" t="s">
        <v>368</v>
      </c>
      <c r="AN197" s="14" t="s">
        <v>586</v>
      </c>
      <c r="AO197" s="14" t="s">
        <v>84</v>
      </c>
      <c r="AP197" s="14" t="s">
        <v>587</v>
      </c>
      <c r="AQ197" s="14">
        <v>0.0</v>
      </c>
      <c r="AR197" s="14" t="s">
        <v>196</v>
      </c>
    </row>
    <row r="198" ht="15.75" customHeight="1">
      <c r="A198" s="3" t="s">
        <v>39</v>
      </c>
      <c r="B198" s="3" t="s">
        <v>44</v>
      </c>
      <c r="C198" s="3" t="s">
        <v>102</v>
      </c>
      <c r="D198" s="3" t="s">
        <v>491</v>
      </c>
      <c r="E198" s="3" t="s">
        <v>181</v>
      </c>
      <c r="F198" s="3" t="s">
        <v>224</v>
      </c>
      <c r="G198" s="3" t="s">
        <v>69</v>
      </c>
      <c r="H198" s="3" t="s">
        <v>69</v>
      </c>
      <c r="I198" s="19" t="s">
        <v>122</v>
      </c>
      <c r="J198" s="3" t="s">
        <v>71</v>
      </c>
      <c r="K198" s="3">
        <v>3.0</v>
      </c>
      <c r="L198" s="3"/>
      <c r="M198" s="3"/>
      <c r="N198" s="3"/>
      <c r="O198" s="3"/>
      <c r="P198" s="3">
        <v>520.0</v>
      </c>
      <c r="Q198" s="3" t="s">
        <v>74</v>
      </c>
      <c r="R198" s="3" t="s">
        <v>75</v>
      </c>
      <c r="S198" s="3" t="s">
        <v>142</v>
      </c>
      <c r="T198" s="3" t="s">
        <v>39</v>
      </c>
      <c r="U198" s="3" t="s">
        <v>90</v>
      </c>
      <c r="V198" s="3" t="s">
        <v>225</v>
      </c>
      <c r="W198" s="3">
        <v>2.0</v>
      </c>
      <c r="X198" s="3">
        <v>2.0</v>
      </c>
      <c r="Y198" s="3">
        <v>4.0</v>
      </c>
      <c r="Z198" s="3">
        <v>3.0</v>
      </c>
      <c r="AA198" s="3">
        <v>2.0</v>
      </c>
      <c r="AB198" s="3">
        <v>0.0</v>
      </c>
      <c r="AC198" s="3">
        <v>2.3</v>
      </c>
      <c r="AD198" s="3"/>
      <c r="AE198" s="3" t="s">
        <v>122</v>
      </c>
      <c r="AF198" s="14"/>
      <c r="AG198" s="14"/>
      <c r="AH198" s="14"/>
      <c r="AI198" s="14"/>
      <c r="AJ198" s="14"/>
      <c r="AK198" s="14"/>
      <c r="AL198" s="14"/>
      <c r="AM198" s="14" t="s">
        <v>225</v>
      </c>
      <c r="AN198" s="14" t="s">
        <v>516</v>
      </c>
      <c r="AO198" s="14" t="s">
        <v>84</v>
      </c>
      <c r="AP198" s="14" t="s">
        <v>517</v>
      </c>
      <c r="AQ198" s="14">
        <v>0.0</v>
      </c>
      <c r="AR198" s="14" t="s">
        <v>196</v>
      </c>
    </row>
    <row r="199" ht="15.75" customHeight="1">
      <c r="A199" s="3" t="s">
        <v>39</v>
      </c>
      <c r="B199" s="3" t="s">
        <v>44</v>
      </c>
      <c r="C199" s="3" t="s">
        <v>102</v>
      </c>
      <c r="D199" s="3" t="s">
        <v>491</v>
      </c>
      <c r="E199" s="3" t="s">
        <v>181</v>
      </c>
      <c r="F199" s="3" t="s">
        <v>402</v>
      </c>
      <c r="G199" s="3" t="s">
        <v>69</v>
      </c>
      <c r="H199" s="3" t="s">
        <v>69</v>
      </c>
      <c r="I199" s="19" t="s">
        <v>122</v>
      </c>
      <c r="J199" s="3" t="s">
        <v>71</v>
      </c>
      <c r="K199" s="3">
        <v>3.0</v>
      </c>
      <c r="L199" s="3"/>
      <c r="M199" s="3"/>
      <c r="N199" s="3"/>
      <c r="O199" s="3"/>
      <c r="P199" s="3">
        <v>520.0</v>
      </c>
      <c r="Q199" s="3" t="s">
        <v>74</v>
      </c>
      <c r="R199" s="3" t="s">
        <v>75</v>
      </c>
      <c r="S199" s="3" t="s">
        <v>142</v>
      </c>
      <c r="T199" s="3" t="s">
        <v>39</v>
      </c>
      <c r="U199" s="3" t="s">
        <v>90</v>
      </c>
      <c r="V199" s="3" t="s">
        <v>403</v>
      </c>
      <c r="W199" s="3">
        <v>2.0</v>
      </c>
      <c r="X199" s="3">
        <v>2.0</v>
      </c>
      <c r="Y199" s="3">
        <v>4.0</v>
      </c>
      <c r="Z199" s="3">
        <v>3.0</v>
      </c>
      <c r="AA199" s="3">
        <v>2.0</v>
      </c>
      <c r="AB199" s="3">
        <v>0.0</v>
      </c>
      <c r="AC199" s="3">
        <v>2.3</v>
      </c>
      <c r="AD199" s="3"/>
      <c r="AE199" s="3" t="s">
        <v>122</v>
      </c>
      <c r="AF199" s="14"/>
      <c r="AG199" s="14"/>
      <c r="AH199" s="14"/>
      <c r="AI199" s="14"/>
      <c r="AJ199" s="14"/>
      <c r="AK199" s="14"/>
      <c r="AL199" s="14"/>
      <c r="AM199" s="14" t="s">
        <v>403</v>
      </c>
      <c r="AN199" s="14" t="s">
        <v>516</v>
      </c>
      <c r="AO199" s="14" t="s">
        <v>84</v>
      </c>
      <c r="AP199" s="14" t="s">
        <v>517</v>
      </c>
      <c r="AQ199" s="14">
        <v>0.0</v>
      </c>
      <c r="AR199" s="14" t="s">
        <v>196</v>
      </c>
    </row>
    <row r="200" ht="15.75" customHeight="1">
      <c r="A200" s="3" t="s">
        <v>39</v>
      </c>
      <c r="B200" s="3" t="s">
        <v>44</v>
      </c>
      <c r="C200" s="3" t="s">
        <v>102</v>
      </c>
      <c r="D200" s="3" t="s">
        <v>89</v>
      </c>
      <c r="E200" s="3" t="s">
        <v>106</v>
      </c>
      <c r="F200" s="3" t="s">
        <v>224</v>
      </c>
      <c r="G200" s="3" t="s">
        <v>69</v>
      </c>
      <c r="H200" s="3" t="s">
        <v>69</v>
      </c>
      <c r="I200" s="19" t="s">
        <v>122</v>
      </c>
      <c r="J200" s="3" t="s">
        <v>71</v>
      </c>
      <c r="K200" s="3">
        <v>3.0</v>
      </c>
      <c r="L200" s="3"/>
      <c r="M200" s="3"/>
      <c r="N200" s="3"/>
      <c r="O200" s="3"/>
      <c r="P200" s="3">
        <v>130.0</v>
      </c>
      <c r="Q200" s="3" t="s">
        <v>121</v>
      </c>
      <c r="R200" s="3" t="s">
        <v>75</v>
      </c>
      <c r="S200" s="3" t="s">
        <v>76</v>
      </c>
      <c r="T200" s="3" t="s">
        <v>39</v>
      </c>
      <c r="U200" s="3" t="s">
        <v>90</v>
      </c>
      <c r="V200" s="3" t="s">
        <v>225</v>
      </c>
      <c r="W200" s="3">
        <v>2.0</v>
      </c>
      <c r="X200" s="3">
        <v>5.0</v>
      </c>
      <c r="Y200" s="3">
        <v>4.0</v>
      </c>
      <c r="Z200" s="3">
        <v>3.0</v>
      </c>
      <c r="AA200" s="3">
        <v>4.0</v>
      </c>
      <c r="AB200" s="3">
        <v>0.0</v>
      </c>
      <c r="AC200" s="3">
        <v>2.9</v>
      </c>
      <c r="AD200" s="3"/>
      <c r="AE200" s="3" t="s">
        <v>122</v>
      </c>
      <c r="AF200" s="14"/>
      <c r="AG200" s="14"/>
      <c r="AH200" s="14"/>
      <c r="AI200" s="14"/>
      <c r="AJ200" s="14"/>
      <c r="AK200" s="14"/>
      <c r="AL200" s="14"/>
      <c r="AM200" s="14" t="s">
        <v>225</v>
      </c>
      <c r="AN200" s="14" t="s">
        <v>127</v>
      </c>
      <c r="AO200" s="14" t="s">
        <v>84</v>
      </c>
      <c r="AP200" s="14" t="s">
        <v>128</v>
      </c>
      <c r="AQ200" s="14">
        <v>0.0</v>
      </c>
      <c r="AR200" s="14" t="s">
        <v>196</v>
      </c>
    </row>
    <row r="201" ht="15.75" customHeight="1">
      <c r="A201" s="14" t="s">
        <v>39</v>
      </c>
      <c r="B201" s="14" t="s">
        <v>44</v>
      </c>
      <c r="C201" s="14" t="s">
        <v>102</v>
      </c>
      <c r="D201" s="14" t="s">
        <v>315</v>
      </c>
      <c r="E201" s="14" t="s">
        <v>240</v>
      </c>
      <c r="F201" s="14" t="s">
        <v>224</v>
      </c>
      <c r="G201" s="14" t="s">
        <v>69</v>
      </c>
      <c r="H201" s="14" t="s">
        <v>69</v>
      </c>
      <c r="I201" s="15" t="s">
        <v>122</v>
      </c>
      <c r="J201" s="14" t="s">
        <v>71</v>
      </c>
      <c r="K201" s="14">
        <v>3.0</v>
      </c>
      <c r="L201" s="14"/>
      <c r="M201" s="14"/>
      <c r="N201" s="14"/>
      <c r="O201" s="14"/>
      <c r="P201" s="14">
        <v>610.0</v>
      </c>
      <c r="Q201" s="14" t="s">
        <v>153</v>
      </c>
      <c r="R201" s="14" t="s">
        <v>75</v>
      </c>
      <c r="S201" s="14" t="s">
        <v>142</v>
      </c>
      <c r="T201" s="14" t="s">
        <v>39</v>
      </c>
      <c r="U201" s="14" t="s">
        <v>90</v>
      </c>
      <c r="V201" s="14" t="s">
        <v>225</v>
      </c>
      <c r="W201" s="14">
        <v>2.0</v>
      </c>
      <c r="X201" s="14">
        <v>1.0</v>
      </c>
      <c r="Y201" s="14">
        <v>4.0</v>
      </c>
      <c r="Z201" s="14">
        <v>3.0</v>
      </c>
      <c r="AA201" s="14">
        <v>2.0</v>
      </c>
      <c r="AB201" s="14">
        <v>0.0</v>
      </c>
      <c r="AC201" s="14">
        <v>2.1</v>
      </c>
      <c r="AD201" s="14"/>
      <c r="AE201" s="14" t="s">
        <v>122</v>
      </c>
      <c r="AF201" s="14"/>
      <c r="AG201" s="14"/>
      <c r="AH201" s="14"/>
      <c r="AI201" s="14"/>
      <c r="AJ201" s="14"/>
      <c r="AK201" s="14"/>
      <c r="AL201" s="14"/>
      <c r="AM201" s="14" t="s">
        <v>225</v>
      </c>
      <c r="AN201" s="14" t="s">
        <v>356</v>
      </c>
      <c r="AO201" s="14" t="s">
        <v>84</v>
      </c>
      <c r="AP201" s="14" t="s">
        <v>357</v>
      </c>
      <c r="AQ201" s="14">
        <v>0.0</v>
      </c>
      <c r="AR201" s="14" t="s">
        <v>196</v>
      </c>
    </row>
    <row r="202" ht="15.75" customHeight="1">
      <c r="A202" s="14" t="s">
        <v>39</v>
      </c>
      <c r="B202" s="14" t="s">
        <v>44</v>
      </c>
      <c r="C202" s="14" t="s">
        <v>102</v>
      </c>
      <c r="D202" s="14" t="s">
        <v>494</v>
      </c>
      <c r="E202" s="14" t="s">
        <v>271</v>
      </c>
      <c r="F202" s="14" t="s">
        <v>538</v>
      </c>
      <c r="G202" s="14" t="s">
        <v>69</v>
      </c>
      <c r="H202" s="14" t="s">
        <v>39</v>
      </c>
      <c r="I202" s="15" t="s">
        <v>122</v>
      </c>
      <c r="J202" s="14" t="s">
        <v>71</v>
      </c>
      <c r="K202" s="14">
        <v>0.0</v>
      </c>
      <c r="L202" s="14">
        <v>0.0</v>
      </c>
      <c r="M202" s="14"/>
      <c r="N202" s="14"/>
      <c r="O202" s="14"/>
      <c r="P202" s="14">
        <v>570.0</v>
      </c>
      <c r="Q202" s="14" t="s">
        <v>74</v>
      </c>
      <c r="R202" s="14" t="s">
        <v>75</v>
      </c>
      <c r="S202" s="14" t="s">
        <v>142</v>
      </c>
      <c r="T202" s="14" t="s">
        <v>39</v>
      </c>
      <c r="U202" s="14" t="s">
        <v>232</v>
      </c>
      <c r="V202" s="14" t="s">
        <v>539</v>
      </c>
      <c r="W202" s="14">
        <v>2.0</v>
      </c>
      <c r="X202" s="14">
        <v>2.0</v>
      </c>
      <c r="Y202" s="14">
        <v>1.0</v>
      </c>
      <c r="Z202" s="14">
        <v>3.0</v>
      </c>
      <c r="AA202" s="14">
        <v>2.0</v>
      </c>
      <c r="AB202" s="14">
        <v>0.0</v>
      </c>
      <c r="AC202" s="14">
        <v>1.6</v>
      </c>
      <c r="AD202" s="14">
        <v>0.0</v>
      </c>
      <c r="AE202" s="14" t="s">
        <v>122</v>
      </c>
      <c r="AF202" s="14"/>
      <c r="AG202" s="14"/>
      <c r="AH202" s="14"/>
      <c r="AI202" s="14"/>
      <c r="AJ202" s="14"/>
      <c r="AK202" s="14"/>
      <c r="AL202" s="14"/>
      <c r="AM202" s="14" t="s">
        <v>539</v>
      </c>
      <c r="AN202" s="14" t="s">
        <v>519</v>
      </c>
      <c r="AO202" s="14" t="s">
        <v>84</v>
      </c>
      <c r="AP202" s="14" t="s">
        <v>520</v>
      </c>
      <c r="AQ202" s="14">
        <v>0.0</v>
      </c>
      <c r="AR202" s="14" t="s">
        <v>196</v>
      </c>
    </row>
    <row r="203" ht="15.75" customHeight="1">
      <c r="A203" s="14" t="s">
        <v>39</v>
      </c>
      <c r="B203" s="14" t="s">
        <v>44</v>
      </c>
      <c r="C203" s="14" t="s">
        <v>102</v>
      </c>
      <c r="D203" s="14" t="s">
        <v>190</v>
      </c>
      <c r="E203" s="14" t="s">
        <v>202</v>
      </c>
      <c r="F203" s="14" t="s">
        <v>224</v>
      </c>
      <c r="G203" s="14" t="s">
        <v>69</v>
      </c>
      <c r="H203" s="14" t="s">
        <v>69</v>
      </c>
      <c r="I203" s="15" t="s">
        <v>122</v>
      </c>
      <c r="J203" s="14" t="s">
        <v>71</v>
      </c>
      <c r="K203" s="14">
        <v>3.0</v>
      </c>
      <c r="L203" s="14"/>
      <c r="M203" s="14"/>
      <c r="N203" s="14"/>
      <c r="O203" s="14"/>
      <c r="P203" s="14">
        <v>500.0</v>
      </c>
      <c r="Q203" s="14" t="s">
        <v>74</v>
      </c>
      <c r="R203" s="14" t="s">
        <v>75</v>
      </c>
      <c r="S203" s="14" t="s">
        <v>142</v>
      </c>
      <c r="T203" s="14" t="s">
        <v>39</v>
      </c>
      <c r="U203" s="14" t="s">
        <v>90</v>
      </c>
      <c r="V203" s="14" t="s">
        <v>225</v>
      </c>
      <c r="W203" s="14">
        <v>2.0</v>
      </c>
      <c r="X203" s="14">
        <v>2.0</v>
      </c>
      <c r="Y203" s="14">
        <v>4.0</v>
      </c>
      <c r="Z203" s="14">
        <v>3.0</v>
      </c>
      <c r="AA203" s="14">
        <v>2.0</v>
      </c>
      <c r="AB203" s="14">
        <v>0.0</v>
      </c>
      <c r="AC203" s="14">
        <v>2.3</v>
      </c>
      <c r="AD203" s="14"/>
      <c r="AE203" s="14" t="s">
        <v>122</v>
      </c>
      <c r="AF203" s="14"/>
      <c r="AG203" s="14"/>
      <c r="AH203" s="14"/>
      <c r="AI203" s="14"/>
      <c r="AJ203" s="14"/>
      <c r="AK203" s="14"/>
      <c r="AL203" s="14"/>
      <c r="AM203" s="14" t="s">
        <v>225</v>
      </c>
      <c r="AN203" s="14" t="s">
        <v>238</v>
      </c>
      <c r="AO203" s="14" t="s">
        <v>84</v>
      </c>
      <c r="AP203" s="14" t="s">
        <v>239</v>
      </c>
      <c r="AQ203" s="14">
        <v>0.0</v>
      </c>
      <c r="AR203" s="14" t="s">
        <v>196</v>
      </c>
    </row>
    <row r="204" ht="15.75" customHeight="1">
      <c r="A204" s="14" t="s">
        <v>39</v>
      </c>
      <c r="B204" s="14" t="s">
        <v>44</v>
      </c>
      <c r="C204" s="14" t="s">
        <v>102</v>
      </c>
      <c r="D204" s="14" t="s">
        <v>193</v>
      </c>
      <c r="E204" s="14" t="s">
        <v>240</v>
      </c>
      <c r="F204" s="14" t="s">
        <v>219</v>
      </c>
      <c r="G204" s="14" t="s">
        <v>69</v>
      </c>
      <c r="H204" s="14" t="s">
        <v>69</v>
      </c>
      <c r="I204" s="15" t="s">
        <v>122</v>
      </c>
      <c r="J204" s="14" t="s">
        <v>71</v>
      </c>
      <c r="K204" s="14">
        <v>3.0</v>
      </c>
      <c r="L204" s="14"/>
      <c r="M204" s="14"/>
      <c r="N204" s="14"/>
      <c r="O204" s="14"/>
      <c r="P204" s="14">
        <v>610.0</v>
      </c>
      <c r="Q204" s="14" t="s">
        <v>153</v>
      </c>
      <c r="R204" s="14" t="s">
        <v>75</v>
      </c>
      <c r="S204" s="14" t="s">
        <v>142</v>
      </c>
      <c r="T204" s="14" t="s">
        <v>39</v>
      </c>
      <c r="U204" s="14" t="s">
        <v>90</v>
      </c>
      <c r="V204" s="14" t="s">
        <v>220</v>
      </c>
      <c r="W204" s="14">
        <v>2.0</v>
      </c>
      <c r="X204" s="14">
        <v>1.0</v>
      </c>
      <c r="Y204" s="14">
        <v>4.0</v>
      </c>
      <c r="Z204" s="14">
        <v>3.0</v>
      </c>
      <c r="AA204" s="14">
        <v>2.0</v>
      </c>
      <c r="AB204" s="14">
        <v>0.0</v>
      </c>
      <c r="AC204" s="14">
        <v>2.1</v>
      </c>
      <c r="AD204" s="14"/>
      <c r="AE204" s="14" t="s">
        <v>122</v>
      </c>
      <c r="AF204" s="14"/>
      <c r="AG204" s="14"/>
      <c r="AH204" s="14"/>
      <c r="AI204" s="14"/>
      <c r="AJ204" s="14"/>
      <c r="AK204" s="14"/>
      <c r="AL204" s="14"/>
      <c r="AM204" s="14" t="s">
        <v>220</v>
      </c>
      <c r="AN204" s="14" t="s">
        <v>244</v>
      </c>
      <c r="AO204" s="14" t="s">
        <v>84</v>
      </c>
      <c r="AP204" s="14" t="s">
        <v>245</v>
      </c>
      <c r="AQ204" s="14">
        <v>0.0</v>
      </c>
      <c r="AR204" s="14" t="s">
        <v>196</v>
      </c>
    </row>
    <row r="205" ht="15.75" customHeight="1">
      <c r="A205" s="14" t="s">
        <v>39</v>
      </c>
      <c r="B205" s="14" t="s">
        <v>44</v>
      </c>
      <c r="C205" s="14" t="s">
        <v>102</v>
      </c>
      <c r="D205" s="14" t="s">
        <v>320</v>
      </c>
      <c r="E205" s="14" t="s">
        <v>271</v>
      </c>
      <c r="F205" s="14" t="s">
        <v>367</v>
      </c>
      <c r="G205" s="14" t="s">
        <v>69</v>
      </c>
      <c r="H205" s="14" t="s">
        <v>69</v>
      </c>
      <c r="I205" s="15" t="s">
        <v>122</v>
      </c>
      <c r="J205" s="14" t="s">
        <v>71</v>
      </c>
      <c r="K205" s="14">
        <v>3.0</v>
      </c>
      <c r="L205" s="14"/>
      <c r="M205" s="14"/>
      <c r="N205" s="14"/>
      <c r="O205" s="14"/>
      <c r="P205" s="14">
        <v>570.0</v>
      </c>
      <c r="Q205" s="14" t="s">
        <v>74</v>
      </c>
      <c r="R205" s="14" t="s">
        <v>75</v>
      </c>
      <c r="S205" s="14" t="s">
        <v>142</v>
      </c>
      <c r="T205" s="14" t="s">
        <v>39</v>
      </c>
      <c r="U205" s="14" t="s">
        <v>226</v>
      </c>
      <c r="V205" s="14" t="s">
        <v>368</v>
      </c>
      <c r="W205" s="14">
        <v>2.0</v>
      </c>
      <c r="X205" s="14">
        <v>2.0</v>
      </c>
      <c r="Y205" s="14">
        <v>4.0</v>
      </c>
      <c r="Z205" s="14">
        <v>3.0</v>
      </c>
      <c r="AA205" s="14">
        <v>2.0</v>
      </c>
      <c r="AB205" s="14">
        <v>0.0</v>
      </c>
      <c r="AC205" s="14">
        <v>2.3</v>
      </c>
      <c r="AD205" s="14"/>
      <c r="AE205" s="14" t="s">
        <v>122</v>
      </c>
      <c r="AF205" s="14"/>
      <c r="AG205" s="14"/>
      <c r="AH205" s="14"/>
      <c r="AI205" s="14"/>
      <c r="AJ205" s="14"/>
      <c r="AK205" s="14"/>
      <c r="AL205" s="14"/>
      <c r="AM205" s="14" t="s">
        <v>368</v>
      </c>
      <c r="AN205" s="14" t="s">
        <v>453</v>
      </c>
      <c r="AO205" s="14" t="s">
        <v>84</v>
      </c>
      <c r="AP205" s="14" t="s">
        <v>454</v>
      </c>
      <c r="AQ205" s="14">
        <v>0.0</v>
      </c>
      <c r="AR205" s="14" t="s">
        <v>196</v>
      </c>
    </row>
    <row r="206" ht="15.75" customHeight="1">
      <c r="A206" s="14" t="s">
        <v>39</v>
      </c>
      <c r="B206" s="14" t="s">
        <v>44</v>
      </c>
      <c r="C206" s="14" t="s">
        <v>102</v>
      </c>
      <c r="D206" s="14" t="s">
        <v>323</v>
      </c>
      <c r="E206" s="14" t="s">
        <v>271</v>
      </c>
      <c r="F206" s="14" t="s">
        <v>367</v>
      </c>
      <c r="G206" s="14" t="s">
        <v>69</v>
      </c>
      <c r="H206" s="14" t="s">
        <v>69</v>
      </c>
      <c r="I206" s="15" t="s">
        <v>122</v>
      </c>
      <c r="J206" s="14" t="s">
        <v>71</v>
      </c>
      <c r="K206" s="14">
        <v>3.0</v>
      </c>
      <c r="L206" s="14"/>
      <c r="M206" s="14"/>
      <c r="N206" s="14"/>
      <c r="O206" s="14"/>
      <c r="P206" s="14">
        <v>570.0</v>
      </c>
      <c r="Q206" s="14" t="s">
        <v>74</v>
      </c>
      <c r="R206" s="14" t="s">
        <v>75</v>
      </c>
      <c r="S206" s="14" t="s">
        <v>142</v>
      </c>
      <c r="T206" s="14" t="s">
        <v>39</v>
      </c>
      <c r="U206" s="14" t="s">
        <v>226</v>
      </c>
      <c r="V206" s="14" t="s">
        <v>368</v>
      </c>
      <c r="W206" s="14">
        <v>2.0</v>
      </c>
      <c r="X206" s="14">
        <v>2.0</v>
      </c>
      <c r="Y206" s="14">
        <v>4.0</v>
      </c>
      <c r="Z206" s="14">
        <v>3.0</v>
      </c>
      <c r="AA206" s="14">
        <v>2.0</v>
      </c>
      <c r="AB206" s="14">
        <v>0.0</v>
      </c>
      <c r="AC206" s="14">
        <v>2.3</v>
      </c>
      <c r="AD206" s="14"/>
      <c r="AE206" s="14" t="s">
        <v>122</v>
      </c>
      <c r="AF206" s="14"/>
      <c r="AG206" s="14"/>
      <c r="AH206" s="14"/>
      <c r="AI206" s="14"/>
      <c r="AJ206" s="14"/>
      <c r="AK206" s="14"/>
      <c r="AL206" s="14"/>
      <c r="AM206" s="14" t="s">
        <v>368</v>
      </c>
      <c r="AN206" s="14" t="s">
        <v>460</v>
      </c>
      <c r="AO206" s="14" t="s">
        <v>84</v>
      </c>
      <c r="AP206" s="14" t="s">
        <v>461</v>
      </c>
      <c r="AQ206" s="14">
        <v>0.0</v>
      </c>
      <c r="AR206" s="14" t="s">
        <v>196</v>
      </c>
    </row>
    <row r="207" ht="15.75" customHeight="1">
      <c r="A207" s="14" t="s">
        <v>39</v>
      </c>
      <c r="B207" s="14" t="s">
        <v>44</v>
      </c>
      <c r="C207" s="14" t="s">
        <v>102</v>
      </c>
      <c r="D207" s="14" t="s">
        <v>324</v>
      </c>
      <c r="E207" s="14" t="s">
        <v>271</v>
      </c>
      <c r="F207" s="14" t="s">
        <v>367</v>
      </c>
      <c r="G207" s="14" t="s">
        <v>69</v>
      </c>
      <c r="H207" s="14" t="s">
        <v>69</v>
      </c>
      <c r="I207" s="15" t="s">
        <v>122</v>
      </c>
      <c r="J207" s="14" t="s">
        <v>71</v>
      </c>
      <c r="K207" s="14">
        <v>3.0</v>
      </c>
      <c r="L207" s="14"/>
      <c r="M207" s="14"/>
      <c r="N207" s="14"/>
      <c r="O207" s="14"/>
      <c r="P207" s="14">
        <v>570.0</v>
      </c>
      <c r="Q207" s="14" t="s">
        <v>74</v>
      </c>
      <c r="R207" s="14" t="s">
        <v>75</v>
      </c>
      <c r="S207" s="14" t="s">
        <v>142</v>
      </c>
      <c r="T207" s="14" t="s">
        <v>39</v>
      </c>
      <c r="U207" s="14" t="s">
        <v>226</v>
      </c>
      <c r="V207" s="14" t="s">
        <v>368</v>
      </c>
      <c r="W207" s="14">
        <v>2.0</v>
      </c>
      <c r="X207" s="14">
        <v>2.0</v>
      </c>
      <c r="Y207" s="14">
        <v>4.0</v>
      </c>
      <c r="Z207" s="14">
        <v>3.0</v>
      </c>
      <c r="AA207" s="14">
        <v>2.0</v>
      </c>
      <c r="AB207" s="14">
        <v>0.0</v>
      </c>
      <c r="AC207" s="14">
        <v>2.3</v>
      </c>
      <c r="AD207" s="14"/>
      <c r="AE207" s="14" t="s">
        <v>122</v>
      </c>
      <c r="AF207" s="14"/>
      <c r="AG207" s="14"/>
      <c r="AH207" s="14"/>
      <c r="AI207" s="14"/>
      <c r="AJ207" s="14"/>
      <c r="AK207" s="14"/>
      <c r="AL207" s="14"/>
      <c r="AM207" s="14" t="s">
        <v>368</v>
      </c>
      <c r="AN207" s="14" t="s">
        <v>462</v>
      </c>
      <c r="AO207" s="14" t="s">
        <v>84</v>
      </c>
      <c r="AP207" s="14" t="s">
        <v>463</v>
      </c>
      <c r="AQ207" s="14">
        <v>0.0</v>
      </c>
      <c r="AR207" s="14" t="s">
        <v>196</v>
      </c>
    </row>
    <row r="208" ht="15.75" customHeight="1">
      <c r="A208" s="14" t="s">
        <v>39</v>
      </c>
      <c r="B208" s="14" t="s">
        <v>44</v>
      </c>
      <c r="C208" s="14" t="s">
        <v>102</v>
      </c>
      <c r="D208" s="14" t="s">
        <v>325</v>
      </c>
      <c r="E208" s="14" t="s">
        <v>271</v>
      </c>
      <c r="F208" s="14" t="s">
        <v>367</v>
      </c>
      <c r="G208" s="14" t="s">
        <v>69</v>
      </c>
      <c r="H208" s="14" t="s">
        <v>69</v>
      </c>
      <c r="I208" s="15" t="s">
        <v>122</v>
      </c>
      <c r="J208" s="14" t="s">
        <v>71</v>
      </c>
      <c r="K208" s="14">
        <v>3.0</v>
      </c>
      <c r="L208" s="14"/>
      <c r="M208" s="14"/>
      <c r="N208" s="14"/>
      <c r="O208" s="14"/>
      <c r="P208" s="14">
        <v>570.0</v>
      </c>
      <c r="Q208" s="14" t="s">
        <v>74</v>
      </c>
      <c r="R208" s="14" t="s">
        <v>75</v>
      </c>
      <c r="S208" s="14" t="s">
        <v>142</v>
      </c>
      <c r="T208" s="14" t="s">
        <v>39</v>
      </c>
      <c r="U208" s="14" t="s">
        <v>226</v>
      </c>
      <c r="V208" s="14" t="s">
        <v>368</v>
      </c>
      <c r="W208" s="14">
        <v>2.0</v>
      </c>
      <c r="X208" s="14">
        <v>2.0</v>
      </c>
      <c r="Y208" s="14">
        <v>4.0</v>
      </c>
      <c r="Z208" s="14">
        <v>3.0</v>
      </c>
      <c r="AA208" s="14">
        <v>2.0</v>
      </c>
      <c r="AB208" s="14">
        <v>0.0</v>
      </c>
      <c r="AC208" s="14">
        <v>2.3</v>
      </c>
      <c r="AD208" s="14"/>
      <c r="AE208" s="14" t="s">
        <v>122</v>
      </c>
      <c r="AF208" s="14"/>
      <c r="AG208" s="14"/>
      <c r="AH208" s="14"/>
      <c r="AI208" s="14"/>
      <c r="AJ208" s="14"/>
      <c r="AK208" s="14"/>
      <c r="AL208" s="14"/>
      <c r="AM208" s="14" t="s">
        <v>368</v>
      </c>
      <c r="AN208" s="14" t="s">
        <v>464</v>
      </c>
      <c r="AO208" s="14" t="s">
        <v>84</v>
      </c>
      <c r="AP208" s="14" t="s">
        <v>465</v>
      </c>
      <c r="AQ208" s="14">
        <v>0.0</v>
      </c>
      <c r="AR208" s="14" t="s">
        <v>196</v>
      </c>
    </row>
    <row r="209" ht="15.75" customHeight="1">
      <c r="A209" s="14" t="s">
        <v>39</v>
      </c>
      <c r="B209" s="14" t="s">
        <v>44</v>
      </c>
      <c r="C209" s="14" t="s">
        <v>102</v>
      </c>
      <c r="D209" s="14" t="s">
        <v>326</v>
      </c>
      <c r="E209" s="14" t="s">
        <v>271</v>
      </c>
      <c r="F209" s="14" t="s">
        <v>216</v>
      </c>
      <c r="G209" s="14" t="s">
        <v>69</v>
      </c>
      <c r="H209" s="14" t="s">
        <v>69</v>
      </c>
      <c r="I209" s="15" t="s">
        <v>122</v>
      </c>
      <c r="J209" s="14" t="s">
        <v>71</v>
      </c>
      <c r="K209" s="14">
        <v>0.0</v>
      </c>
      <c r="L209" s="14">
        <v>0.0</v>
      </c>
      <c r="M209" s="14"/>
      <c r="N209" s="14"/>
      <c r="O209" s="14"/>
      <c r="P209" s="14">
        <v>570.0</v>
      </c>
      <c r="Q209" s="14" t="s">
        <v>74</v>
      </c>
      <c r="R209" s="14" t="s">
        <v>75</v>
      </c>
      <c r="S209" s="14" t="s">
        <v>142</v>
      </c>
      <c r="T209" s="14" t="s">
        <v>39</v>
      </c>
      <c r="U209" s="14" t="s">
        <v>232</v>
      </c>
      <c r="V209" s="14" t="s">
        <v>217</v>
      </c>
      <c r="W209" s="14">
        <v>2.0</v>
      </c>
      <c r="X209" s="14">
        <v>2.0</v>
      </c>
      <c r="Y209" s="14">
        <v>4.0</v>
      </c>
      <c r="Z209" s="14">
        <v>3.0</v>
      </c>
      <c r="AA209" s="14">
        <v>2.0</v>
      </c>
      <c r="AB209" s="14">
        <v>0.0</v>
      </c>
      <c r="AC209" s="14">
        <v>2.3</v>
      </c>
      <c r="AD209" s="14">
        <v>0.0</v>
      </c>
      <c r="AE209" s="14" t="s">
        <v>122</v>
      </c>
      <c r="AF209" s="14"/>
      <c r="AG209" s="14"/>
      <c r="AH209" s="14"/>
      <c r="AI209" s="14"/>
      <c r="AJ209" s="14"/>
      <c r="AK209" s="14"/>
      <c r="AL209" s="14"/>
      <c r="AM209" s="14" t="s">
        <v>217</v>
      </c>
      <c r="AN209" s="14" t="s">
        <v>358</v>
      </c>
      <c r="AO209" s="14" t="s">
        <v>84</v>
      </c>
      <c r="AP209" s="14" t="s">
        <v>359</v>
      </c>
      <c r="AQ209" s="14">
        <v>0.0</v>
      </c>
      <c r="AR209" s="14" t="s">
        <v>196</v>
      </c>
    </row>
    <row r="210" ht="15.75" customHeight="1">
      <c r="A210" s="14" t="s">
        <v>39</v>
      </c>
      <c r="B210" s="14" t="s">
        <v>44</v>
      </c>
      <c r="C210" s="14" t="s">
        <v>102</v>
      </c>
      <c r="D210" s="14" t="s">
        <v>326</v>
      </c>
      <c r="E210" s="14" t="s">
        <v>271</v>
      </c>
      <c r="F210" s="14" t="s">
        <v>224</v>
      </c>
      <c r="G210" s="14" t="s">
        <v>69</v>
      </c>
      <c r="H210" s="14" t="s">
        <v>69</v>
      </c>
      <c r="I210" s="15" t="s">
        <v>122</v>
      </c>
      <c r="J210" s="14" t="s">
        <v>71</v>
      </c>
      <c r="K210" s="14">
        <v>3.0</v>
      </c>
      <c r="L210" s="14"/>
      <c r="M210" s="14"/>
      <c r="N210" s="14"/>
      <c r="O210" s="14"/>
      <c r="P210" s="14">
        <v>570.0</v>
      </c>
      <c r="Q210" s="14" t="s">
        <v>74</v>
      </c>
      <c r="R210" s="14" t="s">
        <v>75</v>
      </c>
      <c r="S210" s="14" t="s">
        <v>142</v>
      </c>
      <c r="T210" s="14" t="s">
        <v>39</v>
      </c>
      <c r="U210" s="14" t="s">
        <v>90</v>
      </c>
      <c r="V210" s="14" t="s">
        <v>225</v>
      </c>
      <c r="W210" s="14">
        <v>2.0</v>
      </c>
      <c r="X210" s="14">
        <v>2.0</v>
      </c>
      <c r="Y210" s="14">
        <v>4.0</v>
      </c>
      <c r="Z210" s="14">
        <v>3.0</v>
      </c>
      <c r="AA210" s="14">
        <v>2.0</v>
      </c>
      <c r="AB210" s="14">
        <v>0.0</v>
      </c>
      <c r="AC210" s="14">
        <v>2.3</v>
      </c>
      <c r="AD210" s="14"/>
      <c r="AE210" s="14" t="s">
        <v>122</v>
      </c>
      <c r="AF210" s="14"/>
      <c r="AG210" s="14"/>
      <c r="AH210" s="14"/>
      <c r="AI210" s="14"/>
      <c r="AJ210" s="14"/>
      <c r="AK210" s="14"/>
      <c r="AL210" s="14"/>
      <c r="AM210" s="14" t="s">
        <v>225</v>
      </c>
      <c r="AN210" s="14" t="s">
        <v>358</v>
      </c>
      <c r="AO210" s="14" t="s">
        <v>84</v>
      </c>
      <c r="AP210" s="14" t="s">
        <v>359</v>
      </c>
      <c r="AQ210" s="14">
        <v>0.0</v>
      </c>
      <c r="AR210" s="14" t="s">
        <v>196</v>
      </c>
    </row>
    <row r="211" ht="15.75" customHeight="1">
      <c r="A211" s="14" t="s">
        <v>39</v>
      </c>
      <c r="B211" s="14" t="s">
        <v>44</v>
      </c>
      <c r="C211" s="14" t="s">
        <v>102</v>
      </c>
      <c r="D211" s="14" t="s">
        <v>498</v>
      </c>
      <c r="E211" s="14" t="s">
        <v>186</v>
      </c>
      <c r="F211" s="14" t="s">
        <v>224</v>
      </c>
      <c r="G211" s="14" t="s">
        <v>69</v>
      </c>
      <c r="H211" s="14" t="s">
        <v>69</v>
      </c>
      <c r="I211" s="15" t="s">
        <v>122</v>
      </c>
      <c r="J211" s="14" t="s">
        <v>71</v>
      </c>
      <c r="K211" s="14">
        <v>3.0</v>
      </c>
      <c r="L211" s="14"/>
      <c r="M211" s="14"/>
      <c r="N211" s="14"/>
      <c r="O211" s="14"/>
      <c r="P211" s="14">
        <v>360.0</v>
      </c>
      <c r="Q211" s="14" t="s">
        <v>140</v>
      </c>
      <c r="R211" s="14" t="s">
        <v>75</v>
      </c>
      <c r="S211" s="14" t="s">
        <v>142</v>
      </c>
      <c r="T211" s="14" t="s">
        <v>39</v>
      </c>
      <c r="U211" s="14" t="s">
        <v>90</v>
      </c>
      <c r="V211" s="14" t="s">
        <v>225</v>
      </c>
      <c r="W211" s="14">
        <v>2.0</v>
      </c>
      <c r="X211" s="14">
        <v>3.0</v>
      </c>
      <c r="Y211" s="14">
        <v>4.0</v>
      </c>
      <c r="Z211" s="14">
        <v>3.0</v>
      </c>
      <c r="AA211" s="14">
        <v>2.0</v>
      </c>
      <c r="AB211" s="14">
        <v>0.0</v>
      </c>
      <c r="AC211" s="14">
        <v>2.5</v>
      </c>
      <c r="AD211" s="14"/>
      <c r="AE211" s="14" t="s">
        <v>122</v>
      </c>
      <c r="AF211" s="14"/>
      <c r="AG211" s="14"/>
      <c r="AH211" s="14"/>
      <c r="AI211" s="14"/>
      <c r="AJ211" s="14"/>
      <c r="AK211" s="14"/>
      <c r="AL211" s="14"/>
      <c r="AM211" s="14" t="s">
        <v>225</v>
      </c>
      <c r="AN211" s="14" t="s">
        <v>588</v>
      </c>
      <c r="AO211" s="14" t="s">
        <v>84</v>
      </c>
      <c r="AP211" s="14" t="s">
        <v>589</v>
      </c>
      <c r="AQ211" s="14">
        <v>0.0</v>
      </c>
      <c r="AR211" s="14" t="s">
        <v>196</v>
      </c>
    </row>
    <row r="212" ht="15.75" customHeight="1">
      <c r="A212" s="14" t="s">
        <v>39</v>
      </c>
      <c r="B212" s="14" t="s">
        <v>44</v>
      </c>
      <c r="C212" s="14" t="s">
        <v>102</v>
      </c>
      <c r="D212" s="14" t="s">
        <v>331</v>
      </c>
      <c r="E212" s="14" t="s">
        <v>181</v>
      </c>
      <c r="F212" s="14" t="s">
        <v>219</v>
      </c>
      <c r="G212" s="14" t="s">
        <v>69</v>
      </c>
      <c r="H212" s="14" t="s">
        <v>69</v>
      </c>
      <c r="I212" s="15" t="s">
        <v>122</v>
      </c>
      <c r="J212" s="14" t="s">
        <v>71</v>
      </c>
      <c r="K212" s="14">
        <v>3.0</v>
      </c>
      <c r="L212" s="14"/>
      <c r="M212" s="14"/>
      <c r="N212" s="14"/>
      <c r="O212" s="14"/>
      <c r="P212" s="14">
        <v>520.0</v>
      </c>
      <c r="Q212" s="14" t="s">
        <v>74</v>
      </c>
      <c r="R212" s="14" t="s">
        <v>75</v>
      </c>
      <c r="S212" s="14" t="s">
        <v>142</v>
      </c>
      <c r="T212" s="14" t="s">
        <v>39</v>
      </c>
      <c r="U212" s="14" t="s">
        <v>90</v>
      </c>
      <c r="V212" s="14" t="s">
        <v>220</v>
      </c>
      <c r="W212" s="14">
        <v>2.0</v>
      </c>
      <c r="X212" s="14">
        <v>2.0</v>
      </c>
      <c r="Y212" s="14">
        <v>4.0</v>
      </c>
      <c r="Z212" s="14">
        <v>3.0</v>
      </c>
      <c r="AA212" s="14">
        <v>2.0</v>
      </c>
      <c r="AB212" s="14">
        <v>0.0</v>
      </c>
      <c r="AC212" s="14">
        <v>2.3</v>
      </c>
      <c r="AD212" s="14"/>
      <c r="AE212" s="14" t="s">
        <v>122</v>
      </c>
      <c r="AF212" s="14"/>
      <c r="AG212" s="14"/>
      <c r="AH212" s="14"/>
      <c r="AI212" s="14"/>
      <c r="AJ212" s="14"/>
      <c r="AK212" s="14"/>
      <c r="AL212" s="14"/>
      <c r="AM212" s="14" t="s">
        <v>220</v>
      </c>
      <c r="AN212" s="14" t="s">
        <v>360</v>
      </c>
      <c r="AO212" s="14" t="s">
        <v>84</v>
      </c>
      <c r="AP212" s="14" t="s">
        <v>361</v>
      </c>
      <c r="AQ212" s="14">
        <v>0.0</v>
      </c>
      <c r="AR212" s="14" t="s">
        <v>196</v>
      </c>
    </row>
    <row r="213" ht="15.75" customHeight="1">
      <c r="A213" s="14" t="s">
        <v>39</v>
      </c>
      <c r="B213" s="14" t="s">
        <v>44</v>
      </c>
      <c r="C213" s="14" t="s">
        <v>102</v>
      </c>
      <c r="D213" s="14" t="s">
        <v>500</v>
      </c>
      <c r="E213" s="14" t="s">
        <v>181</v>
      </c>
      <c r="F213" s="14" t="s">
        <v>224</v>
      </c>
      <c r="G213" s="14" t="s">
        <v>69</v>
      </c>
      <c r="H213" s="14" t="s">
        <v>69</v>
      </c>
      <c r="I213" s="15" t="s">
        <v>122</v>
      </c>
      <c r="J213" s="14" t="s">
        <v>71</v>
      </c>
      <c r="K213" s="14">
        <v>3.0</v>
      </c>
      <c r="L213" s="14"/>
      <c r="M213" s="14"/>
      <c r="N213" s="14"/>
      <c r="O213" s="14"/>
      <c r="P213" s="14">
        <v>520.0</v>
      </c>
      <c r="Q213" s="14" t="s">
        <v>74</v>
      </c>
      <c r="R213" s="14" t="s">
        <v>75</v>
      </c>
      <c r="S213" s="14" t="s">
        <v>142</v>
      </c>
      <c r="T213" s="14" t="s">
        <v>39</v>
      </c>
      <c r="U213" s="14" t="s">
        <v>90</v>
      </c>
      <c r="V213" s="14" t="s">
        <v>225</v>
      </c>
      <c r="W213" s="14">
        <v>2.0</v>
      </c>
      <c r="X213" s="14">
        <v>2.0</v>
      </c>
      <c r="Y213" s="14">
        <v>4.0</v>
      </c>
      <c r="Z213" s="14">
        <v>3.0</v>
      </c>
      <c r="AA213" s="14">
        <v>2.0</v>
      </c>
      <c r="AB213" s="14">
        <v>0.0</v>
      </c>
      <c r="AC213" s="14">
        <v>2.3</v>
      </c>
      <c r="AD213" s="14"/>
      <c r="AE213" s="14" t="s">
        <v>122</v>
      </c>
      <c r="AF213" s="14"/>
      <c r="AG213" s="14"/>
      <c r="AH213" s="14"/>
      <c r="AI213" s="14"/>
      <c r="AJ213" s="14"/>
      <c r="AK213" s="14"/>
      <c r="AL213" s="14"/>
      <c r="AM213" s="14" t="s">
        <v>225</v>
      </c>
      <c r="AN213" s="14" t="s">
        <v>590</v>
      </c>
      <c r="AO213" s="14" t="s">
        <v>84</v>
      </c>
      <c r="AP213" s="14" t="s">
        <v>591</v>
      </c>
      <c r="AQ213" s="14">
        <v>0.0</v>
      </c>
      <c r="AR213" s="14" t="s">
        <v>196</v>
      </c>
    </row>
    <row r="214" ht="15.75" customHeight="1">
      <c r="A214" s="14" t="s">
        <v>39</v>
      </c>
      <c r="B214" s="14" t="s">
        <v>44</v>
      </c>
      <c r="C214" s="14" t="s">
        <v>102</v>
      </c>
      <c r="D214" s="14" t="s">
        <v>197</v>
      </c>
      <c r="E214" s="14" t="s">
        <v>202</v>
      </c>
      <c r="F214" s="14" t="s">
        <v>219</v>
      </c>
      <c r="G214" s="14" t="s">
        <v>69</v>
      </c>
      <c r="H214" s="14" t="s">
        <v>69</v>
      </c>
      <c r="I214" s="15" t="s">
        <v>122</v>
      </c>
      <c r="J214" s="14" t="s">
        <v>71</v>
      </c>
      <c r="K214" s="14">
        <v>3.0</v>
      </c>
      <c r="L214" s="14"/>
      <c r="M214" s="14"/>
      <c r="N214" s="14"/>
      <c r="O214" s="14"/>
      <c r="P214" s="14">
        <v>500.0</v>
      </c>
      <c r="Q214" s="14" t="s">
        <v>74</v>
      </c>
      <c r="R214" s="14" t="s">
        <v>75</v>
      </c>
      <c r="S214" s="14" t="s">
        <v>142</v>
      </c>
      <c r="T214" s="14" t="s">
        <v>39</v>
      </c>
      <c r="U214" s="14" t="s">
        <v>90</v>
      </c>
      <c r="V214" s="14" t="s">
        <v>220</v>
      </c>
      <c r="W214" s="14">
        <v>2.0</v>
      </c>
      <c r="X214" s="14">
        <v>2.0</v>
      </c>
      <c r="Y214" s="14">
        <v>4.0</v>
      </c>
      <c r="Z214" s="14">
        <v>3.0</v>
      </c>
      <c r="AA214" s="14">
        <v>2.0</v>
      </c>
      <c r="AB214" s="14">
        <v>0.0</v>
      </c>
      <c r="AC214" s="14">
        <v>2.3</v>
      </c>
      <c r="AD214" s="14"/>
      <c r="AE214" s="14" t="s">
        <v>122</v>
      </c>
      <c r="AF214" s="14"/>
      <c r="AG214" s="14"/>
      <c r="AH214" s="14"/>
      <c r="AI214" s="14"/>
      <c r="AJ214" s="14"/>
      <c r="AK214" s="14"/>
      <c r="AL214" s="14"/>
      <c r="AM214" s="14" t="s">
        <v>220</v>
      </c>
      <c r="AN214" s="14" t="s">
        <v>249</v>
      </c>
      <c r="AO214" s="14" t="s">
        <v>84</v>
      </c>
      <c r="AP214" s="14" t="s">
        <v>250</v>
      </c>
      <c r="AQ214" s="14">
        <v>0.0</v>
      </c>
      <c r="AR214" s="14" t="s">
        <v>196</v>
      </c>
    </row>
    <row r="215" ht="15.75" customHeight="1">
      <c r="A215" s="14" t="s">
        <v>39</v>
      </c>
      <c r="B215" s="14" t="s">
        <v>44</v>
      </c>
      <c r="C215" s="14" t="s">
        <v>102</v>
      </c>
      <c r="D215" s="14" t="s">
        <v>197</v>
      </c>
      <c r="E215" s="14" t="s">
        <v>202</v>
      </c>
      <c r="F215" s="14" t="s">
        <v>224</v>
      </c>
      <c r="G215" s="14" t="s">
        <v>69</v>
      </c>
      <c r="H215" s="14" t="s">
        <v>69</v>
      </c>
      <c r="I215" s="15" t="s">
        <v>122</v>
      </c>
      <c r="J215" s="14" t="s">
        <v>71</v>
      </c>
      <c r="K215" s="14">
        <v>3.0</v>
      </c>
      <c r="L215" s="14"/>
      <c r="M215" s="14"/>
      <c r="N215" s="14"/>
      <c r="O215" s="14"/>
      <c r="P215" s="14">
        <v>500.0</v>
      </c>
      <c r="Q215" s="14" t="s">
        <v>74</v>
      </c>
      <c r="R215" s="14" t="s">
        <v>75</v>
      </c>
      <c r="S215" s="14" t="s">
        <v>142</v>
      </c>
      <c r="T215" s="14" t="s">
        <v>39</v>
      </c>
      <c r="U215" s="14" t="s">
        <v>90</v>
      </c>
      <c r="V215" s="14" t="s">
        <v>225</v>
      </c>
      <c r="W215" s="14">
        <v>2.0</v>
      </c>
      <c r="X215" s="14">
        <v>2.0</v>
      </c>
      <c r="Y215" s="14">
        <v>4.0</v>
      </c>
      <c r="Z215" s="14">
        <v>3.0</v>
      </c>
      <c r="AA215" s="14">
        <v>2.0</v>
      </c>
      <c r="AB215" s="14">
        <v>0.0</v>
      </c>
      <c r="AC215" s="14">
        <v>2.3</v>
      </c>
      <c r="AD215" s="14"/>
      <c r="AE215" s="14" t="s">
        <v>122</v>
      </c>
      <c r="AF215" s="14"/>
      <c r="AG215" s="14"/>
      <c r="AH215" s="14"/>
      <c r="AI215" s="14"/>
      <c r="AJ215" s="14"/>
      <c r="AK215" s="14"/>
      <c r="AL215" s="14"/>
      <c r="AM215" s="14" t="s">
        <v>225</v>
      </c>
      <c r="AN215" s="14" t="s">
        <v>249</v>
      </c>
      <c r="AO215" s="14" t="s">
        <v>84</v>
      </c>
      <c r="AP215" s="14" t="s">
        <v>250</v>
      </c>
      <c r="AQ215" s="14">
        <v>0.0</v>
      </c>
      <c r="AR215" s="14" t="s">
        <v>196</v>
      </c>
    </row>
    <row r="216" ht="15.75" customHeight="1">
      <c r="A216" s="14" t="s">
        <v>39</v>
      </c>
      <c r="B216" s="14" t="s">
        <v>44</v>
      </c>
      <c r="C216" s="14" t="s">
        <v>102</v>
      </c>
      <c r="D216" s="14" t="s">
        <v>336</v>
      </c>
      <c r="E216" s="14" t="s">
        <v>240</v>
      </c>
      <c r="F216" s="14" t="s">
        <v>224</v>
      </c>
      <c r="G216" s="14" t="s">
        <v>69</v>
      </c>
      <c r="H216" s="14" t="s">
        <v>69</v>
      </c>
      <c r="I216" s="15" t="s">
        <v>122</v>
      </c>
      <c r="J216" s="14" t="s">
        <v>71</v>
      </c>
      <c r="K216" s="14">
        <v>3.0</v>
      </c>
      <c r="L216" s="14"/>
      <c r="M216" s="14"/>
      <c r="N216" s="14"/>
      <c r="O216" s="14"/>
      <c r="P216" s="14">
        <v>610.0</v>
      </c>
      <c r="Q216" s="14" t="s">
        <v>153</v>
      </c>
      <c r="R216" s="14" t="s">
        <v>75</v>
      </c>
      <c r="S216" s="14" t="s">
        <v>142</v>
      </c>
      <c r="T216" s="14" t="s">
        <v>39</v>
      </c>
      <c r="U216" s="14" t="s">
        <v>90</v>
      </c>
      <c r="V216" s="14" t="s">
        <v>225</v>
      </c>
      <c r="W216" s="14">
        <v>2.0</v>
      </c>
      <c r="X216" s="14">
        <v>1.0</v>
      </c>
      <c r="Y216" s="14">
        <v>4.0</v>
      </c>
      <c r="Z216" s="14">
        <v>3.0</v>
      </c>
      <c r="AA216" s="14">
        <v>2.0</v>
      </c>
      <c r="AB216" s="14">
        <v>0.0</v>
      </c>
      <c r="AC216" s="14">
        <v>2.1</v>
      </c>
      <c r="AD216" s="14"/>
      <c r="AE216" s="14" t="s">
        <v>122</v>
      </c>
      <c r="AF216" s="14"/>
      <c r="AG216" s="14"/>
      <c r="AH216" s="14"/>
      <c r="AI216" s="14"/>
      <c r="AJ216" s="14"/>
      <c r="AK216" s="14"/>
      <c r="AL216" s="14"/>
      <c r="AM216" s="14" t="s">
        <v>225</v>
      </c>
      <c r="AN216" s="14" t="s">
        <v>369</v>
      </c>
      <c r="AO216" s="14" t="s">
        <v>84</v>
      </c>
      <c r="AP216" s="14" t="s">
        <v>370</v>
      </c>
      <c r="AQ216" s="14">
        <v>0.0</v>
      </c>
      <c r="AR216" s="14" t="s">
        <v>196</v>
      </c>
    </row>
    <row r="217" ht="15.75" customHeight="1">
      <c r="A217" s="14" t="s">
        <v>39</v>
      </c>
      <c r="B217" s="14" t="s">
        <v>44</v>
      </c>
      <c r="C217" s="14" t="s">
        <v>102</v>
      </c>
      <c r="D217" s="14" t="s">
        <v>203</v>
      </c>
      <c r="E217" s="14" t="s">
        <v>202</v>
      </c>
      <c r="F217" s="14" t="s">
        <v>219</v>
      </c>
      <c r="G217" s="14" t="s">
        <v>69</v>
      </c>
      <c r="H217" s="14" t="s">
        <v>69</v>
      </c>
      <c r="I217" s="15" t="s">
        <v>122</v>
      </c>
      <c r="J217" s="14" t="s">
        <v>71</v>
      </c>
      <c r="K217" s="14">
        <v>3.0</v>
      </c>
      <c r="L217" s="14"/>
      <c r="M217" s="14"/>
      <c r="N217" s="14"/>
      <c r="O217" s="14"/>
      <c r="P217" s="14">
        <v>500.0</v>
      </c>
      <c r="Q217" s="14" t="s">
        <v>74</v>
      </c>
      <c r="R217" s="14" t="s">
        <v>75</v>
      </c>
      <c r="S217" s="14" t="s">
        <v>142</v>
      </c>
      <c r="T217" s="14" t="s">
        <v>39</v>
      </c>
      <c r="U217" s="14" t="s">
        <v>90</v>
      </c>
      <c r="V217" s="14" t="s">
        <v>220</v>
      </c>
      <c r="W217" s="14">
        <v>2.0</v>
      </c>
      <c r="X217" s="14">
        <v>2.0</v>
      </c>
      <c r="Y217" s="14">
        <v>4.0</v>
      </c>
      <c r="Z217" s="14">
        <v>3.0</v>
      </c>
      <c r="AA217" s="14">
        <v>2.0</v>
      </c>
      <c r="AB217" s="14">
        <v>0.0</v>
      </c>
      <c r="AC217" s="14">
        <v>2.3</v>
      </c>
      <c r="AD217" s="14"/>
      <c r="AE217" s="14" t="s">
        <v>122</v>
      </c>
      <c r="AF217" s="14"/>
      <c r="AG217" s="14"/>
      <c r="AH217" s="14"/>
      <c r="AI217" s="14"/>
      <c r="AJ217" s="14"/>
      <c r="AK217" s="14"/>
      <c r="AL217" s="14"/>
      <c r="AM217" s="14" t="s">
        <v>220</v>
      </c>
      <c r="AN217" s="14" t="s">
        <v>254</v>
      </c>
      <c r="AO217" s="14" t="s">
        <v>84</v>
      </c>
      <c r="AP217" s="14" t="s">
        <v>255</v>
      </c>
      <c r="AQ217" s="14">
        <v>0.0</v>
      </c>
      <c r="AR217" s="14" t="s">
        <v>196</v>
      </c>
    </row>
    <row r="218" ht="15.75" customHeight="1">
      <c r="A218" s="14" t="s">
        <v>39</v>
      </c>
      <c r="B218" s="14" t="s">
        <v>44</v>
      </c>
      <c r="C218" s="14" t="s">
        <v>102</v>
      </c>
      <c r="D218" s="14" t="s">
        <v>203</v>
      </c>
      <c r="E218" s="14" t="s">
        <v>202</v>
      </c>
      <c r="F218" s="14" t="s">
        <v>224</v>
      </c>
      <c r="G218" s="14" t="s">
        <v>69</v>
      </c>
      <c r="H218" s="14" t="s">
        <v>69</v>
      </c>
      <c r="I218" s="15" t="s">
        <v>122</v>
      </c>
      <c r="J218" s="14" t="s">
        <v>71</v>
      </c>
      <c r="K218" s="14">
        <v>3.0</v>
      </c>
      <c r="L218" s="14"/>
      <c r="M218" s="14"/>
      <c r="N218" s="14"/>
      <c r="O218" s="14"/>
      <c r="P218" s="14">
        <v>500.0</v>
      </c>
      <c r="Q218" s="14" t="s">
        <v>74</v>
      </c>
      <c r="R218" s="14" t="s">
        <v>75</v>
      </c>
      <c r="S218" s="14" t="s">
        <v>142</v>
      </c>
      <c r="T218" s="14" t="s">
        <v>39</v>
      </c>
      <c r="U218" s="14" t="s">
        <v>90</v>
      </c>
      <c r="V218" s="14" t="s">
        <v>225</v>
      </c>
      <c r="W218" s="14">
        <v>2.0</v>
      </c>
      <c r="X218" s="14">
        <v>2.0</v>
      </c>
      <c r="Y218" s="14">
        <v>4.0</v>
      </c>
      <c r="Z218" s="14">
        <v>3.0</v>
      </c>
      <c r="AA218" s="14">
        <v>2.0</v>
      </c>
      <c r="AB218" s="14">
        <v>0.0</v>
      </c>
      <c r="AC218" s="14">
        <v>2.3</v>
      </c>
      <c r="AD218" s="14"/>
      <c r="AE218" s="14" t="s">
        <v>122</v>
      </c>
      <c r="AF218" s="14"/>
      <c r="AG218" s="14"/>
      <c r="AH218" s="14"/>
      <c r="AI218" s="14"/>
      <c r="AJ218" s="14"/>
      <c r="AK218" s="14"/>
      <c r="AL218" s="14"/>
      <c r="AM218" s="14" t="s">
        <v>225</v>
      </c>
      <c r="AN218" s="14" t="s">
        <v>254</v>
      </c>
      <c r="AO218" s="14" t="s">
        <v>84</v>
      </c>
      <c r="AP218" s="14" t="s">
        <v>255</v>
      </c>
      <c r="AQ218" s="14">
        <v>0.0</v>
      </c>
      <c r="AR218" s="14" t="s">
        <v>196</v>
      </c>
    </row>
    <row r="219" ht="15.75" customHeight="1">
      <c r="A219" s="14" t="s">
        <v>39</v>
      </c>
      <c r="B219" s="14" t="s">
        <v>44</v>
      </c>
      <c r="C219" s="14" t="s">
        <v>102</v>
      </c>
      <c r="D219" s="14" t="s">
        <v>339</v>
      </c>
      <c r="E219" s="14" t="s">
        <v>202</v>
      </c>
      <c r="F219" s="14" t="s">
        <v>219</v>
      </c>
      <c r="G219" s="14" t="s">
        <v>69</v>
      </c>
      <c r="H219" s="14" t="s">
        <v>69</v>
      </c>
      <c r="I219" s="15" t="s">
        <v>122</v>
      </c>
      <c r="J219" s="14" t="s">
        <v>71</v>
      </c>
      <c r="K219" s="14">
        <v>3.0</v>
      </c>
      <c r="L219" s="14"/>
      <c r="M219" s="14"/>
      <c r="N219" s="14"/>
      <c r="O219" s="14"/>
      <c r="P219" s="14">
        <v>500.0</v>
      </c>
      <c r="Q219" s="14" t="s">
        <v>74</v>
      </c>
      <c r="R219" s="14" t="s">
        <v>75</v>
      </c>
      <c r="S219" s="14" t="s">
        <v>142</v>
      </c>
      <c r="T219" s="14" t="s">
        <v>39</v>
      </c>
      <c r="U219" s="14" t="s">
        <v>90</v>
      </c>
      <c r="V219" s="14" t="s">
        <v>220</v>
      </c>
      <c r="W219" s="14">
        <v>2.0</v>
      </c>
      <c r="X219" s="14">
        <v>2.0</v>
      </c>
      <c r="Y219" s="14">
        <v>4.0</v>
      </c>
      <c r="Z219" s="14">
        <v>3.0</v>
      </c>
      <c r="AA219" s="14">
        <v>2.0</v>
      </c>
      <c r="AB219" s="14">
        <v>0.0</v>
      </c>
      <c r="AC219" s="14">
        <v>2.3</v>
      </c>
      <c r="AD219" s="14"/>
      <c r="AE219" s="14" t="s">
        <v>122</v>
      </c>
      <c r="AF219" s="14"/>
      <c r="AG219" s="14"/>
      <c r="AH219" s="14"/>
      <c r="AI219" s="14"/>
      <c r="AJ219" s="14"/>
      <c r="AK219" s="14"/>
      <c r="AL219" s="14"/>
      <c r="AM219" s="14" t="s">
        <v>220</v>
      </c>
      <c r="AN219" s="14" t="s">
        <v>372</v>
      </c>
      <c r="AO219" s="14" t="s">
        <v>84</v>
      </c>
      <c r="AP219" s="14" t="s">
        <v>373</v>
      </c>
      <c r="AQ219" s="14">
        <v>0.0</v>
      </c>
      <c r="AR219" s="14" t="s">
        <v>196</v>
      </c>
    </row>
    <row r="220" ht="15.75" customHeight="1">
      <c r="A220" s="14" t="s">
        <v>39</v>
      </c>
      <c r="B220" s="14" t="s">
        <v>44</v>
      </c>
      <c r="C220" s="14" t="s">
        <v>102</v>
      </c>
      <c r="D220" s="14" t="s">
        <v>339</v>
      </c>
      <c r="E220" s="14" t="s">
        <v>202</v>
      </c>
      <c r="F220" s="14" t="s">
        <v>224</v>
      </c>
      <c r="G220" s="14" t="s">
        <v>69</v>
      </c>
      <c r="H220" s="14" t="s">
        <v>69</v>
      </c>
      <c r="I220" s="15" t="s">
        <v>122</v>
      </c>
      <c r="J220" s="14" t="s">
        <v>71</v>
      </c>
      <c r="K220" s="14">
        <v>3.0</v>
      </c>
      <c r="L220" s="14"/>
      <c r="M220" s="14"/>
      <c r="N220" s="14"/>
      <c r="O220" s="14"/>
      <c r="P220" s="14">
        <v>500.0</v>
      </c>
      <c r="Q220" s="14" t="s">
        <v>74</v>
      </c>
      <c r="R220" s="14" t="s">
        <v>75</v>
      </c>
      <c r="S220" s="14" t="s">
        <v>142</v>
      </c>
      <c r="T220" s="14" t="s">
        <v>39</v>
      </c>
      <c r="U220" s="14" t="s">
        <v>90</v>
      </c>
      <c r="V220" s="14" t="s">
        <v>225</v>
      </c>
      <c r="W220" s="14">
        <v>2.0</v>
      </c>
      <c r="X220" s="14">
        <v>2.0</v>
      </c>
      <c r="Y220" s="14">
        <v>4.0</v>
      </c>
      <c r="Z220" s="14">
        <v>3.0</v>
      </c>
      <c r="AA220" s="14">
        <v>2.0</v>
      </c>
      <c r="AB220" s="14">
        <v>0.0</v>
      </c>
      <c r="AC220" s="14">
        <v>2.3</v>
      </c>
      <c r="AD220" s="14"/>
      <c r="AE220" s="14" t="s">
        <v>122</v>
      </c>
      <c r="AF220" s="14"/>
      <c r="AG220" s="14"/>
      <c r="AH220" s="14"/>
      <c r="AI220" s="14"/>
      <c r="AJ220" s="14"/>
      <c r="AK220" s="14"/>
      <c r="AL220" s="14"/>
      <c r="AM220" s="14" t="s">
        <v>225</v>
      </c>
      <c r="AN220" s="14" t="s">
        <v>372</v>
      </c>
      <c r="AO220" s="14" t="s">
        <v>84</v>
      </c>
      <c r="AP220" s="14" t="s">
        <v>373</v>
      </c>
      <c r="AQ220" s="14">
        <v>0.0</v>
      </c>
      <c r="AR220" s="14" t="s">
        <v>196</v>
      </c>
    </row>
    <row r="221" ht="15.75" customHeight="1">
      <c r="A221" s="14" t="s">
        <v>39</v>
      </c>
      <c r="B221" s="14" t="s">
        <v>44</v>
      </c>
      <c r="C221" s="14" t="s">
        <v>102</v>
      </c>
      <c r="D221" s="14" t="s">
        <v>209</v>
      </c>
      <c r="E221" s="14" t="s">
        <v>138</v>
      </c>
      <c r="F221" s="14" t="s">
        <v>224</v>
      </c>
      <c r="G221" s="14" t="s">
        <v>69</v>
      </c>
      <c r="H221" s="14" t="s">
        <v>69</v>
      </c>
      <c r="I221" s="15" t="s">
        <v>122</v>
      </c>
      <c r="J221" s="14" t="s">
        <v>71</v>
      </c>
      <c r="K221" s="14">
        <v>3.0</v>
      </c>
      <c r="L221" s="14"/>
      <c r="M221" s="14"/>
      <c r="N221" s="14"/>
      <c r="O221" s="14"/>
      <c r="P221" s="14">
        <v>300.0</v>
      </c>
      <c r="Q221" s="14" t="s">
        <v>140</v>
      </c>
      <c r="R221" s="14" t="s">
        <v>75</v>
      </c>
      <c r="S221" s="14" t="s">
        <v>142</v>
      </c>
      <c r="T221" s="14" t="s">
        <v>39</v>
      </c>
      <c r="U221" s="14" t="s">
        <v>90</v>
      </c>
      <c r="V221" s="14" t="s">
        <v>225</v>
      </c>
      <c r="W221" s="14">
        <v>2.0</v>
      </c>
      <c r="X221" s="14">
        <v>4.0</v>
      </c>
      <c r="Y221" s="14">
        <v>4.0</v>
      </c>
      <c r="Z221" s="14">
        <v>3.0</v>
      </c>
      <c r="AA221" s="14">
        <v>2.0</v>
      </c>
      <c r="AB221" s="14">
        <v>0.0</v>
      </c>
      <c r="AC221" s="14">
        <v>2.6</v>
      </c>
      <c r="AD221" s="14"/>
      <c r="AE221" s="14" t="s">
        <v>122</v>
      </c>
      <c r="AF221" s="14"/>
      <c r="AG221" s="14"/>
      <c r="AH221" s="14"/>
      <c r="AI221" s="14"/>
      <c r="AJ221" s="14"/>
      <c r="AK221" s="14"/>
      <c r="AL221" s="14"/>
      <c r="AM221" s="14" t="s">
        <v>225</v>
      </c>
      <c r="AN221" s="14" t="s">
        <v>259</v>
      </c>
      <c r="AO221" s="14" t="s">
        <v>84</v>
      </c>
      <c r="AP221" s="14" t="s">
        <v>261</v>
      </c>
      <c r="AQ221" s="14">
        <v>0.0</v>
      </c>
      <c r="AR221" s="14" t="s">
        <v>196</v>
      </c>
    </row>
    <row r="222" ht="15.75" customHeight="1">
      <c r="A222" s="14" t="s">
        <v>39</v>
      </c>
      <c r="B222" s="14" t="s">
        <v>44</v>
      </c>
      <c r="C222" s="14" t="s">
        <v>102</v>
      </c>
      <c r="D222" s="14" t="s">
        <v>509</v>
      </c>
      <c r="E222" s="14" t="s">
        <v>271</v>
      </c>
      <c r="F222" s="14" t="s">
        <v>538</v>
      </c>
      <c r="G222" s="14" t="s">
        <v>69</v>
      </c>
      <c r="H222" s="14" t="s">
        <v>39</v>
      </c>
      <c r="I222" s="15" t="s">
        <v>122</v>
      </c>
      <c r="J222" s="14" t="s">
        <v>71</v>
      </c>
      <c r="K222" s="14">
        <v>0.0</v>
      </c>
      <c r="L222" s="14">
        <v>0.0</v>
      </c>
      <c r="M222" s="14"/>
      <c r="N222" s="14"/>
      <c r="O222" s="14"/>
      <c r="P222" s="14">
        <v>570.0</v>
      </c>
      <c r="Q222" s="14" t="s">
        <v>74</v>
      </c>
      <c r="R222" s="14" t="s">
        <v>75</v>
      </c>
      <c r="S222" s="14" t="s">
        <v>142</v>
      </c>
      <c r="T222" s="14" t="s">
        <v>39</v>
      </c>
      <c r="U222" s="14" t="s">
        <v>232</v>
      </c>
      <c r="V222" s="14" t="s">
        <v>539</v>
      </c>
      <c r="W222" s="14">
        <v>2.0</v>
      </c>
      <c r="X222" s="14">
        <v>2.0</v>
      </c>
      <c r="Y222" s="14">
        <v>1.0</v>
      </c>
      <c r="Z222" s="14">
        <v>3.0</v>
      </c>
      <c r="AA222" s="14">
        <v>2.0</v>
      </c>
      <c r="AB222" s="14">
        <v>0.0</v>
      </c>
      <c r="AC222" s="14">
        <v>1.6</v>
      </c>
      <c r="AD222" s="14">
        <v>0.0</v>
      </c>
      <c r="AE222" s="14" t="s">
        <v>122</v>
      </c>
      <c r="AF222" s="14"/>
      <c r="AG222" s="14"/>
      <c r="AH222" s="14"/>
      <c r="AI222" s="14"/>
      <c r="AJ222" s="14"/>
      <c r="AK222" s="14"/>
      <c r="AL222" s="14"/>
      <c r="AM222" s="14" t="s">
        <v>539</v>
      </c>
      <c r="AN222" s="14" t="s">
        <v>536</v>
      </c>
      <c r="AO222" s="14" t="s">
        <v>84</v>
      </c>
      <c r="AP222" s="14" t="s">
        <v>537</v>
      </c>
      <c r="AQ222" s="14">
        <v>0.0</v>
      </c>
      <c r="AR222" s="14" t="s">
        <v>196</v>
      </c>
    </row>
    <row r="223" ht="15.75" customHeight="1">
      <c r="A223" s="14" t="s">
        <v>39</v>
      </c>
      <c r="B223" s="14" t="s">
        <v>44</v>
      </c>
      <c r="C223" s="14" t="s">
        <v>102</v>
      </c>
      <c r="D223" s="14" t="s">
        <v>213</v>
      </c>
      <c r="E223" s="14" t="s">
        <v>138</v>
      </c>
      <c r="F223" s="14" t="s">
        <v>219</v>
      </c>
      <c r="G223" s="14" t="s">
        <v>69</v>
      </c>
      <c r="H223" s="14" t="s">
        <v>69</v>
      </c>
      <c r="I223" s="15" t="s">
        <v>122</v>
      </c>
      <c r="J223" s="14" t="s">
        <v>71</v>
      </c>
      <c r="K223" s="14">
        <v>3.0</v>
      </c>
      <c r="L223" s="14"/>
      <c r="M223" s="14"/>
      <c r="N223" s="14"/>
      <c r="O223" s="14"/>
      <c r="P223" s="14">
        <v>300.0</v>
      </c>
      <c r="Q223" s="14" t="s">
        <v>140</v>
      </c>
      <c r="R223" s="14" t="s">
        <v>75</v>
      </c>
      <c r="S223" s="14" t="s">
        <v>142</v>
      </c>
      <c r="T223" s="14" t="s">
        <v>39</v>
      </c>
      <c r="U223" s="14" t="s">
        <v>90</v>
      </c>
      <c r="V223" s="14" t="s">
        <v>220</v>
      </c>
      <c r="W223" s="14">
        <v>2.0</v>
      </c>
      <c r="X223" s="14">
        <v>4.0</v>
      </c>
      <c r="Y223" s="14">
        <v>4.0</v>
      </c>
      <c r="Z223" s="14">
        <v>3.0</v>
      </c>
      <c r="AA223" s="14">
        <v>2.0</v>
      </c>
      <c r="AB223" s="14">
        <v>0.0</v>
      </c>
      <c r="AC223" s="14">
        <v>2.6</v>
      </c>
      <c r="AD223" s="14"/>
      <c r="AE223" s="14" t="s">
        <v>122</v>
      </c>
      <c r="AF223" s="14"/>
      <c r="AG223" s="14"/>
      <c r="AH223" s="14"/>
      <c r="AI223" s="14"/>
      <c r="AJ223" s="14"/>
      <c r="AK223" s="14"/>
      <c r="AL223" s="14"/>
      <c r="AM223" s="14" t="s">
        <v>220</v>
      </c>
      <c r="AN223" s="14" t="s">
        <v>374</v>
      </c>
      <c r="AO223" s="14" t="s">
        <v>84</v>
      </c>
      <c r="AP223" s="14" t="s">
        <v>375</v>
      </c>
      <c r="AQ223" s="14">
        <v>0.0</v>
      </c>
      <c r="AR223" s="14" t="s">
        <v>196</v>
      </c>
    </row>
    <row r="224" ht="15.75" customHeight="1">
      <c r="A224" s="14" t="s">
        <v>39</v>
      </c>
      <c r="B224" s="14" t="s">
        <v>44</v>
      </c>
      <c r="C224" s="14" t="s">
        <v>102</v>
      </c>
      <c r="D224" s="14" t="s">
        <v>213</v>
      </c>
      <c r="E224" s="14" t="s">
        <v>138</v>
      </c>
      <c r="F224" s="14" t="s">
        <v>224</v>
      </c>
      <c r="G224" s="14" t="s">
        <v>69</v>
      </c>
      <c r="H224" s="14" t="s">
        <v>69</v>
      </c>
      <c r="I224" s="15" t="s">
        <v>122</v>
      </c>
      <c r="J224" s="14" t="s">
        <v>71</v>
      </c>
      <c r="K224" s="14">
        <v>3.0</v>
      </c>
      <c r="L224" s="14"/>
      <c r="M224" s="14"/>
      <c r="N224" s="14"/>
      <c r="O224" s="14"/>
      <c r="P224" s="14">
        <v>300.0</v>
      </c>
      <c r="Q224" s="14" t="s">
        <v>140</v>
      </c>
      <c r="R224" s="14" t="s">
        <v>75</v>
      </c>
      <c r="S224" s="14" t="s">
        <v>142</v>
      </c>
      <c r="T224" s="14" t="s">
        <v>39</v>
      </c>
      <c r="U224" s="14" t="s">
        <v>90</v>
      </c>
      <c r="V224" s="14" t="s">
        <v>225</v>
      </c>
      <c r="W224" s="14">
        <v>2.0</v>
      </c>
      <c r="X224" s="14">
        <v>4.0</v>
      </c>
      <c r="Y224" s="14">
        <v>4.0</v>
      </c>
      <c r="Z224" s="14">
        <v>3.0</v>
      </c>
      <c r="AA224" s="14">
        <v>2.0</v>
      </c>
      <c r="AB224" s="14">
        <v>0.0</v>
      </c>
      <c r="AC224" s="14">
        <v>2.6</v>
      </c>
      <c r="AD224" s="14"/>
      <c r="AE224" s="14" t="s">
        <v>122</v>
      </c>
      <c r="AF224" s="14"/>
      <c r="AG224" s="14"/>
      <c r="AH224" s="14"/>
      <c r="AI224" s="14"/>
      <c r="AJ224" s="14"/>
      <c r="AK224" s="14"/>
      <c r="AL224" s="14"/>
      <c r="AM224" s="14" t="s">
        <v>225</v>
      </c>
      <c r="AN224" s="14" t="s">
        <v>374</v>
      </c>
      <c r="AO224" s="14" t="s">
        <v>84</v>
      </c>
      <c r="AP224" s="14" t="s">
        <v>375</v>
      </c>
      <c r="AQ224" s="14">
        <v>0.0</v>
      </c>
      <c r="AR224" s="14" t="s">
        <v>196</v>
      </c>
    </row>
    <row r="225" ht="15.75" customHeight="1">
      <c r="A225" s="14" t="s">
        <v>39</v>
      </c>
      <c r="B225" s="14" t="s">
        <v>44</v>
      </c>
      <c r="C225" s="14" t="s">
        <v>102</v>
      </c>
      <c r="D225" s="14" t="s">
        <v>513</v>
      </c>
      <c r="E225" s="14" t="s">
        <v>68</v>
      </c>
      <c r="F225" s="14" t="s">
        <v>219</v>
      </c>
      <c r="G225" s="14" t="s">
        <v>69</v>
      </c>
      <c r="H225" s="14" t="s">
        <v>69</v>
      </c>
      <c r="I225" s="15" t="s">
        <v>122</v>
      </c>
      <c r="J225" s="14" t="s">
        <v>71</v>
      </c>
      <c r="K225" s="14">
        <v>3.0</v>
      </c>
      <c r="L225" s="14"/>
      <c r="M225" s="14"/>
      <c r="N225" s="14"/>
      <c r="O225" s="14"/>
      <c r="P225" s="14">
        <v>520.0</v>
      </c>
      <c r="Q225" s="14" t="s">
        <v>74</v>
      </c>
      <c r="R225" s="14" t="s">
        <v>75</v>
      </c>
      <c r="S225" s="14" t="s">
        <v>76</v>
      </c>
      <c r="T225" s="14" t="s">
        <v>39</v>
      </c>
      <c r="U225" s="14" t="s">
        <v>59</v>
      </c>
      <c r="V225" s="14" t="s">
        <v>220</v>
      </c>
      <c r="W225" s="14">
        <v>2.0</v>
      </c>
      <c r="X225" s="14">
        <v>2.0</v>
      </c>
      <c r="Y225" s="14">
        <v>4.0</v>
      </c>
      <c r="Z225" s="14">
        <v>3.0</v>
      </c>
      <c r="AA225" s="14">
        <v>4.0</v>
      </c>
      <c r="AB225" s="14">
        <v>0.0</v>
      </c>
      <c r="AC225" s="14">
        <v>2.5</v>
      </c>
      <c r="AD225" s="14"/>
      <c r="AE225" s="14" t="s">
        <v>122</v>
      </c>
      <c r="AF225" s="14"/>
      <c r="AG225" s="14"/>
      <c r="AH225" s="14"/>
      <c r="AI225" s="14"/>
      <c r="AJ225" s="14"/>
      <c r="AK225" s="14"/>
      <c r="AL225" s="14"/>
      <c r="AM225" s="14" t="s">
        <v>220</v>
      </c>
      <c r="AN225" s="14" t="s">
        <v>592</v>
      </c>
      <c r="AO225" s="14" t="s">
        <v>84</v>
      </c>
      <c r="AP225" s="14" t="s">
        <v>593</v>
      </c>
      <c r="AQ225" s="14">
        <v>0.0</v>
      </c>
      <c r="AR225" s="14" t="s">
        <v>196</v>
      </c>
    </row>
    <row r="226" ht="15.75" customHeight="1">
      <c r="A226" s="14" t="s">
        <v>39</v>
      </c>
      <c r="B226" s="14" t="s">
        <v>44</v>
      </c>
      <c r="C226" s="14" t="s">
        <v>102</v>
      </c>
      <c r="D226" s="14" t="s">
        <v>513</v>
      </c>
      <c r="E226" s="14" t="s">
        <v>68</v>
      </c>
      <c r="F226" s="14" t="s">
        <v>224</v>
      </c>
      <c r="G226" s="14" t="s">
        <v>69</v>
      </c>
      <c r="H226" s="14" t="s">
        <v>69</v>
      </c>
      <c r="I226" s="15" t="s">
        <v>122</v>
      </c>
      <c r="J226" s="14" t="s">
        <v>71</v>
      </c>
      <c r="K226" s="14">
        <v>3.0</v>
      </c>
      <c r="L226" s="14"/>
      <c r="M226" s="14"/>
      <c r="N226" s="14"/>
      <c r="O226" s="14"/>
      <c r="P226" s="14">
        <v>520.0</v>
      </c>
      <c r="Q226" s="14" t="s">
        <v>74</v>
      </c>
      <c r="R226" s="14" t="s">
        <v>75</v>
      </c>
      <c r="S226" s="14" t="s">
        <v>76</v>
      </c>
      <c r="T226" s="14" t="s">
        <v>39</v>
      </c>
      <c r="U226" s="14" t="s">
        <v>59</v>
      </c>
      <c r="V226" s="14" t="s">
        <v>225</v>
      </c>
      <c r="W226" s="14">
        <v>2.0</v>
      </c>
      <c r="X226" s="14">
        <v>2.0</v>
      </c>
      <c r="Y226" s="14">
        <v>4.0</v>
      </c>
      <c r="Z226" s="14">
        <v>3.0</v>
      </c>
      <c r="AA226" s="14">
        <v>4.0</v>
      </c>
      <c r="AB226" s="14">
        <v>0.0</v>
      </c>
      <c r="AC226" s="14">
        <v>2.5</v>
      </c>
      <c r="AD226" s="14"/>
      <c r="AE226" s="14" t="s">
        <v>122</v>
      </c>
      <c r="AF226" s="14"/>
      <c r="AG226" s="14"/>
      <c r="AH226" s="14"/>
      <c r="AI226" s="14"/>
      <c r="AJ226" s="14"/>
      <c r="AK226" s="14"/>
      <c r="AL226" s="14"/>
      <c r="AM226" s="14" t="s">
        <v>225</v>
      </c>
      <c r="AN226" s="14" t="s">
        <v>592</v>
      </c>
      <c r="AO226" s="14" t="s">
        <v>84</v>
      </c>
      <c r="AP226" s="14" t="s">
        <v>593</v>
      </c>
      <c r="AQ226" s="14">
        <v>0.0</v>
      </c>
      <c r="AR226" s="14" t="s">
        <v>196</v>
      </c>
    </row>
    <row r="227" ht="15.75" customHeight="1">
      <c r="A227" s="14" t="s">
        <v>39</v>
      </c>
      <c r="B227" s="14" t="s">
        <v>44</v>
      </c>
      <c r="C227" s="14" t="s">
        <v>102</v>
      </c>
      <c r="D227" s="14" t="s">
        <v>514</v>
      </c>
      <c r="E227" s="14" t="s">
        <v>202</v>
      </c>
      <c r="F227" s="14" t="s">
        <v>224</v>
      </c>
      <c r="G227" s="14" t="s">
        <v>69</v>
      </c>
      <c r="H227" s="14" t="s">
        <v>69</v>
      </c>
      <c r="I227" s="15" t="s">
        <v>122</v>
      </c>
      <c r="J227" s="14" t="s">
        <v>71</v>
      </c>
      <c r="K227" s="14">
        <v>3.0</v>
      </c>
      <c r="L227" s="14"/>
      <c r="M227" s="14"/>
      <c r="N227" s="14"/>
      <c r="O227" s="14"/>
      <c r="P227" s="14">
        <v>500.0</v>
      </c>
      <c r="Q227" s="14" t="s">
        <v>74</v>
      </c>
      <c r="R227" s="14" t="s">
        <v>75</v>
      </c>
      <c r="S227" s="14" t="s">
        <v>142</v>
      </c>
      <c r="T227" s="14" t="s">
        <v>39</v>
      </c>
      <c r="U227" s="14" t="s">
        <v>90</v>
      </c>
      <c r="V227" s="14" t="s">
        <v>225</v>
      </c>
      <c r="W227" s="14">
        <v>2.0</v>
      </c>
      <c r="X227" s="14">
        <v>2.0</v>
      </c>
      <c r="Y227" s="14">
        <v>4.0</v>
      </c>
      <c r="Z227" s="14">
        <v>3.0</v>
      </c>
      <c r="AA227" s="14">
        <v>2.0</v>
      </c>
      <c r="AB227" s="14">
        <v>0.0</v>
      </c>
      <c r="AC227" s="14">
        <v>2.3</v>
      </c>
      <c r="AD227" s="14"/>
      <c r="AE227" s="14" t="s">
        <v>122</v>
      </c>
      <c r="AF227" s="14"/>
      <c r="AG227" s="14"/>
      <c r="AH227" s="14"/>
      <c r="AI227" s="14"/>
      <c r="AJ227" s="14"/>
      <c r="AK227" s="14"/>
      <c r="AL227" s="14"/>
      <c r="AM227" s="14" t="s">
        <v>225</v>
      </c>
      <c r="AN227" s="14" t="s">
        <v>594</v>
      </c>
      <c r="AO227" s="14" t="s">
        <v>84</v>
      </c>
      <c r="AP227" s="14" t="s">
        <v>595</v>
      </c>
      <c r="AQ227" s="14">
        <v>0.0</v>
      </c>
      <c r="AR227" s="14" t="s">
        <v>196</v>
      </c>
    </row>
    <row r="228" ht="15.75" customHeight="1">
      <c r="A228" s="14" t="s">
        <v>39</v>
      </c>
      <c r="B228" s="14" t="s">
        <v>44</v>
      </c>
      <c r="C228" s="14" t="s">
        <v>102</v>
      </c>
      <c r="D228" s="14" t="s">
        <v>340</v>
      </c>
      <c r="E228" s="14" t="s">
        <v>181</v>
      </c>
      <c r="F228" s="14" t="s">
        <v>219</v>
      </c>
      <c r="G228" s="14" t="s">
        <v>69</v>
      </c>
      <c r="H228" s="14" t="s">
        <v>69</v>
      </c>
      <c r="I228" s="15" t="s">
        <v>122</v>
      </c>
      <c r="J228" s="14" t="s">
        <v>71</v>
      </c>
      <c r="K228" s="14">
        <v>3.0</v>
      </c>
      <c r="L228" s="14"/>
      <c r="M228" s="14"/>
      <c r="N228" s="14"/>
      <c r="O228" s="14"/>
      <c r="P228" s="14">
        <v>520.0</v>
      </c>
      <c r="Q228" s="14" t="s">
        <v>74</v>
      </c>
      <c r="R228" s="14" t="s">
        <v>75</v>
      </c>
      <c r="S228" s="14" t="s">
        <v>142</v>
      </c>
      <c r="T228" s="14" t="s">
        <v>39</v>
      </c>
      <c r="U228" s="14" t="s">
        <v>90</v>
      </c>
      <c r="V228" s="14" t="s">
        <v>220</v>
      </c>
      <c r="W228" s="14">
        <v>2.0</v>
      </c>
      <c r="X228" s="14">
        <v>2.0</v>
      </c>
      <c r="Y228" s="14">
        <v>4.0</v>
      </c>
      <c r="Z228" s="14">
        <v>3.0</v>
      </c>
      <c r="AA228" s="14">
        <v>2.0</v>
      </c>
      <c r="AB228" s="14">
        <v>0.0</v>
      </c>
      <c r="AC228" s="14">
        <v>2.3</v>
      </c>
      <c r="AD228" s="14"/>
      <c r="AE228" s="14" t="s">
        <v>122</v>
      </c>
      <c r="AF228" s="14"/>
      <c r="AG228" s="14"/>
      <c r="AH228" s="14"/>
      <c r="AI228" s="14"/>
      <c r="AJ228" s="14"/>
      <c r="AK228" s="14"/>
      <c r="AL228" s="14"/>
      <c r="AM228" s="14" t="s">
        <v>220</v>
      </c>
      <c r="AN228" s="14" t="s">
        <v>377</v>
      </c>
      <c r="AO228" s="14" t="s">
        <v>84</v>
      </c>
      <c r="AP228" s="14" t="s">
        <v>378</v>
      </c>
      <c r="AQ228" s="14">
        <v>0.0</v>
      </c>
      <c r="AR228" s="14" t="s">
        <v>196</v>
      </c>
    </row>
    <row r="229" ht="15.75" customHeight="1">
      <c r="A229" s="14" t="s">
        <v>39</v>
      </c>
      <c r="B229" s="14" t="s">
        <v>44</v>
      </c>
      <c r="C229" s="14" t="s">
        <v>102</v>
      </c>
      <c r="D229" s="14" t="s">
        <v>515</v>
      </c>
      <c r="E229" s="14" t="s">
        <v>164</v>
      </c>
      <c r="F229" s="14" t="s">
        <v>402</v>
      </c>
      <c r="G229" s="14" t="s">
        <v>69</v>
      </c>
      <c r="H229" s="14" t="s">
        <v>69</v>
      </c>
      <c r="I229" s="15" t="s">
        <v>122</v>
      </c>
      <c r="J229" s="14" t="s">
        <v>71</v>
      </c>
      <c r="K229" s="14">
        <v>3.0</v>
      </c>
      <c r="L229" s="14"/>
      <c r="M229" s="14"/>
      <c r="N229" s="14"/>
      <c r="O229" s="14"/>
      <c r="P229" s="14">
        <v>490.0</v>
      </c>
      <c r="Q229" s="14" t="s">
        <v>74</v>
      </c>
      <c r="R229" s="14" t="s">
        <v>75</v>
      </c>
      <c r="S229" s="14" t="s">
        <v>142</v>
      </c>
      <c r="T229" s="14" t="s">
        <v>39</v>
      </c>
      <c r="U229" s="14" t="s">
        <v>90</v>
      </c>
      <c r="V229" s="14" t="s">
        <v>403</v>
      </c>
      <c r="W229" s="14">
        <v>2.0</v>
      </c>
      <c r="X229" s="14">
        <v>2.0</v>
      </c>
      <c r="Y229" s="14">
        <v>4.0</v>
      </c>
      <c r="Z229" s="14">
        <v>3.0</v>
      </c>
      <c r="AA229" s="14">
        <v>2.0</v>
      </c>
      <c r="AB229" s="14">
        <v>0.0</v>
      </c>
      <c r="AC229" s="14">
        <v>2.3</v>
      </c>
      <c r="AD229" s="14"/>
      <c r="AE229" s="14" t="s">
        <v>122</v>
      </c>
      <c r="AF229" s="14"/>
      <c r="AG229" s="14"/>
      <c r="AH229" s="14"/>
      <c r="AI229" s="14"/>
      <c r="AJ229" s="14"/>
      <c r="AK229" s="14"/>
      <c r="AL229" s="14"/>
      <c r="AM229" s="14" t="s">
        <v>403</v>
      </c>
      <c r="AN229" s="14" t="s">
        <v>596</v>
      </c>
      <c r="AO229" s="14" t="s">
        <v>84</v>
      </c>
      <c r="AP229" s="14" t="s">
        <v>597</v>
      </c>
      <c r="AQ229" s="14">
        <v>0.0</v>
      </c>
      <c r="AR229" s="14" t="s">
        <v>196</v>
      </c>
    </row>
    <row r="230" ht="15.75" customHeight="1">
      <c r="A230" s="14" t="s">
        <v>39</v>
      </c>
      <c r="B230" s="14" t="s">
        <v>44</v>
      </c>
      <c r="C230" s="14" t="s">
        <v>102</v>
      </c>
      <c r="D230" s="14" t="s">
        <v>237</v>
      </c>
      <c r="E230" s="14" t="s">
        <v>106</v>
      </c>
      <c r="F230" s="14" t="s">
        <v>224</v>
      </c>
      <c r="G230" s="14" t="s">
        <v>69</v>
      </c>
      <c r="H230" s="14" t="s">
        <v>69</v>
      </c>
      <c r="I230" s="15" t="s">
        <v>122</v>
      </c>
      <c r="J230" s="14" t="s">
        <v>71</v>
      </c>
      <c r="K230" s="14">
        <v>3.0</v>
      </c>
      <c r="L230" s="14"/>
      <c r="M230" s="14"/>
      <c r="N230" s="14"/>
      <c r="O230" s="14"/>
      <c r="P230" s="14">
        <v>130.0</v>
      </c>
      <c r="Q230" s="14" t="s">
        <v>121</v>
      </c>
      <c r="R230" s="14" t="s">
        <v>75</v>
      </c>
      <c r="S230" s="14" t="s">
        <v>76</v>
      </c>
      <c r="T230" s="14" t="s">
        <v>39</v>
      </c>
      <c r="U230" s="14" t="s">
        <v>90</v>
      </c>
      <c r="V230" s="14" t="s">
        <v>225</v>
      </c>
      <c r="W230" s="14">
        <v>2.0</v>
      </c>
      <c r="X230" s="14">
        <v>5.0</v>
      </c>
      <c r="Y230" s="14">
        <v>4.0</v>
      </c>
      <c r="Z230" s="14">
        <v>3.0</v>
      </c>
      <c r="AA230" s="14">
        <v>4.0</v>
      </c>
      <c r="AB230" s="14">
        <v>0.0</v>
      </c>
      <c r="AC230" s="14">
        <v>2.9</v>
      </c>
      <c r="AD230" s="14"/>
      <c r="AE230" s="14" t="s">
        <v>122</v>
      </c>
      <c r="AF230" s="14"/>
      <c r="AG230" s="14"/>
      <c r="AH230" s="14"/>
      <c r="AI230" s="14"/>
      <c r="AJ230" s="14"/>
      <c r="AK230" s="14"/>
      <c r="AL230" s="14"/>
      <c r="AM230" s="14" t="s">
        <v>225</v>
      </c>
      <c r="AN230" s="14" t="s">
        <v>598</v>
      </c>
      <c r="AO230" s="14" t="s">
        <v>84</v>
      </c>
      <c r="AP230" s="14" t="s">
        <v>599</v>
      </c>
      <c r="AQ230" s="14">
        <v>0.0</v>
      </c>
      <c r="AR230" s="14" t="s">
        <v>196</v>
      </c>
    </row>
    <row r="231" ht="15.75" customHeight="1">
      <c r="A231" s="14" t="s">
        <v>39</v>
      </c>
      <c r="B231" s="14" t="s">
        <v>44</v>
      </c>
      <c r="C231" s="14" t="s">
        <v>102</v>
      </c>
      <c r="D231" s="14" t="s">
        <v>518</v>
      </c>
      <c r="E231" s="14" t="s">
        <v>271</v>
      </c>
      <c r="F231" s="14" t="s">
        <v>367</v>
      </c>
      <c r="G231" s="14" t="s">
        <v>69</v>
      </c>
      <c r="H231" s="14" t="s">
        <v>69</v>
      </c>
      <c r="I231" s="15" t="s">
        <v>122</v>
      </c>
      <c r="J231" s="14" t="s">
        <v>71</v>
      </c>
      <c r="K231" s="14">
        <v>3.0</v>
      </c>
      <c r="L231" s="14"/>
      <c r="M231" s="14"/>
      <c r="N231" s="14"/>
      <c r="O231" s="14"/>
      <c r="P231" s="14">
        <v>570.0</v>
      </c>
      <c r="Q231" s="14" t="s">
        <v>74</v>
      </c>
      <c r="R231" s="14" t="s">
        <v>75</v>
      </c>
      <c r="S231" s="14" t="s">
        <v>142</v>
      </c>
      <c r="T231" s="14" t="s">
        <v>39</v>
      </c>
      <c r="U231" s="14" t="s">
        <v>226</v>
      </c>
      <c r="V231" s="14" t="s">
        <v>368</v>
      </c>
      <c r="W231" s="14">
        <v>2.0</v>
      </c>
      <c r="X231" s="14">
        <v>2.0</v>
      </c>
      <c r="Y231" s="14">
        <v>4.0</v>
      </c>
      <c r="Z231" s="14">
        <v>3.0</v>
      </c>
      <c r="AA231" s="14">
        <v>2.0</v>
      </c>
      <c r="AB231" s="14">
        <v>0.0</v>
      </c>
      <c r="AC231" s="14">
        <v>2.3</v>
      </c>
      <c r="AD231" s="14"/>
      <c r="AE231" s="14" t="s">
        <v>122</v>
      </c>
      <c r="AF231" s="14"/>
      <c r="AG231" s="14"/>
      <c r="AH231" s="14"/>
      <c r="AI231" s="14"/>
      <c r="AJ231" s="14"/>
      <c r="AK231" s="14"/>
      <c r="AL231" s="14"/>
      <c r="AM231" s="14" t="s">
        <v>368</v>
      </c>
      <c r="AN231" s="14" t="s">
        <v>600</v>
      </c>
      <c r="AO231" s="14" t="s">
        <v>84</v>
      </c>
      <c r="AP231" s="14" t="s">
        <v>601</v>
      </c>
      <c r="AQ231" s="14">
        <v>0.0</v>
      </c>
      <c r="AR231" s="14" t="s">
        <v>196</v>
      </c>
    </row>
    <row r="232" ht="15.75" customHeight="1">
      <c r="A232" s="14" t="s">
        <v>39</v>
      </c>
      <c r="B232" s="14" t="s">
        <v>44</v>
      </c>
      <c r="C232" s="14" t="s">
        <v>102</v>
      </c>
      <c r="D232" s="14" t="s">
        <v>347</v>
      </c>
      <c r="E232" s="14" t="s">
        <v>271</v>
      </c>
      <c r="F232" s="14" t="s">
        <v>367</v>
      </c>
      <c r="G232" s="14" t="s">
        <v>69</v>
      </c>
      <c r="H232" s="14" t="s">
        <v>69</v>
      </c>
      <c r="I232" s="15" t="s">
        <v>122</v>
      </c>
      <c r="J232" s="14" t="s">
        <v>71</v>
      </c>
      <c r="K232" s="14">
        <v>3.0</v>
      </c>
      <c r="L232" s="14"/>
      <c r="M232" s="14"/>
      <c r="N232" s="14"/>
      <c r="O232" s="14"/>
      <c r="P232" s="14">
        <v>570.0</v>
      </c>
      <c r="Q232" s="14" t="s">
        <v>74</v>
      </c>
      <c r="R232" s="14" t="s">
        <v>75</v>
      </c>
      <c r="S232" s="14" t="s">
        <v>142</v>
      </c>
      <c r="T232" s="14" t="s">
        <v>39</v>
      </c>
      <c r="U232" s="14" t="s">
        <v>226</v>
      </c>
      <c r="V232" s="14" t="s">
        <v>368</v>
      </c>
      <c r="W232" s="14">
        <v>2.0</v>
      </c>
      <c r="X232" s="14">
        <v>2.0</v>
      </c>
      <c r="Y232" s="14">
        <v>4.0</v>
      </c>
      <c r="Z232" s="14">
        <v>3.0</v>
      </c>
      <c r="AA232" s="14">
        <v>2.0</v>
      </c>
      <c r="AB232" s="14">
        <v>0.0</v>
      </c>
      <c r="AC232" s="14">
        <v>2.3</v>
      </c>
      <c r="AD232" s="14"/>
      <c r="AE232" s="14" t="s">
        <v>122</v>
      </c>
      <c r="AF232" s="14"/>
      <c r="AG232" s="14"/>
      <c r="AH232" s="14"/>
      <c r="AI232" s="14"/>
      <c r="AJ232" s="14"/>
      <c r="AK232" s="14"/>
      <c r="AL232" s="14"/>
      <c r="AM232" s="14" t="s">
        <v>368</v>
      </c>
      <c r="AN232" s="14" t="s">
        <v>470</v>
      </c>
      <c r="AO232" s="14" t="s">
        <v>84</v>
      </c>
      <c r="AP232" s="14" t="s">
        <v>471</v>
      </c>
      <c r="AQ232" s="14">
        <v>0.0</v>
      </c>
      <c r="AR232" s="14" t="s">
        <v>196</v>
      </c>
    </row>
    <row r="233" ht="15.75" customHeight="1">
      <c r="A233" s="14" t="s">
        <v>39</v>
      </c>
      <c r="B233" s="14" t="s">
        <v>44</v>
      </c>
      <c r="C233" s="14" t="s">
        <v>102</v>
      </c>
      <c r="D233" s="14" t="s">
        <v>521</v>
      </c>
      <c r="E233" s="14" t="s">
        <v>271</v>
      </c>
      <c r="F233" s="14" t="s">
        <v>367</v>
      </c>
      <c r="G233" s="14" t="s">
        <v>69</v>
      </c>
      <c r="H233" s="14" t="s">
        <v>69</v>
      </c>
      <c r="I233" s="15" t="s">
        <v>122</v>
      </c>
      <c r="J233" s="14" t="s">
        <v>71</v>
      </c>
      <c r="K233" s="14">
        <v>3.0</v>
      </c>
      <c r="L233" s="14"/>
      <c r="M233" s="14"/>
      <c r="N233" s="14"/>
      <c r="O233" s="14"/>
      <c r="P233" s="14">
        <v>570.0</v>
      </c>
      <c r="Q233" s="14" t="s">
        <v>74</v>
      </c>
      <c r="R233" s="14" t="s">
        <v>75</v>
      </c>
      <c r="S233" s="14" t="s">
        <v>142</v>
      </c>
      <c r="T233" s="14" t="s">
        <v>39</v>
      </c>
      <c r="U233" s="14" t="s">
        <v>226</v>
      </c>
      <c r="V233" s="14" t="s">
        <v>368</v>
      </c>
      <c r="W233" s="14">
        <v>2.0</v>
      </c>
      <c r="X233" s="14">
        <v>2.0</v>
      </c>
      <c r="Y233" s="14">
        <v>4.0</v>
      </c>
      <c r="Z233" s="14">
        <v>3.0</v>
      </c>
      <c r="AA233" s="14">
        <v>2.0</v>
      </c>
      <c r="AB233" s="14">
        <v>0.0</v>
      </c>
      <c r="AC233" s="14">
        <v>2.3</v>
      </c>
      <c r="AD233" s="14"/>
      <c r="AE233" s="14" t="s">
        <v>122</v>
      </c>
      <c r="AF233" s="14"/>
      <c r="AG233" s="14"/>
      <c r="AH233" s="14"/>
      <c r="AI233" s="14"/>
      <c r="AJ233" s="14"/>
      <c r="AK233" s="14"/>
      <c r="AL233" s="14"/>
      <c r="AM233" s="14" t="s">
        <v>368</v>
      </c>
      <c r="AN233" s="14" t="s">
        <v>602</v>
      </c>
      <c r="AO233" s="14" t="s">
        <v>84</v>
      </c>
      <c r="AP233" s="14" t="s">
        <v>603</v>
      </c>
      <c r="AQ233" s="14">
        <v>0.0</v>
      </c>
      <c r="AR233" s="14" t="s">
        <v>196</v>
      </c>
    </row>
    <row r="234" ht="15.75" customHeight="1">
      <c r="A234" s="14" t="s">
        <v>39</v>
      </c>
      <c r="B234" s="14" t="s">
        <v>44</v>
      </c>
      <c r="C234" s="14" t="s">
        <v>102</v>
      </c>
      <c r="D234" s="14" t="s">
        <v>348</v>
      </c>
      <c r="E234" s="14" t="s">
        <v>271</v>
      </c>
      <c r="F234" s="14" t="s">
        <v>367</v>
      </c>
      <c r="G234" s="14" t="s">
        <v>69</v>
      </c>
      <c r="H234" s="14" t="s">
        <v>69</v>
      </c>
      <c r="I234" s="15" t="s">
        <v>122</v>
      </c>
      <c r="J234" s="14" t="s">
        <v>71</v>
      </c>
      <c r="K234" s="14">
        <v>3.0</v>
      </c>
      <c r="L234" s="14"/>
      <c r="M234" s="14"/>
      <c r="N234" s="14"/>
      <c r="O234" s="14"/>
      <c r="P234" s="14">
        <v>570.0</v>
      </c>
      <c r="Q234" s="14" t="s">
        <v>74</v>
      </c>
      <c r="R234" s="14" t="s">
        <v>75</v>
      </c>
      <c r="S234" s="14" t="s">
        <v>142</v>
      </c>
      <c r="T234" s="14" t="s">
        <v>39</v>
      </c>
      <c r="U234" s="14" t="s">
        <v>226</v>
      </c>
      <c r="V234" s="14" t="s">
        <v>368</v>
      </c>
      <c r="W234" s="14">
        <v>2.0</v>
      </c>
      <c r="X234" s="14">
        <v>2.0</v>
      </c>
      <c r="Y234" s="14">
        <v>4.0</v>
      </c>
      <c r="Z234" s="14">
        <v>3.0</v>
      </c>
      <c r="AA234" s="14">
        <v>2.0</v>
      </c>
      <c r="AB234" s="14">
        <v>0.0</v>
      </c>
      <c r="AC234" s="14">
        <v>2.3</v>
      </c>
      <c r="AD234" s="14"/>
      <c r="AE234" s="14" t="s">
        <v>122</v>
      </c>
      <c r="AF234" s="14"/>
      <c r="AG234" s="14"/>
      <c r="AH234" s="14"/>
      <c r="AI234" s="14"/>
      <c r="AJ234" s="14"/>
      <c r="AK234" s="14"/>
      <c r="AL234" s="14"/>
      <c r="AM234" s="14" t="s">
        <v>368</v>
      </c>
      <c r="AN234" s="14" t="s">
        <v>472</v>
      </c>
      <c r="AO234" s="14" t="s">
        <v>84</v>
      </c>
      <c r="AP234" s="14" t="s">
        <v>473</v>
      </c>
      <c r="AQ234" s="14">
        <v>0.0</v>
      </c>
      <c r="AR234" s="14" t="s">
        <v>196</v>
      </c>
    </row>
    <row r="235" ht="15.75" customHeight="1">
      <c r="A235" s="14" t="s">
        <v>39</v>
      </c>
      <c r="B235" s="14" t="s">
        <v>44</v>
      </c>
      <c r="C235" s="14" t="s">
        <v>102</v>
      </c>
      <c r="D235" s="14" t="s">
        <v>522</v>
      </c>
      <c r="E235" s="14" t="s">
        <v>271</v>
      </c>
      <c r="F235" s="14" t="s">
        <v>367</v>
      </c>
      <c r="G235" s="14" t="s">
        <v>69</v>
      </c>
      <c r="H235" s="14" t="s">
        <v>69</v>
      </c>
      <c r="I235" s="15" t="s">
        <v>122</v>
      </c>
      <c r="J235" s="14" t="s">
        <v>71</v>
      </c>
      <c r="K235" s="14">
        <v>3.0</v>
      </c>
      <c r="L235" s="14"/>
      <c r="M235" s="14"/>
      <c r="N235" s="14"/>
      <c r="O235" s="14"/>
      <c r="P235" s="14">
        <v>570.0</v>
      </c>
      <c r="Q235" s="14" t="s">
        <v>74</v>
      </c>
      <c r="R235" s="14" t="s">
        <v>75</v>
      </c>
      <c r="S235" s="14" t="s">
        <v>142</v>
      </c>
      <c r="T235" s="14" t="s">
        <v>39</v>
      </c>
      <c r="U235" s="14" t="s">
        <v>226</v>
      </c>
      <c r="V235" s="14" t="s">
        <v>368</v>
      </c>
      <c r="W235" s="14">
        <v>2.0</v>
      </c>
      <c r="X235" s="14">
        <v>2.0</v>
      </c>
      <c r="Y235" s="14">
        <v>4.0</v>
      </c>
      <c r="Z235" s="14">
        <v>3.0</v>
      </c>
      <c r="AA235" s="14">
        <v>2.0</v>
      </c>
      <c r="AB235" s="14">
        <v>0.0</v>
      </c>
      <c r="AC235" s="14">
        <v>2.3</v>
      </c>
      <c r="AD235" s="14"/>
      <c r="AE235" s="14" t="s">
        <v>122</v>
      </c>
      <c r="AF235" s="14"/>
      <c r="AG235" s="14"/>
      <c r="AH235" s="14"/>
      <c r="AI235" s="14"/>
      <c r="AJ235" s="14"/>
      <c r="AK235" s="14"/>
      <c r="AL235" s="14"/>
      <c r="AM235" s="14" t="s">
        <v>368</v>
      </c>
      <c r="AN235" s="14" t="s">
        <v>604</v>
      </c>
      <c r="AO235" s="14" t="s">
        <v>84</v>
      </c>
      <c r="AP235" s="14" t="s">
        <v>605</v>
      </c>
      <c r="AQ235" s="14">
        <v>0.0</v>
      </c>
      <c r="AR235" s="14" t="s">
        <v>196</v>
      </c>
    </row>
    <row r="236" ht="15.75" customHeight="1">
      <c r="A236" s="14" t="s">
        <v>39</v>
      </c>
      <c r="B236" s="14" t="s">
        <v>44</v>
      </c>
      <c r="C236" s="14" t="s">
        <v>102</v>
      </c>
      <c r="D236" s="14" t="s">
        <v>523</v>
      </c>
      <c r="E236" s="14" t="s">
        <v>271</v>
      </c>
      <c r="F236" s="14" t="s">
        <v>367</v>
      </c>
      <c r="G236" s="14" t="s">
        <v>69</v>
      </c>
      <c r="H236" s="14" t="s">
        <v>69</v>
      </c>
      <c r="I236" s="15" t="s">
        <v>122</v>
      </c>
      <c r="J236" s="14" t="s">
        <v>71</v>
      </c>
      <c r="K236" s="14">
        <v>3.0</v>
      </c>
      <c r="L236" s="14"/>
      <c r="M236" s="14"/>
      <c r="N236" s="14"/>
      <c r="O236" s="14"/>
      <c r="P236" s="14">
        <v>570.0</v>
      </c>
      <c r="Q236" s="14" t="s">
        <v>74</v>
      </c>
      <c r="R236" s="14" t="s">
        <v>75</v>
      </c>
      <c r="S236" s="14" t="s">
        <v>142</v>
      </c>
      <c r="T236" s="14" t="s">
        <v>39</v>
      </c>
      <c r="U236" s="14" t="s">
        <v>226</v>
      </c>
      <c r="V236" s="14" t="s">
        <v>368</v>
      </c>
      <c r="W236" s="14">
        <v>2.0</v>
      </c>
      <c r="X236" s="14">
        <v>2.0</v>
      </c>
      <c r="Y236" s="14">
        <v>4.0</v>
      </c>
      <c r="Z236" s="14">
        <v>3.0</v>
      </c>
      <c r="AA236" s="14">
        <v>2.0</v>
      </c>
      <c r="AB236" s="14">
        <v>0.0</v>
      </c>
      <c r="AC236" s="14">
        <v>2.3</v>
      </c>
      <c r="AD236" s="14"/>
      <c r="AE236" s="14" t="s">
        <v>122</v>
      </c>
      <c r="AF236" s="14"/>
      <c r="AG236" s="14"/>
      <c r="AH236" s="14"/>
      <c r="AI236" s="14"/>
      <c r="AJ236" s="14"/>
      <c r="AK236" s="14"/>
      <c r="AL236" s="14"/>
      <c r="AM236" s="14" t="s">
        <v>368</v>
      </c>
      <c r="AN236" s="14" t="s">
        <v>606</v>
      </c>
      <c r="AO236" s="14" t="s">
        <v>84</v>
      </c>
      <c r="AP236" s="14" t="s">
        <v>607</v>
      </c>
      <c r="AQ236" s="14">
        <v>0.0</v>
      </c>
      <c r="AR236" s="14" t="s">
        <v>196</v>
      </c>
    </row>
    <row r="237" ht="15.75" customHeight="1">
      <c r="A237" s="14" t="s">
        <v>39</v>
      </c>
      <c r="B237" s="14" t="s">
        <v>44</v>
      </c>
      <c r="C237" s="14" t="s">
        <v>102</v>
      </c>
      <c r="D237" s="14" t="s">
        <v>351</v>
      </c>
      <c r="E237" s="14" t="s">
        <v>271</v>
      </c>
      <c r="F237" s="14" t="s">
        <v>219</v>
      </c>
      <c r="G237" s="14" t="s">
        <v>69</v>
      </c>
      <c r="H237" s="14" t="s">
        <v>69</v>
      </c>
      <c r="I237" s="15" t="s">
        <v>122</v>
      </c>
      <c r="J237" s="14" t="s">
        <v>71</v>
      </c>
      <c r="K237" s="14">
        <v>3.0</v>
      </c>
      <c r="L237" s="14"/>
      <c r="M237" s="14"/>
      <c r="N237" s="14"/>
      <c r="O237" s="14"/>
      <c r="P237" s="14">
        <v>570.0</v>
      </c>
      <c r="Q237" s="14" t="s">
        <v>74</v>
      </c>
      <c r="R237" s="14" t="s">
        <v>75</v>
      </c>
      <c r="S237" s="14" t="s">
        <v>142</v>
      </c>
      <c r="T237" s="14" t="s">
        <v>39</v>
      </c>
      <c r="U237" s="14" t="s">
        <v>90</v>
      </c>
      <c r="V237" s="14" t="s">
        <v>220</v>
      </c>
      <c r="W237" s="14">
        <v>2.0</v>
      </c>
      <c r="X237" s="14">
        <v>2.0</v>
      </c>
      <c r="Y237" s="14">
        <v>4.0</v>
      </c>
      <c r="Z237" s="14">
        <v>3.0</v>
      </c>
      <c r="AA237" s="14">
        <v>2.0</v>
      </c>
      <c r="AB237" s="14">
        <v>0.0</v>
      </c>
      <c r="AC237" s="14">
        <v>2.3</v>
      </c>
      <c r="AD237" s="14"/>
      <c r="AE237" s="14" t="s">
        <v>122</v>
      </c>
      <c r="AF237" s="14"/>
      <c r="AG237" s="14"/>
      <c r="AH237" s="14"/>
      <c r="AI237" s="14"/>
      <c r="AJ237" s="14"/>
      <c r="AK237" s="14"/>
      <c r="AL237" s="14"/>
      <c r="AM237" s="14" t="s">
        <v>220</v>
      </c>
      <c r="AN237" s="14" t="s">
        <v>384</v>
      </c>
      <c r="AO237" s="14" t="s">
        <v>84</v>
      </c>
      <c r="AP237" s="14" t="s">
        <v>385</v>
      </c>
      <c r="AQ237" s="14">
        <v>0.0</v>
      </c>
      <c r="AR237" s="14" t="s">
        <v>196</v>
      </c>
    </row>
    <row r="238" ht="15.75" customHeight="1">
      <c r="A238" s="14" t="s">
        <v>39</v>
      </c>
      <c r="B238" s="14" t="s">
        <v>44</v>
      </c>
      <c r="C238" s="14" t="s">
        <v>102</v>
      </c>
      <c r="D238" s="14" t="s">
        <v>352</v>
      </c>
      <c r="E238" s="14" t="s">
        <v>271</v>
      </c>
      <c r="F238" s="14" t="s">
        <v>224</v>
      </c>
      <c r="G238" s="14" t="s">
        <v>69</v>
      </c>
      <c r="H238" s="14" t="s">
        <v>69</v>
      </c>
      <c r="I238" s="15" t="s">
        <v>122</v>
      </c>
      <c r="J238" s="14" t="s">
        <v>71</v>
      </c>
      <c r="K238" s="14">
        <v>3.0</v>
      </c>
      <c r="L238" s="14"/>
      <c r="M238" s="14"/>
      <c r="N238" s="14"/>
      <c r="O238" s="14"/>
      <c r="P238" s="14">
        <v>570.0</v>
      </c>
      <c r="Q238" s="14" t="s">
        <v>74</v>
      </c>
      <c r="R238" s="14" t="s">
        <v>75</v>
      </c>
      <c r="S238" s="14" t="s">
        <v>142</v>
      </c>
      <c r="T238" s="14" t="s">
        <v>39</v>
      </c>
      <c r="U238" s="14" t="s">
        <v>90</v>
      </c>
      <c r="V238" s="14" t="s">
        <v>225</v>
      </c>
      <c r="W238" s="14">
        <v>2.0</v>
      </c>
      <c r="X238" s="14">
        <v>2.0</v>
      </c>
      <c r="Y238" s="14">
        <v>4.0</v>
      </c>
      <c r="Z238" s="14">
        <v>3.0</v>
      </c>
      <c r="AA238" s="14">
        <v>2.0</v>
      </c>
      <c r="AB238" s="14">
        <v>0.0</v>
      </c>
      <c r="AC238" s="14">
        <v>2.3</v>
      </c>
      <c r="AD238" s="14"/>
      <c r="AE238" s="14" t="s">
        <v>122</v>
      </c>
      <c r="AF238" s="14"/>
      <c r="AG238" s="14"/>
      <c r="AH238" s="14"/>
      <c r="AI238" s="14"/>
      <c r="AJ238" s="14"/>
      <c r="AK238" s="14"/>
      <c r="AL238" s="14"/>
      <c r="AM238" s="14" t="s">
        <v>225</v>
      </c>
      <c r="AN238" s="14" t="s">
        <v>386</v>
      </c>
      <c r="AO238" s="14" t="s">
        <v>84</v>
      </c>
      <c r="AP238" s="14" t="s">
        <v>387</v>
      </c>
      <c r="AQ238" s="14">
        <v>0.0</v>
      </c>
      <c r="AR238" s="14" t="s">
        <v>196</v>
      </c>
    </row>
    <row r="239" ht="15.75" customHeight="1">
      <c r="A239" s="14" t="s">
        <v>39</v>
      </c>
      <c r="B239" s="14" t="s">
        <v>44</v>
      </c>
      <c r="C239" s="14" t="s">
        <v>102</v>
      </c>
      <c r="D239" s="14" t="s">
        <v>355</v>
      </c>
      <c r="E239" s="14" t="s">
        <v>271</v>
      </c>
      <c r="F239" s="14" t="s">
        <v>224</v>
      </c>
      <c r="G239" s="14" t="s">
        <v>69</v>
      </c>
      <c r="H239" s="14" t="s">
        <v>69</v>
      </c>
      <c r="I239" s="15" t="s">
        <v>122</v>
      </c>
      <c r="J239" s="14" t="s">
        <v>71</v>
      </c>
      <c r="K239" s="14">
        <v>3.0</v>
      </c>
      <c r="L239" s="14"/>
      <c r="M239" s="14"/>
      <c r="N239" s="14"/>
      <c r="O239" s="14"/>
      <c r="P239" s="14">
        <v>570.0</v>
      </c>
      <c r="Q239" s="14" t="s">
        <v>74</v>
      </c>
      <c r="R239" s="14" t="s">
        <v>75</v>
      </c>
      <c r="S239" s="14" t="s">
        <v>142</v>
      </c>
      <c r="T239" s="14" t="s">
        <v>39</v>
      </c>
      <c r="U239" s="14" t="s">
        <v>90</v>
      </c>
      <c r="V239" s="14" t="s">
        <v>225</v>
      </c>
      <c r="W239" s="14">
        <v>2.0</v>
      </c>
      <c r="X239" s="14">
        <v>2.0</v>
      </c>
      <c r="Y239" s="14">
        <v>4.0</v>
      </c>
      <c r="Z239" s="14">
        <v>3.0</v>
      </c>
      <c r="AA239" s="14">
        <v>2.0</v>
      </c>
      <c r="AB239" s="14">
        <v>0.0</v>
      </c>
      <c r="AC239" s="14">
        <v>2.3</v>
      </c>
      <c r="AD239" s="14"/>
      <c r="AE239" s="14" t="s">
        <v>122</v>
      </c>
      <c r="AF239" s="14"/>
      <c r="AG239" s="14"/>
      <c r="AH239" s="14"/>
      <c r="AI239" s="14"/>
      <c r="AJ239" s="14"/>
      <c r="AK239" s="14"/>
      <c r="AL239" s="14"/>
      <c r="AM239" s="14" t="s">
        <v>225</v>
      </c>
      <c r="AN239" s="14" t="s">
        <v>389</v>
      </c>
      <c r="AO239" s="14" t="s">
        <v>84</v>
      </c>
      <c r="AP239" s="14" t="s">
        <v>390</v>
      </c>
      <c r="AQ239" s="14">
        <v>0.0</v>
      </c>
      <c r="AR239" s="14" t="s">
        <v>196</v>
      </c>
    </row>
    <row r="240" ht="15.75" customHeight="1">
      <c r="A240" s="14" t="s">
        <v>39</v>
      </c>
      <c r="B240" s="14" t="s">
        <v>44</v>
      </c>
      <c r="C240" s="14" t="s">
        <v>102</v>
      </c>
      <c r="D240" s="14" t="s">
        <v>230</v>
      </c>
      <c r="E240" s="14" t="s">
        <v>202</v>
      </c>
      <c r="F240" s="14" t="s">
        <v>175</v>
      </c>
      <c r="G240" s="14" t="s">
        <v>39</v>
      </c>
      <c r="H240" s="14" t="s">
        <v>69</v>
      </c>
      <c r="I240" s="15" t="s">
        <v>176</v>
      </c>
      <c r="J240" s="14" t="s">
        <v>71</v>
      </c>
      <c r="K240" s="14">
        <v>0.0</v>
      </c>
      <c r="L240" s="14">
        <v>0.0</v>
      </c>
      <c r="M240" s="14"/>
      <c r="N240" s="14"/>
      <c r="O240" s="14"/>
      <c r="P240" s="14">
        <v>500.0</v>
      </c>
      <c r="Q240" s="14" t="s">
        <v>74</v>
      </c>
      <c r="R240" s="14" t="s">
        <v>75</v>
      </c>
      <c r="S240" s="14" t="s">
        <v>142</v>
      </c>
      <c r="T240" s="14" t="s">
        <v>39</v>
      </c>
      <c r="U240" s="14" t="s">
        <v>226</v>
      </c>
      <c r="V240" s="14" t="s">
        <v>177</v>
      </c>
      <c r="W240" s="14">
        <v>2.0</v>
      </c>
      <c r="X240" s="14">
        <v>2.0</v>
      </c>
      <c r="Y240" s="14">
        <v>5.0</v>
      </c>
      <c r="Z240" s="14">
        <v>3.0</v>
      </c>
      <c r="AA240" s="14">
        <v>2.0</v>
      </c>
      <c r="AB240" s="14">
        <v>0.0</v>
      </c>
      <c r="AC240" s="14">
        <v>2.5</v>
      </c>
      <c r="AD240" s="14">
        <v>0.0</v>
      </c>
      <c r="AE240" s="14" t="s">
        <v>176</v>
      </c>
      <c r="AF240" s="14"/>
      <c r="AG240" s="14"/>
      <c r="AH240" s="14"/>
      <c r="AI240" s="14"/>
      <c r="AJ240" s="14"/>
      <c r="AK240" s="14"/>
      <c r="AL240" s="14"/>
      <c r="AM240" s="14" t="s">
        <v>177</v>
      </c>
      <c r="AN240" s="14" t="s">
        <v>395</v>
      </c>
      <c r="AO240" s="14" t="s">
        <v>84</v>
      </c>
      <c r="AP240" s="14" t="s">
        <v>396</v>
      </c>
      <c r="AQ240" s="14">
        <v>0.0</v>
      </c>
      <c r="AR240" s="14" t="s">
        <v>196</v>
      </c>
    </row>
    <row r="241" ht="15.75" customHeight="1">
      <c r="A241" s="14" t="s">
        <v>39</v>
      </c>
      <c r="B241" s="14" t="s">
        <v>44</v>
      </c>
      <c r="C241" s="14" t="s">
        <v>102</v>
      </c>
      <c r="D241" s="14" t="s">
        <v>174</v>
      </c>
      <c r="E241" s="14" t="s">
        <v>106</v>
      </c>
      <c r="F241" s="14" t="s">
        <v>175</v>
      </c>
      <c r="G241" s="14" t="s">
        <v>39</v>
      </c>
      <c r="H241" s="14" t="s">
        <v>69</v>
      </c>
      <c r="I241" s="15" t="s">
        <v>176</v>
      </c>
      <c r="J241" s="14" t="s">
        <v>71</v>
      </c>
      <c r="K241" s="14">
        <v>0.0</v>
      </c>
      <c r="L241" s="14">
        <v>0.0</v>
      </c>
      <c r="M241" s="14"/>
      <c r="N241" s="14"/>
      <c r="O241" s="14"/>
      <c r="P241" s="14">
        <v>130.0</v>
      </c>
      <c r="Q241" s="14" t="s">
        <v>121</v>
      </c>
      <c r="R241" s="14" t="s">
        <v>75</v>
      </c>
      <c r="S241" s="14" t="s">
        <v>76</v>
      </c>
      <c r="T241" s="14" t="s">
        <v>39</v>
      </c>
      <c r="U241" s="14" t="s">
        <v>226</v>
      </c>
      <c r="V241" s="14" t="s">
        <v>177</v>
      </c>
      <c r="W241" s="14">
        <v>2.0</v>
      </c>
      <c r="X241" s="14">
        <v>5.0</v>
      </c>
      <c r="Y241" s="14">
        <v>5.0</v>
      </c>
      <c r="Z241" s="14">
        <v>3.0</v>
      </c>
      <c r="AA241" s="14">
        <v>4.0</v>
      </c>
      <c r="AB241" s="14">
        <v>0.0</v>
      </c>
      <c r="AC241" s="14">
        <v>3.2</v>
      </c>
      <c r="AD241" s="14">
        <v>0.0</v>
      </c>
      <c r="AE241" s="14" t="s">
        <v>176</v>
      </c>
      <c r="AF241" s="14"/>
      <c r="AG241" s="14"/>
      <c r="AH241" s="14"/>
      <c r="AI241" s="14"/>
      <c r="AJ241" s="14"/>
      <c r="AK241" s="14"/>
      <c r="AL241" s="14"/>
      <c r="AM241" s="14" t="s">
        <v>177</v>
      </c>
      <c r="AN241" s="14" t="s">
        <v>404</v>
      </c>
      <c r="AO241" s="14" t="s">
        <v>84</v>
      </c>
      <c r="AP241" s="14" t="s">
        <v>405</v>
      </c>
      <c r="AQ241" s="14">
        <v>0.0</v>
      </c>
      <c r="AR241" s="14" t="s">
        <v>196</v>
      </c>
    </row>
    <row r="242" ht="15.75" customHeight="1">
      <c r="A242" s="14" t="s">
        <v>39</v>
      </c>
      <c r="B242" s="14" t="s">
        <v>44</v>
      </c>
      <c r="C242" s="14" t="s">
        <v>102</v>
      </c>
      <c r="D242" s="14" t="s">
        <v>388</v>
      </c>
      <c r="E242" s="14" t="s">
        <v>271</v>
      </c>
      <c r="F242" s="14" t="s">
        <v>175</v>
      </c>
      <c r="G242" s="14" t="s">
        <v>39</v>
      </c>
      <c r="H242" s="14" t="s">
        <v>69</v>
      </c>
      <c r="I242" s="15" t="s">
        <v>176</v>
      </c>
      <c r="J242" s="14" t="s">
        <v>71</v>
      </c>
      <c r="K242" s="14">
        <v>0.0</v>
      </c>
      <c r="L242" s="14">
        <v>0.0</v>
      </c>
      <c r="M242" s="14"/>
      <c r="N242" s="14"/>
      <c r="O242" s="14"/>
      <c r="P242" s="14">
        <v>570.0</v>
      </c>
      <c r="Q242" s="14" t="s">
        <v>74</v>
      </c>
      <c r="R242" s="14" t="s">
        <v>75</v>
      </c>
      <c r="S242" s="14" t="s">
        <v>142</v>
      </c>
      <c r="T242" s="14" t="s">
        <v>39</v>
      </c>
      <c r="U242" s="14" t="s">
        <v>226</v>
      </c>
      <c r="V242" s="14" t="s">
        <v>177</v>
      </c>
      <c r="W242" s="14">
        <v>2.0</v>
      </c>
      <c r="X242" s="14">
        <v>2.0</v>
      </c>
      <c r="Y242" s="14">
        <v>5.0</v>
      </c>
      <c r="Z242" s="14">
        <v>3.0</v>
      </c>
      <c r="AA242" s="14">
        <v>2.0</v>
      </c>
      <c r="AB242" s="14">
        <v>0.0</v>
      </c>
      <c r="AC242" s="14">
        <v>2.5</v>
      </c>
      <c r="AD242" s="14">
        <v>0.0</v>
      </c>
      <c r="AE242" s="14" t="s">
        <v>176</v>
      </c>
      <c r="AF242" s="14"/>
      <c r="AG242" s="14"/>
      <c r="AH242" s="14"/>
      <c r="AI242" s="14"/>
      <c r="AJ242" s="14"/>
      <c r="AK242" s="14"/>
      <c r="AL242" s="14"/>
      <c r="AM242" s="14" t="s">
        <v>177</v>
      </c>
      <c r="AN242" s="14" t="s">
        <v>559</v>
      </c>
      <c r="AO242" s="14" t="s">
        <v>84</v>
      </c>
      <c r="AP242" s="14" t="s">
        <v>560</v>
      </c>
      <c r="AQ242" s="14">
        <v>0.0</v>
      </c>
      <c r="AR242" s="14" t="s">
        <v>196</v>
      </c>
    </row>
    <row r="243" ht="15.75" customHeight="1">
      <c r="A243" s="14" t="s">
        <v>39</v>
      </c>
      <c r="B243" s="14" t="s">
        <v>44</v>
      </c>
      <c r="C243" s="14" t="s">
        <v>102</v>
      </c>
      <c r="D243" s="14" t="s">
        <v>300</v>
      </c>
      <c r="E243" s="14" t="s">
        <v>150</v>
      </c>
      <c r="F243" s="14" t="s">
        <v>175</v>
      </c>
      <c r="G243" s="14" t="s">
        <v>39</v>
      </c>
      <c r="H243" s="14" t="s">
        <v>69</v>
      </c>
      <c r="I243" s="15" t="s">
        <v>176</v>
      </c>
      <c r="J243" s="14" t="s">
        <v>71</v>
      </c>
      <c r="K243" s="14">
        <v>0.0</v>
      </c>
      <c r="L243" s="14">
        <v>0.0</v>
      </c>
      <c r="M243" s="14"/>
      <c r="N243" s="14"/>
      <c r="O243" s="14"/>
      <c r="P243" s="14">
        <v>700.0</v>
      </c>
      <c r="Q243" s="14" t="s">
        <v>153</v>
      </c>
      <c r="R243" s="14" t="s">
        <v>75</v>
      </c>
      <c r="S243" s="14" t="s">
        <v>142</v>
      </c>
      <c r="T243" s="14" t="s">
        <v>39</v>
      </c>
      <c r="U243" s="14" t="s">
        <v>226</v>
      </c>
      <c r="V243" s="14" t="s">
        <v>177</v>
      </c>
      <c r="W243" s="14">
        <v>2.0</v>
      </c>
      <c r="X243" s="14">
        <v>1.0</v>
      </c>
      <c r="Y243" s="14">
        <v>5.0</v>
      </c>
      <c r="Z243" s="14">
        <v>3.0</v>
      </c>
      <c r="AA243" s="14">
        <v>2.0</v>
      </c>
      <c r="AB243" s="14">
        <v>0.0</v>
      </c>
      <c r="AC243" s="14">
        <v>2.4</v>
      </c>
      <c r="AD243" s="14">
        <v>0.0</v>
      </c>
      <c r="AE243" s="14" t="s">
        <v>176</v>
      </c>
      <c r="AF243" s="14"/>
      <c r="AG243" s="14"/>
      <c r="AH243" s="14"/>
      <c r="AI243" s="14"/>
      <c r="AJ243" s="14"/>
      <c r="AK243" s="14"/>
      <c r="AL243" s="14"/>
      <c r="AM243" s="14" t="s">
        <v>177</v>
      </c>
      <c r="AN243" s="14" t="s">
        <v>421</v>
      </c>
      <c r="AO243" s="14" t="s">
        <v>84</v>
      </c>
      <c r="AP243" s="14" t="s">
        <v>422</v>
      </c>
      <c r="AQ243" s="14">
        <v>0.0</v>
      </c>
      <c r="AR243" s="14" t="s">
        <v>196</v>
      </c>
    </row>
    <row r="244" ht="15.75" customHeight="1">
      <c r="A244" s="14" t="s">
        <v>39</v>
      </c>
      <c r="B244" s="14" t="s">
        <v>44</v>
      </c>
      <c r="C244" s="14" t="s">
        <v>102</v>
      </c>
      <c r="D244" s="14" t="s">
        <v>308</v>
      </c>
      <c r="E244" s="14" t="s">
        <v>150</v>
      </c>
      <c r="F244" s="14" t="s">
        <v>175</v>
      </c>
      <c r="G244" s="14" t="s">
        <v>39</v>
      </c>
      <c r="H244" s="14" t="s">
        <v>69</v>
      </c>
      <c r="I244" s="15" t="s">
        <v>176</v>
      </c>
      <c r="J244" s="14" t="s">
        <v>71</v>
      </c>
      <c r="K244" s="14">
        <v>0.0</v>
      </c>
      <c r="L244" s="14">
        <v>0.0</v>
      </c>
      <c r="M244" s="14"/>
      <c r="N244" s="14"/>
      <c r="O244" s="14"/>
      <c r="P244" s="14">
        <v>700.0</v>
      </c>
      <c r="Q244" s="14" t="s">
        <v>153</v>
      </c>
      <c r="R244" s="14" t="s">
        <v>75</v>
      </c>
      <c r="S244" s="14" t="s">
        <v>142</v>
      </c>
      <c r="T244" s="14" t="s">
        <v>39</v>
      </c>
      <c r="U244" s="14" t="s">
        <v>226</v>
      </c>
      <c r="V244" s="14" t="s">
        <v>177</v>
      </c>
      <c r="W244" s="14">
        <v>2.0</v>
      </c>
      <c r="X244" s="14">
        <v>1.0</v>
      </c>
      <c r="Y244" s="14">
        <v>5.0</v>
      </c>
      <c r="Z244" s="14">
        <v>3.0</v>
      </c>
      <c r="AA244" s="14">
        <v>2.0</v>
      </c>
      <c r="AB244" s="14">
        <v>0.0</v>
      </c>
      <c r="AC244" s="14">
        <v>2.4</v>
      </c>
      <c r="AD244" s="14">
        <v>0.0</v>
      </c>
      <c r="AE244" s="14" t="s">
        <v>176</v>
      </c>
      <c r="AF244" s="14"/>
      <c r="AG244" s="14"/>
      <c r="AH244" s="14"/>
      <c r="AI244" s="14"/>
      <c r="AJ244" s="14"/>
      <c r="AK244" s="14"/>
      <c r="AL244" s="14"/>
      <c r="AM244" s="14" t="s">
        <v>177</v>
      </c>
      <c r="AN244" s="14" t="s">
        <v>438</v>
      </c>
      <c r="AO244" s="14" t="s">
        <v>84</v>
      </c>
      <c r="AP244" s="14" t="s">
        <v>440</v>
      </c>
      <c r="AQ244" s="14">
        <v>0.0</v>
      </c>
      <c r="AR244" s="14" t="s">
        <v>196</v>
      </c>
    </row>
    <row r="245" ht="15.75" customHeight="1">
      <c r="A245" s="14" t="s">
        <v>39</v>
      </c>
      <c r="B245" s="14" t="s">
        <v>44</v>
      </c>
      <c r="C245" s="14" t="s">
        <v>102</v>
      </c>
      <c r="D245" s="14" t="s">
        <v>320</v>
      </c>
      <c r="E245" s="14" t="s">
        <v>271</v>
      </c>
      <c r="F245" s="14" t="s">
        <v>526</v>
      </c>
      <c r="G245" s="14" t="s">
        <v>69</v>
      </c>
      <c r="H245" s="14" t="s">
        <v>69</v>
      </c>
      <c r="I245" s="15" t="s">
        <v>176</v>
      </c>
      <c r="J245" s="14" t="s">
        <v>71</v>
      </c>
      <c r="K245" s="14">
        <v>3.0</v>
      </c>
      <c r="L245" s="14"/>
      <c r="M245" s="14"/>
      <c r="N245" s="14"/>
      <c r="O245" s="14"/>
      <c r="P245" s="14">
        <v>570.0</v>
      </c>
      <c r="Q245" s="14" t="s">
        <v>74</v>
      </c>
      <c r="R245" s="14" t="s">
        <v>75</v>
      </c>
      <c r="S245" s="14" t="s">
        <v>142</v>
      </c>
      <c r="T245" s="14" t="s">
        <v>39</v>
      </c>
      <c r="U245" s="14" t="s">
        <v>226</v>
      </c>
      <c r="V245" s="14" t="s">
        <v>527</v>
      </c>
      <c r="W245" s="14">
        <v>2.0</v>
      </c>
      <c r="X245" s="14">
        <v>2.0</v>
      </c>
      <c r="Y245" s="14">
        <v>4.0</v>
      </c>
      <c r="Z245" s="14">
        <v>3.0</v>
      </c>
      <c r="AA245" s="14">
        <v>2.0</v>
      </c>
      <c r="AB245" s="14">
        <v>0.0</v>
      </c>
      <c r="AC245" s="14">
        <v>2.3</v>
      </c>
      <c r="AD245" s="14"/>
      <c r="AE245" s="14" t="s">
        <v>176</v>
      </c>
      <c r="AF245" s="14"/>
      <c r="AG245" s="14"/>
      <c r="AH245" s="14"/>
      <c r="AI245" s="14"/>
      <c r="AJ245" s="14"/>
      <c r="AK245" s="14"/>
      <c r="AL245" s="14"/>
      <c r="AM245" s="14" t="s">
        <v>527</v>
      </c>
      <c r="AN245" s="14" t="s">
        <v>453</v>
      </c>
      <c r="AO245" s="14" t="s">
        <v>84</v>
      </c>
      <c r="AP245" s="14" t="s">
        <v>454</v>
      </c>
      <c r="AQ245" s="14">
        <v>0.0</v>
      </c>
      <c r="AR245" s="14" t="s">
        <v>196</v>
      </c>
    </row>
    <row r="246" ht="15.75" customHeight="1">
      <c r="A246" s="14" t="s">
        <v>39</v>
      </c>
      <c r="B246" s="14" t="s">
        <v>44</v>
      </c>
      <c r="C246" s="14" t="s">
        <v>102</v>
      </c>
      <c r="D246" s="14" t="s">
        <v>323</v>
      </c>
      <c r="E246" s="14" t="s">
        <v>271</v>
      </c>
      <c r="F246" s="14" t="s">
        <v>526</v>
      </c>
      <c r="G246" s="14" t="s">
        <v>69</v>
      </c>
      <c r="H246" s="14" t="s">
        <v>69</v>
      </c>
      <c r="I246" s="15" t="s">
        <v>176</v>
      </c>
      <c r="J246" s="14" t="s">
        <v>71</v>
      </c>
      <c r="K246" s="14">
        <v>3.0</v>
      </c>
      <c r="L246" s="14"/>
      <c r="M246" s="14"/>
      <c r="N246" s="14"/>
      <c r="O246" s="14"/>
      <c r="P246" s="14">
        <v>570.0</v>
      </c>
      <c r="Q246" s="14" t="s">
        <v>74</v>
      </c>
      <c r="R246" s="14" t="s">
        <v>75</v>
      </c>
      <c r="S246" s="14" t="s">
        <v>142</v>
      </c>
      <c r="T246" s="14" t="s">
        <v>39</v>
      </c>
      <c r="U246" s="14" t="s">
        <v>226</v>
      </c>
      <c r="V246" s="14" t="s">
        <v>527</v>
      </c>
      <c r="W246" s="14">
        <v>2.0</v>
      </c>
      <c r="X246" s="14">
        <v>2.0</v>
      </c>
      <c r="Y246" s="14">
        <v>4.0</v>
      </c>
      <c r="Z246" s="14">
        <v>3.0</v>
      </c>
      <c r="AA246" s="14">
        <v>2.0</v>
      </c>
      <c r="AB246" s="14">
        <v>0.0</v>
      </c>
      <c r="AC246" s="14">
        <v>2.3</v>
      </c>
      <c r="AD246" s="14"/>
      <c r="AE246" s="14" t="s">
        <v>176</v>
      </c>
      <c r="AF246" s="14"/>
      <c r="AG246" s="14"/>
      <c r="AH246" s="14"/>
      <c r="AI246" s="14"/>
      <c r="AJ246" s="14"/>
      <c r="AK246" s="14"/>
      <c r="AL246" s="14"/>
      <c r="AM246" s="14" t="s">
        <v>527</v>
      </c>
      <c r="AN246" s="14" t="s">
        <v>460</v>
      </c>
      <c r="AO246" s="14" t="s">
        <v>84</v>
      </c>
      <c r="AP246" s="14" t="s">
        <v>461</v>
      </c>
      <c r="AQ246" s="14">
        <v>0.0</v>
      </c>
      <c r="AR246" s="14" t="s">
        <v>196</v>
      </c>
    </row>
    <row r="247" ht="15.75" customHeight="1">
      <c r="A247" s="14" t="s">
        <v>39</v>
      </c>
      <c r="B247" s="14" t="s">
        <v>44</v>
      </c>
      <c r="C247" s="14" t="s">
        <v>102</v>
      </c>
      <c r="D247" s="14" t="s">
        <v>324</v>
      </c>
      <c r="E247" s="14" t="s">
        <v>271</v>
      </c>
      <c r="F247" s="14" t="s">
        <v>526</v>
      </c>
      <c r="G247" s="14" t="s">
        <v>69</v>
      </c>
      <c r="H247" s="14" t="s">
        <v>69</v>
      </c>
      <c r="I247" s="15" t="s">
        <v>176</v>
      </c>
      <c r="J247" s="14" t="s">
        <v>71</v>
      </c>
      <c r="K247" s="14">
        <v>3.0</v>
      </c>
      <c r="L247" s="14"/>
      <c r="M247" s="14"/>
      <c r="N247" s="14"/>
      <c r="O247" s="14"/>
      <c r="P247" s="14">
        <v>570.0</v>
      </c>
      <c r="Q247" s="14" t="s">
        <v>74</v>
      </c>
      <c r="R247" s="14" t="s">
        <v>75</v>
      </c>
      <c r="S247" s="14" t="s">
        <v>142</v>
      </c>
      <c r="T247" s="14" t="s">
        <v>39</v>
      </c>
      <c r="U247" s="14" t="s">
        <v>226</v>
      </c>
      <c r="V247" s="14" t="s">
        <v>527</v>
      </c>
      <c r="W247" s="14">
        <v>2.0</v>
      </c>
      <c r="X247" s="14">
        <v>2.0</v>
      </c>
      <c r="Y247" s="14">
        <v>4.0</v>
      </c>
      <c r="Z247" s="14">
        <v>3.0</v>
      </c>
      <c r="AA247" s="14">
        <v>2.0</v>
      </c>
      <c r="AB247" s="14">
        <v>0.0</v>
      </c>
      <c r="AC247" s="14">
        <v>2.3</v>
      </c>
      <c r="AD247" s="14"/>
      <c r="AE247" s="14" t="s">
        <v>176</v>
      </c>
      <c r="AF247" s="14"/>
      <c r="AG247" s="14"/>
      <c r="AH247" s="14"/>
      <c r="AI247" s="14"/>
      <c r="AJ247" s="14"/>
      <c r="AK247" s="14"/>
      <c r="AL247" s="14"/>
      <c r="AM247" s="14" t="s">
        <v>527</v>
      </c>
      <c r="AN247" s="14" t="s">
        <v>462</v>
      </c>
      <c r="AO247" s="14" t="s">
        <v>84</v>
      </c>
      <c r="AP247" s="14" t="s">
        <v>463</v>
      </c>
      <c r="AQ247" s="14">
        <v>0.0</v>
      </c>
      <c r="AR247" s="14" t="s">
        <v>196</v>
      </c>
    </row>
    <row r="248" ht="15.75" customHeight="1">
      <c r="A248" s="14" t="s">
        <v>39</v>
      </c>
      <c r="B248" s="14" t="s">
        <v>44</v>
      </c>
      <c r="C248" s="14" t="s">
        <v>102</v>
      </c>
      <c r="D248" s="14" t="s">
        <v>325</v>
      </c>
      <c r="E248" s="14" t="s">
        <v>271</v>
      </c>
      <c r="F248" s="14" t="s">
        <v>526</v>
      </c>
      <c r="G248" s="14" t="s">
        <v>69</v>
      </c>
      <c r="H248" s="14" t="s">
        <v>69</v>
      </c>
      <c r="I248" s="15" t="s">
        <v>176</v>
      </c>
      <c r="J248" s="14" t="s">
        <v>71</v>
      </c>
      <c r="K248" s="14">
        <v>3.0</v>
      </c>
      <c r="L248" s="14"/>
      <c r="M248" s="14"/>
      <c r="N248" s="14"/>
      <c r="O248" s="14"/>
      <c r="P248" s="14">
        <v>570.0</v>
      </c>
      <c r="Q248" s="14" t="s">
        <v>74</v>
      </c>
      <c r="R248" s="14" t="s">
        <v>75</v>
      </c>
      <c r="S248" s="14" t="s">
        <v>142</v>
      </c>
      <c r="T248" s="14" t="s">
        <v>39</v>
      </c>
      <c r="U248" s="14" t="s">
        <v>226</v>
      </c>
      <c r="V248" s="14" t="s">
        <v>527</v>
      </c>
      <c r="W248" s="14">
        <v>2.0</v>
      </c>
      <c r="X248" s="14">
        <v>2.0</v>
      </c>
      <c r="Y248" s="14">
        <v>4.0</v>
      </c>
      <c r="Z248" s="14">
        <v>3.0</v>
      </c>
      <c r="AA248" s="14">
        <v>2.0</v>
      </c>
      <c r="AB248" s="14">
        <v>0.0</v>
      </c>
      <c r="AC248" s="14">
        <v>2.3</v>
      </c>
      <c r="AD248" s="14"/>
      <c r="AE248" s="14" t="s">
        <v>176</v>
      </c>
      <c r="AF248" s="14"/>
      <c r="AG248" s="14"/>
      <c r="AH248" s="14"/>
      <c r="AI248" s="14"/>
      <c r="AJ248" s="14"/>
      <c r="AK248" s="14"/>
      <c r="AL248" s="14"/>
      <c r="AM248" s="14" t="s">
        <v>527</v>
      </c>
      <c r="AN248" s="14" t="s">
        <v>464</v>
      </c>
      <c r="AO248" s="14" t="s">
        <v>84</v>
      </c>
      <c r="AP248" s="14" t="s">
        <v>465</v>
      </c>
      <c r="AQ248" s="14">
        <v>0.0</v>
      </c>
      <c r="AR248" s="14" t="s">
        <v>196</v>
      </c>
    </row>
    <row r="249" ht="15.75" customHeight="1">
      <c r="A249" s="14" t="s">
        <v>39</v>
      </c>
      <c r="B249" s="14" t="s">
        <v>44</v>
      </c>
      <c r="C249" s="14" t="s">
        <v>102</v>
      </c>
      <c r="D249" s="14" t="s">
        <v>518</v>
      </c>
      <c r="E249" s="14" t="s">
        <v>271</v>
      </c>
      <c r="F249" s="14" t="s">
        <v>530</v>
      </c>
      <c r="G249" s="14" t="s">
        <v>69</v>
      </c>
      <c r="H249" s="14" t="s">
        <v>69</v>
      </c>
      <c r="I249" s="15" t="s">
        <v>446</v>
      </c>
      <c r="J249" s="14" t="s">
        <v>71</v>
      </c>
      <c r="K249" s="14">
        <v>3.0</v>
      </c>
      <c r="L249" s="14"/>
      <c r="M249" s="14"/>
      <c r="N249" s="14"/>
      <c r="O249" s="14"/>
      <c r="P249" s="14">
        <v>570.0</v>
      </c>
      <c r="Q249" s="14" t="s">
        <v>74</v>
      </c>
      <c r="R249" s="14" t="s">
        <v>75</v>
      </c>
      <c r="S249" s="14" t="s">
        <v>142</v>
      </c>
      <c r="T249" s="14" t="s">
        <v>39</v>
      </c>
      <c r="U249" s="14" t="s">
        <v>226</v>
      </c>
      <c r="V249" s="14" t="s">
        <v>533</v>
      </c>
      <c r="W249" s="14">
        <v>2.0</v>
      </c>
      <c r="X249" s="14">
        <v>2.0</v>
      </c>
      <c r="Y249" s="14">
        <v>4.0</v>
      </c>
      <c r="Z249" s="14">
        <v>3.0</v>
      </c>
      <c r="AA249" s="14">
        <v>2.0</v>
      </c>
      <c r="AB249" s="14">
        <v>0.0</v>
      </c>
      <c r="AC249" s="14">
        <v>2.3</v>
      </c>
      <c r="AD249" s="14"/>
      <c r="AE249" s="14" t="s">
        <v>446</v>
      </c>
      <c r="AF249" s="14"/>
      <c r="AG249" s="14"/>
      <c r="AH249" s="14"/>
      <c r="AI249" s="14"/>
      <c r="AJ249" s="14"/>
      <c r="AK249" s="14"/>
      <c r="AL249" s="14"/>
      <c r="AM249" s="14" t="s">
        <v>533</v>
      </c>
      <c r="AN249" s="14" t="s">
        <v>600</v>
      </c>
      <c r="AO249" s="14" t="s">
        <v>84</v>
      </c>
      <c r="AP249" s="14" t="s">
        <v>601</v>
      </c>
      <c r="AQ249" s="14">
        <v>0.0</v>
      </c>
      <c r="AR249" s="14" t="s">
        <v>196</v>
      </c>
    </row>
    <row r="250" ht="15.75" customHeight="1">
      <c r="A250" s="14" t="s">
        <v>39</v>
      </c>
      <c r="B250" s="14" t="s">
        <v>44</v>
      </c>
      <c r="C250" s="14" t="s">
        <v>102</v>
      </c>
      <c r="D250" s="14" t="s">
        <v>347</v>
      </c>
      <c r="E250" s="14" t="s">
        <v>271</v>
      </c>
      <c r="F250" s="14" t="s">
        <v>530</v>
      </c>
      <c r="G250" s="14" t="s">
        <v>69</v>
      </c>
      <c r="H250" s="14" t="s">
        <v>69</v>
      </c>
      <c r="I250" s="15" t="s">
        <v>446</v>
      </c>
      <c r="J250" s="14" t="s">
        <v>71</v>
      </c>
      <c r="K250" s="14">
        <v>3.0</v>
      </c>
      <c r="L250" s="14"/>
      <c r="M250" s="14"/>
      <c r="N250" s="14"/>
      <c r="O250" s="14"/>
      <c r="P250" s="14">
        <v>570.0</v>
      </c>
      <c r="Q250" s="14" t="s">
        <v>74</v>
      </c>
      <c r="R250" s="14" t="s">
        <v>75</v>
      </c>
      <c r="S250" s="14" t="s">
        <v>142</v>
      </c>
      <c r="T250" s="14" t="s">
        <v>39</v>
      </c>
      <c r="U250" s="14" t="s">
        <v>226</v>
      </c>
      <c r="V250" s="14" t="s">
        <v>533</v>
      </c>
      <c r="W250" s="14">
        <v>2.0</v>
      </c>
      <c r="X250" s="14">
        <v>2.0</v>
      </c>
      <c r="Y250" s="14">
        <v>4.0</v>
      </c>
      <c r="Z250" s="14">
        <v>3.0</v>
      </c>
      <c r="AA250" s="14">
        <v>2.0</v>
      </c>
      <c r="AB250" s="14">
        <v>0.0</v>
      </c>
      <c r="AC250" s="14">
        <v>2.3</v>
      </c>
      <c r="AD250" s="14"/>
      <c r="AE250" s="14" t="s">
        <v>446</v>
      </c>
      <c r="AF250" s="14"/>
      <c r="AG250" s="14"/>
      <c r="AH250" s="14"/>
      <c r="AI250" s="14"/>
      <c r="AJ250" s="14"/>
      <c r="AK250" s="14"/>
      <c r="AL250" s="14"/>
      <c r="AM250" s="14" t="s">
        <v>533</v>
      </c>
      <c r="AN250" s="14" t="s">
        <v>470</v>
      </c>
      <c r="AO250" s="14" t="s">
        <v>84</v>
      </c>
      <c r="AP250" s="14" t="s">
        <v>471</v>
      </c>
      <c r="AQ250" s="14">
        <v>0.0</v>
      </c>
      <c r="AR250" s="14" t="s">
        <v>196</v>
      </c>
    </row>
    <row r="251" ht="15.75" customHeight="1">
      <c r="A251" s="14" t="s">
        <v>39</v>
      </c>
      <c r="B251" s="14" t="s">
        <v>44</v>
      </c>
      <c r="C251" s="14" t="s">
        <v>102</v>
      </c>
      <c r="D251" s="14" t="s">
        <v>521</v>
      </c>
      <c r="E251" s="14" t="s">
        <v>271</v>
      </c>
      <c r="F251" s="14" t="s">
        <v>530</v>
      </c>
      <c r="G251" s="14" t="s">
        <v>69</v>
      </c>
      <c r="H251" s="14" t="s">
        <v>69</v>
      </c>
      <c r="I251" s="15" t="s">
        <v>446</v>
      </c>
      <c r="J251" s="14" t="s">
        <v>71</v>
      </c>
      <c r="K251" s="14">
        <v>3.0</v>
      </c>
      <c r="L251" s="14"/>
      <c r="M251" s="14"/>
      <c r="N251" s="14"/>
      <c r="O251" s="14"/>
      <c r="P251" s="14">
        <v>570.0</v>
      </c>
      <c r="Q251" s="14" t="s">
        <v>74</v>
      </c>
      <c r="R251" s="14" t="s">
        <v>75</v>
      </c>
      <c r="S251" s="14" t="s">
        <v>142</v>
      </c>
      <c r="T251" s="14" t="s">
        <v>39</v>
      </c>
      <c r="U251" s="14" t="s">
        <v>226</v>
      </c>
      <c r="V251" s="14" t="s">
        <v>533</v>
      </c>
      <c r="W251" s="14">
        <v>2.0</v>
      </c>
      <c r="X251" s="14">
        <v>2.0</v>
      </c>
      <c r="Y251" s="14">
        <v>4.0</v>
      </c>
      <c r="Z251" s="14">
        <v>3.0</v>
      </c>
      <c r="AA251" s="14">
        <v>2.0</v>
      </c>
      <c r="AB251" s="14">
        <v>0.0</v>
      </c>
      <c r="AC251" s="14">
        <v>2.3</v>
      </c>
      <c r="AD251" s="14"/>
      <c r="AE251" s="14" t="s">
        <v>446</v>
      </c>
      <c r="AF251" s="14"/>
      <c r="AG251" s="14"/>
      <c r="AH251" s="14"/>
      <c r="AI251" s="14"/>
      <c r="AJ251" s="14"/>
      <c r="AK251" s="14"/>
      <c r="AL251" s="14"/>
      <c r="AM251" s="14" t="s">
        <v>533</v>
      </c>
      <c r="AN251" s="14" t="s">
        <v>602</v>
      </c>
      <c r="AO251" s="14" t="s">
        <v>84</v>
      </c>
      <c r="AP251" s="14" t="s">
        <v>603</v>
      </c>
      <c r="AQ251" s="14">
        <v>0.0</v>
      </c>
      <c r="AR251" s="14" t="s">
        <v>196</v>
      </c>
    </row>
    <row r="252" ht="15.75" customHeight="1">
      <c r="A252" s="14" t="s">
        <v>39</v>
      </c>
      <c r="B252" s="14" t="s">
        <v>44</v>
      </c>
      <c r="C252" s="14" t="s">
        <v>102</v>
      </c>
      <c r="D252" s="14" t="s">
        <v>348</v>
      </c>
      <c r="E252" s="14" t="s">
        <v>271</v>
      </c>
      <c r="F252" s="14" t="s">
        <v>530</v>
      </c>
      <c r="G252" s="14" t="s">
        <v>69</v>
      </c>
      <c r="H252" s="14" t="s">
        <v>69</v>
      </c>
      <c r="I252" s="15" t="s">
        <v>446</v>
      </c>
      <c r="J252" s="14" t="s">
        <v>71</v>
      </c>
      <c r="K252" s="14">
        <v>3.0</v>
      </c>
      <c r="L252" s="14"/>
      <c r="M252" s="14"/>
      <c r="N252" s="14"/>
      <c r="O252" s="14"/>
      <c r="P252" s="14">
        <v>570.0</v>
      </c>
      <c r="Q252" s="14" t="s">
        <v>74</v>
      </c>
      <c r="R252" s="14" t="s">
        <v>75</v>
      </c>
      <c r="S252" s="14" t="s">
        <v>142</v>
      </c>
      <c r="T252" s="14" t="s">
        <v>39</v>
      </c>
      <c r="U252" s="14" t="s">
        <v>226</v>
      </c>
      <c r="V252" s="14" t="s">
        <v>533</v>
      </c>
      <c r="W252" s="14">
        <v>2.0</v>
      </c>
      <c r="X252" s="14">
        <v>2.0</v>
      </c>
      <c r="Y252" s="14">
        <v>4.0</v>
      </c>
      <c r="Z252" s="14">
        <v>3.0</v>
      </c>
      <c r="AA252" s="14">
        <v>2.0</v>
      </c>
      <c r="AB252" s="14">
        <v>0.0</v>
      </c>
      <c r="AC252" s="14">
        <v>2.3</v>
      </c>
      <c r="AD252" s="14"/>
      <c r="AE252" s="14" t="s">
        <v>446</v>
      </c>
      <c r="AF252" s="14"/>
      <c r="AG252" s="14"/>
      <c r="AH252" s="14"/>
      <c r="AI252" s="14"/>
      <c r="AJ252" s="14"/>
      <c r="AK252" s="14"/>
      <c r="AL252" s="14"/>
      <c r="AM252" s="14" t="s">
        <v>533</v>
      </c>
      <c r="AN252" s="14" t="s">
        <v>472</v>
      </c>
      <c r="AO252" s="14" t="s">
        <v>84</v>
      </c>
      <c r="AP252" s="14" t="s">
        <v>473</v>
      </c>
      <c r="AQ252" s="14">
        <v>0.0</v>
      </c>
      <c r="AR252" s="14" t="s">
        <v>196</v>
      </c>
    </row>
    <row r="253" ht="15.75" customHeight="1">
      <c r="A253" s="14" t="s">
        <v>39</v>
      </c>
      <c r="B253" s="14" t="s">
        <v>44</v>
      </c>
      <c r="C253" s="14" t="s">
        <v>102</v>
      </c>
      <c r="D253" s="14" t="s">
        <v>522</v>
      </c>
      <c r="E253" s="14" t="s">
        <v>271</v>
      </c>
      <c r="F253" s="14" t="s">
        <v>530</v>
      </c>
      <c r="G253" s="14" t="s">
        <v>69</v>
      </c>
      <c r="H253" s="14" t="s">
        <v>69</v>
      </c>
      <c r="I253" s="15" t="s">
        <v>446</v>
      </c>
      <c r="J253" s="14" t="s">
        <v>71</v>
      </c>
      <c r="K253" s="14">
        <v>3.0</v>
      </c>
      <c r="L253" s="14"/>
      <c r="M253" s="14"/>
      <c r="N253" s="14"/>
      <c r="O253" s="14"/>
      <c r="P253" s="14">
        <v>570.0</v>
      </c>
      <c r="Q253" s="14" t="s">
        <v>74</v>
      </c>
      <c r="R253" s="14" t="s">
        <v>75</v>
      </c>
      <c r="S253" s="14" t="s">
        <v>142</v>
      </c>
      <c r="T253" s="14" t="s">
        <v>39</v>
      </c>
      <c r="U253" s="14" t="s">
        <v>226</v>
      </c>
      <c r="V253" s="14" t="s">
        <v>533</v>
      </c>
      <c r="W253" s="14">
        <v>2.0</v>
      </c>
      <c r="X253" s="14">
        <v>2.0</v>
      </c>
      <c r="Y253" s="14">
        <v>4.0</v>
      </c>
      <c r="Z253" s="14">
        <v>3.0</v>
      </c>
      <c r="AA253" s="14">
        <v>2.0</v>
      </c>
      <c r="AB253" s="14">
        <v>0.0</v>
      </c>
      <c r="AC253" s="14">
        <v>2.3</v>
      </c>
      <c r="AD253" s="14"/>
      <c r="AE253" s="14" t="s">
        <v>446</v>
      </c>
      <c r="AF253" s="14"/>
      <c r="AG253" s="14"/>
      <c r="AH253" s="14"/>
      <c r="AI253" s="14"/>
      <c r="AJ253" s="14"/>
      <c r="AK253" s="14"/>
      <c r="AL253" s="14"/>
      <c r="AM253" s="14" t="s">
        <v>533</v>
      </c>
      <c r="AN253" s="14" t="s">
        <v>604</v>
      </c>
      <c r="AO253" s="14" t="s">
        <v>84</v>
      </c>
      <c r="AP253" s="14" t="s">
        <v>605</v>
      </c>
      <c r="AQ253" s="14">
        <v>0.0</v>
      </c>
      <c r="AR253" s="14" t="s">
        <v>196</v>
      </c>
    </row>
    <row r="254" ht="15.75" customHeight="1">
      <c r="A254" s="14" t="s">
        <v>39</v>
      </c>
      <c r="B254" s="14" t="s">
        <v>44</v>
      </c>
      <c r="C254" s="14" t="s">
        <v>102</v>
      </c>
      <c r="D254" s="14" t="s">
        <v>523</v>
      </c>
      <c r="E254" s="14" t="s">
        <v>271</v>
      </c>
      <c r="F254" s="14" t="s">
        <v>530</v>
      </c>
      <c r="G254" s="14" t="s">
        <v>69</v>
      </c>
      <c r="H254" s="14" t="s">
        <v>69</v>
      </c>
      <c r="I254" s="15" t="s">
        <v>446</v>
      </c>
      <c r="J254" s="14" t="s">
        <v>71</v>
      </c>
      <c r="K254" s="14">
        <v>3.0</v>
      </c>
      <c r="L254" s="14"/>
      <c r="M254" s="14"/>
      <c r="N254" s="14"/>
      <c r="O254" s="14"/>
      <c r="P254" s="14">
        <v>570.0</v>
      </c>
      <c r="Q254" s="14" t="s">
        <v>74</v>
      </c>
      <c r="R254" s="14" t="s">
        <v>75</v>
      </c>
      <c r="S254" s="14" t="s">
        <v>142</v>
      </c>
      <c r="T254" s="14" t="s">
        <v>39</v>
      </c>
      <c r="U254" s="14" t="s">
        <v>226</v>
      </c>
      <c r="V254" s="14" t="s">
        <v>533</v>
      </c>
      <c r="W254" s="14">
        <v>2.0</v>
      </c>
      <c r="X254" s="14">
        <v>2.0</v>
      </c>
      <c r="Y254" s="14">
        <v>4.0</v>
      </c>
      <c r="Z254" s="14">
        <v>3.0</v>
      </c>
      <c r="AA254" s="14">
        <v>2.0</v>
      </c>
      <c r="AB254" s="14">
        <v>0.0</v>
      </c>
      <c r="AC254" s="14">
        <v>2.3</v>
      </c>
      <c r="AD254" s="14"/>
      <c r="AE254" s="14" t="s">
        <v>446</v>
      </c>
      <c r="AF254" s="14"/>
      <c r="AG254" s="14"/>
      <c r="AH254" s="14"/>
      <c r="AI254" s="14"/>
      <c r="AJ254" s="14"/>
      <c r="AK254" s="14"/>
      <c r="AL254" s="14"/>
      <c r="AM254" s="14" t="s">
        <v>533</v>
      </c>
      <c r="AN254" s="14" t="s">
        <v>606</v>
      </c>
      <c r="AO254" s="14" t="s">
        <v>84</v>
      </c>
      <c r="AP254" s="14" t="s">
        <v>607</v>
      </c>
      <c r="AQ254" s="14">
        <v>0.0</v>
      </c>
      <c r="AR254" s="14" t="s">
        <v>196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0"/>
    <col customWidth="1" min="3" max="3" width="16.0"/>
    <col customWidth="1" min="4" max="4" width="32.0"/>
    <col customWidth="1" min="5" max="5" width="24.0"/>
    <col customWidth="1" min="6" max="6" width="34.0"/>
    <col customWidth="1" min="7" max="8" width="9.0"/>
    <col customWidth="1" min="9" max="9" width="14.0"/>
    <col customWidth="1" min="10" max="10" width="20.0"/>
    <col customWidth="1" min="11" max="11" width="12.0"/>
    <col customWidth="1" min="12" max="12" width="14.0"/>
    <col customWidth="1" min="13" max="13" width="13.0"/>
    <col customWidth="1" min="14" max="14" width="15.0"/>
    <col customWidth="1" min="15" max="15" width="11.0"/>
    <col customWidth="1" min="16" max="16" width="14.0"/>
    <col customWidth="1" min="17" max="17" width="12.0"/>
    <col customWidth="1" min="18" max="18" width="28.0"/>
    <col customWidth="1" min="19" max="19" width="12.0"/>
    <col customWidth="1" min="20" max="20" width="13.0"/>
    <col customWidth="1" min="21" max="22" width="42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  <col customWidth="1" min="32" max="38" width="8.63"/>
    <col customWidth="1" min="39" max="42" width="27.0"/>
    <col customWidth="1" min="43" max="43" width="14.0"/>
    <col customWidth="1" min="44" max="44" width="42.0"/>
  </cols>
  <sheetData>
    <row r="1" ht="27.75" customHeight="1">
      <c r="A1" s="23" t="s">
        <v>3</v>
      </c>
      <c r="B1" s="23" t="s">
        <v>5</v>
      </c>
      <c r="C1" s="23" t="s">
        <v>6</v>
      </c>
      <c r="D1" s="23" t="s">
        <v>7</v>
      </c>
      <c r="E1" s="23" t="s">
        <v>17</v>
      </c>
      <c r="F1" s="23" t="s">
        <v>8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11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16</v>
      </c>
      <c r="V1" s="23" t="s">
        <v>18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40</v>
      </c>
      <c r="AC1" s="23" t="s">
        <v>42</v>
      </c>
      <c r="AD1" s="23" t="s">
        <v>43</v>
      </c>
      <c r="AE1" s="23" t="s">
        <v>45</v>
      </c>
      <c r="AF1" s="2" t="s">
        <v>47</v>
      </c>
      <c r="AG1" s="2" t="s">
        <v>49</v>
      </c>
      <c r="AH1" s="2" t="s">
        <v>51</v>
      </c>
      <c r="AI1" s="2" t="s">
        <v>53</v>
      </c>
      <c r="AJ1" s="2" t="s">
        <v>54</v>
      </c>
      <c r="AK1" s="2" t="s">
        <v>55</v>
      </c>
      <c r="AL1" s="2" t="s">
        <v>56</v>
      </c>
      <c r="AM1" s="2" t="s">
        <v>57</v>
      </c>
      <c r="AN1" s="2" t="s">
        <v>58</v>
      </c>
      <c r="AO1" s="2" t="s">
        <v>60</v>
      </c>
      <c r="AP1" s="2" t="s">
        <v>62</v>
      </c>
      <c r="AQ1" s="2" t="s">
        <v>63</v>
      </c>
      <c r="AR1" s="2" t="s">
        <v>64</v>
      </c>
    </row>
    <row r="2">
      <c r="A2" s="7" t="s">
        <v>39</v>
      </c>
      <c r="B2" s="7" t="s">
        <v>44</v>
      </c>
      <c r="C2" s="7" t="s">
        <v>46</v>
      </c>
      <c r="D2" s="7" t="s">
        <v>48</v>
      </c>
      <c r="E2" s="7" t="s">
        <v>68</v>
      </c>
      <c r="F2" s="7" t="s">
        <v>50</v>
      </c>
      <c r="G2" s="7" t="s">
        <v>69</v>
      </c>
      <c r="H2" s="7" t="s">
        <v>69</v>
      </c>
      <c r="I2" s="9" t="s">
        <v>52</v>
      </c>
      <c r="J2" s="7" t="s">
        <v>71</v>
      </c>
      <c r="K2" s="7">
        <v>3.0</v>
      </c>
      <c r="L2" s="7"/>
      <c r="M2" s="7"/>
      <c r="N2" s="7"/>
      <c r="O2" s="7"/>
      <c r="P2" s="7">
        <v>520.0</v>
      </c>
      <c r="Q2" s="7" t="s">
        <v>74</v>
      </c>
      <c r="R2" s="7" t="s">
        <v>75</v>
      </c>
      <c r="S2" s="7" t="s">
        <v>76</v>
      </c>
      <c r="T2" s="7" t="s">
        <v>39</v>
      </c>
      <c r="U2" s="7" t="s">
        <v>77</v>
      </c>
      <c r="V2" s="7" t="s">
        <v>61</v>
      </c>
      <c r="W2" s="7">
        <v>2.0</v>
      </c>
      <c r="X2" s="7">
        <v>2.0</v>
      </c>
      <c r="Y2" s="7">
        <v>4.0</v>
      </c>
      <c r="Z2" s="7">
        <v>3.0</v>
      </c>
      <c r="AA2" s="7">
        <v>4.0</v>
      </c>
      <c r="AB2" s="7">
        <v>0.0</v>
      </c>
      <c r="AC2" s="7">
        <v>4.5</v>
      </c>
      <c r="AD2" s="7"/>
      <c r="AE2" s="7" t="s">
        <v>52</v>
      </c>
      <c r="AF2" s="14"/>
      <c r="AG2" s="14"/>
      <c r="AH2" s="14"/>
      <c r="AI2" s="14"/>
      <c r="AJ2" s="14"/>
      <c r="AK2" s="14"/>
      <c r="AL2" s="14"/>
      <c r="AM2" s="14" t="s">
        <v>61</v>
      </c>
      <c r="AN2" s="14" t="s">
        <v>83</v>
      </c>
      <c r="AO2" s="14" t="s">
        <v>84</v>
      </c>
      <c r="AP2" s="14" t="s">
        <v>85</v>
      </c>
      <c r="AQ2" s="14">
        <v>1.0</v>
      </c>
      <c r="AR2" s="14" t="s">
        <v>88</v>
      </c>
    </row>
    <row r="3">
      <c r="A3" s="7" t="s">
        <v>39</v>
      </c>
      <c r="B3" s="7" t="s">
        <v>44</v>
      </c>
      <c r="C3" s="7" t="s">
        <v>46</v>
      </c>
      <c r="D3" s="7" t="s">
        <v>70</v>
      </c>
      <c r="E3" s="7" t="s">
        <v>68</v>
      </c>
      <c r="F3" s="7" t="s">
        <v>50</v>
      </c>
      <c r="G3" s="7" t="s">
        <v>69</v>
      </c>
      <c r="H3" s="7" t="s">
        <v>69</v>
      </c>
      <c r="I3" s="9" t="s">
        <v>52</v>
      </c>
      <c r="J3" s="7" t="s">
        <v>71</v>
      </c>
      <c r="K3" s="7">
        <v>3.0</v>
      </c>
      <c r="L3" s="7"/>
      <c r="M3" s="7"/>
      <c r="N3" s="7"/>
      <c r="O3" s="7"/>
      <c r="P3" s="7">
        <v>520.0</v>
      </c>
      <c r="Q3" s="7" t="s">
        <v>74</v>
      </c>
      <c r="R3" s="7" t="s">
        <v>75</v>
      </c>
      <c r="S3" s="7" t="s">
        <v>76</v>
      </c>
      <c r="T3" s="7" t="s">
        <v>39</v>
      </c>
      <c r="U3" s="7" t="s">
        <v>77</v>
      </c>
      <c r="V3" s="7" t="s">
        <v>61</v>
      </c>
      <c r="W3" s="7">
        <v>2.0</v>
      </c>
      <c r="X3" s="7">
        <v>2.0</v>
      </c>
      <c r="Y3" s="7">
        <v>4.0</v>
      </c>
      <c r="Z3" s="7">
        <v>3.0</v>
      </c>
      <c r="AA3" s="7">
        <v>4.0</v>
      </c>
      <c r="AB3" s="7">
        <v>0.0</v>
      </c>
      <c r="AC3" s="7">
        <v>4.5</v>
      </c>
      <c r="AD3" s="7"/>
      <c r="AE3" s="7" t="s">
        <v>52</v>
      </c>
      <c r="AF3" s="14"/>
      <c r="AG3" s="14"/>
      <c r="AH3" s="14"/>
      <c r="AI3" s="14"/>
      <c r="AJ3" s="14"/>
      <c r="AK3" s="14"/>
      <c r="AL3" s="14"/>
      <c r="AM3" s="14" t="s">
        <v>61</v>
      </c>
      <c r="AN3" s="14" t="s">
        <v>98</v>
      </c>
      <c r="AO3" s="14" t="s">
        <v>84</v>
      </c>
      <c r="AP3" s="14" t="s">
        <v>99</v>
      </c>
      <c r="AQ3" s="14">
        <v>1.0</v>
      </c>
      <c r="AR3" s="14" t="s">
        <v>88</v>
      </c>
    </row>
    <row r="4">
      <c r="A4" s="7" t="s">
        <v>39</v>
      </c>
      <c r="B4" s="7" t="s">
        <v>44</v>
      </c>
      <c r="C4" s="7" t="s">
        <v>46</v>
      </c>
      <c r="D4" s="7" t="s">
        <v>80</v>
      </c>
      <c r="E4" s="7" t="s">
        <v>68</v>
      </c>
      <c r="F4" s="7" t="s">
        <v>50</v>
      </c>
      <c r="G4" s="7" t="s">
        <v>69</v>
      </c>
      <c r="H4" s="7" t="s">
        <v>69</v>
      </c>
      <c r="I4" s="9" t="s">
        <v>52</v>
      </c>
      <c r="J4" s="7" t="s">
        <v>71</v>
      </c>
      <c r="K4" s="7">
        <v>3.0</v>
      </c>
      <c r="L4" s="7"/>
      <c r="M4" s="7"/>
      <c r="N4" s="7"/>
      <c r="O4" s="7"/>
      <c r="P4" s="7">
        <v>520.0</v>
      </c>
      <c r="Q4" s="7" t="s">
        <v>74</v>
      </c>
      <c r="R4" s="7" t="s">
        <v>75</v>
      </c>
      <c r="S4" s="7" t="s">
        <v>76</v>
      </c>
      <c r="T4" s="7" t="s">
        <v>39</v>
      </c>
      <c r="U4" s="7" t="s">
        <v>77</v>
      </c>
      <c r="V4" s="7" t="s">
        <v>61</v>
      </c>
      <c r="W4" s="7">
        <v>2.0</v>
      </c>
      <c r="X4" s="7">
        <v>2.0</v>
      </c>
      <c r="Y4" s="7">
        <v>4.0</v>
      </c>
      <c r="Z4" s="7">
        <v>3.0</v>
      </c>
      <c r="AA4" s="7">
        <v>4.0</v>
      </c>
      <c r="AB4" s="7">
        <v>0.0</v>
      </c>
      <c r="AC4" s="7">
        <v>4.5</v>
      </c>
      <c r="AD4" s="7"/>
      <c r="AE4" s="7" t="s">
        <v>52</v>
      </c>
      <c r="AF4" s="14"/>
      <c r="AG4" s="14"/>
      <c r="AH4" s="14"/>
      <c r="AI4" s="14"/>
      <c r="AJ4" s="14"/>
      <c r="AK4" s="14"/>
      <c r="AL4" s="14"/>
      <c r="AM4" s="14" t="s">
        <v>61</v>
      </c>
      <c r="AN4" s="14" t="s">
        <v>112</v>
      </c>
      <c r="AO4" s="14" t="s">
        <v>84</v>
      </c>
      <c r="AP4" s="14" t="s">
        <v>115</v>
      </c>
      <c r="AQ4" s="14">
        <v>1.0</v>
      </c>
      <c r="AR4" s="14" t="s">
        <v>88</v>
      </c>
    </row>
    <row r="5">
      <c r="A5" s="7" t="s">
        <v>39</v>
      </c>
      <c r="B5" s="7" t="s">
        <v>44</v>
      </c>
      <c r="C5" s="7" t="s">
        <v>46</v>
      </c>
      <c r="D5" s="7" t="s">
        <v>89</v>
      </c>
      <c r="E5" s="7" t="s">
        <v>106</v>
      </c>
      <c r="F5" s="7" t="s">
        <v>50</v>
      </c>
      <c r="G5" s="7" t="s">
        <v>69</v>
      </c>
      <c r="H5" s="7" t="s">
        <v>69</v>
      </c>
      <c r="I5" s="9" t="s">
        <v>52</v>
      </c>
      <c r="J5" s="7" t="s">
        <v>71</v>
      </c>
      <c r="K5" s="7">
        <v>3.0</v>
      </c>
      <c r="L5" s="7"/>
      <c r="M5" s="7"/>
      <c r="N5" s="7"/>
      <c r="O5" s="7"/>
      <c r="P5" s="7">
        <v>130.0</v>
      </c>
      <c r="Q5" s="7" t="s">
        <v>121</v>
      </c>
      <c r="R5" s="7" t="s">
        <v>75</v>
      </c>
      <c r="S5" s="7" t="s">
        <v>76</v>
      </c>
      <c r="T5" s="7" t="s">
        <v>39</v>
      </c>
      <c r="U5" s="7" t="s">
        <v>123</v>
      </c>
      <c r="V5" s="7" t="s">
        <v>61</v>
      </c>
      <c r="W5" s="7">
        <v>2.0</v>
      </c>
      <c r="X5" s="7">
        <v>5.0</v>
      </c>
      <c r="Y5" s="7">
        <v>4.0</v>
      </c>
      <c r="Z5" s="7">
        <v>3.0</v>
      </c>
      <c r="AA5" s="7">
        <v>4.0</v>
      </c>
      <c r="AB5" s="7">
        <v>0.0</v>
      </c>
      <c r="AC5" s="7">
        <v>4.5</v>
      </c>
      <c r="AD5" s="7"/>
      <c r="AE5" s="7" t="s">
        <v>52</v>
      </c>
      <c r="AF5" s="14"/>
      <c r="AG5" s="14"/>
      <c r="AH5" s="14"/>
      <c r="AI5" s="14"/>
      <c r="AJ5" s="14"/>
      <c r="AK5" s="14"/>
      <c r="AL5" s="14"/>
      <c r="AM5" s="14" t="s">
        <v>61</v>
      </c>
      <c r="AN5" s="14" t="s">
        <v>127</v>
      </c>
      <c r="AO5" s="14" t="s">
        <v>84</v>
      </c>
      <c r="AP5" s="14" t="s">
        <v>128</v>
      </c>
      <c r="AQ5" s="14">
        <v>1.0</v>
      </c>
      <c r="AR5" s="14" t="s">
        <v>88</v>
      </c>
    </row>
    <row r="6">
      <c r="A6" s="3" t="s">
        <v>39</v>
      </c>
      <c r="B6" s="3" t="s">
        <v>44</v>
      </c>
      <c r="C6" s="3" t="s">
        <v>46</v>
      </c>
      <c r="D6" s="3" t="s">
        <v>95</v>
      </c>
      <c r="E6" s="3" t="s">
        <v>106</v>
      </c>
      <c r="F6" s="3" t="s">
        <v>50</v>
      </c>
      <c r="G6" s="3" t="s">
        <v>69</v>
      </c>
      <c r="H6" s="3" t="s">
        <v>69</v>
      </c>
      <c r="I6" s="19" t="s">
        <v>52</v>
      </c>
      <c r="J6" s="3" t="s">
        <v>71</v>
      </c>
      <c r="K6" s="3">
        <v>3.0</v>
      </c>
      <c r="L6" s="3"/>
      <c r="M6" s="3"/>
      <c r="N6" s="3"/>
      <c r="O6" s="3"/>
      <c r="P6" s="3">
        <v>130.0</v>
      </c>
      <c r="Q6" s="3" t="s">
        <v>121</v>
      </c>
      <c r="R6" s="3" t="s">
        <v>75</v>
      </c>
      <c r="S6" s="3" t="s">
        <v>76</v>
      </c>
      <c r="T6" s="3" t="s">
        <v>39</v>
      </c>
      <c r="U6" s="3" t="s">
        <v>123</v>
      </c>
      <c r="V6" s="3" t="s">
        <v>61</v>
      </c>
      <c r="W6" s="3">
        <v>2.0</v>
      </c>
      <c r="X6" s="3">
        <v>5.0</v>
      </c>
      <c r="Y6" s="3">
        <v>4.0</v>
      </c>
      <c r="Z6" s="3">
        <v>3.0</v>
      </c>
      <c r="AA6" s="3">
        <v>4.0</v>
      </c>
      <c r="AB6" s="3">
        <v>0.0</v>
      </c>
      <c r="AC6" s="3">
        <v>4.5</v>
      </c>
      <c r="AD6" s="3"/>
      <c r="AE6" s="3" t="s">
        <v>52</v>
      </c>
      <c r="AF6" s="14"/>
      <c r="AG6" s="14"/>
      <c r="AH6" s="14"/>
      <c r="AI6" s="14"/>
      <c r="AJ6" s="14"/>
      <c r="AK6" s="14"/>
      <c r="AL6" s="14"/>
      <c r="AM6" s="14" t="s">
        <v>61</v>
      </c>
      <c r="AN6" s="14" t="s">
        <v>135</v>
      </c>
      <c r="AO6" s="14" t="s">
        <v>84</v>
      </c>
      <c r="AP6" s="14" t="s">
        <v>136</v>
      </c>
      <c r="AQ6" s="14">
        <v>1.0</v>
      </c>
      <c r="AR6" s="14" t="s">
        <v>88</v>
      </c>
    </row>
    <row r="7">
      <c r="A7" s="3" t="s">
        <v>39</v>
      </c>
      <c r="B7" s="3" t="s">
        <v>44</v>
      </c>
      <c r="C7" s="3" t="s">
        <v>46</v>
      </c>
      <c r="D7" s="3" t="s">
        <v>48</v>
      </c>
      <c r="E7" s="3" t="s">
        <v>68</v>
      </c>
      <c r="F7" s="3" t="s">
        <v>108</v>
      </c>
      <c r="G7" s="3" t="s">
        <v>39</v>
      </c>
      <c r="H7" s="3" t="s">
        <v>69</v>
      </c>
      <c r="I7" s="19" t="s">
        <v>110</v>
      </c>
      <c r="J7" s="3" t="s">
        <v>71</v>
      </c>
      <c r="K7" s="3">
        <v>0.0</v>
      </c>
      <c r="L7" s="3">
        <v>0.0</v>
      </c>
      <c r="M7" s="3"/>
      <c r="N7" s="3"/>
      <c r="O7" s="3"/>
      <c r="P7" s="3">
        <v>520.0</v>
      </c>
      <c r="Q7" s="3" t="s">
        <v>74</v>
      </c>
      <c r="R7" s="3" t="s">
        <v>75</v>
      </c>
      <c r="S7" s="3" t="s">
        <v>76</v>
      </c>
      <c r="T7" s="3" t="s">
        <v>39</v>
      </c>
      <c r="U7" s="3" t="s">
        <v>59</v>
      </c>
      <c r="V7" s="3" t="s">
        <v>114</v>
      </c>
      <c r="W7" s="3">
        <v>2.0</v>
      </c>
      <c r="X7" s="3">
        <v>2.0</v>
      </c>
      <c r="Y7" s="3">
        <v>5.0</v>
      </c>
      <c r="Z7" s="3">
        <v>3.0</v>
      </c>
      <c r="AA7" s="3">
        <v>4.0</v>
      </c>
      <c r="AB7" s="3">
        <v>0.0</v>
      </c>
      <c r="AC7" s="3">
        <v>2.7</v>
      </c>
      <c r="AD7" s="3">
        <v>0.0</v>
      </c>
      <c r="AE7" s="3" t="s">
        <v>110</v>
      </c>
      <c r="AF7" s="14"/>
      <c r="AG7" s="14"/>
      <c r="AH7" s="14"/>
      <c r="AI7" s="14"/>
      <c r="AJ7" s="14"/>
      <c r="AK7" s="14"/>
      <c r="AL7" s="14"/>
      <c r="AM7" s="14" t="s">
        <v>114</v>
      </c>
      <c r="AN7" s="14" t="s">
        <v>83</v>
      </c>
      <c r="AO7" s="14" t="s">
        <v>84</v>
      </c>
      <c r="AP7" s="14" t="s">
        <v>85</v>
      </c>
      <c r="AQ7" s="14">
        <v>0.0</v>
      </c>
      <c r="AR7" s="14" t="s">
        <v>196</v>
      </c>
    </row>
    <row r="8">
      <c r="A8" s="3" t="s">
        <v>39</v>
      </c>
      <c r="B8" s="3" t="s">
        <v>44</v>
      </c>
      <c r="C8" s="3" t="s">
        <v>46</v>
      </c>
      <c r="D8" s="3" t="s">
        <v>105</v>
      </c>
      <c r="E8" s="3" t="s">
        <v>106</v>
      </c>
      <c r="F8" s="3" t="s">
        <v>108</v>
      </c>
      <c r="G8" s="3" t="s">
        <v>39</v>
      </c>
      <c r="H8" s="3" t="s">
        <v>69</v>
      </c>
      <c r="I8" s="19" t="s">
        <v>110</v>
      </c>
      <c r="J8" s="3" t="s">
        <v>71</v>
      </c>
      <c r="K8" s="3">
        <v>0.0</v>
      </c>
      <c r="L8" s="3">
        <v>0.0</v>
      </c>
      <c r="M8" s="3"/>
      <c r="N8" s="3"/>
      <c r="O8" s="3"/>
      <c r="P8" s="3">
        <v>130.0</v>
      </c>
      <c r="Q8" s="3" t="s">
        <v>121</v>
      </c>
      <c r="R8" s="3" t="s">
        <v>75</v>
      </c>
      <c r="S8" s="3" t="s">
        <v>76</v>
      </c>
      <c r="T8" s="3" t="s">
        <v>69</v>
      </c>
      <c r="U8" s="3" t="s">
        <v>90</v>
      </c>
      <c r="V8" s="3" t="s">
        <v>114</v>
      </c>
      <c r="W8" s="3">
        <v>2.0</v>
      </c>
      <c r="X8" s="3">
        <v>5.0</v>
      </c>
      <c r="Y8" s="3">
        <v>5.0</v>
      </c>
      <c r="Z8" s="3">
        <v>3.0</v>
      </c>
      <c r="AA8" s="3">
        <v>4.0</v>
      </c>
      <c r="AB8" s="3">
        <v>5.0</v>
      </c>
      <c r="AC8" s="3">
        <v>3.9</v>
      </c>
      <c r="AD8" s="3">
        <v>0.0</v>
      </c>
      <c r="AE8" s="3" t="s">
        <v>110</v>
      </c>
      <c r="AF8" s="14"/>
      <c r="AG8" s="14"/>
      <c r="AH8" s="14"/>
      <c r="AI8" s="14"/>
      <c r="AJ8" s="14"/>
      <c r="AK8" s="14"/>
      <c r="AL8" s="14"/>
      <c r="AM8" s="14" t="s">
        <v>114</v>
      </c>
      <c r="AN8" s="14" t="s">
        <v>266</v>
      </c>
      <c r="AO8" s="14" t="s">
        <v>84</v>
      </c>
      <c r="AP8" s="14" t="s">
        <v>267</v>
      </c>
      <c r="AQ8" s="14">
        <v>0.0</v>
      </c>
      <c r="AR8" s="14" t="s">
        <v>196</v>
      </c>
    </row>
    <row r="9">
      <c r="A9" s="3" t="s">
        <v>39</v>
      </c>
      <c r="B9" s="3" t="s">
        <v>44</v>
      </c>
      <c r="C9" s="3" t="s">
        <v>46</v>
      </c>
      <c r="D9" s="3" t="s">
        <v>80</v>
      </c>
      <c r="E9" s="3" t="s">
        <v>68</v>
      </c>
      <c r="F9" s="3" t="s">
        <v>165</v>
      </c>
      <c r="G9" s="3" t="s">
        <v>39</v>
      </c>
      <c r="H9" s="3" t="s">
        <v>69</v>
      </c>
      <c r="I9" s="19" t="s">
        <v>122</v>
      </c>
      <c r="J9" s="3" t="s">
        <v>71</v>
      </c>
      <c r="K9" s="3">
        <v>0.0</v>
      </c>
      <c r="L9" s="3">
        <v>0.0</v>
      </c>
      <c r="M9" s="3"/>
      <c r="N9" s="3"/>
      <c r="O9" s="3"/>
      <c r="P9" s="3">
        <v>520.0</v>
      </c>
      <c r="Q9" s="3" t="s">
        <v>74</v>
      </c>
      <c r="R9" s="3" t="s">
        <v>75</v>
      </c>
      <c r="S9" s="3" t="s">
        <v>76</v>
      </c>
      <c r="T9" s="3" t="s">
        <v>39</v>
      </c>
      <c r="U9" s="3" t="s">
        <v>59</v>
      </c>
      <c r="V9" s="3" t="s">
        <v>166</v>
      </c>
      <c r="W9" s="3">
        <v>2.0</v>
      </c>
      <c r="X9" s="3">
        <v>2.0</v>
      </c>
      <c r="Y9" s="3">
        <v>5.0</v>
      </c>
      <c r="Z9" s="3">
        <v>3.0</v>
      </c>
      <c r="AA9" s="3">
        <v>4.0</v>
      </c>
      <c r="AB9" s="3">
        <v>0.0</v>
      </c>
      <c r="AC9" s="3">
        <v>2.7</v>
      </c>
      <c r="AD9" s="3">
        <v>0.0</v>
      </c>
      <c r="AE9" s="3" t="s">
        <v>122</v>
      </c>
      <c r="AF9" s="14"/>
      <c r="AG9" s="14"/>
      <c r="AH9" s="14"/>
      <c r="AI9" s="14"/>
      <c r="AJ9" s="14"/>
      <c r="AK9" s="14"/>
      <c r="AL9" s="14"/>
      <c r="AM9" s="14" t="s">
        <v>166</v>
      </c>
      <c r="AN9" s="14" t="s">
        <v>112</v>
      </c>
      <c r="AO9" s="14" t="s">
        <v>84</v>
      </c>
      <c r="AP9" s="14" t="s">
        <v>115</v>
      </c>
      <c r="AQ9" s="14">
        <v>0.0</v>
      </c>
      <c r="AR9" s="14" t="s">
        <v>196</v>
      </c>
    </row>
    <row r="10">
      <c r="A10" s="3" t="s">
        <v>39</v>
      </c>
      <c r="B10" s="3" t="s">
        <v>44</v>
      </c>
      <c r="C10" s="3" t="s">
        <v>46</v>
      </c>
      <c r="D10" s="3" t="s">
        <v>270</v>
      </c>
      <c r="E10" s="3" t="s">
        <v>68</v>
      </c>
      <c r="F10" s="3" t="s">
        <v>165</v>
      </c>
      <c r="G10" s="3" t="s">
        <v>39</v>
      </c>
      <c r="H10" s="3" t="s">
        <v>69</v>
      </c>
      <c r="I10" s="19" t="s">
        <v>122</v>
      </c>
      <c r="J10" s="3" t="s">
        <v>71</v>
      </c>
      <c r="K10" s="3">
        <v>0.0</v>
      </c>
      <c r="L10" s="3">
        <v>0.0</v>
      </c>
      <c r="M10" s="3"/>
      <c r="N10" s="3"/>
      <c r="O10" s="3"/>
      <c r="P10" s="3">
        <v>520.0</v>
      </c>
      <c r="Q10" s="3" t="s">
        <v>74</v>
      </c>
      <c r="R10" s="3" t="s">
        <v>75</v>
      </c>
      <c r="S10" s="3" t="s">
        <v>76</v>
      </c>
      <c r="T10" s="3" t="s">
        <v>39</v>
      </c>
      <c r="U10" s="3" t="s">
        <v>59</v>
      </c>
      <c r="V10" s="3" t="s">
        <v>166</v>
      </c>
      <c r="W10" s="3">
        <v>2.0</v>
      </c>
      <c r="X10" s="3">
        <v>2.0</v>
      </c>
      <c r="Y10" s="3">
        <v>5.0</v>
      </c>
      <c r="Z10" s="3">
        <v>3.0</v>
      </c>
      <c r="AA10" s="3">
        <v>4.0</v>
      </c>
      <c r="AB10" s="3">
        <v>0.0</v>
      </c>
      <c r="AC10" s="3">
        <v>2.7</v>
      </c>
      <c r="AD10" s="3">
        <v>0.0</v>
      </c>
      <c r="AE10" s="3" t="s">
        <v>122</v>
      </c>
      <c r="AF10" s="14"/>
      <c r="AG10" s="14"/>
      <c r="AH10" s="14"/>
      <c r="AI10" s="14"/>
      <c r="AJ10" s="14"/>
      <c r="AK10" s="14"/>
      <c r="AL10" s="14"/>
      <c r="AM10" s="14" t="s">
        <v>166</v>
      </c>
      <c r="AN10" s="14" t="s">
        <v>474</v>
      </c>
      <c r="AO10" s="14" t="s">
        <v>84</v>
      </c>
      <c r="AP10" s="14" t="s">
        <v>475</v>
      </c>
      <c r="AQ10" s="14">
        <v>0.0</v>
      </c>
      <c r="AR10" s="14" t="s">
        <v>196</v>
      </c>
    </row>
    <row r="11">
      <c r="A11" s="3" t="s">
        <v>39</v>
      </c>
      <c r="B11" s="3" t="s">
        <v>44</v>
      </c>
      <c r="C11" s="3" t="s">
        <v>46</v>
      </c>
      <c r="D11" s="3" t="s">
        <v>170</v>
      </c>
      <c r="E11" s="3" t="s">
        <v>106</v>
      </c>
      <c r="F11" s="3" t="s">
        <v>165</v>
      </c>
      <c r="G11" s="3" t="s">
        <v>39</v>
      </c>
      <c r="H11" s="3" t="s">
        <v>69</v>
      </c>
      <c r="I11" s="19" t="s">
        <v>122</v>
      </c>
      <c r="J11" s="3" t="s">
        <v>71</v>
      </c>
      <c r="K11" s="3">
        <v>0.0</v>
      </c>
      <c r="L11" s="3">
        <v>0.0</v>
      </c>
      <c r="M11" s="3"/>
      <c r="N11" s="3"/>
      <c r="O11" s="3"/>
      <c r="P11" s="3">
        <v>130.0</v>
      </c>
      <c r="Q11" s="3" t="s">
        <v>121</v>
      </c>
      <c r="R11" s="3" t="s">
        <v>75</v>
      </c>
      <c r="S11" s="3" t="s">
        <v>76</v>
      </c>
      <c r="T11" s="3" t="s">
        <v>39</v>
      </c>
      <c r="U11" s="3" t="s">
        <v>90</v>
      </c>
      <c r="V11" s="3" t="s">
        <v>166</v>
      </c>
      <c r="W11" s="3">
        <v>2.0</v>
      </c>
      <c r="X11" s="3">
        <v>5.0</v>
      </c>
      <c r="Y11" s="3">
        <v>5.0</v>
      </c>
      <c r="Z11" s="3">
        <v>3.0</v>
      </c>
      <c r="AA11" s="3">
        <v>4.0</v>
      </c>
      <c r="AB11" s="3">
        <v>0.0</v>
      </c>
      <c r="AC11" s="3">
        <v>3.2</v>
      </c>
      <c r="AD11" s="3">
        <v>0.0</v>
      </c>
      <c r="AE11" s="3" t="s">
        <v>122</v>
      </c>
      <c r="AF11" s="14"/>
      <c r="AG11" s="14"/>
      <c r="AH11" s="14"/>
      <c r="AI11" s="14"/>
      <c r="AJ11" s="14"/>
      <c r="AK11" s="14"/>
      <c r="AL11" s="14"/>
      <c r="AM11" s="14" t="s">
        <v>166</v>
      </c>
      <c r="AN11" s="14" t="s">
        <v>476</v>
      </c>
      <c r="AO11" s="14" t="s">
        <v>84</v>
      </c>
      <c r="AP11" s="14" t="s">
        <v>477</v>
      </c>
      <c r="AQ11" s="14">
        <v>0.0</v>
      </c>
      <c r="AR11" s="14" t="s">
        <v>196</v>
      </c>
    </row>
    <row r="12">
      <c r="A12" s="3" t="s">
        <v>39</v>
      </c>
      <c r="B12" s="3" t="s">
        <v>44</v>
      </c>
      <c r="C12" s="3" t="s">
        <v>46</v>
      </c>
      <c r="D12" s="3" t="s">
        <v>48</v>
      </c>
      <c r="E12" s="3" t="s">
        <v>68</v>
      </c>
      <c r="F12" s="3" t="s">
        <v>242</v>
      </c>
      <c r="G12" s="3" t="s">
        <v>69</v>
      </c>
      <c r="H12" s="3" t="s">
        <v>69</v>
      </c>
      <c r="I12" s="19" t="s">
        <v>176</v>
      </c>
      <c r="J12" s="3" t="s">
        <v>71</v>
      </c>
      <c r="K12" s="3">
        <v>3.0</v>
      </c>
      <c r="L12" s="3"/>
      <c r="M12" s="3"/>
      <c r="N12" s="3"/>
      <c r="O12" s="3"/>
      <c r="P12" s="3">
        <v>520.0</v>
      </c>
      <c r="Q12" s="3" t="s">
        <v>74</v>
      </c>
      <c r="R12" s="3" t="s">
        <v>75</v>
      </c>
      <c r="S12" s="3" t="s">
        <v>76</v>
      </c>
      <c r="T12" s="3" t="s">
        <v>39</v>
      </c>
      <c r="U12" s="3" t="s">
        <v>59</v>
      </c>
      <c r="V12" s="3" t="s">
        <v>243</v>
      </c>
      <c r="W12" s="3">
        <v>2.0</v>
      </c>
      <c r="X12" s="3">
        <v>2.0</v>
      </c>
      <c r="Y12" s="3">
        <v>4.0</v>
      </c>
      <c r="Z12" s="3">
        <v>3.0</v>
      </c>
      <c r="AA12" s="3">
        <v>4.0</v>
      </c>
      <c r="AB12" s="3">
        <v>0.0</v>
      </c>
      <c r="AC12" s="3">
        <v>2.5</v>
      </c>
      <c r="AD12" s="3"/>
      <c r="AE12" s="3" t="s">
        <v>176</v>
      </c>
      <c r="AF12" s="14"/>
      <c r="AG12" s="14"/>
      <c r="AH12" s="14"/>
      <c r="AI12" s="14"/>
      <c r="AJ12" s="14"/>
      <c r="AK12" s="14"/>
      <c r="AL12" s="14"/>
      <c r="AM12" s="14" t="s">
        <v>243</v>
      </c>
      <c r="AN12" s="14" t="s">
        <v>83</v>
      </c>
      <c r="AO12" s="14" t="s">
        <v>84</v>
      </c>
      <c r="AP12" s="14" t="s">
        <v>85</v>
      </c>
      <c r="AQ12" s="14">
        <v>0.0</v>
      </c>
      <c r="AR12" s="14" t="s">
        <v>196</v>
      </c>
    </row>
    <row r="13">
      <c r="A13" s="3" t="s">
        <v>39</v>
      </c>
      <c r="B13" s="3" t="s">
        <v>44</v>
      </c>
      <c r="C13" s="3" t="s">
        <v>46</v>
      </c>
      <c r="D13" s="3" t="s">
        <v>70</v>
      </c>
      <c r="E13" s="3" t="s">
        <v>68</v>
      </c>
      <c r="F13" s="3" t="s">
        <v>242</v>
      </c>
      <c r="G13" s="3" t="s">
        <v>69</v>
      </c>
      <c r="H13" s="3" t="s">
        <v>69</v>
      </c>
      <c r="I13" s="19" t="s">
        <v>176</v>
      </c>
      <c r="J13" s="3" t="s">
        <v>71</v>
      </c>
      <c r="K13" s="3">
        <v>3.0</v>
      </c>
      <c r="L13" s="3"/>
      <c r="M13" s="3"/>
      <c r="N13" s="3"/>
      <c r="O13" s="3"/>
      <c r="P13" s="3">
        <v>520.0</v>
      </c>
      <c r="Q13" s="3" t="s">
        <v>74</v>
      </c>
      <c r="R13" s="3" t="s">
        <v>75</v>
      </c>
      <c r="S13" s="3" t="s">
        <v>76</v>
      </c>
      <c r="T13" s="3" t="s">
        <v>39</v>
      </c>
      <c r="U13" s="3" t="s">
        <v>59</v>
      </c>
      <c r="V13" s="3" t="s">
        <v>243</v>
      </c>
      <c r="W13" s="3">
        <v>2.0</v>
      </c>
      <c r="X13" s="3">
        <v>2.0</v>
      </c>
      <c r="Y13" s="3">
        <v>4.0</v>
      </c>
      <c r="Z13" s="3">
        <v>3.0</v>
      </c>
      <c r="AA13" s="3">
        <v>4.0</v>
      </c>
      <c r="AB13" s="3">
        <v>0.0</v>
      </c>
      <c r="AC13" s="3">
        <v>2.5</v>
      </c>
      <c r="AD13" s="3"/>
      <c r="AE13" s="3" t="s">
        <v>176</v>
      </c>
      <c r="AF13" s="14"/>
      <c r="AG13" s="14"/>
      <c r="AH13" s="14"/>
      <c r="AI13" s="14"/>
      <c r="AJ13" s="14"/>
      <c r="AK13" s="14"/>
      <c r="AL13" s="14"/>
      <c r="AM13" s="14" t="s">
        <v>243</v>
      </c>
      <c r="AN13" s="14" t="s">
        <v>98</v>
      </c>
      <c r="AO13" s="14" t="s">
        <v>84</v>
      </c>
      <c r="AP13" s="14" t="s">
        <v>99</v>
      </c>
      <c r="AQ13" s="14">
        <v>0.0</v>
      </c>
      <c r="AR13" s="14" t="s">
        <v>196</v>
      </c>
    </row>
    <row r="14">
      <c r="A14" s="3" t="s">
        <v>39</v>
      </c>
      <c r="B14" s="3" t="s">
        <v>44</v>
      </c>
      <c r="C14" s="3" t="s">
        <v>46</v>
      </c>
      <c r="D14" s="3" t="s">
        <v>105</v>
      </c>
      <c r="E14" s="3" t="s">
        <v>106</v>
      </c>
      <c r="F14" s="3" t="s">
        <v>242</v>
      </c>
      <c r="G14" s="3" t="s">
        <v>69</v>
      </c>
      <c r="H14" s="3" t="s">
        <v>69</v>
      </c>
      <c r="I14" s="19" t="s">
        <v>176</v>
      </c>
      <c r="J14" s="3" t="s">
        <v>71</v>
      </c>
      <c r="K14" s="3">
        <v>3.0</v>
      </c>
      <c r="L14" s="3"/>
      <c r="M14" s="3"/>
      <c r="N14" s="3"/>
      <c r="O14" s="3"/>
      <c r="P14" s="3">
        <v>130.0</v>
      </c>
      <c r="Q14" s="3" t="s">
        <v>121</v>
      </c>
      <c r="R14" s="3" t="s">
        <v>75</v>
      </c>
      <c r="S14" s="3" t="s">
        <v>76</v>
      </c>
      <c r="T14" s="3" t="s">
        <v>39</v>
      </c>
      <c r="U14" s="3" t="s">
        <v>90</v>
      </c>
      <c r="V14" s="3" t="s">
        <v>243</v>
      </c>
      <c r="W14" s="3">
        <v>2.0</v>
      </c>
      <c r="X14" s="3">
        <v>5.0</v>
      </c>
      <c r="Y14" s="3">
        <v>4.0</v>
      </c>
      <c r="Z14" s="3">
        <v>3.0</v>
      </c>
      <c r="AA14" s="3">
        <v>4.0</v>
      </c>
      <c r="AB14" s="3">
        <v>0.0</v>
      </c>
      <c r="AC14" s="3">
        <v>2.9</v>
      </c>
      <c r="AD14" s="3"/>
      <c r="AE14" s="3" t="s">
        <v>176</v>
      </c>
      <c r="AF14" s="14"/>
      <c r="AG14" s="14"/>
      <c r="AH14" s="14"/>
      <c r="AI14" s="14"/>
      <c r="AJ14" s="14"/>
      <c r="AK14" s="14"/>
      <c r="AL14" s="14"/>
      <c r="AM14" s="14" t="s">
        <v>243</v>
      </c>
      <c r="AN14" s="14" t="s">
        <v>266</v>
      </c>
      <c r="AO14" s="14" t="s">
        <v>84</v>
      </c>
      <c r="AP14" s="14" t="s">
        <v>267</v>
      </c>
      <c r="AQ14" s="14">
        <v>0.0</v>
      </c>
      <c r="AR14" s="14" t="s">
        <v>196</v>
      </c>
    </row>
    <row r="15">
      <c r="A15" s="3" t="s">
        <v>39</v>
      </c>
      <c r="B15" s="3" t="s">
        <v>44</v>
      </c>
      <c r="C15" s="3" t="s">
        <v>46</v>
      </c>
      <c r="D15" s="3" t="s">
        <v>80</v>
      </c>
      <c r="E15" s="3" t="s">
        <v>68</v>
      </c>
      <c r="F15" s="3" t="s">
        <v>242</v>
      </c>
      <c r="G15" s="3" t="s">
        <v>69</v>
      </c>
      <c r="H15" s="3" t="s">
        <v>69</v>
      </c>
      <c r="I15" s="19" t="s">
        <v>176</v>
      </c>
      <c r="J15" s="3" t="s">
        <v>71</v>
      </c>
      <c r="K15" s="3">
        <v>3.0</v>
      </c>
      <c r="L15" s="3"/>
      <c r="M15" s="3"/>
      <c r="N15" s="3"/>
      <c r="O15" s="3"/>
      <c r="P15" s="3">
        <v>520.0</v>
      </c>
      <c r="Q15" s="3" t="s">
        <v>74</v>
      </c>
      <c r="R15" s="3" t="s">
        <v>75</v>
      </c>
      <c r="S15" s="3" t="s">
        <v>76</v>
      </c>
      <c r="T15" s="3" t="s">
        <v>39</v>
      </c>
      <c r="U15" s="3" t="s">
        <v>59</v>
      </c>
      <c r="V15" s="3" t="s">
        <v>243</v>
      </c>
      <c r="W15" s="3">
        <v>2.0</v>
      </c>
      <c r="X15" s="3">
        <v>2.0</v>
      </c>
      <c r="Y15" s="3">
        <v>4.0</v>
      </c>
      <c r="Z15" s="3">
        <v>3.0</v>
      </c>
      <c r="AA15" s="3">
        <v>4.0</v>
      </c>
      <c r="AB15" s="3">
        <v>0.0</v>
      </c>
      <c r="AC15" s="3">
        <v>2.5</v>
      </c>
      <c r="AD15" s="3"/>
      <c r="AE15" s="3" t="s">
        <v>176</v>
      </c>
      <c r="AF15" s="14"/>
      <c r="AG15" s="14"/>
      <c r="AH15" s="14"/>
      <c r="AI15" s="14"/>
      <c r="AJ15" s="14"/>
      <c r="AK15" s="14"/>
      <c r="AL15" s="14"/>
      <c r="AM15" s="14" t="s">
        <v>243</v>
      </c>
      <c r="AN15" s="14" t="s">
        <v>112</v>
      </c>
      <c r="AO15" s="14" t="s">
        <v>84</v>
      </c>
      <c r="AP15" s="14" t="s">
        <v>115</v>
      </c>
      <c r="AQ15" s="14">
        <v>0.0</v>
      </c>
      <c r="AR15" s="14" t="s">
        <v>196</v>
      </c>
    </row>
    <row r="16">
      <c r="A16" s="3" t="s">
        <v>39</v>
      </c>
      <c r="B16" s="3" t="s">
        <v>44</v>
      </c>
      <c r="C16" s="3" t="s">
        <v>46</v>
      </c>
      <c r="D16" s="3" t="s">
        <v>133</v>
      </c>
      <c r="E16" s="3" t="s">
        <v>106</v>
      </c>
      <c r="F16" s="3" t="s">
        <v>242</v>
      </c>
      <c r="G16" s="3" t="s">
        <v>69</v>
      </c>
      <c r="H16" s="3" t="s">
        <v>69</v>
      </c>
      <c r="I16" s="19" t="s">
        <v>176</v>
      </c>
      <c r="J16" s="3" t="s">
        <v>71</v>
      </c>
      <c r="K16" s="3">
        <v>3.0</v>
      </c>
      <c r="L16" s="3"/>
      <c r="M16" s="3"/>
      <c r="N16" s="3"/>
      <c r="O16" s="3"/>
      <c r="P16" s="3">
        <v>130.0</v>
      </c>
      <c r="Q16" s="3" t="s">
        <v>121</v>
      </c>
      <c r="R16" s="3" t="s">
        <v>75</v>
      </c>
      <c r="S16" s="3" t="s">
        <v>76</v>
      </c>
      <c r="T16" s="3" t="s">
        <v>39</v>
      </c>
      <c r="U16" s="3" t="s">
        <v>90</v>
      </c>
      <c r="V16" s="3" t="s">
        <v>243</v>
      </c>
      <c r="W16" s="3">
        <v>2.0</v>
      </c>
      <c r="X16" s="3">
        <v>5.0</v>
      </c>
      <c r="Y16" s="3">
        <v>4.0</v>
      </c>
      <c r="Z16" s="3">
        <v>3.0</v>
      </c>
      <c r="AA16" s="3">
        <v>4.0</v>
      </c>
      <c r="AB16" s="3">
        <v>0.0</v>
      </c>
      <c r="AC16" s="3">
        <v>2.9</v>
      </c>
      <c r="AD16" s="3"/>
      <c r="AE16" s="3" t="s">
        <v>176</v>
      </c>
      <c r="AF16" s="14"/>
      <c r="AG16" s="14"/>
      <c r="AH16" s="14"/>
      <c r="AI16" s="14"/>
      <c r="AJ16" s="14"/>
      <c r="AK16" s="14"/>
      <c r="AL16" s="14"/>
      <c r="AM16" s="14" t="s">
        <v>243</v>
      </c>
      <c r="AN16" s="14" t="s">
        <v>194</v>
      </c>
      <c r="AO16" s="14" t="s">
        <v>84</v>
      </c>
      <c r="AP16" s="14" t="s">
        <v>195</v>
      </c>
      <c r="AQ16" s="14">
        <v>0.0</v>
      </c>
      <c r="AR16" s="14" t="s">
        <v>196</v>
      </c>
    </row>
    <row r="17">
      <c r="A17" s="3" t="s">
        <v>39</v>
      </c>
      <c r="B17" s="3" t="s">
        <v>44</v>
      </c>
      <c r="C17" s="3" t="s">
        <v>46</v>
      </c>
      <c r="D17" s="3" t="s">
        <v>89</v>
      </c>
      <c r="E17" s="3" t="s">
        <v>106</v>
      </c>
      <c r="F17" s="3" t="s">
        <v>242</v>
      </c>
      <c r="G17" s="3" t="s">
        <v>69</v>
      </c>
      <c r="H17" s="3" t="s">
        <v>69</v>
      </c>
      <c r="I17" s="19" t="s">
        <v>176</v>
      </c>
      <c r="J17" s="3" t="s">
        <v>71</v>
      </c>
      <c r="K17" s="3">
        <v>3.0</v>
      </c>
      <c r="L17" s="3"/>
      <c r="M17" s="3"/>
      <c r="N17" s="3"/>
      <c r="O17" s="3"/>
      <c r="P17" s="3">
        <v>130.0</v>
      </c>
      <c r="Q17" s="3" t="s">
        <v>121</v>
      </c>
      <c r="R17" s="3" t="s">
        <v>75</v>
      </c>
      <c r="S17" s="3" t="s">
        <v>76</v>
      </c>
      <c r="T17" s="3" t="s">
        <v>39</v>
      </c>
      <c r="U17" s="3" t="s">
        <v>90</v>
      </c>
      <c r="V17" s="3" t="s">
        <v>243</v>
      </c>
      <c r="W17" s="3">
        <v>2.0</v>
      </c>
      <c r="X17" s="3">
        <v>5.0</v>
      </c>
      <c r="Y17" s="3">
        <v>4.0</v>
      </c>
      <c r="Z17" s="3">
        <v>3.0</v>
      </c>
      <c r="AA17" s="3">
        <v>4.0</v>
      </c>
      <c r="AB17" s="3">
        <v>0.0</v>
      </c>
      <c r="AC17" s="3">
        <v>2.9</v>
      </c>
      <c r="AD17" s="3"/>
      <c r="AE17" s="3" t="s">
        <v>176</v>
      </c>
      <c r="AF17" s="14"/>
      <c r="AG17" s="14"/>
      <c r="AH17" s="14"/>
      <c r="AI17" s="14"/>
      <c r="AJ17" s="14"/>
      <c r="AK17" s="14"/>
      <c r="AL17" s="14"/>
      <c r="AM17" s="14" t="s">
        <v>243</v>
      </c>
      <c r="AN17" s="14" t="s">
        <v>127</v>
      </c>
      <c r="AO17" s="14" t="s">
        <v>84</v>
      </c>
      <c r="AP17" s="14" t="s">
        <v>128</v>
      </c>
      <c r="AQ17" s="14">
        <v>0.0</v>
      </c>
      <c r="AR17" s="14" t="s">
        <v>196</v>
      </c>
    </row>
    <row r="18">
      <c r="A18" s="3" t="s">
        <v>39</v>
      </c>
      <c r="B18" s="3" t="s">
        <v>44</v>
      </c>
      <c r="C18" s="3" t="s">
        <v>46</v>
      </c>
      <c r="D18" s="3" t="s">
        <v>270</v>
      </c>
      <c r="E18" s="3" t="s">
        <v>68</v>
      </c>
      <c r="F18" s="3" t="s">
        <v>242</v>
      </c>
      <c r="G18" s="3" t="s">
        <v>69</v>
      </c>
      <c r="H18" s="3" t="s">
        <v>69</v>
      </c>
      <c r="I18" s="19" t="s">
        <v>176</v>
      </c>
      <c r="J18" s="3" t="s">
        <v>71</v>
      </c>
      <c r="K18" s="3">
        <v>3.0</v>
      </c>
      <c r="L18" s="3"/>
      <c r="M18" s="3"/>
      <c r="N18" s="3"/>
      <c r="O18" s="3"/>
      <c r="P18" s="3">
        <v>520.0</v>
      </c>
      <c r="Q18" s="3" t="s">
        <v>74</v>
      </c>
      <c r="R18" s="3" t="s">
        <v>75</v>
      </c>
      <c r="S18" s="3" t="s">
        <v>76</v>
      </c>
      <c r="T18" s="3" t="s">
        <v>39</v>
      </c>
      <c r="U18" s="3" t="s">
        <v>59</v>
      </c>
      <c r="V18" s="3" t="s">
        <v>243</v>
      </c>
      <c r="W18" s="3">
        <v>2.0</v>
      </c>
      <c r="X18" s="3">
        <v>2.0</v>
      </c>
      <c r="Y18" s="3">
        <v>4.0</v>
      </c>
      <c r="Z18" s="3">
        <v>3.0</v>
      </c>
      <c r="AA18" s="3">
        <v>4.0</v>
      </c>
      <c r="AB18" s="3">
        <v>0.0</v>
      </c>
      <c r="AC18" s="3">
        <v>2.5</v>
      </c>
      <c r="AD18" s="3"/>
      <c r="AE18" s="3" t="s">
        <v>176</v>
      </c>
      <c r="AF18" s="14"/>
      <c r="AG18" s="14"/>
      <c r="AH18" s="14"/>
      <c r="AI18" s="14"/>
      <c r="AJ18" s="14"/>
      <c r="AK18" s="14"/>
      <c r="AL18" s="14"/>
      <c r="AM18" s="14" t="s">
        <v>243</v>
      </c>
      <c r="AN18" s="14" t="s">
        <v>474</v>
      </c>
      <c r="AO18" s="14" t="s">
        <v>84</v>
      </c>
      <c r="AP18" s="14" t="s">
        <v>475</v>
      </c>
      <c r="AQ18" s="14">
        <v>0.0</v>
      </c>
      <c r="AR18" s="14" t="s">
        <v>196</v>
      </c>
    </row>
    <row r="19">
      <c r="A19" s="3" t="s">
        <v>39</v>
      </c>
      <c r="B19" s="3" t="s">
        <v>44</v>
      </c>
      <c r="C19" s="3" t="s">
        <v>46</v>
      </c>
      <c r="D19" s="3" t="s">
        <v>170</v>
      </c>
      <c r="E19" s="3" t="s">
        <v>106</v>
      </c>
      <c r="F19" s="3" t="s">
        <v>242</v>
      </c>
      <c r="G19" s="3" t="s">
        <v>69</v>
      </c>
      <c r="H19" s="3" t="s">
        <v>69</v>
      </c>
      <c r="I19" s="19" t="s">
        <v>176</v>
      </c>
      <c r="J19" s="3" t="s">
        <v>71</v>
      </c>
      <c r="K19" s="3">
        <v>3.0</v>
      </c>
      <c r="L19" s="3"/>
      <c r="M19" s="3"/>
      <c r="N19" s="3"/>
      <c r="O19" s="3"/>
      <c r="P19" s="3">
        <v>130.0</v>
      </c>
      <c r="Q19" s="3" t="s">
        <v>121</v>
      </c>
      <c r="R19" s="3" t="s">
        <v>75</v>
      </c>
      <c r="S19" s="3" t="s">
        <v>76</v>
      </c>
      <c r="T19" s="3" t="s">
        <v>39</v>
      </c>
      <c r="U19" s="3" t="s">
        <v>90</v>
      </c>
      <c r="V19" s="3" t="s">
        <v>243</v>
      </c>
      <c r="W19" s="3">
        <v>2.0</v>
      </c>
      <c r="X19" s="3">
        <v>5.0</v>
      </c>
      <c r="Y19" s="3">
        <v>4.0</v>
      </c>
      <c r="Z19" s="3">
        <v>3.0</v>
      </c>
      <c r="AA19" s="3">
        <v>4.0</v>
      </c>
      <c r="AB19" s="3">
        <v>0.0</v>
      </c>
      <c r="AC19" s="3">
        <v>2.9</v>
      </c>
      <c r="AD19" s="3"/>
      <c r="AE19" s="3" t="s">
        <v>176</v>
      </c>
      <c r="AF19" s="14"/>
      <c r="AG19" s="14"/>
      <c r="AH19" s="14"/>
      <c r="AI19" s="14"/>
      <c r="AJ19" s="14"/>
      <c r="AK19" s="14"/>
      <c r="AL19" s="14"/>
      <c r="AM19" s="14" t="s">
        <v>243</v>
      </c>
      <c r="AN19" s="14" t="s">
        <v>476</v>
      </c>
      <c r="AO19" s="14" t="s">
        <v>84</v>
      </c>
      <c r="AP19" s="14" t="s">
        <v>477</v>
      </c>
      <c r="AQ19" s="14">
        <v>0.0</v>
      </c>
      <c r="AR19" s="14" t="s">
        <v>196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</cols>
  <sheetData>
    <row r="1" ht="27.75" customHeight="1">
      <c r="A1" s="23" t="s">
        <v>3</v>
      </c>
      <c r="B1" s="23" t="s">
        <v>5</v>
      </c>
      <c r="C1" s="23" t="s">
        <v>6</v>
      </c>
      <c r="D1" s="23" t="s">
        <v>7</v>
      </c>
      <c r="E1" s="23" t="s">
        <v>17</v>
      </c>
      <c r="F1" s="23" t="s">
        <v>8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11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16</v>
      </c>
      <c r="V1" s="23" t="s">
        <v>18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40</v>
      </c>
      <c r="AC1" s="23" t="s">
        <v>42</v>
      </c>
      <c r="AD1" s="23" t="s">
        <v>43</v>
      </c>
      <c r="AE1" s="23" t="s">
        <v>45</v>
      </c>
    </row>
    <row r="2">
      <c r="A2" s="7" t="s">
        <v>39</v>
      </c>
      <c r="B2" s="7" t="s">
        <v>44</v>
      </c>
      <c r="C2" s="7" t="s">
        <v>506</v>
      </c>
      <c r="D2" s="7" t="s">
        <v>133</v>
      </c>
      <c r="E2" s="7" t="s">
        <v>608</v>
      </c>
      <c r="F2" s="7" t="s">
        <v>506</v>
      </c>
      <c r="G2" s="7" t="s">
        <v>69</v>
      </c>
      <c r="H2" s="7" t="s">
        <v>69</v>
      </c>
      <c r="I2" s="7" t="s">
        <v>450</v>
      </c>
      <c r="J2" s="7" t="s">
        <v>609</v>
      </c>
      <c r="K2" s="7">
        <v>3.0</v>
      </c>
      <c r="L2" s="7">
        <v>130.0</v>
      </c>
      <c r="M2" s="7">
        <v>6.0</v>
      </c>
      <c r="N2" s="7">
        <v>344.0</v>
      </c>
      <c r="O2" s="7">
        <v>0.33</v>
      </c>
      <c r="P2" s="7">
        <v>132.0</v>
      </c>
      <c r="Q2" s="7" t="s">
        <v>121</v>
      </c>
      <c r="R2" s="7" t="s">
        <v>610</v>
      </c>
      <c r="S2" s="7" t="s">
        <v>611</v>
      </c>
      <c r="T2" s="7" t="s">
        <v>39</v>
      </c>
      <c r="U2" s="7" t="s">
        <v>612</v>
      </c>
      <c r="V2" s="7" t="s">
        <v>508</v>
      </c>
      <c r="W2" s="7">
        <v>4.0</v>
      </c>
      <c r="X2" s="7">
        <v>4.0</v>
      </c>
      <c r="Y2" s="7">
        <v>5.0</v>
      </c>
      <c r="Z2" s="7">
        <v>4.0</v>
      </c>
      <c r="AA2" s="7">
        <v>3.0</v>
      </c>
      <c r="AB2" s="7">
        <v>0.0</v>
      </c>
      <c r="AC2" s="7">
        <v>3.7</v>
      </c>
      <c r="AD2" s="7">
        <v>133.0</v>
      </c>
      <c r="AE2" s="7" t="s">
        <v>723</v>
      </c>
    </row>
    <row r="3">
      <c r="A3" s="7" t="s">
        <v>39</v>
      </c>
      <c r="B3" s="7" t="s">
        <v>44</v>
      </c>
      <c r="C3" s="7" t="s">
        <v>506</v>
      </c>
      <c r="D3" s="7" t="s">
        <v>89</v>
      </c>
      <c r="E3" s="7" t="s">
        <v>617</v>
      </c>
      <c r="F3" s="7" t="s">
        <v>510</v>
      </c>
      <c r="G3" s="7" t="s">
        <v>39</v>
      </c>
      <c r="H3" s="7" t="s">
        <v>69</v>
      </c>
      <c r="I3" s="7" t="s">
        <v>450</v>
      </c>
      <c r="J3" s="7" t="s">
        <v>618</v>
      </c>
      <c r="K3" s="7">
        <v>0.0</v>
      </c>
      <c r="L3" s="7">
        <v>0.0</v>
      </c>
      <c r="M3" s="7">
        <v>26.0</v>
      </c>
      <c r="N3" s="7">
        <v>347.0</v>
      </c>
      <c r="O3" s="7">
        <v>0.18</v>
      </c>
      <c r="P3" s="7">
        <v>105.0</v>
      </c>
      <c r="Q3" s="7" t="s">
        <v>121</v>
      </c>
      <c r="R3" s="7" t="s">
        <v>619</v>
      </c>
      <c r="S3" s="7" t="s">
        <v>76</v>
      </c>
      <c r="T3" s="7" t="s">
        <v>39</v>
      </c>
      <c r="U3" s="7" t="s">
        <v>620</v>
      </c>
      <c r="V3" s="7" t="s">
        <v>512</v>
      </c>
      <c r="W3" s="7">
        <v>3.0</v>
      </c>
      <c r="X3" s="7">
        <v>4.0</v>
      </c>
      <c r="Y3" s="7">
        <v>5.0</v>
      </c>
      <c r="Z3" s="7">
        <v>4.0</v>
      </c>
      <c r="AA3" s="7">
        <v>5.0</v>
      </c>
      <c r="AB3" s="7">
        <v>0.0</v>
      </c>
      <c r="AC3" s="7">
        <v>3.5</v>
      </c>
      <c r="AD3" s="7">
        <v>0.0</v>
      </c>
      <c r="AE3" s="7" t="s">
        <v>723</v>
      </c>
    </row>
    <row r="4">
      <c r="A4" s="7" t="s">
        <v>39</v>
      </c>
      <c r="B4" s="7" t="s">
        <v>44</v>
      </c>
      <c r="C4" s="7" t="s">
        <v>506</v>
      </c>
      <c r="D4" s="7" t="s">
        <v>89</v>
      </c>
      <c r="E4" s="7" t="s">
        <v>617</v>
      </c>
      <c r="F4" s="7" t="s">
        <v>506</v>
      </c>
      <c r="G4" s="7" t="s">
        <v>69</v>
      </c>
      <c r="H4" s="7" t="s">
        <v>69</v>
      </c>
      <c r="I4" s="7" t="s">
        <v>450</v>
      </c>
      <c r="J4" s="7" t="s">
        <v>621</v>
      </c>
      <c r="K4" s="7">
        <v>3.0</v>
      </c>
      <c r="L4" s="7">
        <v>130.0</v>
      </c>
      <c r="M4" s="7">
        <v>21.0</v>
      </c>
      <c r="N4" s="7"/>
      <c r="O4" s="7"/>
      <c r="P4" s="7">
        <v>105.0</v>
      </c>
      <c r="Q4" s="7" t="s">
        <v>121</v>
      </c>
      <c r="R4" s="7" t="s">
        <v>619</v>
      </c>
      <c r="S4" s="7" t="s">
        <v>76</v>
      </c>
      <c r="T4" s="7" t="s">
        <v>39</v>
      </c>
      <c r="U4" s="7" t="s">
        <v>622</v>
      </c>
      <c r="V4" s="7" t="s">
        <v>508</v>
      </c>
      <c r="W4" s="7">
        <v>2.0</v>
      </c>
      <c r="X4" s="7">
        <v>4.0</v>
      </c>
      <c r="Y4" s="7">
        <v>5.0</v>
      </c>
      <c r="Z4" s="7">
        <v>4.0</v>
      </c>
      <c r="AA4" s="7">
        <v>5.0</v>
      </c>
      <c r="AB4" s="7">
        <v>0.0</v>
      </c>
      <c r="AC4" s="7">
        <v>3.2</v>
      </c>
      <c r="AD4" s="7">
        <v>133.0</v>
      </c>
      <c r="AE4" s="7" t="s">
        <v>723</v>
      </c>
    </row>
    <row r="5">
      <c r="A5" s="7" t="s">
        <v>39</v>
      </c>
      <c r="B5" s="7" t="s">
        <v>44</v>
      </c>
      <c r="C5" s="7" t="s">
        <v>506</v>
      </c>
      <c r="D5" s="7" t="s">
        <v>237</v>
      </c>
      <c r="E5" s="7" t="s">
        <v>617</v>
      </c>
      <c r="F5" s="7" t="s">
        <v>510</v>
      </c>
      <c r="G5" s="7" t="s">
        <v>39</v>
      </c>
      <c r="H5" s="7" t="s">
        <v>69</v>
      </c>
      <c r="I5" s="7" t="s">
        <v>450</v>
      </c>
      <c r="J5" s="7" t="s">
        <v>625</v>
      </c>
      <c r="K5" s="7">
        <v>0.0</v>
      </c>
      <c r="L5" s="7">
        <v>0.0</v>
      </c>
      <c r="M5" s="7">
        <v>8.0</v>
      </c>
      <c r="N5" s="7"/>
      <c r="O5" s="7"/>
      <c r="P5" s="7">
        <v>145.0</v>
      </c>
      <c r="Q5" s="7" t="s">
        <v>121</v>
      </c>
      <c r="R5" s="7" t="s">
        <v>619</v>
      </c>
      <c r="S5" s="7" t="s">
        <v>76</v>
      </c>
      <c r="T5" s="7" t="s">
        <v>39</v>
      </c>
      <c r="U5" s="7" t="s">
        <v>626</v>
      </c>
      <c r="V5" s="7" t="s">
        <v>512</v>
      </c>
      <c r="W5" s="7">
        <v>2.0</v>
      </c>
      <c r="X5" s="7">
        <v>4.0</v>
      </c>
      <c r="Y5" s="7">
        <v>5.0</v>
      </c>
      <c r="Z5" s="7">
        <v>4.0</v>
      </c>
      <c r="AA5" s="7">
        <v>5.0</v>
      </c>
      <c r="AB5" s="7">
        <v>0.0</v>
      </c>
      <c r="AC5" s="7">
        <v>3.2</v>
      </c>
      <c r="AD5" s="7">
        <v>0.0</v>
      </c>
      <c r="AE5" s="7" t="s">
        <v>723</v>
      </c>
    </row>
    <row r="6">
      <c r="A6" s="7" t="s">
        <v>39</v>
      </c>
      <c r="B6" s="7" t="s">
        <v>44</v>
      </c>
      <c r="C6" s="7" t="s">
        <v>506</v>
      </c>
      <c r="D6" s="7" t="s">
        <v>237</v>
      </c>
      <c r="E6" s="7" t="s">
        <v>617</v>
      </c>
      <c r="F6" s="7" t="s">
        <v>506</v>
      </c>
      <c r="G6" s="7" t="s">
        <v>69</v>
      </c>
      <c r="H6" s="7" t="s">
        <v>69</v>
      </c>
      <c r="I6" s="7" t="s">
        <v>450</v>
      </c>
      <c r="J6" s="7" t="s">
        <v>627</v>
      </c>
      <c r="K6" s="7">
        <v>3.0</v>
      </c>
      <c r="L6" s="7">
        <v>0.0</v>
      </c>
      <c r="M6" s="7">
        <v>16.0</v>
      </c>
      <c r="N6" s="7"/>
      <c r="O6" s="7"/>
      <c r="P6" s="7">
        <v>145.0</v>
      </c>
      <c r="Q6" s="7" t="s">
        <v>121</v>
      </c>
      <c r="R6" s="7" t="s">
        <v>619</v>
      </c>
      <c r="S6" s="7" t="s">
        <v>76</v>
      </c>
      <c r="T6" s="7" t="s">
        <v>39</v>
      </c>
      <c r="U6" s="7" t="s">
        <v>628</v>
      </c>
      <c r="V6" s="7" t="s">
        <v>508</v>
      </c>
      <c r="W6" s="7">
        <v>2.0</v>
      </c>
      <c r="X6" s="7">
        <v>4.0</v>
      </c>
      <c r="Y6" s="7">
        <v>5.0</v>
      </c>
      <c r="Z6" s="7">
        <v>4.0</v>
      </c>
      <c r="AA6" s="7">
        <v>5.0</v>
      </c>
      <c r="AB6" s="7">
        <v>0.0</v>
      </c>
      <c r="AC6" s="7">
        <v>3.2</v>
      </c>
      <c r="AD6" s="7">
        <v>3.0</v>
      </c>
      <c r="AE6" s="7" t="s">
        <v>723</v>
      </c>
    </row>
    <row r="7">
      <c r="A7" s="7" t="s">
        <v>39</v>
      </c>
      <c r="B7" s="7" t="s">
        <v>137</v>
      </c>
      <c r="C7" s="7" t="s">
        <v>506</v>
      </c>
      <c r="D7" s="7" t="s">
        <v>251</v>
      </c>
      <c r="E7" s="7" t="s">
        <v>685</v>
      </c>
      <c r="F7" s="7" t="s">
        <v>686</v>
      </c>
      <c r="G7" s="7" t="s">
        <v>69</v>
      </c>
      <c r="H7" s="7" t="s">
        <v>69</v>
      </c>
      <c r="I7" s="7" t="s">
        <v>450</v>
      </c>
      <c r="J7" s="7" t="s">
        <v>687</v>
      </c>
      <c r="K7" s="7">
        <v>3.0</v>
      </c>
      <c r="L7" s="7">
        <v>80.0</v>
      </c>
      <c r="M7" s="7"/>
      <c r="N7" s="7"/>
      <c r="O7" s="7"/>
      <c r="P7" s="7">
        <v>355.0</v>
      </c>
      <c r="Q7" s="7" t="s">
        <v>688</v>
      </c>
      <c r="R7" s="7" t="s">
        <v>689</v>
      </c>
      <c r="S7" s="7" t="s">
        <v>142</v>
      </c>
      <c r="T7" s="7" t="s">
        <v>39</v>
      </c>
      <c r="U7" s="7" t="s">
        <v>690</v>
      </c>
      <c r="V7" s="7" t="s">
        <v>691</v>
      </c>
      <c r="W7" s="7">
        <v>2.0</v>
      </c>
      <c r="X7" s="7">
        <v>2.0</v>
      </c>
      <c r="Y7" s="7">
        <v>5.0</v>
      </c>
      <c r="Z7" s="7">
        <v>3.0</v>
      </c>
      <c r="AA7" s="7">
        <v>1.0</v>
      </c>
      <c r="AB7" s="7">
        <v>0.0</v>
      </c>
      <c r="AC7" s="7">
        <v>2.4</v>
      </c>
      <c r="AD7" s="7">
        <v>83.0</v>
      </c>
      <c r="AE7" s="7" t="s">
        <v>723</v>
      </c>
    </row>
    <row r="8">
      <c r="A8" s="7" t="s">
        <v>39</v>
      </c>
      <c r="B8" s="7" t="s">
        <v>699</v>
      </c>
      <c r="C8" s="7" t="s">
        <v>506</v>
      </c>
      <c r="D8" s="7" t="s">
        <v>173</v>
      </c>
      <c r="E8" s="7" t="s">
        <v>700</v>
      </c>
      <c r="F8" s="7" t="s">
        <v>701</v>
      </c>
      <c r="G8" s="7" t="s">
        <v>69</v>
      </c>
      <c r="H8" s="7" t="s">
        <v>69</v>
      </c>
      <c r="I8" s="7" t="s">
        <v>122</v>
      </c>
      <c r="J8" s="7" t="s">
        <v>687</v>
      </c>
      <c r="K8" s="7">
        <v>3.0</v>
      </c>
      <c r="L8" s="7">
        <v>80.0</v>
      </c>
      <c r="M8" s="7"/>
      <c r="N8" s="7"/>
      <c r="O8" s="7"/>
      <c r="P8" s="7">
        <v>470.0</v>
      </c>
      <c r="Q8" s="7" t="s">
        <v>702</v>
      </c>
      <c r="R8" s="7" t="s">
        <v>663</v>
      </c>
      <c r="S8" s="7" t="s">
        <v>611</v>
      </c>
      <c r="T8" s="7" t="s">
        <v>39</v>
      </c>
      <c r="U8" s="7" t="s">
        <v>703</v>
      </c>
      <c r="V8" s="7" t="s">
        <v>704</v>
      </c>
      <c r="W8" s="7">
        <v>2.0</v>
      </c>
      <c r="X8" s="7">
        <v>1.0</v>
      </c>
      <c r="Y8" s="7">
        <v>5.0</v>
      </c>
      <c r="Z8" s="7">
        <v>4.0</v>
      </c>
      <c r="AA8" s="7">
        <v>3.0</v>
      </c>
      <c r="AB8" s="7">
        <v>0.0</v>
      </c>
      <c r="AC8" s="7">
        <v>2.5</v>
      </c>
      <c r="AD8" s="7">
        <v>83.0</v>
      </c>
      <c r="AE8" s="7" t="s">
        <v>724</v>
      </c>
    </row>
    <row r="9">
      <c r="A9" s="7" t="s">
        <v>39</v>
      </c>
      <c r="B9" s="7" t="s">
        <v>699</v>
      </c>
      <c r="C9" s="7" t="s">
        <v>506</v>
      </c>
      <c r="D9" s="7" t="s">
        <v>154</v>
      </c>
      <c r="E9" s="7" t="s">
        <v>700</v>
      </c>
      <c r="F9" s="7" t="s">
        <v>506</v>
      </c>
      <c r="G9" s="7" t="s">
        <v>69</v>
      </c>
      <c r="H9" s="7" t="s">
        <v>69</v>
      </c>
      <c r="I9" s="7" t="s">
        <v>450</v>
      </c>
      <c r="J9" s="7" t="s">
        <v>705</v>
      </c>
      <c r="K9" s="7">
        <v>3.0</v>
      </c>
      <c r="L9" s="7">
        <v>130.0</v>
      </c>
      <c r="M9" s="7">
        <v>5.0</v>
      </c>
      <c r="N9" s="7">
        <v>296.0</v>
      </c>
      <c r="O9" s="7">
        <v>0.2</v>
      </c>
      <c r="P9" s="7">
        <v>465.0</v>
      </c>
      <c r="Q9" s="7" t="s">
        <v>702</v>
      </c>
      <c r="R9" s="7" t="s">
        <v>635</v>
      </c>
      <c r="S9" s="7" t="s">
        <v>142</v>
      </c>
      <c r="T9" s="7" t="s">
        <v>39</v>
      </c>
      <c r="U9" s="7" t="s">
        <v>706</v>
      </c>
      <c r="V9" s="7" t="s">
        <v>508</v>
      </c>
      <c r="W9" s="7">
        <v>3.0</v>
      </c>
      <c r="X9" s="7">
        <v>1.0</v>
      </c>
      <c r="Y9" s="7">
        <v>5.0</v>
      </c>
      <c r="Z9" s="7">
        <v>5.0</v>
      </c>
      <c r="AA9" s="7">
        <v>1.0</v>
      </c>
      <c r="AB9" s="7">
        <v>0.0</v>
      </c>
      <c r="AC9" s="7">
        <v>2.8</v>
      </c>
      <c r="AD9" s="7">
        <v>133.0</v>
      </c>
      <c r="AE9" s="7" t="s">
        <v>723</v>
      </c>
    </row>
    <row r="10">
      <c r="A10" s="7" t="s">
        <v>39</v>
      </c>
      <c r="B10" s="7" t="s">
        <v>699</v>
      </c>
      <c r="C10" s="7" t="s">
        <v>506</v>
      </c>
      <c r="D10" s="7" t="s">
        <v>292</v>
      </c>
      <c r="E10" s="7" t="s">
        <v>707</v>
      </c>
      <c r="F10" s="7" t="s">
        <v>510</v>
      </c>
      <c r="G10" s="7" t="s">
        <v>39</v>
      </c>
      <c r="H10" s="7" t="s">
        <v>69</v>
      </c>
      <c r="I10" s="7" t="s">
        <v>450</v>
      </c>
      <c r="J10" s="7" t="s">
        <v>708</v>
      </c>
      <c r="K10" s="7">
        <v>0.0</v>
      </c>
      <c r="L10" s="7">
        <v>0.0</v>
      </c>
      <c r="M10" s="7">
        <v>30.0</v>
      </c>
      <c r="N10" s="7">
        <v>529.0</v>
      </c>
      <c r="O10" s="7">
        <v>0.62</v>
      </c>
      <c r="P10" s="7">
        <v>630.0</v>
      </c>
      <c r="Q10" s="7" t="s">
        <v>709</v>
      </c>
      <c r="R10" s="7" t="s">
        <v>710</v>
      </c>
      <c r="S10" s="7" t="s">
        <v>611</v>
      </c>
      <c r="T10" s="7" t="s">
        <v>39</v>
      </c>
      <c r="U10" s="7" t="s">
        <v>711</v>
      </c>
      <c r="V10" s="7" t="s">
        <v>512</v>
      </c>
      <c r="W10" s="7">
        <v>5.0</v>
      </c>
      <c r="X10" s="7">
        <v>1.0</v>
      </c>
      <c r="Y10" s="7">
        <v>5.0</v>
      </c>
      <c r="Z10" s="7">
        <v>4.0</v>
      </c>
      <c r="AA10" s="7">
        <v>3.0</v>
      </c>
      <c r="AB10" s="7">
        <v>0.0</v>
      </c>
      <c r="AC10" s="7">
        <v>3.6</v>
      </c>
      <c r="AD10" s="7">
        <v>0.0</v>
      </c>
      <c r="AE10" s="7" t="s">
        <v>723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</cols>
  <sheetData>
    <row r="1" ht="27.75" customHeight="1">
      <c r="A1" s="23" t="s">
        <v>3</v>
      </c>
      <c r="B1" s="23" t="s">
        <v>5</v>
      </c>
      <c r="C1" s="23" t="s">
        <v>6</v>
      </c>
      <c r="D1" s="23" t="s">
        <v>7</v>
      </c>
      <c r="E1" s="23" t="s">
        <v>17</v>
      </c>
      <c r="F1" s="23" t="s">
        <v>8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11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16</v>
      </c>
      <c r="V1" s="23" t="s">
        <v>18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40</v>
      </c>
      <c r="AC1" s="23" t="s">
        <v>42</v>
      </c>
      <c r="AD1" s="23" t="s">
        <v>43</v>
      </c>
      <c r="AE1" s="23" t="s">
        <v>45</v>
      </c>
    </row>
    <row r="2">
      <c r="A2" s="7" t="s">
        <v>39</v>
      </c>
      <c r="B2" s="7" t="s">
        <v>44</v>
      </c>
      <c r="C2" s="7" t="s">
        <v>613</v>
      </c>
      <c r="D2" s="7" t="s">
        <v>133</v>
      </c>
      <c r="E2" s="7" t="s">
        <v>608</v>
      </c>
      <c r="F2" s="7" t="s">
        <v>457</v>
      </c>
      <c r="G2" s="7" t="s">
        <v>69</v>
      </c>
      <c r="H2" s="7" t="s">
        <v>69</v>
      </c>
      <c r="I2" s="7" t="s">
        <v>456</v>
      </c>
      <c r="J2" s="7" t="s">
        <v>614</v>
      </c>
      <c r="K2" s="7">
        <v>3.0</v>
      </c>
      <c r="L2" s="7">
        <v>80.0</v>
      </c>
      <c r="M2" s="7"/>
      <c r="N2" s="7"/>
      <c r="O2" s="7"/>
      <c r="P2" s="7">
        <v>132.0</v>
      </c>
      <c r="Q2" s="7" t="s">
        <v>121</v>
      </c>
      <c r="R2" s="7" t="s">
        <v>610</v>
      </c>
      <c r="S2" s="7" t="s">
        <v>611</v>
      </c>
      <c r="T2" s="7" t="s">
        <v>39</v>
      </c>
      <c r="U2" s="7" t="s">
        <v>615</v>
      </c>
      <c r="V2" s="7" t="s">
        <v>616</v>
      </c>
      <c r="W2" s="7">
        <v>2.0</v>
      </c>
      <c r="X2" s="7">
        <v>4.0</v>
      </c>
      <c r="Y2" s="7">
        <v>5.0</v>
      </c>
      <c r="Z2" s="7">
        <v>4.0</v>
      </c>
      <c r="AA2" s="7">
        <v>3.0</v>
      </c>
      <c r="AB2" s="7">
        <v>0.0</v>
      </c>
      <c r="AC2" s="7">
        <v>3.0</v>
      </c>
      <c r="AD2" s="7">
        <v>83.0</v>
      </c>
      <c r="AE2" s="7" t="s">
        <v>725</v>
      </c>
    </row>
    <row r="3">
      <c r="A3" s="7" t="s">
        <v>39</v>
      </c>
      <c r="B3" s="7" t="s">
        <v>44</v>
      </c>
      <c r="C3" s="7" t="s">
        <v>613</v>
      </c>
      <c r="D3" s="7" t="s">
        <v>89</v>
      </c>
      <c r="E3" s="7" t="s">
        <v>617</v>
      </c>
      <c r="F3" s="7" t="s">
        <v>457</v>
      </c>
      <c r="G3" s="7" t="s">
        <v>69</v>
      </c>
      <c r="H3" s="7" t="s">
        <v>69</v>
      </c>
      <c r="I3" s="7" t="s">
        <v>456</v>
      </c>
      <c r="J3" s="7" t="s">
        <v>614</v>
      </c>
      <c r="K3" s="7">
        <v>3.0</v>
      </c>
      <c r="L3" s="7">
        <v>80.0</v>
      </c>
      <c r="M3" s="7"/>
      <c r="N3" s="7"/>
      <c r="O3" s="7"/>
      <c r="P3" s="7">
        <v>105.0</v>
      </c>
      <c r="Q3" s="7" t="s">
        <v>121</v>
      </c>
      <c r="R3" s="7" t="s">
        <v>619</v>
      </c>
      <c r="S3" s="7" t="s">
        <v>76</v>
      </c>
      <c r="T3" s="7" t="s">
        <v>39</v>
      </c>
      <c r="U3" s="7" t="s">
        <v>623</v>
      </c>
      <c r="V3" s="7" t="s">
        <v>624</v>
      </c>
      <c r="W3" s="7">
        <v>2.0</v>
      </c>
      <c r="X3" s="7">
        <v>4.0</v>
      </c>
      <c r="Y3" s="7">
        <v>5.0</v>
      </c>
      <c r="Z3" s="7">
        <v>4.0</v>
      </c>
      <c r="AA3" s="7">
        <v>5.0</v>
      </c>
      <c r="AB3" s="7">
        <v>0.0</v>
      </c>
      <c r="AC3" s="7">
        <v>3.2</v>
      </c>
      <c r="AD3" s="7">
        <v>83.0</v>
      </c>
      <c r="AE3" s="7" t="s">
        <v>725</v>
      </c>
    </row>
    <row r="4">
      <c r="A4" s="7" t="s">
        <v>39</v>
      </c>
      <c r="B4" s="7" t="s">
        <v>44</v>
      </c>
      <c r="C4" s="7" t="s">
        <v>613</v>
      </c>
      <c r="D4" s="7" t="s">
        <v>237</v>
      </c>
      <c r="E4" s="7" t="s">
        <v>617</v>
      </c>
      <c r="F4" s="7" t="s">
        <v>629</v>
      </c>
      <c r="G4" s="7" t="s">
        <v>69</v>
      </c>
      <c r="H4" s="7" t="s">
        <v>69</v>
      </c>
      <c r="I4" s="7" t="s">
        <v>52</v>
      </c>
      <c r="J4" s="7" t="s">
        <v>614</v>
      </c>
      <c r="K4" s="7">
        <v>0.0</v>
      </c>
      <c r="L4" s="7">
        <v>0.0</v>
      </c>
      <c r="M4" s="7"/>
      <c r="N4" s="7"/>
      <c r="O4" s="7"/>
      <c r="P4" s="7">
        <v>145.0</v>
      </c>
      <c r="Q4" s="7" t="s">
        <v>121</v>
      </c>
      <c r="R4" s="7" t="s">
        <v>619</v>
      </c>
      <c r="S4" s="7" t="s">
        <v>76</v>
      </c>
      <c r="T4" s="7" t="s">
        <v>39</v>
      </c>
      <c r="U4" s="7" t="s">
        <v>630</v>
      </c>
      <c r="V4" s="7" t="s">
        <v>631</v>
      </c>
      <c r="W4" s="7">
        <v>2.0</v>
      </c>
      <c r="X4" s="7">
        <v>4.0</v>
      </c>
      <c r="Y4" s="7">
        <v>5.0</v>
      </c>
      <c r="Z4" s="7">
        <v>4.0</v>
      </c>
      <c r="AA4" s="7">
        <v>5.0</v>
      </c>
      <c r="AB4" s="7">
        <v>0.0</v>
      </c>
      <c r="AC4" s="7">
        <v>3.2</v>
      </c>
      <c r="AD4" s="7">
        <v>0.0</v>
      </c>
      <c r="AE4" s="7" t="s">
        <v>726</v>
      </c>
    </row>
    <row r="5">
      <c r="A5" s="7" t="s">
        <v>39</v>
      </c>
      <c r="B5" s="7" t="s">
        <v>137</v>
      </c>
      <c r="C5" s="7" t="s">
        <v>613</v>
      </c>
      <c r="D5" s="7" t="s">
        <v>647</v>
      </c>
      <c r="E5" s="7" t="s">
        <v>639</v>
      </c>
      <c r="F5" s="7" t="s">
        <v>654</v>
      </c>
      <c r="G5" s="7" t="s">
        <v>39</v>
      </c>
      <c r="H5" s="7" t="s">
        <v>69</v>
      </c>
      <c r="I5" s="7" t="s">
        <v>456</v>
      </c>
      <c r="J5" s="7" t="s">
        <v>614</v>
      </c>
      <c r="K5" s="7">
        <v>0.0</v>
      </c>
      <c r="L5" s="7">
        <v>0.0</v>
      </c>
      <c r="M5" s="7"/>
      <c r="N5" s="7"/>
      <c r="O5" s="7"/>
      <c r="P5" s="7">
        <v>90.0</v>
      </c>
      <c r="Q5" s="7" t="s">
        <v>121</v>
      </c>
      <c r="R5" s="7" t="s">
        <v>649</v>
      </c>
      <c r="S5" s="7" t="s">
        <v>142</v>
      </c>
      <c r="T5" s="7" t="s">
        <v>39</v>
      </c>
      <c r="U5" s="7" t="s">
        <v>655</v>
      </c>
      <c r="V5" s="7" t="s">
        <v>651</v>
      </c>
      <c r="W5" s="7">
        <v>2.0</v>
      </c>
      <c r="X5" s="7">
        <v>5.0</v>
      </c>
      <c r="Y5" s="7">
        <v>5.0</v>
      </c>
      <c r="Z5" s="7">
        <v>3.0</v>
      </c>
      <c r="AA5" s="7">
        <v>1.0</v>
      </c>
      <c r="AB5" s="7">
        <v>0.0</v>
      </c>
      <c r="AC5" s="7">
        <v>2.9</v>
      </c>
      <c r="AD5" s="7">
        <v>0.0</v>
      </c>
      <c r="AE5" s="7" t="s">
        <v>725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</cols>
  <sheetData>
    <row r="1" ht="27.75" customHeight="1">
      <c r="A1" s="23" t="s">
        <v>3</v>
      </c>
      <c r="B1" s="23" t="s">
        <v>5</v>
      </c>
      <c r="C1" s="23" t="s">
        <v>6</v>
      </c>
      <c r="D1" s="23" t="s">
        <v>7</v>
      </c>
      <c r="E1" s="23" t="s">
        <v>17</v>
      </c>
      <c r="F1" s="23" t="s">
        <v>8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11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16</v>
      </c>
      <c r="V1" s="23" t="s">
        <v>18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40</v>
      </c>
      <c r="AC1" s="23" t="s">
        <v>42</v>
      </c>
      <c r="AD1" s="23" t="s">
        <v>43</v>
      </c>
      <c r="AE1" s="23" t="s">
        <v>45</v>
      </c>
    </row>
    <row r="2">
      <c r="A2" s="7" t="s">
        <v>39</v>
      </c>
      <c r="B2" s="7" t="s">
        <v>137</v>
      </c>
      <c r="C2" s="7" t="s">
        <v>632</v>
      </c>
      <c r="D2" s="7" t="s">
        <v>141</v>
      </c>
      <c r="E2" s="7" t="s">
        <v>617</v>
      </c>
      <c r="F2" s="7" t="s">
        <v>633</v>
      </c>
      <c r="G2" s="7" t="s">
        <v>69</v>
      </c>
      <c r="H2" s="7" t="s">
        <v>69</v>
      </c>
      <c r="I2" s="7" t="s">
        <v>52</v>
      </c>
      <c r="J2" s="7" t="s">
        <v>634</v>
      </c>
      <c r="K2" s="7">
        <v>0.0</v>
      </c>
      <c r="L2" s="7">
        <v>0.0</v>
      </c>
      <c r="M2" s="7"/>
      <c r="N2" s="7"/>
      <c r="O2" s="7"/>
      <c r="P2" s="7">
        <v>165.0</v>
      </c>
      <c r="Q2" s="7" t="s">
        <v>121</v>
      </c>
      <c r="R2" s="7" t="s">
        <v>635</v>
      </c>
      <c r="S2" s="7" t="s">
        <v>142</v>
      </c>
      <c r="T2" s="7" t="s">
        <v>39</v>
      </c>
      <c r="U2" s="7" t="s">
        <v>636</v>
      </c>
      <c r="V2" s="7" t="s">
        <v>637</v>
      </c>
      <c r="W2" s="7">
        <v>2.0</v>
      </c>
      <c r="X2" s="7">
        <v>4.0</v>
      </c>
      <c r="Y2" s="7">
        <v>5.0</v>
      </c>
      <c r="Z2" s="7">
        <v>5.0</v>
      </c>
      <c r="AA2" s="7">
        <v>1.0</v>
      </c>
      <c r="AB2" s="7">
        <v>0.0</v>
      </c>
      <c r="AC2" s="7">
        <v>2.9</v>
      </c>
      <c r="AD2" s="7">
        <v>0.0</v>
      </c>
      <c r="AE2" s="7" t="s">
        <v>726</v>
      </c>
    </row>
    <row r="3">
      <c r="A3" s="7" t="s">
        <v>39</v>
      </c>
      <c r="B3" s="7" t="s">
        <v>44</v>
      </c>
      <c r="C3" s="7" t="s">
        <v>632</v>
      </c>
      <c r="D3" s="7" t="s">
        <v>638</v>
      </c>
      <c r="E3" s="7" t="s">
        <v>639</v>
      </c>
      <c r="F3" s="7" t="s">
        <v>640</v>
      </c>
      <c r="G3" s="7" t="s">
        <v>69</v>
      </c>
      <c r="H3" s="7" t="s">
        <v>69</v>
      </c>
      <c r="I3" s="7" t="s">
        <v>52</v>
      </c>
      <c r="J3" s="7" t="s">
        <v>641</v>
      </c>
      <c r="K3" s="7">
        <v>0.0</v>
      </c>
      <c r="L3" s="7">
        <v>0.0</v>
      </c>
      <c r="M3" s="7"/>
      <c r="N3" s="7"/>
      <c r="O3" s="7"/>
      <c r="P3" s="7">
        <v>70.0</v>
      </c>
      <c r="Q3" s="7" t="s">
        <v>121</v>
      </c>
      <c r="R3" s="7" t="s">
        <v>642</v>
      </c>
      <c r="S3" s="7" t="s">
        <v>142</v>
      </c>
      <c r="T3" s="7" t="s">
        <v>39</v>
      </c>
      <c r="U3" s="7" t="s">
        <v>643</v>
      </c>
      <c r="V3" s="7" t="s">
        <v>644</v>
      </c>
      <c r="W3" s="7">
        <v>2.0</v>
      </c>
      <c r="X3" s="7">
        <v>5.0</v>
      </c>
      <c r="Y3" s="7">
        <v>5.0</v>
      </c>
      <c r="Z3" s="7">
        <v>3.0</v>
      </c>
      <c r="AA3" s="7">
        <v>1.0</v>
      </c>
      <c r="AB3" s="7">
        <v>0.0</v>
      </c>
      <c r="AC3" s="7">
        <v>2.9</v>
      </c>
      <c r="AD3" s="7">
        <v>0.0</v>
      </c>
      <c r="AE3" s="7" t="s">
        <v>726</v>
      </c>
    </row>
    <row r="4">
      <c r="A4" s="7" t="s">
        <v>39</v>
      </c>
      <c r="B4" s="7" t="s">
        <v>137</v>
      </c>
      <c r="C4" s="7" t="s">
        <v>632</v>
      </c>
      <c r="D4" s="7" t="s">
        <v>647</v>
      </c>
      <c r="E4" s="7" t="s">
        <v>639</v>
      </c>
      <c r="F4" s="7" t="s">
        <v>648</v>
      </c>
      <c r="G4" s="7" t="s">
        <v>69</v>
      </c>
      <c r="H4" s="7" t="s">
        <v>69</v>
      </c>
      <c r="I4" s="7" t="s">
        <v>52</v>
      </c>
      <c r="J4" s="7" t="s">
        <v>634</v>
      </c>
      <c r="K4" s="7">
        <v>0.0</v>
      </c>
      <c r="L4" s="7">
        <v>0.0</v>
      </c>
      <c r="M4" s="7"/>
      <c r="N4" s="7"/>
      <c r="O4" s="7"/>
      <c r="P4" s="7">
        <v>90.0</v>
      </c>
      <c r="Q4" s="7" t="s">
        <v>121</v>
      </c>
      <c r="R4" s="7" t="s">
        <v>649</v>
      </c>
      <c r="S4" s="7" t="s">
        <v>142</v>
      </c>
      <c r="T4" s="7" t="s">
        <v>39</v>
      </c>
      <c r="U4" s="7" t="s">
        <v>650</v>
      </c>
      <c r="V4" s="7" t="s">
        <v>651</v>
      </c>
      <c r="W4" s="7">
        <v>2.0</v>
      </c>
      <c r="X4" s="7">
        <v>5.0</v>
      </c>
      <c r="Y4" s="7">
        <v>5.0</v>
      </c>
      <c r="Z4" s="7">
        <v>3.0</v>
      </c>
      <c r="AA4" s="7">
        <v>1.0</v>
      </c>
      <c r="AB4" s="7">
        <v>0.0</v>
      </c>
      <c r="AC4" s="7">
        <v>2.9</v>
      </c>
      <c r="AD4" s="7">
        <v>0.0</v>
      </c>
      <c r="AE4" s="7" t="s">
        <v>726</v>
      </c>
    </row>
    <row r="5">
      <c r="A5" s="7" t="s">
        <v>39</v>
      </c>
      <c r="B5" s="7" t="s">
        <v>137</v>
      </c>
      <c r="C5" s="7" t="s">
        <v>632</v>
      </c>
      <c r="D5" s="7" t="s">
        <v>210</v>
      </c>
      <c r="E5" s="7" t="s">
        <v>639</v>
      </c>
      <c r="F5" s="7" t="s">
        <v>656</v>
      </c>
      <c r="G5" s="7" t="s">
        <v>69</v>
      </c>
      <c r="H5" s="7" t="s">
        <v>69</v>
      </c>
      <c r="I5" s="7" t="s">
        <v>110</v>
      </c>
      <c r="J5" s="7" t="s">
        <v>657</v>
      </c>
      <c r="K5" s="7">
        <v>3.0</v>
      </c>
      <c r="L5" s="7">
        <v>0.0</v>
      </c>
      <c r="M5" s="7"/>
      <c r="N5" s="7"/>
      <c r="O5" s="7"/>
      <c r="P5" s="7">
        <v>100.0</v>
      </c>
      <c r="Q5" s="7" t="s">
        <v>121</v>
      </c>
      <c r="R5" s="7" t="s">
        <v>649</v>
      </c>
      <c r="S5" s="7" t="s">
        <v>611</v>
      </c>
      <c r="T5" s="7" t="s">
        <v>39</v>
      </c>
      <c r="U5" s="7" t="s">
        <v>658</v>
      </c>
      <c r="V5" s="7" t="s">
        <v>659</v>
      </c>
      <c r="W5" s="7">
        <v>2.0</v>
      </c>
      <c r="X5" s="7">
        <v>5.0</v>
      </c>
      <c r="Y5" s="7">
        <v>5.0</v>
      </c>
      <c r="Z5" s="7">
        <v>3.0</v>
      </c>
      <c r="AA5" s="7">
        <v>3.0</v>
      </c>
      <c r="AB5" s="7">
        <v>0.0</v>
      </c>
      <c r="AC5" s="7">
        <v>3.0</v>
      </c>
      <c r="AD5" s="7">
        <v>3.0</v>
      </c>
      <c r="AE5" s="7" t="s">
        <v>724</v>
      </c>
    </row>
    <row r="6">
      <c r="A6" s="7" t="s">
        <v>39</v>
      </c>
      <c r="B6" s="7" t="s">
        <v>137</v>
      </c>
      <c r="C6" s="7" t="s">
        <v>632</v>
      </c>
      <c r="D6" s="7" t="s">
        <v>206</v>
      </c>
      <c r="E6" s="7" t="s">
        <v>639</v>
      </c>
      <c r="F6" s="7" t="s">
        <v>681</v>
      </c>
      <c r="G6" s="7" t="s">
        <v>69</v>
      </c>
      <c r="H6" s="7" t="s">
        <v>69</v>
      </c>
      <c r="I6" s="7" t="s">
        <v>176</v>
      </c>
      <c r="J6" s="7" t="s">
        <v>682</v>
      </c>
      <c r="K6" s="7">
        <v>10.0</v>
      </c>
      <c r="L6" s="7">
        <v>0.0</v>
      </c>
      <c r="M6" s="7"/>
      <c r="N6" s="7"/>
      <c r="O6" s="7"/>
      <c r="P6" s="7">
        <v>160.0</v>
      </c>
      <c r="Q6" s="7" t="s">
        <v>121</v>
      </c>
      <c r="R6" s="7" t="s">
        <v>671</v>
      </c>
      <c r="S6" s="7" t="s">
        <v>142</v>
      </c>
      <c r="T6" s="7" t="s">
        <v>39</v>
      </c>
      <c r="U6" s="7" t="s">
        <v>683</v>
      </c>
      <c r="V6" s="7" t="s">
        <v>684</v>
      </c>
      <c r="W6" s="7">
        <v>2.0</v>
      </c>
      <c r="X6" s="7">
        <v>4.0</v>
      </c>
      <c r="Y6" s="7">
        <v>5.0</v>
      </c>
      <c r="Z6" s="7">
        <v>2.0</v>
      </c>
      <c r="AA6" s="7">
        <v>1.0</v>
      </c>
      <c r="AB6" s="7">
        <v>0.0</v>
      </c>
      <c r="AC6" s="7">
        <v>2.6</v>
      </c>
      <c r="AD6" s="7">
        <v>10.0</v>
      </c>
      <c r="AE6" s="7" t="s">
        <v>727</v>
      </c>
    </row>
    <row r="7">
      <c r="A7" s="7" t="s">
        <v>39</v>
      </c>
      <c r="B7" s="7" t="s">
        <v>137</v>
      </c>
      <c r="C7" s="7" t="s">
        <v>632</v>
      </c>
      <c r="D7" s="7" t="s">
        <v>692</v>
      </c>
      <c r="E7" s="7" t="s">
        <v>685</v>
      </c>
      <c r="F7" s="7" t="s">
        <v>693</v>
      </c>
      <c r="G7" s="7" t="s">
        <v>69</v>
      </c>
      <c r="H7" s="7" t="s">
        <v>69</v>
      </c>
      <c r="I7" s="7" t="s">
        <v>52</v>
      </c>
      <c r="J7" s="7" t="s">
        <v>634</v>
      </c>
      <c r="K7" s="7">
        <v>0.0</v>
      </c>
      <c r="L7" s="7">
        <v>0.0</v>
      </c>
      <c r="M7" s="7"/>
      <c r="N7" s="7"/>
      <c r="O7" s="7"/>
      <c r="P7" s="7">
        <v>380.0</v>
      </c>
      <c r="Q7" s="7" t="s">
        <v>688</v>
      </c>
      <c r="R7" s="7" t="s">
        <v>694</v>
      </c>
      <c r="S7" s="7" t="s">
        <v>142</v>
      </c>
      <c r="T7" s="7" t="s">
        <v>39</v>
      </c>
      <c r="U7" s="7" t="s">
        <v>695</v>
      </c>
      <c r="V7" s="7" t="s">
        <v>696</v>
      </c>
      <c r="W7" s="7">
        <v>2.0</v>
      </c>
      <c r="X7" s="7">
        <v>2.0</v>
      </c>
      <c r="Y7" s="7">
        <v>5.0</v>
      </c>
      <c r="Z7" s="7">
        <v>5.0</v>
      </c>
      <c r="AA7" s="7">
        <v>1.0</v>
      </c>
      <c r="AB7" s="7">
        <v>0.0</v>
      </c>
      <c r="AC7" s="7">
        <v>2.6</v>
      </c>
      <c r="AD7" s="7">
        <v>0.0</v>
      </c>
      <c r="AE7" s="7" t="s">
        <v>726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8" width="12.0"/>
    <col customWidth="1" min="29" max="29" width="14.0"/>
    <col customWidth="1" min="30" max="30" width="16.0"/>
    <col customWidth="1" min="31" max="31" width="14.0"/>
  </cols>
  <sheetData>
    <row r="1" ht="27.75" customHeight="1">
      <c r="A1" s="23" t="s">
        <v>3</v>
      </c>
      <c r="B1" s="23" t="s">
        <v>5</v>
      </c>
      <c r="C1" s="23" t="s">
        <v>6</v>
      </c>
      <c r="D1" s="23" t="s">
        <v>7</v>
      </c>
      <c r="E1" s="23" t="s">
        <v>17</v>
      </c>
      <c r="F1" s="23" t="s">
        <v>8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11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16</v>
      </c>
      <c r="V1" s="23" t="s">
        <v>18</v>
      </c>
      <c r="W1" s="23" t="s">
        <v>34</v>
      </c>
      <c r="X1" s="23" t="s">
        <v>35</v>
      </c>
      <c r="Y1" s="23" t="s">
        <v>36</v>
      </c>
      <c r="Z1" s="23" t="s">
        <v>37</v>
      </c>
      <c r="AA1" s="23" t="s">
        <v>38</v>
      </c>
      <c r="AB1" s="23" t="s">
        <v>40</v>
      </c>
      <c r="AC1" s="23" t="s">
        <v>42</v>
      </c>
      <c r="AD1" s="23" t="s">
        <v>43</v>
      </c>
      <c r="AE1" s="23" t="s">
        <v>45</v>
      </c>
    </row>
    <row r="2">
      <c r="A2" s="7" t="s">
        <v>39</v>
      </c>
      <c r="B2" s="7" t="s">
        <v>44</v>
      </c>
      <c r="C2" s="7" t="s">
        <v>660</v>
      </c>
      <c r="D2" s="7" t="s">
        <v>661</v>
      </c>
      <c r="E2" s="7" t="s">
        <v>639</v>
      </c>
      <c r="F2" s="7" t="s">
        <v>660</v>
      </c>
      <c r="G2" s="7" t="s">
        <v>69</v>
      </c>
      <c r="H2" s="7" t="s">
        <v>39</v>
      </c>
      <c r="I2" s="7" t="s">
        <v>52</v>
      </c>
      <c r="J2" s="7" t="s">
        <v>662</v>
      </c>
      <c r="K2" s="7">
        <v>3.0</v>
      </c>
      <c r="L2" s="7">
        <v>80.0</v>
      </c>
      <c r="M2" s="7"/>
      <c r="N2" s="7"/>
      <c r="O2" s="7"/>
      <c r="P2" s="7">
        <v>88.0</v>
      </c>
      <c r="Q2" s="7" t="s">
        <v>121</v>
      </c>
      <c r="R2" s="7" t="s">
        <v>663</v>
      </c>
      <c r="S2" s="7" t="s">
        <v>76</v>
      </c>
      <c r="T2" s="7" t="s">
        <v>39</v>
      </c>
      <c r="U2" s="7" t="s">
        <v>664</v>
      </c>
      <c r="V2" s="7" t="s">
        <v>665</v>
      </c>
      <c r="W2" s="7">
        <v>2.0</v>
      </c>
      <c r="X2" s="7">
        <v>5.0</v>
      </c>
      <c r="Y2" s="7">
        <v>2.0</v>
      </c>
      <c r="Z2" s="7">
        <v>4.0</v>
      </c>
      <c r="AA2" s="7">
        <v>5.0</v>
      </c>
      <c r="AB2" s="7">
        <v>0.0</v>
      </c>
      <c r="AC2" s="7">
        <v>2.8</v>
      </c>
      <c r="AD2" s="7">
        <v>83.0</v>
      </c>
      <c r="AE2" s="7" t="s">
        <v>726</v>
      </c>
    </row>
    <row r="3">
      <c r="A3" s="7" t="s">
        <v>39</v>
      </c>
      <c r="B3" s="7" t="s">
        <v>44</v>
      </c>
      <c r="C3" s="7" t="s">
        <v>660</v>
      </c>
      <c r="D3" s="7" t="s">
        <v>668</v>
      </c>
      <c r="E3" s="7" t="s">
        <v>639</v>
      </c>
      <c r="F3" s="7" t="s">
        <v>669</v>
      </c>
      <c r="G3" s="7" t="s">
        <v>69</v>
      </c>
      <c r="H3" s="7" t="s">
        <v>39</v>
      </c>
      <c r="I3" s="7" t="s">
        <v>52</v>
      </c>
      <c r="J3" s="7" t="s">
        <v>670</v>
      </c>
      <c r="K3" s="7">
        <v>10.0</v>
      </c>
      <c r="L3" s="7">
        <v>80.0</v>
      </c>
      <c r="M3" s="7"/>
      <c r="N3" s="7"/>
      <c r="O3" s="7"/>
      <c r="P3" s="7">
        <v>60.0</v>
      </c>
      <c r="Q3" s="7" t="s">
        <v>121</v>
      </c>
      <c r="R3" s="7" t="s">
        <v>671</v>
      </c>
      <c r="S3" s="7" t="s">
        <v>611</v>
      </c>
      <c r="T3" s="7" t="s">
        <v>39</v>
      </c>
      <c r="U3" s="7" t="s">
        <v>672</v>
      </c>
      <c r="V3" s="7" t="s">
        <v>673</v>
      </c>
      <c r="W3" s="7">
        <v>2.0</v>
      </c>
      <c r="X3" s="7">
        <v>5.0</v>
      </c>
      <c r="Y3" s="7">
        <v>2.0</v>
      </c>
      <c r="Z3" s="7">
        <v>2.0</v>
      </c>
      <c r="AA3" s="7">
        <v>3.0</v>
      </c>
      <c r="AB3" s="7">
        <v>0.0</v>
      </c>
      <c r="AC3" s="7">
        <v>2.4</v>
      </c>
      <c r="AD3" s="7">
        <v>90.0</v>
      </c>
      <c r="AE3" s="7" t="s">
        <v>726</v>
      </c>
    </row>
    <row r="4">
      <c r="A4" s="7" t="s">
        <v>39</v>
      </c>
      <c r="B4" s="7" t="s">
        <v>44</v>
      </c>
      <c r="C4" s="7" t="s">
        <v>660</v>
      </c>
      <c r="D4" s="7" t="s">
        <v>676</v>
      </c>
      <c r="E4" s="7" t="s">
        <v>639</v>
      </c>
      <c r="F4" s="7" t="s">
        <v>669</v>
      </c>
      <c r="G4" s="7" t="s">
        <v>69</v>
      </c>
      <c r="H4" s="7" t="s">
        <v>39</v>
      </c>
      <c r="I4" s="7" t="s">
        <v>52</v>
      </c>
      <c r="J4" s="7" t="s">
        <v>670</v>
      </c>
      <c r="K4" s="7">
        <v>10.0</v>
      </c>
      <c r="L4" s="7">
        <v>80.0</v>
      </c>
      <c r="M4" s="7"/>
      <c r="N4" s="7"/>
      <c r="O4" s="7"/>
      <c r="P4" s="7">
        <v>160.0</v>
      </c>
      <c r="Q4" s="7" t="s">
        <v>121</v>
      </c>
      <c r="R4" s="7" t="s">
        <v>671</v>
      </c>
      <c r="S4" s="7" t="s">
        <v>611</v>
      </c>
      <c r="T4" s="7" t="s">
        <v>39</v>
      </c>
      <c r="U4" s="7" t="s">
        <v>677</v>
      </c>
      <c r="V4" s="7" t="s">
        <v>678</v>
      </c>
      <c r="W4" s="7">
        <v>2.0</v>
      </c>
      <c r="X4" s="7">
        <v>4.0</v>
      </c>
      <c r="Y4" s="7">
        <v>2.0</v>
      </c>
      <c r="Z4" s="7">
        <v>2.0</v>
      </c>
      <c r="AA4" s="7">
        <v>3.0</v>
      </c>
      <c r="AB4" s="7">
        <v>0.0</v>
      </c>
      <c r="AC4" s="7">
        <v>2.2</v>
      </c>
      <c r="AD4" s="7">
        <v>90.0</v>
      </c>
      <c r="AE4" s="7" t="s">
        <v>726</v>
      </c>
    </row>
    <row r="5">
      <c r="A5" s="7" t="s">
        <v>39</v>
      </c>
      <c r="B5" s="7" t="s">
        <v>699</v>
      </c>
      <c r="C5" s="7" t="s">
        <v>712</v>
      </c>
      <c r="D5" s="7" t="s">
        <v>713</v>
      </c>
      <c r="E5" s="7" t="s">
        <v>714</v>
      </c>
      <c r="F5" s="7" t="s">
        <v>715</v>
      </c>
      <c r="G5" s="7" t="s">
        <v>69</v>
      </c>
      <c r="H5" s="7" t="s">
        <v>716</v>
      </c>
      <c r="I5" s="7" t="s">
        <v>717</v>
      </c>
      <c r="J5" s="7" t="s">
        <v>717</v>
      </c>
      <c r="K5" s="7">
        <v>10.0</v>
      </c>
      <c r="L5" s="7">
        <v>0.0</v>
      </c>
      <c r="M5" s="7"/>
      <c r="N5" s="7"/>
      <c r="O5" s="7"/>
      <c r="P5" s="7"/>
      <c r="Q5" s="7" t="s">
        <v>718</v>
      </c>
      <c r="R5" s="7" t="s">
        <v>717</v>
      </c>
      <c r="S5" s="7" t="s">
        <v>717</v>
      </c>
      <c r="T5" s="7" t="s">
        <v>39</v>
      </c>
      <c r="U5" s="7" t="s">
        <v>719</v>
      </c>
      <c r="V5" s="7" t="s">
        <v>720</v>
      </c>
      <c r="W5" s="7">
        <v>2.0</v>
      </c>
      <c r="X5" s="7">
        <v>2.0</v>
      </c>
      <c r="Y5" s="7">
        <v>2.0</v>
      </c>
      <c r="Z5" s="7">
        <v>2.0</v>
      </c>
      <c r="AA5" s="7">
        <v>2.0</v>
      </c>
      <c r="AB5" s="7">
        <v>0.0</v>
      </c>
      <c r="AC5" s="7">
        <v>1.8</v>
      </c>
      <c r="AD5" s="7">
        <v>10.0</v>
      </c>
      <c r="AE5" s="7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9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6" width="8.63"/>
  </cols>
  <sheetData>
    <row r="1" ht="27.75" customHeight="1">
      <c r="A1" s="8" t="s">
        <v>728</v>
      </c>
      <c r="B1" s="8" t="s">
        <v>729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730</v>
      </c>
      <c r="B2" s="3" t="s">
        <v>720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731</v>
      </c>
      <c r="B3" s="3" t="s">
        <v>732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733</v>
      </c>
      <c r="B4" s="3" t="s">
        <v>734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735</v>
      </c>
      <c r="B5" s="3" t="s">
        <v>736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737</v>
      </c>
      <c r="B6" s="3" t="s">
        <v>738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219</v>
      </c>
      <c r="B7" s="3" t="s">
        <v>220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224</v>
      </c>
      <c r="B8" s="3" t="s">
        <v>225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402</v>
      </c>
      <c r="B9" s="3" t="s">
        <v>403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242</v>
      </c>
      <c r="B10" s="3" t="s">
        <v>243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9" t="s">
        <v>104</v>
      </c>
      <c r="B11" s="3" t="s">
        <v>111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9" t="s">
        <v>50</v>
      </c>
      <c r="B12" s="3" t="s">
        <v>61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9" t="s">
        <v>235</v>
      </c>
      <c r="B13" s="3" t="s">
        <v>236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9" t="s">
        <v>207</v>
      </c>
      <c r="B14" s="3" t="s">
        <v>208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9" t="s">
        <v>120</v>
      </c>
      <c r="B15" s="3" t="s">
        <v>125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108</v>
      </c>
      <c r="B16" s="3" t="s">
        <v>114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165</v>
      </c>
      <c r="B17" s="3" t="s">
        <v>166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216</v>
      </c>
      <c r="B18" s="3" t="s">
        <v>217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231</v>
      </c>
      <c r="B19" s="3" t="s">
        <v>233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303</v>
      </c>
      <c r="B20" s="3" t="s">
        <v>304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379</v>
      </c>
      <c r="B21" s="3" t="s">
        <v>382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257</v>
      </c>
      <c r="B22" s="3" t="s">
        <v>258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538</v>
      </c>
      <c r="B23" s="3" t="s">
        <v>539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540</v>
      </c>
      <c r="B24" s="3" t="s">
        <v>541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363</v>
      </c>
      <c r="B25" s="3" t="s">
        <v>364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367</v>
      </c>
      <c r="B26" s="3" t="s">
        <v>368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526</v>
      </c>
      <c r="B27" s="3" t="s">
        <v>527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198</v>
      </c>
      <c r="B28" s="3" t="s">
        <v>201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175</v>
      </c>
      <c r="B29" s="3" t="s">
        <v>177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530</v>
      </c>
      <c r="B30" s="3" t="s">
        <v>533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739</v>
      </c>
      <c r="B32" s="2" t="s">
        <v>740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57</v>
      </c>
      <c r="B33" s="3" t="s">
        <v>741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742</v>
      </c>
      <c r="B34" s="3" t="s">
        <v>743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60</v>
      </c>
      <c r="B35" s="3" t="s">
        <v>84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62</v>
      </c>
      <c r="B36" s="3" t="s">
        <v>744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745</v>
      </c>
      <c r="B37" s="3" t="s">
        <v>746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747</v>
      </c>
      <c r="B38" s="3" t="s">
        <v>748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.0"/>
    <col customWidth="1" min="3" max="3" width="18.0"/>
    <col customWidth="1" min="4" max="4" width="26.0"/>
    <col customWidth="1" min="5" max="5" width="18.0"/>
    <col customWidth="1" min="6" max="6" width="28.0"/>
    <col customWidth="1" min="7" max="8" width="9.0"/>
    <col customWidth="1" min="9" max="9" width="14.0"/>
    <col customWidth="1" min="10" max="10" width="22.0"/>
    <col customWidth="1" min="11" max="11" width="14.0"/>
    <col customWidth="1" min="12" max="12" width="16.0"/>
    <col customWidth="1" min="13" max="13" width="13.0"/>
    <col customWidth="1" min="14" max="14" width="16.0"/>
    <col customWidth="1" min="15" max="15" width="12.0"/>
    <col customWidth="1" min="16" max="16" width="16.0"/>
    <col customWidth="1" min="17" max="17" width="12.0"/>
    <col customWidth="1" min="18" max="18" width="24.0"/>
    <col customWidth="1" min="19" max="19" width="14.0"/>
    <col customWidth="1" min="20" max="20" width="16.0"/>
    <col customWidth="1" min="21" max="21" width="42.0"/>
    <col customWidth="1" min="22" max="22" width="44.0"/>
    <col customWidth="1" min="23" max="23" width="11.0"/>
    <col customWidth="1" min="24" max="24" width="12.0"/>
    <col customWidth="1" min="25" max="26" width="8.63"/>
  </cols>
  <sheetData>
    <row r="1" ht="27.75" customHeight="1">
      <c r="A1" s="2" t="s">
        <v>3</v>
      </c>
      <c r="B1" s="2" t="s">
        <v>5</v>
      </c>
      <c r="C1" s="2" t="s">
        <v>749</v>
      </c>
      <c r="D1" s="2" t="s">
        <v>502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39</v>
      </c>
      <c r="B2" s="3" t="s">
        <v>44</v>
      </c>
      <c r="C2" s="3" t="s">
        <v>750</v>
      </c>
      <c r="D2" s="3" t="s">
        <v>102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69</v>
      </c>
      <c r="B3" s="3" t="s">
        <v>137</v>
      </c>
      <c r="C3" s="3" t="s">
        <v>3</v>
      </c>
      <c r="D3" s="3" t="s">
        <v>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716</v>
      </c>
      <c r="B4" s="3" t="s">
        <v>699</v>
      </c>
      <c r="C4" s="3" t="s">
        <v>751</v>
      </c>
      <c r="D4" s="3" t="s">
        <v>660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752</v>
      </c>
      <c r="B5" s="3"/>
      <c r="C5" s="3" t="s">
        <v>753</v>
      </c>
      <c r="D5" s="3" t="s">
        <v>506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 t="s">
        <v>613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 t="s">
        <v>632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 t="s">
        <v>712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0"/>
    <col customWidth="1" min="3" max="3" width="8.0"/>
    <col customWidth="1" min="4" max="4" width="16.0"/>
    <col customWidth="1" min="5" max="5" width="30.0"/>
    <col customWidth="1" min="6" max="6" width="24.0"/>
    <col customWidth="1" min="7" max="7" width="34.0"/>
    <col customWidth="1" min="8" max="9" width="8.0"/>
    <col customWidth="1" min="10" max="10" width="14.0"/>
    <col customWidth="1" min="11" max="11" width="10.0"/>
    <col customWidth="1" min="12" max="12" width="18.0"/>
    <col customWidth="1" min="13" max="13" width="20.0"/>
    <col customWidth="1" min="14" max="14" width="14.0"/>
    <col customWidth="1" min="15" max="15" width="42.0"/>
    <col customWidth="1" min="16" max="26" width="8.63"/>
  </cols>
  <sheetData>
    <row r="1">
      <c r="A1" s="30" t="s">
        <v>754</v>
      </c>
    </row>
    <row r="2">
      <c r="A2" s="31" t="s">
        <v>755</v>
      </c>
    </row>
    <row r="4">
      <c r="A4" s="32" t="s">
        <v>756</v>
      </c>
      <c r="B4" s="33"/>
      <c r="C4" s="33"/>
      <c r="D4" s="32" t="s">
        <v>757</v>
      </c>
      <c r="E4" s="33"/>
      <c r="F4" s="33"/>
      <c r="G4" s="32" t="s">
        <v>3</v>
      </c>
      <c r="H4" s="33"/>
      <c r="I4" s="33"/>
      <c r="J4" s="32" t="s">
        <v>758</v>
      </c>
      <c r="K4" s="33"/>
      <c r="L4" s="33"/>
      <c r="M4" s="34" t="s">
        <v>759</v>
      </c>
      <c r="N4" s="35"/>
      <c r="O4" s="35"/>
    </row>
    <row r="5">
      <c r="A5" s="36">
        <f>COUNTIF('Master Hunt List'!$C$2:$C$295,"*Deer")</f>
        <v>271</v>
      </c>
      <c r="B5" s="37"/>
      <c r="C5" s="38"/>
      <c r="D5" s="36">
        <f>COUNTIFS('Master Hunt List'!$C$2:$C$295,"*Deer",'Master Hunt List'!$H$2:$H$295,"Yes")</f>
        <v>264</v>
      </c>
      <c r="E5" s="38"/>
      <c r="F5" s="38"/>
      <c r="G5" s="36">
        <f>COUNTIFS('Master Hunt List'!$C$2:$C$295,"*Deer",'Master Hunt List'!$A$2:$A$295,"Yes")</f>
        <v>0</v>
      </c>
      <c r="H5" s="38"/>
      <c r="I5" s="38"/>
      <c r="J5" s="43">
        <f>COUNTIFS('Master Hunt List'!$C$2:$C$295,"*Deer",'Master Hunt List'!$A$2:$A$295,"No")</f>
        <v>271</v>
      </c>
      <c r="K5" s="38"/>
      <c r="L5" s="38"/>
      <c r="M5" s="45">
        <f>SUMIFS('Master Hunt List'!$K$2:$K$295,'Master Hunt List'!$C$2:$C$295,"*Deer",'Master Hunt List'!$A$2:$A$295,"Yes")</f>
        <v>0</v>
      </c>
      <c r="N5" s="46"/>
      <c r="O5" s="47"/>
    </row>
    <row r="6">
      <c r="A6" s="38"/>
      <c r="B6" s="37"/>
      <c r="C6" s="38"/>
      <c r="D6" s="38"/>
      <c r="E6" s="38"/>
      <c r="F6" s="38"/>
      <c r="G6" s="38"/>
      <c r="H6" s="38"/>
      <c r="I6" s="38"/>
      <c r="J6" s="48"/>
      <c r="K6" s="38"/>
      <c r="L6" s="38"/>
      <c r="N6" s="46"/>
      <c r="O6" s="47"/>
    </row>
    <row r="7">
      <c r="A7" s="38"/>
      <c r="B7" s="37"/>
      <c r="C7" s="38"/>
      <c r="D7" s="38"/>
      <c r="E7" s="38"/>
      <c r="F7" s="38"/>
      <c r="G7" s="38"/>
      <c r="H7" s="38"/>
      <c r="I7" s="38"/>
      <c r="J7" s="48"/>
      <c r="K7" s="38"/>
      <c r="L7" s="38"/>
      <c r="N7" s="46"/>
      <c r="O7" s="47"/>
    </row>
    <row r="8">
      <c r="A8" s="49" t="s">
        <v>782</v>
      </c>
      <c r="B8" s="51" t="s">
        <v>3</v>
      </c>
      <c r="C8" s="49" t="s">
        <v>5</v>
      </c>
      <c r="D8" s="49" t="s">
        <v>502</v>
      </c>
      <c r="E8" s="49" t="s">
        <v>7</v>
      </c>
      <c r="F8" s="49" t="s">
        <v>17</v>
      </c>
      <c r="G8" s="49" t="s">
        <v>786</v>
      </c>
      <c r="H8" s="49" t="s">
        <v>21</v>
      </c>
      <c r="I8" s="49" t="s">
        <v>22</v>
      </c>
      <c r="J8" s="52" t="s">
        <v>9</v>
      </c>
      <c r="K8" s="49" t="s">
        <v>789</v>
      </c>
      <c r="L8" s="49" t="s">
        <v>47</v>
      </c>
      <c r="M8" s="53" t="s">
        <v>791</v>
      </c>
      <c r="N8" s="53" t="s">
        <v>53</v>
      </c>
      <c r="O8" s="53" t="s">
        <v>18</v>
      </c>
    </row>
    <row r="9">
      <c r="A9" s="38">
        <f>2</f>
        <v>2</v>
      </c>
      <c r="B9" s="37" t="str">
        <f>'Master Hunt List'!A2</f>
        <v>No</v>
      </c>
      <c r="C9" s="38" t="str">
        <f>'Master Hunt List'!B2</f>
        <v>A</v>
      </c>
      <c r="D9" s="38" t="str">
        <f>'Master Hunt List'!C2</f>
        <v>Mule Deer</v>
      </c>
      <c r="E9" s="38" t="str">
        <f>'Master Hunt List'!D2</f>
        <v>Big Bend Ranch SP</v>
      </c>
      <c r="F9" s="38" t="str">
        <f>'Master Hunt List'!E2</f>
        <v>Trans-Pecos / West Texas</v>
      </c>
      <c r="G9" s="38" t="str">
        <f>'Master Hunt List'!F2</f>
        <v>Archery Mule Deer</v>
      </c>
      <c r="H9" s="38" t="str">
        <f>'Master Hunt List'!G2</f>
        <v>Yes</v>
      </c>
      <c r="I9" s="38" t="str">
        <f>'Master Hunt List'!H2</f>
        <v>Yes</v>
      </c>
      <c r="J9" s="55" t="str">
        <f>'Master Hunt List'!I2</f>
        <v>2026-08-15</v>
      </c>
      <c r="K9" s="56">
        <f>'Master Hunt List'!K2</f>
        <v>3</v>
      </c>
      <c r="L9" s="38" t="str">
        <f>'Master Hunt List'!AF2</f>
        <v/>
      </c>
      <c r="M9" s="14" t="str">
        <f>'Master Hunt List'!AH2</f>
        <v/>
      </c>
      <c r="N9" s="57" t="str">
        <f>'Master Hunt List'!AI2</f>
        <v/>
      </c>
      <c r="O9" s="58" t="str">
        <f>'Master Hunt List'!V2</f>
        <v>https://tpwd.texas.gov/huntwild/hunt/public/public_hunt_drawing/hunt-category-details.phtml?OCat=AMD</v>
      </c>
    </row>
    <row r="10">
      <c r="A10" s="38">
        <f>3</f>
        <v>3</v>
      </c>
      <c r="B10" s="37" t="str">
        <f>'Master Hunt List'!A3</f>
        <v>No</v>
      </c>
      <c r="C10" s="38" t="str">
        <f>'Master Hunt List'!B3</f>
        <v>A</v>
      </c>
      <c r="D10" s="38" t="str">
        <f>'Master Hunt List'!C3</f>
        <v>Mule Deer</v>
      </c>
      <c r="E10" s="38" t="str">
        <f>'Master Hunt List'!D3</f>
        <v>Black Gap WMA</v>
      </c>
      <c r="F10" s="38" t="str">
        <f>'Master Hunt List'!E3</f>
        <v>Trans-Pecos / West Texas</v>
      </c>
      <c r="G10" s="38" t="str">
        <f>'Master Hunt List'!F3</f>
        <v>Archery Mule Deer</v>
      </c>
      <c r="H10" s="38" t="str">
        <f>'Master Hunt List'!G3</f>
        <v>Yes</v>
      </c>
      <c r="I10" s="38" t="str">
        <f>'Master Hunt List'!H3</f>
        <v>Yes</v>
      </c>
      <c r="J10" s="55" t="str">
        <f>'Master Hunt List'!I3</f>
        <v>2026-08-15</v>
      </c>
      <c r="K10" s="56">
        <f>'Master Hunt List'!K3</f>
        <v>3</v>
      </c>
      <c r="L10" s="38" t="str">
        <f>'Master Hunt List'!AF3</f>
        <v/>
      </c>
      <c r="M10" s="14" t="str">
        <f>'Master Hunt List'!AH3</f>
        <v/>
      </c>
      <c r="N10" s="57" t="str">
        <f>'Master Hunt List'!AI3</f>
        <v/>
      </c>
      <c r="O10" s="58" t="str">
        <f>'Master Hunt List'!V3</f>
        <v>https://tpwd.texas.gov/huntwild/hunt/public/public_hunt_drawing/hunt-category-details.phtml?OCat=AMD</v>
      </c>
    </row>
    <row r="11">
      <c r="A11" s="38">
        <f>4</f>
        <v>4</v>
      </c>
      <c r="B11" s="37" t="str">
        <f>'Master Hunt List'!A4</f>
        <v>No</v>
      </c>
      <c r="C11" s="38" t="str">
        <f>'Master Hunt List'!B4</f>
        <v>A</v>
      </c>
      <c r="D11" s="38" t="str">
        <f>'Master Hunt List'!C4</f>
        <v>Mule Deer</v>
      </c>
      <c r="E11" s="38" t="str">
        <f>'Master Hunt List'!D4</f>
        <v>Elephant Mountain WMA</v>
      </c>
      <c r="F11" s="38" t="str">
        <f>'Master Hunt List'!E4</f>
        <v>Trans-Pecos / West Texas</v>
      </c>
      <c r="G11" s="38" t="str">
        <f>'Master Hunt List'!F4</f>
        <v>Archery Mule Deer</v>
      </c>
      <c r="H11" s="38" t="str">
        <f>'Master Hunt List'!G4</f>
        <v>Yes</v>
      </c>
      <c r="I11" s="38" t="str">
        <f>'Master Hunt List'!H4</f>
        <v>Yes</v>
      </c>
      <c r="J11" s="55" t="str">
        <f>'Master Hunt List'!I4</f>
        <v>2026-08-15</v>
      </c>
      <c r="K11" s="56">
        <f>'Master Hunt List'!K4</f>
        <v>3</v>
      </c>
      <c r="L11" s="38" t="str">
        <f>'Master Hunt List'!AF4</f>
        <v/>
      </c>
      <c r="M11" s="14" t="str">
        <f>'Master Hunt List'!AH4</f>
        <v/>
      </c>
      <c r="N11" s="57" t="str">
        <f>'Master Hunt List'!AI4</f>
        <v/>
      </c>
      <c r="O11" s="58" t="str">
        <f>'Master Hunt List'!V4</f>
        <v>https://tpwd.texas.gov/huntwild/hunt/public/public_hunt_drawing/hunt-category-details.phtml?OCat=AMD</v>
      </c>
    </row>
    <row r="12">
      <c r="A12" s="38">
        <f>5</f>
        <v>5</v>
      </c>
      <c r="B12" s="37" t="str">
        <f>'Master Hunt List'!A5</f>
        <v>No</v>
      </c>
      <c r="C12" s="38" t="str">
        <f>'Master Hunt List'!B5</f>
        <v>A</v>
      </c>
      <c r="D12" s="38" t="str">
        <f>'Master Hunt List'!C5</f>
        <v>Mule Deer</v>
      </c>
      <c r="E12" s="38" t="str">
        <f>'Master Hunt List'!D5</f>
        <v>Matador WMA</v>
      </c>
      <c r="F12" s="38" t="str">
        <f>'Master Hunt List'!E5</f>
        <v>Panhandle / Rolling Plains</v>
      </c>
      <c r="G12" s="38" t="str">
        <f>'Master Hunt List'!F5</f>
        <v>Archery Mule Deer</v>
      </c>
      <c r="H12" s="38" t="str">
        <f>'Master Hunt List'!G5</f>
        <v>Yes</v>
      </c>
      <c r="I12" s="38" t="str">
        <f>'Master Hunt List'!H5</f>
        <v>Yes</v>
      </c>
      <c r="J12" s="55" t="str">
        <f>'Master Hunt List'!I5</f>
        <v>2026-08-15</v>
      </c>
      <c r="K12" s="56">
        <f>'Master Hunt List'!K5</f>
        <v>3</v>
      </c>
      <c r="L12" s="38" t="str">
        <f>'Master Hunt List'!AF5</f>
        <v/>
      </c>
      <c r="M12" s="14" t="str">
        <f>'Master Hunt List'!AH5</f>
        <v/>
      </c>
      <c r="N12" s="57" t="str">
        <f>'Master Hunt List'!AI5</f>
        <v/>
      </c>
      <c r="O12" s="58" t="str">
        <f>'Master Hunt List'!V5</f>
        <v>https://tpwd.texas.gov/huntwild/hunt/public/public_hunt_drawing/hunt-category-details.phtml?OCat=AMD</v>
      </c>
    </row>
    <row r="13">
      <c r="A13" s="38">
        <f>6</f>
        <v>6</v>
      </c>
      <c r="B13" s="37" t="str">
        <f>'Master Hunt List'!A6</f>
        <v>No</v>
      </c>
      <c r="C13" s="38" t="str">
        <f>'Master Hunt List'!B6</f>
        <v>A</v>
      </c>
      <c r="D13" s="38" t="str">
        <f>'Master Hunt List'!C6</f>
        <v>Mule Deer</v>
      </c>
      <c r="E13" s="38" t="str">
        <f>'Master Hunt List'!D6</f>
        <v>Potter County - Cross Bar Mgt. Area</v>
      </c>
      <c r="F13" s="38" t="str">
        <f>'Master Hunt List'!E6</f>
        <v>Panhandle / Rolling Plains</v>
      </c>
      <c r="G13" s="38" t="str">
        <f>'Master Hunt List'!F6</f>
        <v>Archery Mule Deer</v>
      </c>
      <c r="H13" s="38" t="str">
        <f>'Master Hunt List'!G6</f>
        <v>Yes</v>
      </c>
      <c r="I13" s="38" t="str">
        <f>'Master Hunt List'!H6</f>
        <v>Yes</v>
      </c>
      <c r="J13" s="55" t="str">
        <f>'Master Hunt List'!I6</f>
        <v>2026-08-15</v>
      </c>
      <c r="K13" s="56">
        <f>'Master Hunt List'!K6</f>
        <v>3</v>
      </c>
      <c r="L13" s="38" t="str">
        <f>'Master Hunt List'!AF6</f>
        <v/>
      </c>
      <c r="M13" s="14" t="str">
        <f>'Master Hunt List'!AH6</f>
        <v/>
      </c>
      <c r="N13" s="14" t="str">
        <f>'Master Hunt List'!AI6</f>
        <v/>
      </c>
      <c r="O13" s="61" t="str">
        <f>'Master Hunt List'!V6</f>
        <v>https://tpwd.texas.gov/huntwild/hunt/public/public_hunt_drawing/hunt-category-details.phtml?OCat=AMD</v>
      </c>
    </row>
    <row r="14">
      <c r="A14" s="38">
        <f>7</f>
        <v>7</v>
      </c>
      <c r="B14" s="37" t="str">
        <f>'Master Hunt List'!A7</f>
        <v>No</v>
      </c>
      <c r="C14" s="38" t="str">
        <f>'Master Hunt List'!B7</f>
        <v>B</v>
      </c>
      <c r="D14" s="38" t="str">
        <f>'Master Hunt List'!C7</f>
        <v>Whitetail Deer</v>
      </c>
      <c r="E14" s="38" t="str">
        <f>'Master Hunt List'!D7</f>
        <v>Abilene SP</v>
      </c>
      <c r="F14" s="38" t="str">
        <f>'Master Hunt List'!E7</f>
        <v>West-Central Texas</v>
      </c>
      <c r="G14" s="38" t="str">
        <f>'Master Hunt List'!F7</f>
        <v>Archery Deer</v>
      </c>
      <c r="H14" s="38" t="str">
        <f>'Master Hunt List'!G7</f>
        <v>Yes</v>
      </c>
      <c r="I14" s="38" t="str">
        <f>'Master Hunt List'!H7</f>
        <v>Yes</v>
      </c>
      <c r="J14" s="55" t="str">
        <f>'Master Hunt List'!I7</f>
        <v>2026-08-15</v>
      </c>
      <c r="K14" s="56">
        <f>'Master Hunt List'!K7</f>
        <v>3</v>
      </c>
      <c r="L14" s="38" t="str">
        <f>'Master Hunt List'!AF7</f>
        <v/>
      </c>
      <c r="M14" s="14" t="str">
        <f>'Master Hunt List'!AH7</f>
        <v/>
      </c>
      <c r="N14" s="14" t="str">
        <f>'Master Hunt List'!AI7</f>
        <v/>
      </c>
      <c r="O14" s="61" t="str">
        <f>'Master Hunt List'!V7</f>
        <v>https://tpwd.texas.gov/huntwild/hunt/public/public_hunt_drawing/hunt-category-details.phtml?OCat=ADE</v>
      </c>
    </row>
    <row r="15">
      <c r="A15" s="38">
        <f>8</f>
        <v>8</v>
      </c>
      <c r="B15" s="37" t="str">
        <f>'Master Hunt List'!A8</f>
        <v>No</v>
      </c>
      <c r="C15" s="38" t="str">
        <f>'Master Hunt List'!B8</f>
        <v>B</v>
      </c>
      <c r="D15" s="38" t="str">
        <f>'Master Hunt List'!C8</f>
        <v>Whitetail Deer</v>
      </c>
      <c r="E15" s="38" t="str">
        <f>'Master Hunt List'!D8</f>
        <v>Chaparral WMA</v>
      </c>
      <c r="F15" s="38" t="str">
        <f>'Master Hunt List'!E8</f>
        <v>South Texas / Rio Grande Valley</v>
      </c>
      <c r="G15" s="38" t="str">
        <f>'Master Hunt List'!F8</f>
        <v>Archery Deer</v>
      </c>
      <c r="H15" s="38" t="str">
        <f>'Master Hunt List'!G8</f>
        <v>Yes</v>
      </c>
      <c r="I15" s="38" t="str">
        <f>'Master Hunt List'!H8</f>
        <v>Yes</v>
      </c>
      <c r="J15" s="55" t="str">
        <f>'Master Hunt List'!I8</f>
        <v>2026-08-15</v>
      </c>
      <c r="K15" s="56">
        <f>'Master Hunt List'!K8</f>
        <v>3</v>
      </c>
      <c r="L15" s="38" t="str">
        <f>'Master Hunt List'!AF8</f>
        <v/>
      </c>
      <c r="M15" s="14" t="str">
        <f>'Master Hunt List'!AH8</f>
        <v/>
      </c>
      <c r="N15" s="14" t="str">
        <f>'Master Hunt List'!AI8</f>
        <v/>
      </c>
      <c r="O15" s="61" t="str">
        <f>'Master Hunt List'!V8</f>
        <v>https://tpwd.texas.gov/huntwild/hunt/public/public_hunt_drawing/hunt-category-details.phtml?OCat=ADE</v>
      </c>
    </row>
    <row r="16">
      <c r="A16" s="38">
        <f>9</f>
        <v>9</v>
      </c>
      <c r="B16" s="37" t="str">
        <f>'Master Hunt List'!A9</f>
        <v>No</v>
      </c>
      <c r="C16" s="38" t="str">
        <f>'Master Hunt List'!B9</f>
        <v>B</v>
      </c>
      <c r="D16" s="38" t="str">
        <f>'Master Hunt List'!C9</f>
        <v>Whitetail Deer</v>
      </c>
      <c r="E16" s="38" t="str">
        <f>'Master Hunt List'!D9</f>
        <v>Choke Canyon SP - North Shore Unit</v>
      </c>
      <c r="F16" s="38" t="str">
        <f>'Master Hunt List'!E9</f>
        <v>South Texas / Rio Grande Valley</v>
      </c>
      <c r="G16" s="38" t="str">
        <f>'Master Hunt List'!F9</f>
        <v>Archery Deer</v>
      </c>
      <c r="H16" s="38" t="str">
        <f>'Master Hunt List'!G9</f>
        <v>Yes</v>
      </c>
      <c r="I16" s="38" t="str">
        <f>'Master Hunt List'!H9</f>
        <v>Yes</v>
      </c>
      <c r="J16" s="55" t="str">
        <f>'Master Hunt List'!I9</f>
        <v>2026-08-15</v>
      </c>
      <c r="K16" s="56">
        <f>'Master Hunt List'!K9</f>
        <v>3</v>
      </c>
      <c r="L16" s="38" t="str">
        <f>'Master Hunt List'!AF9</f>
        <v/>
      </c>
      <c r="M16" s="14" t="str">
        <f>'Master Hunt List'!AH9</f>
        <v/>
      </c>
      <c r="N16" s="14" t="str">
        <f>'Master Hunt List'!AI9</f>
        <v/>
      </c>
      <c r="O16" s="61" t="str">
        <f>'Master Hunt List'!V9</f>
        <v>https://tpwd.texas.gov/huntwild/hunt/public/public_hunt_drawing/hunt-category-details.phtml?OCat=ADE</v>
      </c>
    </row>
    <row r="17">
      <c r="A17" s="38">
        <f>10</f>
        <v>10</v>
      </c>
      <c r="B17" s="37" t="str">
        <f>'Master Hunt List'!A10</f>
        <v>No</v>
      </c>
      <c r="C17" s="38" t="str">
        <f>'Master Hunt List'!B10</f>
        <v>B</v>
      </c>
      <c r="D17" s="38" t="str">
        <f>'Master Hunt List'!C10</f>
        <v>Whitetail Deer</v>
      </c>
      <c r="E17" s="38" t="str">
        <f>'Master Hunt List'!D10</f>
        <v>Colorado Bend SP</v>
      </c>
      <c r="F17" s="38" t="str">
        <f>'Master Hunt List'!E10</f>
        <v>Central Texas / Austin</v>
      </c>
      <c r="G17" s="38" t="str">
        <f>'Master Hunt List'!F10</f>
        <v>Archery Deer</v>
      </c>
      <c r="H17" s="38" t="str">
        <f>'Master Hunt List'!G10</f>
        <v>Yes</v>
      </c>
      <c r="I17" s="38" t="str">
        <f>'Master Hunt List'!H10</f>
        <v>Yes</v>
      </c>
      <c r="J17" s="55" t="str">
        <f>'Master Hunt List'!I10</f>
        <v>2026-08-15</v>
      </c>
      <c r="K17" s="56">
        <f>'Master Hunt List'!K10</f>
        <v>3</v>
      </c>
      <c r="L17" s="38" t="str">
        <f>'Master Hunt List'!AF10</f>
        <v/>
      </c>
      <c r="M17" s="14" t="str">
        <f>'Master Hunt List'!AH10</f>
        <v/>
      </c>
      <c r="N17" s="14" t="str">
        <f>'Master Hunt List'!AI10</f>
        <v/>
      </c>
      <c r="O17" s="61" t="str">
        <f>'Master Hunt List'!V10</f>
        <v>https://tpwd.texas.gov/huntwild/hunt/public/public_hunt_drawing/hunt-category-details.phtml?OCat=ADE</v>
      </c>
    </row>
    <row r="18">
      <c r="A18" s="38">
        <f>11</f>
        <v>11</v>
      </c>
      <c r="B18" s="37" t="str">
        <f>'Master Hunt List'!A11</f>
        <v>No</v>
      </c>
      <c r="C18" s="38" t="str">
        <f>'Master Hunt List'!B11</f>
        <v>B</v>
      </c>
      <c r="D18" s="38" t="str">
        <f>'Master Hunt List'!C11</f>
        <v>Whitetail Deer</v>
      </c>
      <c r="E18" s="38" t="str">
        <f>'Master Hunt List'!D11</f>
        <v>Copper Breaks SP</v>
      </c>
      <c r="F18" s="38" t="str">
        <f>'Master Hunt List'!E11</f>
        <v>West-Central Texas</v>
      </c>
      <c r="G18" s="38" t="str">
        <f>'Master Hunt List'!F11</f>
        <v>Archery Deer</v>
      </c>
      <c r="H18" s="38" t="str">
        <f>'Master Hunt List'!G11</f>
        <v>Yes</v>
      </c>
      <c r="I18" s="38" t="str">
        <f>'Master Hunt List'!H11</f>
        <v>Yes</v>
      </c>
      <c r="J18" s="55" t="str">
        <f>'Master Hunt List'!I11</f>
        <v>2026-08-15</v>
      </c>
      <c r="K18" s="56">
        <f>'Master Hunt List'!K11</f>
        <v>3</v>
      </c>
      <c r="L18" s="38" t="str">
        <f>'Master Hunt List'!AF11</f>
        <v/>
      </c>
      <c r="M18" s="14" t="str">
        <f>'Master Hunt List'!AH11</f>
        <v/>
      </c>
      <c r="N18" s="14" t="str">
        <f>'Master Hunt List'!AI11</f>
        <v/>
      </c>
      <c r="O18" s="61" t="str">
        <f>'Master Hunt List'!V11</f>
        <v>https://tpwd.texas.gov/huntwild/hunt/public/public_hunt_drawing/hunt-category-details.phtml?OCat=ADE</v>
      </c>
    </row>
    <row r="19">
      <c r="A19" s="38">
        <f>12</f>
        <v>12</v>
      </c>
      <c r="B19" s="37" t="str">
        <f>'Master Hunt List'!A12</f>
        <v>No</v>
      </c>
      <c r="C19" s="38" t="str">
        <f>'Master Hunt List'!B12</f>
        <v>B</v>
      </c>
      <c r="D19" s="38" t="str">
        <f>'Master Hunt List'!C12</f>
        <v>Whitetail Deer</v>
      </c>
      <c r="E19" s="38" t="str">
        <f>'Master Hunt List'!D12</f>
        <v>Enchanted Rock SNA</v>
      </c>
      <c r="F19" s="38" t="str">
        <f>'Master Hunt List'!E12</f>
        <v>Hill Country / San Antonio</v>
      </c>
      <c r="G19" s="38" t="str">
        <f>'Master Hunt List'!F12</f>
        <v>Archery Deer</v>
      </c>
      <c r="H19" s="38" t="str">
        <f>'Master Hunt List'!G12</f>
        <v>Yes</v>
      </c>
      <c r="I19" s="38" t="str">
        <f>'Master Hunt List'!H12</f>
        <v>Yes</v>
      </c>
      <c r="J19" s="55" t="str">
        <f>'Master Hunt List'!I12</f>
        <v>2026-08-15</v>
      </c>
      <c r="K19" s="56">
        <f>'Master Hunt List'!K12</f>
        <v>3</v>
      </c>
      <c r="L19" s="38" t="str">
        <f>'Master Hunt List'!AF12</f>
        <v/>
      </c>
      <c r="M19" s="14" t="str">
        <f>'Master Hunt List'!AH12</f>
        <v/>
      </c>
      <c r="N19" s="14" t="str">
        <f>'Master Hunt List'!AI12</f>
        <v/>
      </c>
      <c r="O19" s="61" t="str">
        <f>'Master Hunt List'!V12</f>
        <v>https://tpwd.texas.gov/huntwild/hunt/public/public_hunt_drawing/hunt-category-details.phtml?OCat=ADE</v>
      </c>
    </row>
    <row r="20">
      <c r="A20" s="38">
        <f>13</f>
        <v>13</v>
      </c>
      <c r="B20" s="37" t="str">
        <f>'Master Hunt List'!A13</f>
        <v>No</v>
      </c>
      <c r="C20" s="38" t="str">
        <f>'Master Hunt List'!B13</f>
        <v>B</v>
      </c>
      <c r="D20" s="38" t="str">
        <f>'Master Hunt List'!C13</f>
        <v>Whitetail Deer</v>
      </c>
      <c r="E20" s="38" t="str">
        <f>'Master Hunt List'!D13</f>
        <v>Fort Boggy SP</v>
      </c>
      <c r="F20" s="38" t="str">
        <f>'Master Hunt List'!E13</f>
        <v>North Texas / DFW</v>
      </c>
      <c r="G20" s="38" t="str">
        <f>'Master Hunt List'!F13</f>
        <v>Archery Deer</v>
      </c>
      <c r="H20" s="38" t="str">
        <f>'Master Hunt List'!G13</f>
        <v>Yes</v>
      </c>
      <c r="I20" s="38" t="str">
        <f>'Master Hunt List'!H13</f>
        <v>Yes</v>
      </c>
      <c r="J20" s="55" t="str">
        <f>'Master Hunt List'!I13</f>
        <v>2026-08-15</v>
      </c>
      <c r="K20" s="56">
        <f>'Master Hunt List'!K13</f>
        <v>3</v>
      </c>
      <c r="L20" s="38" t="str">
        <f>'Master Hunt List'!AF13</f>
        <v/>
      </c>
      <c r="M20" s="14" t="str">
        <f>'Master Hunt List'!AH13</f>
        <v/>
      </c>
      <c r="N20" s="14" t="str">
        <f>'Master Hunt List'!AI13</f>
        <v/>
      </c>
      <c r="O20" s="61" t="str">
        <f>'Master Hunt List'!V13</f>
        <v>https://tpwd.texas.gov/huntwild/hunt/public/public_hunt_drawing/hunt-category-details.phtml?OCat=ADE</v>
      </c>
    </row>
    <row r="21" ht="15.75" customHeight="1">
      <c r="A21" s="38">
        <f>14</f>
        <v>14</v>
      </c>
      <c r="B21" s="37" t="str">
        <f>'Master Hunt List'!A14</f>
        <v>No</v>
      </c>
      <c r="C21" s="38" t="str">
        <f>'Master Hunt List'!B14</f>
        <v>B</v>
      </c>
      <c r="D21" s="38" t="str">
        <f>'Master Hunt List'!C14</f>
        <v>Whitetail Deer</v>
      </c>
      <c r="E21" s="38" t="str">
        <f>'Master Hunt List'!D14</f>
        <v>Garner SP</v>
      </c>
      <c r="F21" s="38" t="str">
        <f>'Master Hunt List'!E14</f>
        <v>Hill Country / San Antonio</v>
      </c>
      <c r="G21" s="38" t="str">
        <f>'Master Hunt List'!F14</f>
        <v>Archery Deer</v>
      </c>
      <c r="H21" s="38" t="str">
        <f>'Master Hunt List'!G14</f>
        <v>Yes</v>
      </c>
      <c r="I21" s="38" t="str">
        <f>'Master Hunt List'!H14</f>
        <v>Yes</v>
      </c>
      <c r="J21" s="55" t="str">
        <f>'Master Hunt List'!I14</f>
        <v>2026-08-15</v>
      </c>
      <c r="K21" s="56">
        <f>'Master Hunt List'!K14</f>
        <v>3</v>
      </c>
      <c r="L21" s="38" t="str">
        <f>'Master Hunt List'!AF14</f>
        <v/>
      </c>
      <c r="M21" s="14" t="str">
        <f>'Master Hunt List'!AH14</f>
        <v/>
      </c>
      <c r="N21" s="14" t="str">
        <f>'Master Hunt List'!AI14</f>
        <v/>
      </c>
      <c r="O21" s="61" t="str">
        <f>'Master Hunt List'!V14</f>
        <v>https://tpwd.texas.gov/huntwild/hunt/public/public_hunt_drawing/hunt-category-details.phtml?OCat=ADE</v>
      </c>
    </row>
    <row r="22" ht="15.75" customHeight="1">
      <c r="A22" s="38">
        <f>15</f>
        <v>15</v>
      </c>
      <c r="B22" s="37" t="str">
        <f>'Master Hunt List'!A15</f>
        <v>No</v>
      </c>
      <c r="C22" s="38" t="str">
        <f>'Master Hunt List'!B15</f>
        <v>A</v>
      </c>
      <c r="D22" s="38" t="str">
        <f>'Master Hunt List'!C15</f>
        <v>Whitetail Deer</v>
      </c>
      <c r="E22" s="38" t="str">
        <f>'Master Hunt List'!D15</f>
        <v>Gene Howe WMA</v>
      </c>
      <c r="F22" s="38" t="str">
        <f>'Master Hunt List'!E15</f>
        <v>Panhandle / Rolling Plains</v>
      </c>
      <c r="G22" s="38" t="str">
        <f>'Master Hunt List'!F15</f>
        <v>Archery Deer</v>
      </c>
      <c r="H22" s="38" t="str">
        <f>'Master Hunt List'!G15</f>
        <v>Yes</v>
      </c>
      <c r="I22" s="38" t="str">
        <f>'Master Hunt List'!H15</f>
        <v>Yes</v>
      </c>
      <c r="J22" s="55" t="str">
        <f>'Master Hunt List'!I15</f>
        <v>2026-08-15</v>
      </c>
      <c r="K22" s="56">
        <f>'Master Hunt List'!K15</f>
        <v>3</v>
      </c>
      <c r="L22" s="38" t="str">
        <f>'Master Hunt List'!AF15</f>
        <v/>
      </c>
      <c r="M22" s="14" t="str">
        <f>'Master Hunt List'!AH15</f>
        <v/>
      </c>
      <c r="N22" s="14" t="str">
        <f>'Master Hunt List'!AI15</f>
        <v/>
      </c>
      <c r="O22" s="61" t="str">
        <f>'Master Hunt List'!V15</f>
        <v>https://tpwd.texas.gov/huntwild/hunt/public/public_hunt_drawing/hunt-category-details.phtml?OCat=ADE</v>
      </c>
    </row>
    <row r="23" ht="15.75" customHeight="1">
      <c r="A23" s="38">
        <f>16</f>
        <v>16</v>
      </c>
      <c r="B23" s="37" t="str">
        <f>'Master Hunt List'!A16</f>
        <v>No</v>
      </c>
      <c r="C23" s="38" t="str">
        <f>'Master Hunt List'!B16</f>
        <v>B</v>
      </c>
      <c r="D23" s="38" t="str">
        <f>'Master Hunt List'!C16</f>
        <v>Whitetail Deer</v>
      </c>
      <c r="E23" s="38" t="str">
        <f>'Master Hunt List'!D16</f>
        <v>Government Canyon SNA</v>
      </c>
      <c r="F23" s="38" t="str">
        <f>'Master Hunt List'!E16</f>
        <v>Hill Country / San Antonio</v>
      </c>
      <c r="G23" s="38" t="str">
        <f>'Master Hunt List'!F16</f>
        <v>Archery Deer</v>
      </c>
      <c r="H23" s="38" t="str">
        <f>'Master Hunt List'!G16</f>
        <v>Yes</v>
      </c>
      <c r="I23" s="38" t="str">
        <f>'Master Hunt List'!H16</f>
        <v>Yes</v>
      </c>
      <c r="J23" s="55" t="str">
        <f>'Master Hunt List'!I16</f>
        <v>2026-08-15</v>
      </c>
      <c r="K23" s="56">
        <f>'Master Hunt List'!K16</f>
        <v>3</v>
      </c>
      <c r="L23" s="38" t="str">
        <f>'Master Hunt List'!AF16</f>
        <v/>
      </c>
      <c r="M23" s="14" t="str">
        <f>'Master Hunt List'!AH16</f>
        <v/>
      </c>
      <c r="N23" s="14" t="str">
        <f>'Master Hunt List'!AI16</f>
        <v/>
      </c>
      <c r="O23" s="61" t="str">
        <f>'Master Hunt List'!V16</f>
        <v>https://tpwd.texas.gov/huntwild/hunt/public/public_hunt_drawing/hunt-category-details.phtml?OCat=ADE</v>
      </c>
    </row>
    <row r="24" ht="15.75" customHeight="1">
      <c r="A24" s="38">
        <f>17</f>
        <v>17</v>
      </c>
      <c r="B24" s="37" t="str">
        <f>'Master Hunt List'!A17</f>
        <v>No</v>
      </c>
      <c r="C24" s="38" t="str">
        <f>'Master Hunt List'!B17</f>
        <v>B</v>
      </c>
      <c r="D24" s="38" t="str">
        <f>'Master Hunt List'!C17</f>
        <v>Whitetail Deer</v>
      </c>
      <c r="E24" s="38" t="str">
        <f>'Master Hunt List'!D17</f>
        <v>Gus Engeling WMA</v>
      </c>
      <c r="F24" s="38" t="str">
        <f>'Master Hunt List'!E17</f>
        <v>Statewide / Other</v>
      </c>
      <c r="G24" s="38" t="str">
        <f>'Master Hunt List'!F17</f>
        <v>Archery Deer</v>
      </c>
      <c r="H24" s="38" t="str">
        <f>'Master Hunt List'!G17</f>
        <v>Yes</v>
      </c>
      <c r="I24" s="38" t="str">
        <f>'Master Hunt List'!H17</f>
        <v>Yes</v>
      </c>
      <c r="J24" s="55" t="str">
        <f>'Master Hunt List'!I17</f>
        <v>2026-08-15</v>
      </c>
      <c r="K24" s="56">
        <f>'Master Hunt List'!K17</f>
        <v>3</v>
      </c>
      <c r="L24" s="38" t="str">
        <f>'Master Hunt List'!AF17</f>
        <v/>
      </c>
      <c r="M24" s="14" t="str">
        <f>'Master Hunt List'!AH17</f>
        <v/>
      </c>
      <c r="N24" s="14" t="str">
        <f>'Master Hunt List'!AI17</f>
        <v/>
      </c>
      <c r="O24" s="61" t="str">
        <f>'Master Hunt List'!V17</f>
        <v>https://tpwd.texas.gov/huntwild/hunt/public/public_hunt_drawing/hunt-category-details.phtml?OCat=ADE</v>
      </c>
    </row>
    <row r="25" ht="15.75" customHeight="1">
      <c r="A25" s="38">
        <f>18</f>
        <v>18</v>
      </c>
      <c r="B25" s="37" t="str">
        <f>'Master Hunt List'!A18</f>
        <v>No</v>
      </c>
      <c r="C25" s="38" t="str">
        <f>'Master Hunt List'!B18</f>
        <v>B</v>
      </c>
      <c r="D25" s="38" t="str">
        <f>'Master Hunt List'!C18</f>
        <v>Whitetail Deer</v>
      </c>
      <c r="E25" s="38" t="str">
        <f>'Master Hunt List'!D18</f>
        <v>James Daughtrey WMA</v>
      </c>
      <c r="F25" s="38" t="str">
        <f>'Master Hunt List'!E18</f>
        <v>South Texas / Rio Grande Valley</v>
      </c>
      <c r="G25" s="38" t="str">
        <f>'Master Hunt List'!F18</f>
        <v>Archery Deer</v>
      </c>
      <c r="H25" s="38" t="str">
        <f>'Master Hunt List'!G18</f>
        <v>Yes</v>
      </c>
      <c r="I25" s="38" t="str">
        <f>'Master Hunt List'!H18</f>
        <v>Yes</v>
      </c>
      <c r="J25" s="55" t="str">
        <f>'Master Hunt List'!I18</f>
        <v>2026-08-15</v>
      </c>
      <c r="K25" s="56">
        <f>'Master Hunt List'!K18</f>
        <v>3</v>
      </c>
      <c r="L25" s="38" t="str">
        <f>'Master Hunt List'!AF18</f>
        <v/>
      </c>
      <c r="M25" s="14" t="str">
        <f>'Master Hunt List'!AH18</f>
        <v/>
      </c>
      <c r="N25" s="14" t="str">
        <f>'Master Hunt List'!AI18</f>
        <v/>
      </c>
      <c r="O25" s="61" t="str">
        <f>'Master Hunt List'!V18</f>
        <v>https://tpwd.texas.gov/huntwild/hunt/public/public_hunt_drawing/hunt-category-details.phtml?OCat=ADE</v>
      </c>
    </row>
    <row r="26" ht="15.75" customHeight="1">
      <c r="A26" s="38">
        <f>19</f>
        <v>19</v>
      </c>
      <c r="B26" s="37" t="str">
        <f>'Master Hunt List'!A19</f>
        <v>No</v>
      </c>
      <c r="C26" s="38" t="str">
        <f>'Master Hunt List'!B19</f>
        <v>B</v>
      </c>
      <c r="D26" s="38" t="str">
        <f>'Master Hunt List'!C19</f>
        <v>Whitetail Deer</v>
      </c>
      <c r="E26" s="38" t="str">
        <f>'Master Hunt List'!D19</f>
        <v>Lake Brownwood SP</v>
      </c>
      <c r="F26" s="38" t="str">
        <f>'Master Hunt List'!E19</f>
        <v>West-Central Texas</v>
      </c>
      <c r="G26" s="38" t="str">
        <f>'Master Hunt List'!F19</f>
        <v>Archery Deer</v>
      </c>
      <c r="H26" s="38" t="str">
        <f>'Master Hunt List'!G19</f>
        <v>Yes</v>
      </c>
      <c r="I26" s="38" t="str">
        <f>'Master Hunt List'!H19</f>
        <v>Yes</v>
      </c>
      <c r="J26" s="55" t="str">
        <f>'Master Hunt List'!I19</f>
        <v>2026-08-15</v>
      </c>
      <c r="K26" s="56">
        <f>'Master Hunt List'!K19</f>
        <v>3</v>
      </c>
      <c r="L26" s="38" t="str">
        <f>'Master Hunt List'!AF19</f>
        <v/>
      </c>
      <c r="M26" s="14" t="str">
        <f>'Master Hunt List'!AH19</f>
        <v/>
      </c>
      <c r="N26" s="14" t="str">
        <f>'Master Hunt List'!AI19</f>
        <v/>
      </c>
      <c r="O26" s="61" t="str">
        <f>'Master Hunt List'!V19</f>
        <v>https://tpwd.texas.gov/huntwild/hunt/public/public_hunt_drawing/hunt-category-details.phtml?OCat=ADE</v>
      </c>
    </row>
    <row r="27" ht="15.75" customHeight="1">
      <c r="A27" s="38">
        <f>20</f>
        <v>20</v>
      </c>
      <c r="B27" s="37" t="str">
        <f>'Master Hunt List'!A20</f>
        <v>No</v>
      </c>
      <c r="C27" s="38" t="str">
        <f>'Master Hunt List'!B20</f>
        <v>B</v>
      </c>
      <c r="D27" s="38" t="str">
        <f>'Master Hunt List'!C20</f>
        <v>Whitetail Deer</v>
      </c>
      <c r="E27" s="38" t="str">
        <f>'Master Hunt List'!D20</f>
        <v>Lake Mineral Wells SP</v>
      </c>
      <c r="F27" s="38" t="str">
        <f>'Master Hunt List'!E20</f>
        <v>North Texas / DFW</v>
      </c>
      <c r="G27" s="38" t="str">
        <f>'Master Hunt List'!F20</f>
        <v>Archery Deer</v>
      </c>
      <c r="H27" s="38" t="str">
        <f>'Master Hunt List'!G20</f>
        <v>Yes</v>
      </c>
      <c r="I27" s="38" t="str">
        <f>'Master Hunt List'!H20</f>
        <v>Yes</v>
      </c>
      <c r="J27" s="55" t="str">
        <f>'Master Hunt List'!I20</f>
        <v>2026-08-15</v>
      </c>
      <c r="K27" s="56">
        <f>'Master Hunt List'!K20</f>
        <v>3</v>
      </c>
      <c r="L27" s="38" t="str">
        <f>'Master Hunt List'!AF20</f>
        <v/>
      </c>
      <c r="M27" s="14" t="str">
        <f>'Master Hunt List'!AH20</f>
        <v/>
      </c>
      <c r="N27" s="14" t="str">
        <f>'Master Hunt List'!AI20</f>
        <v/>
      </c>
      <c r="O27" s="61" t="str">
        <f>'Master Hunt List'!V20</f>
        <v>https://tpwd.texas.gov/huntwild/hunt/public/public_hunt_drawing/hunt-category-details.phtml?OCat=ADE</v>
      </c>
    </row>
    <row r="28" ht="15.75" customHeight="1">
      <c r="A28" s="38">
        <f>21</f>
        <v>21</v>
      </c>
      <c r="B28" s="37" t="str">
        <f>'Master Hunt List'!A21</f>
        <v>No</v>
      </c>
      <c r="C28" s="38" t="str">
        <f>'Master Hunt List'!B21</f>
        <v>B</v>
      </c>
      <c r="D28" s="38" t="str">
        <f>'Master Hunt List'!C21</f>
        <v>Whitetail Deer</v>
      </c>
      <c r="E28" s="38" t="str">
        <f>'Master Hunt List'!D21</f>
        <v>Las Palomas WMA - Arroyo Colorado Unit</v>
      </c>
      <c r="F28" s="38" t="str">
        <f>'Master Hunt List'!E21</f>
        <v>South Texas / Rio Grande Valley</v>
      </c>
      <c r="G28" s="38" t="str">
        <f>'Master Hunt List'!F21</f>
        <v>Archery Deer</v>
      </c>
      <c r="H28" s="38" t="str">
        <f>'Master Hunt List'!G21</f>
        <v>Yes</v>
      </c>
      <c r="I28" s="38" t="str">
        <f>'Master Hunt List'!H21</f>
        <v>Yes</v>
      </c>
      <c r="J28" s="55" t="str">
        <f>'Master Hunt List'!I21</f>
        <v>2026-08-15</v>
      </c>
      <c r="K28" s="56">
        <f>'Master Hunt List'!K21</f>
        <v>3</v>
      </c>
      <c r="L28" s="38" t="str">
        <f>'Master Hunt List'!AF21</f>
        <v/>
      </c>
      <c r="M28" s="14" t="str">
        <f>'Master Hunt List'!AH21</f>
        <v/>
      </c>
      <c r="N28" s="14" t="str">
        <f>'Master Hunt List'!AI21</f>
        <v/>
      </c>
      <c r="O28" s="61" t="str">
        <f>'Master Hunt List'!V21</f>
        <v>https://tpwd.texas.gov/huntwild/hunt/public/public_hunt_drawing/hunt-category-details.phtml?OCat=ADE</v>
      </c>
    </row>
    <row r="29" ht="15.75" customHeight="1">
      <c r="A29" s="38">
        <f>22</f>
        <v>22</v>
      </c>
      <c r="B29" s="37" t="str">
        <f>'Master Hunt List'!A22</f>
        <v>No</v>
      </c>
      <c r="C29" s="38" t="str">
        <f>'Master Hunt List'!B22</f>
        <v>A</v>
      </c>
      <c r="D29" s="38" t="str">
        <f>'Master Hunt List'!C22</f>
        <v>Whitetail Deer</v>
      </c>
      <c r="E29" s="38" t="str">
        <f>'Master Hunt List'!D22</f>
        <v>Matador WMA</v>
      </c>
      <c r="F29" s="38" t="str">
        <f>'Master Hunt List'!E22</f>
        <v>Panhandle / Rolling Plains</v>
      </c>
      <c r="G29" s="38" t="str">
        <f>'Master Hunt List'!F22</f>
        <v>Archery Deer</v>
      </c>
      <c r="H29" s="38" t="str">
        <f>'Master Hunt List'!G22</f>
        <v>Yes</v>
      </c>
      <c r="I29" s="38" t="str">
        <f>'Master Hunt List'!H22</f>
        <v>Yes</v>
      </c>
      <c r="J29" s="55" t="str">
        <f>'Master Hunt List'!I22</f>
        <v>2026-08-15</v>
      </c>
      <c r="K29" s="56">
        <f>'Master Hunt List'!K22</f>
        <v>3</v>
      </c>
      <c r="L29" s="38" t="str">
        <f>'Master Hunt List'!AF22</f>
        <v/>
      </c>
      <c r="M29" s="14" t="str">
        <f>'Master Hunt List'!AH22</f>
        <v/>
      </c>
      <c r="N29" s="14" t="str">
        <f>'Master Hunt List'!AI22</f>
        <v/>
      </c>
      <c r="O29" s="61" t="str">
        <f>'Master Hunt List'!V22</f>
        <v>https://tpwd.texas.gov/huntwild/hunt/public/public_hunt_drawing/hunt-category-details.phtml?OCat=ADE</v>
      </c>
    </row>
    <row r="30" ht="15.75" customHeight="1">
      <c r="A30" s="38">
        <f>23</f>
        <v>23</v>
      </c>
      <c r="B30" s="37" t="str">
        <f>'Master Hunt List'!A23</f>
        <v>No</v>
      </c>
      <c r="C30" s="38" t="str">
        <f>'Master Hunt List'!B23</f>
        <v>B</v>
      </c>
      <c r="D30" s="38" t="str">
        <f>'Master Hunt List'!C23</f>
        <v>Whitetail Deer</v>
      </c>
      <c r="E30" s="38" t="str">
        <f>'Master Hunt List'!D23</f>
        <v>Muse WMA</v>
      </c>
      <c r="F30" s="38" t="str">
        <f>'Master Hunt List'!E23</f>
        <v>Statewide / Other</v>
      </c>
      <c r="G30" s="38" t="str">
        <f>'Master Hunt List'!F23</f>
        <v>Archery Deer</v>
      </c>
      <c r="H30" s="38" t="str">
        <f>'Master Hunt List'!G23</f>
        <v>Yes</v>
      </c>
      <c r="I30" s="38" t="str">
        <f>'Master Hunt List'!H23</f>
        <v>Yes</v>
      </c>
      <c r="J30" s="55" t="str">
        <f>'Master Hunt List'!I23</f>
        <v>2026-08-15</v>
      </c>
      <c r="K30" s="56">
        <f>'Master Hunt List'!K23</f>
        <v>3</v>
      </c>
      <c r="L30" s="38" t="str">
        <f>'Master Hunt List'!AF23</f>
        <v/>
      </c>
      <c r="M30" s="14" t="str">
        <f>'Master Hunt List'!AH23</f>
        <v/>
      </c>
      <c r="N30" s="14" t="str">
        <f>'Master Hunt List'!AI23</f>
        <v/>
      </c>
      <c r="O30" s="61" t="str">
        <f>'Master Hunt List'!V23</f>
        <v>https://tpwd.texas.gov/huntwild/hunt/public/public_hunt_drawing/hunt-category-details.phtml?OCat=ADE</v>
      </c>
    </row>
    <row r="31" ht="15.75" customHeight="1">
      <c r="A31" s="38">
        <f>24</f>
        <v>24</v>
      </c>
      <c r="B31" s="37" t="str">
        <f>'Master Hunt List'!A24</f>
        <v>No</v>
      </c>
      <c r="C31" s="38" t="str">
        <f>'Master Hunt List'!B24</f>
        <v>B</v>
      </c>
      <c r="D31" s="38" t="str">
        <f>'Master Hunt List'!C24</f>
        <v>Whitetail Deer</v>
      </c>
      <c r="E31" s="38" t="str">
        <f>'Master Hunt List'!D24</f>
        <v>Nannie Stringfellow WMA</v>
      </c>
      <c r="F31" s="38" t="str">
        <f>'Master Hunt List'!E24</f>
        <v>Houston / Gulf Coast</v>
      </c>
      <c r="G31" s="38" t="str">
        <f>'Master Hunt List'!F24</f>
        <v>Archery Deer</v>
      </c>
      <c r="H31" s="38" t="str">
        <f>'Master Hunt List'!G24</f>
        <v>Yes</v>
      </c>
      <c r="I31" s="38" t="str">
        <f>'Master Hunt List'!H24</f>
        <v>Yes</v>
      </c>
      <c r="J31" s="55" t="str">
        <f>'Master Hunt List'!I24</f>
        <v>2026-08-15</v>
      </c>
      <c r="K31" s="56">
        <f>'Master Hunt List'!K24</f>
        <v>3</v>
      </c>
      <c r="L31" s="38" t="str">
        <f>'Master Hunt List'!AF24</f>
        <v/>
      </c>
      <c r="M31" s="14" t="str">
        <f>'Master Hunt List'!AH24</f>
        <v/>
      </c>
      <c r="N31" s="14" t="str">
        <f>'Master Hunt List'!AI24</f>
        <v/>
      </c>
      <c r="O31" s="61" t="str">
        <f>'Master Hunt List'!V24</f>
        <v>https://tpwd.texas.gov/huntwild/hunt/public/public_hunt_drawing/hunt-category-details.phtml?OCat=ADE</v>
      </c>
    </row>
    <row r="32" ht="15.75" customHeight="1">
      <c r="A32" s="38">
        <f>25</f>
        <v>25</v>
      </c>
      <c r="B32" s="37" t="str">
        <f>'Master Hunt List'!A25</f>
        <v>No</v>
      </c>
      <c r="C32" s="38" t="str">
        <f>'Master Hunt List'!B25</f>
        <v>A</v>
      </c>
      <c r="D32" s="38" t="str">
        <f>'Master Hunt List'!C25</f>
        <v>Whitetail Deer</v>
      </c>
      <c r="E32" s="38" t="str">
        <f>'Master Hunt List'!D25</f>
        <v>Palo Duro Canyon SP</v>
      </c>
      <c r="F32" s="38" t="str">
        <f>'Master Hunt List'!E25</f>
        <v>Panhandle / Rolling Plains</v>
      </c>
      <c r="G32" s="38" t="str">
        <f>'Master Hunt List'!F25</f>
        <v>Archery Deer</v>
      </c>
      <c r="H32" s="38" t="str">
        <f>'Master Hunt List'!G25</f>
        <v>Yes</v>
      </c>
      <c r="I32" s="38" t="str">
        <f>'Master Hunt List'!H25</f>
        <v>Yes</v>
      </c>
      <c r="J32" s="55" t="str">
        <f>'Master Hunt List'!I25</f>
        <v>2026-08-15</v>
      </c>
      <c r="K32" s="56">
        <f>'Master Hunt List'!K25</f>
        <v>3</v>
      </c>
      <c r="L32" s="38" t="str">
        <f>'Master Hunt List'!AF25</f>
        <v/>
      </c>
      <c r="M32" s="14" t="str">
        <f>'Master Hunt List'!AH25</f>
        <v/>
      </c>
      <c r="N32" s="14" t="str">
        <f>'Master Hunt List'!AI25</f>
        <v/>
      </c>
      <c r="O32" s="61" t="str">
        <f>'Master Hunt List'!V25</f>
        <v>https://tpwd.texas.gov/huntwild/hunt/public/public_hunt_drawing/hunt-category-details.phtml?OCat=ADE</v>
      </c>
    </row>
    <row r="33" ht="15.75" customHeight="1">
      <c r="A33" s="38">
        <f>26</f>
        <v>26</v>
      </c>
      <c r="B33" s="37" t="str">
        <f>'Master Hunt List'!A26</f>
        <v>No</v>
      </c>
      <c r="C33" s="38" t="str">
        <f>'Master Hunt List'!B26</f>
        <v>B</v>
      </c>
      <c r="D33" s="38" t="str">
        <f>'Master Hunt List'!C26</f>
        <v>Whitetail Deer</v>
      </c>
      <c r="E33" s="38" t="str">
        <f>'Master Hunt List'!D26</f>
        <v>Post Oak Ridge State Park</v>
      </c>
      <c r="F33" s="38" t="str">
        <f>'Master Hunt List'!E26</f>
        <v>Statewide / Other</v>
      </c>
      <c r="G33" s="38" t="str">
        <f>'Master Hunt List'!F26</f>
        <v>Archery Deer</v>
      </c>
      <c r="H33" s="38" t="str">
        <f>'Master Hunt List'!G26</f>
        <v>Yes</v>
      </c>
      <c r="I33" s="38" t="str">
        <f>'Master Hunt List'!H26</f>
        <v>Yes</v>
      </c>
      <c r="J33" s="55" t="str">
        <f>'Master Hunt List'!I26</f>
        <v>2026-08-15</v>
      </c>
      <c r="K33" s="56">
        <f>'Master Hunt List'!K26</f>
        <v>3</v>
      </c>
      <c r="L33" s="38" t="str">
        <f>'Master Hunt List'!AF26</f>
        <v/>
      </c>
      <c r="M33" s="14" t="str">
        <f>'Master Hunt List'!AH26</f>
        <v/>
      </c>
      <c r="N33" s="14" t="str">
        <f>'Master Hunt List'!AI26</f>
        <v/>
      </c>
      <c r="O33" s="61" t="str">
        <f>'Master Hunt List'!V26</f>
        <v>https://tpwd.texas.gov/huntwild/hunt/public/public_hunt_drawing/hunt-category-details.phtml?OCat=ADE</v>
      </c>
    </row>
    <row r="34" ht="15.75" customHeight="1">
      <c r="A34" s="38">
        <f>27</f>
        <v>27</v>
      </c>
      <c r="B34" s="37" t="str">
        <f>'Master Hunt List'!A27</f>
        <v>No</v>
      </c>
      <c r="C34" s="38" t="str">
        <f>'Master Hunt List'!B27</f>
        <v>A</v>
      </c>
      <c r="D34" s="38" t="str">
        <f>'Master Hunt List'!C27</f>
        <v>Whitetail Deer</v>
      </c>
      <c r="E34" s="38" t="str">
        <f>'Master Hunt List'!D27</f>
        <v>Potter County - Cross Bar Mgt. Area</v>
      </c>
      <c r="F34" s="38" t="str">
        <f>'Master Hunt List'!E27</f>
        <v>Panhandle / Rolling Plains</v>
      </c>
      <c r="G34" s="38" t="str">
        <f>'Master Hunt List'!F27</f>
        <v>Archery Deer</v>
      </c>
      <c r="H34" s="38" t="str">
        <f>'Master Hunt List'!G27</f>
        <v>Yes</v>
      </c>
      <c r="I34" s="38" t="str">
        <f>'Master Hunt List'!H27</f>
        <v>Yes</v>
      </c>
      <c r="J34" s="55" t="str">
        <f>'Master Hunt List'!I27</f>
        <v>2026-08-15</v>
      </c>
      <c r="K34" s="56">
        <f>'Master Hunt List'!K27</f>
        <v>3</v>
      </c>
      <c r="L34" s="38" t="str">
        <f>'Master Hunt List'!AF27</f>
        <v/>
      </c>
      <c r="M34" s="14" t="str">
        <f>'Master Hunt List'!AH27</f>
        <v/>
      </c>
      <c r="N34" s="14" t="str">
        <f>'Master Hunt List'!AI27</f>
        <v/>
      </c>
      <c r="O34" s="61" t="str">
        <f>'Master Hunt List'!V27</f>
        <v>https://tpwd.texas.gov/huntwild/hunt/public/public_hunt_drawing/hunt-category-details.phtml?OCat=ADE</v>
      </c>
    </row>
    <row r="35" ht="15.75" customHeight="1">
      <c r="A35" s="38">
        <f>28</f>
        <v>28</v>
      </c>
      <c r="B35" s="37" t="str">
        <f>'Master Hunt List'!A28</f>
        <v>No</v>
      </c>
      <c r="C35" s="38" t="str">
        <f>'Master Hunt List'!B28</f>
        <v>B</v>
      </c>
      <c r="D35" s="38" t="str">
        <f>'Master Hunt List'!C28</f>
        <v>Whitetail Deer</v>
      </c>
      <c r="E35" s="38" t="str">
        <f>'Master Hunt List'!D28</f>
        <v>Richland Creek WMA - Carl Frentress Unit</v>
      </c>
      <c r="F35" s="38" t="str">
        <f>'Master Hunt List'!E28</f>
        <v>Statewide / Other</v>
      </c>
      <c r="G35" s="38" t="str">
        <f>'Master Hunt List'!F28</f>
        <v>Archery Deer</v>
      </c>
      <c r="H35" s="38" t="str">
        <f>'Master Hunt List'!G28</f>
        <v>Yes</v>
      </c>
      <c r="I35" s="38" t="str">
        <f>'Master Hunt List'!H28</f>
        <v>Yes</v>
      </c>
      <c r="J35" s="55" t="str">
        <f>'Master Hunt List'!I28</f>
        <v>2026-08-15</v>
      </c>
      <c r="K35" s="56">
        <f>'Master Hunt List'!K28</f>
        <v>3</v>
      </c>
      <c r="L35" s="38" t="str">
        <f>'Master Hunt List'!AF28</f>
        <v/>
      </c>
      <c r="M35" s="14" t="str">
        <f>'Master Hunt List'!AH28</f>
        <v/>
      </c>
      <c r="N35" s="14" t="str">
        <f>'Master Hunt List'!AI28</f>
        <v/>
      </c>
      <c r="O35" s="61" t="str">
        <f>'Master Hunt List'!V28</f>
        <v>https://tpwd.texas.gov/huntwild/hunt/public/public_hunt_drawing/hunt-category-details.phtml?OCat=ADE</v>
      </c>
    </row>
    <row r="36" ht="15.75" customHeight="1">
      <c r="A36" s="38">
        <f>29</f>
        <v>29</v>
      </c>
      <c r="B36" s="37" t="str">
        <f>'Master Hunt List'!A29</f>
        <v>No</v>
      </c>
      <c r="C36" s="38" t="str">
        <f>'Master Hunt List'!B29</f>
        <v>B</v>
      </c>
      <c r="D36" s="38" t="str">
        <f>'Master Hunt List'!C29</f>
        <v>Whitetail Deer</v>
      </c>
      <c r="E36" s="38" t="str">
        <f>'Master Hunt List'!D29</f>
        <v>Roger Fawcett WMA</v>
      </c>
      <c r="F36" s="38" t="str">
        <f>'Master Hunt List'!E29</f>
        <v>West-Central Texas</v>
      </c>
      <c r="G36" s="38" t="str">
        <f>'Master Hunt List'!F29</f>
        <v>Archery Deer</v>
      </c>
      <c r="H36" s="38" t="str">
        <f>'Master Hunt List'!G29</f>
        <v>Yes</v>
      </c>
      <c r="I36" s="38" t="str">
        <f>'Master Hunt List'!H29</f>
        <v>Yes</v>
      </c>
      <c r="J36" s="55" t="str">
        <f>'Master Hunt List'!I29</f>
        <v>2026-08-15</v>
      </c>
      <c r="K36" s="56">
        <f>'Master Hunt List'!K29</f>
        <v>3</v>
      </c>
      <c r="L36" s="38" t="str">
        <f>'Master Hunt List'!AF29</f>
        <v/>
      </c>
      <c r="M36" s="14" t="str">
        <f>'Master Hunt List'!AH29</f>
        <v/>
      </c>
      <c r="N36" s="14" t="str">
        <f>'Master Hunt List'!AI29</f>
        <v/>
      </c>
      <c r="O36" s="61" t="str">
        <f>'Master Hunt List'!V29</f>
        <v>https://tpwd.texas.gov/huntwild/hunt/public/public_hunt_drawing/hunt-category-details.phtml?OCat=ADE</v>
      </c>
    </row>
    <row r="37" ht="15.75" customHeight="1">
      <c r="A37" s="38">
        <f>30</f>
        <v>30</v>
      </c>
      <c r="B37" s="37" t="str">
        <f>'Master Hunt List'!A30</f>
        <v>No</v>
      </c>
      <c r="C37" s="38" t="str">
        <f>'Master Hunt List'!B30</f>
        <v>A</v>
      </c>
      <c r="D37" s="38" t="str">
        <f>'Master Hunt List'!C30</f>
        <v>Mule Deer</v>
      </c>
      <c r="E37" s="38" t="str">
        <f>'Master Hunt List'!D30</f>
        <v>Big Bend Ranch SP</v>
      </c>
      <c r="F37" s="38" t="str">
        <f>'Master Hunt List'!E30</f>
        <v>Trans-Pecos / West Texas</v>
      </c>
      <c r="G37" s="38" t="str">
        <f>'Master Hunt List'!F30</f>
        <v>Youth Gun Deer - Either Sex</v>
      </c>
      <c r="H37" s="38" t="str">
        <f>'Master Hunt List'!G30</f>
        <v>No</v>
      </c>
      <c r="I37" s="38" t="str">
        <f>'Master Hunt List'!H30</f>
        <v>Yes</v>
      </c>
      <c r="J37" s="55" t="str">
        <f>'Master Hunt List'!I30</f>
        <v>2026-09-01</v>
      </c>
      <c r="K37" s="56">
        <f>'Master Hunt List'!K30</f>
        <v>0</v>
      </c>
      <c r="L37" s="38" t="str">
        <f>'Master Hunt List'!AF30</f>
        <v/>
      </c>
      <c r="M37" s="14" t="str">
        <f>'Master Hunt List'!AH30</f>
        <v/>
      </c>
      <c r="N37" s="14" t="str">
        <f>'Master Hunt List'!AI30</f>
        <v/>
      </c>
      <c r="O37" s="61" t="str">
        <f>'Master Hunt List'!V30</f>
        <v>https://tpwd.texas.gov/huntwild/hunt/public/public_hunt_drawing/hunt-category-details.phtml?OCat=YDE</v>
      </c>
    </row>
    <row r="38" ht="15.75" customHeight="1">
      <c r="A38" s="38">
        <f>31</f>
        <v>31</v>
      </c>
      <c r="B38" s="37" t="str">
        <f>'Master Hunt List'!A31</f>
        <v>No</v>
      </c>
      <c r="C38" s="38" t="str">
        <f>'Master Hunt List'!B31</f>
        <v>A</v>
      </c>
      <c r="D38" s="38" t="str">
        <f>'Master Hunt List'!C31</f>
        <v>Mule Deer</v>
      </c>
      <c r="E38" s="38" t="str">
        <f>'Master Hunt List'!D31</f>
        <v>Caprock Canyons SP</v>
      </c>
      <c r="F38" s="38" t="str">
        <f>'Master Hunt List'!E31</f>
        <v>Panhandle / Rolling Plains</v>
      </c>
      <c r="G38" s="38" t="str">
        <f>'Master Hunt List'!F31</f>
        <v>Youth Gun Deer - Either Sex</v>
      </c>
      <c r="H38" s="38" t="str">
        <f>'Master Hunt List'!G31</f>
        <v>No</v>
      </c>
      <c r="I38" s="38" t="str">
        <f>'Master Hunt List'!H31</f>
        <v>Yes</v>
      </c>
      <c r="J38" s="55" t="str">
        <f>'Master Hunt List'!I31</f>
        <v>2026-09-01</v>
      </c>
      <c r="K38" s="56">
        <f>'Master Hunt List'!K31</f>
        <v>0</v>
      </c>
      <c r="L38" s="38" t="str">
        <f>'Master Hunt List'!AF31</f>
        <v/>
      </c>
      <c r="M38" s="14" t="str">
        <f>'Master Hunt List'!AH31</f>
        <v/>
      </c>
      <c r="N38" s="14" t="str">
        <f>'Master Hunt List'!AI31</f>
        <v/>
      </c>
      <c r="O38" s="61" t="str">
        <f>'Master Hunt List'!V31</f>
        <v>https://tpwd.texas.gov/huntwild/hunt/public/public_hunt_drawing/hunt-category-details.phtml?OCat=YDE</v>
      </c>
    </row>
    <row r="39" ht="15.75" customHeight="1">
      <c r="A39" s="38">
        <f>32</f>
        <v>32</v>
      </c>
      <c r="B39" s="37" t="str">
        <f>'Master Hunt List'!A32</f>
        <v>No</v>
      </c>
      <c r="C39" s="38" t="str">
        <f>'Master Hunt List'!B32</f>
        <v>A</v>
      </c>
      <c r="D39" s="38" t="str">
        <f>'Master Hunt List'!C32</f>
        <v>Whitetail Deer</v>
      </c>
      <c r="E39" s="38" t="str">
        <f>'Master Hunt List'!D32</f>
        <v>Abilene SP</v>
      </c>
      <c r="F39" s="38" t="str">
        <f>'Master Hunt List'!E32</f>
        <v>West-Central Texas</v>
      </c>
      <c r="G39" s="38" t="str">
        <f>'Master Hunt List'!F32</f>
        <v>Youth Gun Deer - Either Sex</v>
      </c>
      <c r="H39" s="38" t="str">
        <f>'Master Hunt List'!G32</f>
        <v>No</v>
      </c>
      <c r="I39" s="38" t="str">
        <f>'Master Hunt List'!H32</f>
        <v>Yes</v>
      </c>
      <c r="J39" s="55" t="str">
        <f>'Master Hunt List'!I32</f>
        <v>2026-09-01</v>
      </c>
      <c r="K39" s="56">
        <f>'Master Hunt List'!K32</f>
        <v>0</v>
      </c>
      <c r="L39" s="38" t="str">
        <f>'Master Hunt List'!AF32</f>
        <v/>
      </c>
      <c r="M39" s="14" t="str">
        <f>'Master Hunt List'!AH32</f>
        <v/>
      </c>
      <c r="N39" s="14" t="str">
        <f>'Master Hunt List'!AI32</f>
        <v/>
      </c>
      <c r="O39" s="61" t="str">
        <f>'Master Hunt List'!V32</f>
        <v>https://tpwd.texas.gov/huntwild/hunt/public/public_hunt_drawing/hunt-category-details.phtml?OCat=YDE</v>
      </c>
    </row>
    <row r="40" ht="15.75" customHeight="1">
      <c r="A40" s="38">
        <f>33</f>
        <v>33</v>
      </c>
      <c r="B40" s="37" t="str">
        <f>'Master Hunt List'!A33</f>
        <v>No</v>
      </c>
      <c r="C40" s="38" t="str">
        <f>'Master Hunt List'!B33</f>
        <v>A</v>
      </c>
      <c r="D40" s="38" t="str">
        <f>'Master Hunt List'!C33</f>
        <v>Whitetail Deer</v>
      </c>
      <c r="E40" s="38" t="str">
        <f>'Master Hunt List'!D33</f>
        <v>Alazan Bayou WMA</v>
      </c>
      <c r="F40" s="38" t="str">
        <f>'Master Hunt List'!E33</f>
        <v>East Texas / Pineywoods</v>
      </c>
      <c r="G40" s="38" t="str">
        <f>'Master Hunt List'!F33</f>
        <v>Youth Gun Deer - Either Sex</v>
      </c>
      <c r="H40" s="38" t="str">
        <f>'Master Hunt List'!G33</f>
        <v>No</v>
      </c>
      <c r="I40" s="38" t="str">
        <f>'Master Hunt List'!H33</f>
        <v>Yes</v>
      </c>
      <c r="J40" s="55" t="str">
        <f>'Master Hunt List'!I33</f>
        <v>2026-09-01</v>
      </c>
      <c r="K40" s="56">
        <f>'Master Hunt List'!K33</f>
        <v>0</v>
      </c>
      <c r="L40" s="38" t="str">
        <f>'Master Hunt List'!AF33</f>
        <v/>
      </c>
      <c r="M40" s="14" t="str">
        <f>'Master Hunt List'!AH33</f>
        <v/>
      </c>
      <c r="N40" s="14" t="str">
        <f>'Master Hunt List'!AI33</f>
        <v/>
      </c>
      <c r="O40" s="61" t="str">
        <f>'Master Hunt List'!V33</f>
        <v>https://tpwd.texas.gov/huntwild/hunt/public/public_hunt_drawing/hunt-category-details.phtml?OCat=YDE</v>
      </c>
    </row>
    <row r="41" ht="15.75" customHeight="1">
      <c r="A41" s="38">
        <f>34</f>
        <v>34</v>
      </c>
      <c r="B41" s="37" t="str">
        <f>'Master Hunt List'!A34</f>
        <v>No</v>
      </c>
      <c r="C41" s="38" t="str">
        <f>'Master Hunt List'!B34</f>
        <v>A</v>
      </c>
      <c r="D41" s="38" t="str">
        <f>'Master Hunt List'!C34</f>
        <v>Whitetail Deer</v>
      </c>
      <c r="E41" s="38" t="str">
        <f>'Master Hunt List'!D34</f>
        <v>Atlanta SP</v>
      </c>
      <c r="F41" s="38" t="str">
        <f>'Master Hunt List'!E34</f>
        <v>East Texas / Pineywoods</v>
      </c>
      <c r="G41" s="38" t="str">
        <f>'Master Hunt List'!F34</f>
        <v>Youth Gun Deer - Either Sex</v>
      </c>
      <c r="H41" s="38" t="str">
        <f>'Master Hunt List'!G34</f>
        <v>No</v>
      </c>
      <c r="I41" s="38" t="str">
        <f>'Master Hunt List'!H34</f>
        <v>Yes</v>
      </c>
      <c r="J41" s="55" t="str">
        <f>'Master Hunt List'!I34</f>
        <v>2026-09-01</v>
      </c>
      <c r="K41" s="56">
        <f>'Master Hunt List'!K34</f>
        <v>0</v>
      </c>
      <c r="L41" s="38" t="str">
        <f>'Master Hunt List'!AF34</f>
        <v/>
      </c>
      <c r="M41" s="14" t="str">
        <f>'Master Hunt List'!AH34</f>
        <v/>
      </c>
      <c r="N41" s="14" t="str">
        <f>'Master Hunt List'!AI34</f>
        <v/>
      </c>
      <c r="O41" s="61" t="str">
        <f>'Master Hunt List'!V34</f>
        <v>https://tpwd.texas.gov/huntwild/hunt/public/public_hunt_drawing/hunt-category-details.phtml?OCat=YDE</v>
      </c>
    </row>
    <row r="42" ht="15.75" customHeight="1">
      <c r="A42" s="38">
        <f>35</f>
        <v>35</v>
      </c>
      <c r="B42" s="37" t="str">
        <f>'Master Hunt List'!A35</f>
        <v>No</v>
      </c>
      <c r="C42" s="38" t="str">
        <f>'Master Hunt List'!B35</f>
        <v>A</v>
      </c>
      <c r="D42" s="38" t="str">
        <f>'Master Hunt List'!C35</f>
        <v>Whitetail Deer</v>
      </c>
      <c r="E42" s="38" t="str">
        <f>'Master Hunt List'!D35</f>
        <v>Bastrop SP</v>
      </c>
      <c r="F42" s="38" t="str">
        <f>'Master Hunt List'!E35</f>
        <v>Central Texas / Austin</v>
      </c>
      <c r="G42" s="38" t="str">
        <f>'Master Hunt List'!F35</f>
        <v>Youth Gun Deer - Either Sex</v>
      </c>
      <c r="H42" s="38" t="str">
        <f>'Master Hunt List'!G35</f>
        <v>No</v>
      </c>
      <c r="I42" s="38" t="str">
        <f>'Master Hunt List'!H35</f>
        <v>Yes</v>
      </c>
      <c r="J42" s="55" t="str">
        <f>'Master Hunt List'!I35</f>
        <v>2026-09-01</v>
      </c>
      <c r="K42" s="56">
        <f>'Master Hunt List'!K35</f>
        <v>0</v>
      </c>
      <c r="L42" s="38" t="str">
        <f>'Master Hunt List'!AF35</f>
        <v/>
      </c>
      <c r="M42" s="14" t="str">
        <f>'Master Hunt List'!AH35</f>
        <v/>
      </c>
      <c r="N42" s="14" t="str">
        <f>'Master Hunt List'!AI35</f>
        <v/>
      </c>
      <c r="O42" s="61" t="str">
        <f>'Master Hunt List'!V35</f>
        <v>https://tpwd.texas.gov/huntwild/hunt/public/public_hunt_drawing/hunt-category-details.phtml?OCat=YDE</v>
      </c>
    </row>
    <row r="43" ht="15.75" customHeight="1">
      <c r="A43" s="38">
        <f>36</f>
        <v>36</v>
      </c>
      <c r="B43" s="37" t="str">
        <f>'Master Hunt List'!A36</f>
        <v>No</v>
      </c>
      <c r="C43" s="38" t="str">
        <f>'Master Hunt List'!B36</f>
        <v>A</v>
      </c>
      <c r="D43" s="38" t="str">
        <f>'Master Hunt List'!C36</f>
        <v>Whitetail Deer</v>
      </c>
      <c r="E43" s="38" t="str">
        <f>'Master Hunt List'!D36</f>
        <v>Chaparral WMA</v>
      </c>
      <c r="F43" s="38" t="str">
        <f>'Master Hunt List'!E36</f>
        <v>South Texas / Rio Grande Valley</v>
      </c>
      <c r="G43" s="38" t="str">
        <f>'Master Hunt List'!F36</f>
        <v>Youth Gun Deer - Either Sex</v>
      </c>
      <c r="H43" s="38" t="str">
        <f>'Master Hunt List'!G36</f>
        <v>No</v>
      </c>
      <c r="I43" s="38" t="str">
        <f>'Master Hunt List'!H36</f>
        <v>Yes</v>
      </c>
      <c r="J43" s="55" t="str">
        <f>'Master Hunt List'!I36</f>
        <v>2026-09-01</v>
      </c>
      <c r="K43" s="56">
        <f>'Master Hunt List'!K36</f>
        <v>0</v>
      </c>
      <c r="L43" s="38" t="str">
        <f>'Master Hunt List'!AF36</f>
        <v/>
      </c>
      <c r="M43" s="14" t="str">
        <f>'Master Hunt List'!AH36</f>
        <v/>
      </c>
      <c r="N43" s="14" t="str">
        <f>'Master Hunt List'!AI36</f>
        <v/>
      </c>
      <c r="O43" s="61" t="str">
        <f>'Master Hunt List'!V36</f>
        <v>https://tpwd.texas.gov/huntwild/hunt/public/public_hunt_drawing/hunt-category-details.phtml?OCat=YDE</v>
      </c>
    </row>
    <row r="44" ht="15.75" customHeight="1">
      <c r="A44" s="38">
        <f>37</f>
        <v>37</v>
      </c>
      <c r="B44" s="37" t="str">
        <f>'Master Hunt List'!A37</f>
        <v>No</v>
      </c>
      <c r="C44" s="38" t="str">
        <f>'Master Hunt List'!B37</f>
        <v>A</v>
      </c>
      <c r="D44" s="38" t="str">
        <f>'Master Hunt List'!C37</f>
        <v>Whitetail Deer</v>
      </c>
      <c r="E44" s="38" t="str">
        <f>'Master Hunt List'!D37</f>
        <v>Choke Canyon SP - North Shore Unit</v>
      </c>
      <c r="F44" s="38" t="str">
        <f>'Master Hunt List'!E37</f>
        <v>South Texas / Rio Grande Valley</v>
      </c>
      <c r="G44" s="38" t="str">
        <f>'Master Hunt List'!F37</f>
        <v>Youth Gun Deer - Either Sex</v>
      </c>
      <c r="H44" s="38" t="str">
        <f>'Master Hunt List'!G37</f>
        <v>No</v>
      </c>
      <c r="I44" s="38" t="str">
        <f>'Master Hunt List'!H37</f>
        <v>Yes</v>
      </c>
      <c r="J44" s="55" t="str">
        <f>'Master Hunt List'!I37</f>
        <v>2026-09-01</v>
      </c>
      <c r="K44" s="56">
        <f>'Master Hunt List'!K37</f>
        <v>0</v>
      </c>
      <c r="L44" s="38" t="str">
        <f>'Master Hunt List'!AF37</f>
        <v/>
      </c>
      <c r="M44" s="14" t="str">
        <f>'Master Hunt List'!AH37</f>
        <v/>
      </c>
      <c r="N44" s="14" t="str">
        <f>'Master Hunt List'!AI37</f>
        <v/>
      </c>
      <c r="O44" s="61" t="str">
        <f>'Master Hunt List'!V37</f>
        <v>https://tpwd.texas.gov/huntwild/hunt/public/public_hunt_drawing/hunt-category-details.phtml?OCat=YDE</v>
      </c>
    </row>
    <row r="45" ht="15.75" customHeight="1">
      <c r="A45" s="38">
        <f>38</f>
        <v>38</v>
      </c>
      <c r="B45" s="37" t="str">
        <f>'Master Hunt List'!A38</f>
        <v>No</v>
      </c>
      <c r="C45" s="38" t="str">
        <f>'Master Hunt List'!B38</f>
        <v>A</v>
      </c>
      <c r="D45" s="38" t="str">
        <f>'Master Hunt List'!C38</f>
        <v>Whitetail Deer</v>
      </c>
      <c r="E45" s="38" t="str">
        <f>'Master Hunt List'!D38</f>
        <v>Colorado Bend SP</v>
      </c>
      <c r="F45" s="38" t="str">
        <f>'Master Hunt List'!E38</f>
        <v>Central Texas / Austin</v>
      </c>
      <c r="G45" s="38" t="str">
        <f>'Master Hunt List'!F38</f>
        <v>Youth Gun Deer - Either Sex</v>
      </c>
      <c r="H45" s="38" t="str">
        <f>'Master Hunt List'!G38</f>
        <v>No</v>
      </c>
      <c r="I45" s="38" t="str">
        <f>'Master Hunt List'!H38</f>
        <v>Yes</v>
      </c>
      <c r="J45" s="55" t="str">
        <f>'Master Hunt List'!I38</f>
        <v>2026-09-01</v>
      </c>
      <c r="K45" s="56">
        <f>'Master Hunt List'!K38</f>
        <v>0</v>
      </c>
      <c r="L45" s="38" t="str">
        <f>'Master Hunt List'!AF38</f>
        <v/>
      </c>
      <c r="M45" s="14" t="str">
        <f>'Master Hunt List'!AH38</f>
        <v/>
      </c>
      <c r="N45" s="14" t="str">
        <f>'Master Hunt List'!AI38</f>
        <v/>
      </c>
      <c r="O45" s="61" t="str">
        <f>'Master Hunt List'!V38</f>
        <v>https://tpwd.texas.gov/huntwild/hunt/public/public_hunt_drawing/hunt-category-details.phtml?OCat=YDE</v>
      </c>
    </row>
    <row r="46" ht="15.75" customHeight="1">
      <c r="A46" s="38">
        <f>39</f>
        <v>39</v>
      </c>
      <c r="B46" s="37" t="str">
        <f>'Master Hunt List'!A39</f>
        <v>No</v>
      </c>
      <c r="C46" s="38" t="str">
        <f>'Master Hunt List'!B39</f>
        <v>A</v>
      </c>
      <c r="D46" s="38" t="str">
        <f>'Master Hunt List'!C39</f>
        <v>Whitetail Deer</v>
      </c>
      <c r="E46" s="38" t="str">
        <f>'Master Hunt List'!D39</f>
        <v>Cooper WMA</v>
      </c>
      <c r="F46" s="38" t="str">
        <f>'Master Hunt List'!E39</f>
        <v>North Texas / DFW</v>
      </c>
      <c r="G46" s="38" t="str">
        <f>'Master Hunt List'!F39</f>
        <v>Youth Gun Deer - Either Sex</v>
      </c>
      <c r="H46" s="38" t="str">
        <f>'Master Hunt List'!G39</f>
        <v>No</v>
      </c>
      <c r="I46" s="38" t="str">
        <f>'Master Hunt List'!H39</f>
        <v>Yes</v>
      </c>
      <c r="J46" s="55" t="str">
        <f>'Master Hunt List'!I39</f>
        <v>2026-09-01</v>
      </c>
      <c r="K46" s="56">
        <f>'Master Hunt List'!K39</f>
        <v>0</v>
      </c>
      <c r="L46" s="38" t="str">
        <f>'Master Hunt List'!AF39</f>
        <v/>
      </c>
      <c r="M46" s="14" t="str">
        <f>'Master Hunt List'!AH39</f>
        <v/>
      </c>
      <c r="N46" s="14" t="str">
        <f>'Master Hunt List'!AI39</f>
        <v/>
      </c>
      <c r="O46" s="61" t="str">
        <f>'Master Hunt List'!V39</f>
        <v>https://tpwd.texas.gov/huntwild/hunt/public/public_hunt_drawing/hunt-category-details.phtml?OCat=YDE</v>
      </c>
    </row>
    <row r="47" ht="15.75" customHeight="1">
      <c r="A47" s="38">
        <f>40</f>
        <v>40</v>
      </c>
      <c r="B47" s="37" t="str">
        <f>'Master Hunt List'!A40</f>
        <v>No</v>
      </c>
      <c r="C47" s="38" t="str">
        <f>'Master Hunt List'!B40</f>
        <v>A</v>
      </c>
      <c r="D47" s="38" t="str">
        <f>'Master Hunt List'!C40</f>
        <v>Whitetail Deer</v>
      </c>
      <c r="E47" s="38" t="str">
        <f>'Master Hunt List'!D40</f>
        <v>Devil's Sinkhole SNA</v>
      </c>
      <c r="F47" s="38" t="str">
        <f>'Master Hunt List'!E40</f>
        <v>Hill Country / San Antonio</v>
      </c>
      <c r="G47" s="38" t="str">
        <f>'Master Hunt List'!F40</f>
        <v>Youth Gun Deer - Either Sex</v>
      </c>
      <c r="H47" s="38" t="str">
        <f>'Master Hunt List'!G40</f>
        <v>No</v>
      </c>
      <c r="I47" s="38" t="str">
        <f>'Master Hunt List'!H40</f>
        <v>Yes</v>
      </c>
      <c r="J47" s="55" t="str">
        <f>'Master Hunt List'!I40</f>
        <v>2026-09-01</v>
      </c>
      <c r="K47" s="56">
        <f>'Master Hunt List'!K40</f>
        <v>0</v>
      </c>
      <c r="L47" s="38" t="str">
        <f>'Master Hunt List'!AF40</f>
        <v/>
      </c>
      <c r="M47" s="14" t="str">
        <f>'Master Hunt List'!AH40</f>
        <v/>
      </c>
      <c r="N47" s="14" t="str">
        <f>'Master Hunt List'!AI40</f>
        <v/>
      </c>
      <c r="O47" s="61" t="str">
        <f>'Master Hunt List'!V40</f>
        <v>https://tpwd.texas.gov/huntwild/hunt/public/public_hunt_drawing/hunt-category-details.phtml?OCat=YDE</v>
      </c>
    </row>
    <row r="48" ht="15.75" customHeight="1">
      <c r="A48" s="38">
        <f>41</f>
        <v>41</v>
      </c>
      <c r="B48" s="37" t="str">
        <f>'Master Hunt List'!A41</f>
        <v>No</v>
      </c>
      <c r="C48" s="38" t="str">
        <f>'Master Hunt List'!B41</f>
        <v>A</v>
      </c>
      <c r="D48" s="38" t="str">
        <f>'Master Hunt List'!C41</f>
        <v>Whitetail Deer</v>
      </c>
      <c r="E48" s="38" t="str">
        <f>'Master Hunt List'!D41</f>
        <v>Devils River SNA - Dan Allen Hughes</v>
      </c>
      <c r="F48" s="38" t="str">
        <f>'Master Hunt List'!E41</f>
        <v>Trans-Pecos / West Texas</v>
      </c>
      <c r="G48" s="38" t="str">
        <f>'Master Hunt List'!F41</f>
        <v>Youth Gun Deer - Either Sex</v>
      </c>
      <c r="H48" s="38" t="str">
        <f>'Master Hunt List'!G41</f>
        <v>No</v>
      </c>
      <c r="I48" s="38" t="str">
        <f>'Master Hunt List'!H41</f>
        <v>Yes</v>
      </c>
      <c r="J48" s="55" t="str">
        <f>'Master Hunt List'!I41</f>
        <v>2026-09-01</v>
      </c>
      <c r="K48" s="56">
        <f>'Master Hunt List'!K41</f>
        <v>0</v>
      </c>
      <c r="L48" s="38" t="str">
        <f>'Master Hunt List'!AF41</f>
        <v/>
      </c>
      <c r="M48" s="14" t="str">
        <f>'Master Hunt List'!AH41</f>
        <v/>
      </c>
      <c r="N48" s="14" t="str">
        <f>'Master Hunt List'!AI41</f>
        <v/>
      </c>
      <c r="O48" s="61" t="str">
        <f>'Master Hunt List'!V41</f>
        <v>https://tpwd.texas.gov/huntwild/hunt/public/public_hunt_drawing/hunt-category-details.phtml?OCat=YDE</v>
      </c>
    </row>
    <row r="49" ht="15.75" customHeight="1">
      <c r="A49" s="38">
        <f>42</f>
        <v>42</v>
      </c>
      <c r="B49" s="37" t="str">
        <f>'Master Hunt List'!A42</f>
        <v>No</v>
      </c>
      <c r="C49" s="38" t="str">
        <f>'Master Hunt List'!B42</f>
        <v>A</v>
      </c>
      <c r="D49" s="38" t="str">
        <f>'Master Hunt List'!C42</f>
        <v>Whitetail Deer</v>
      </c>
      <c r="E49" s="38" t="str">
        <f>'Master Hunt List'!D42</f>
        <v>E.O. Siecke State Forest</v>
      </c>
      <c r="F49" s="38" t="str">
        <f>'Master Hunt List'!E42</f>
        <v>East Texas / Pineywoods</v>
      </c>
      <c r="G49" s="38" t="str">
        <f>'Master Hunt List'!F42</f>
        <v>Youth Gun Deer - Either Sex</v>
      </c>
      <c r="H49" s="38" t="str">
        <f>'Master Hunt List'!G42</f>
        <v>No</v>
      </c>
      <c r="I49" s="38" t="str">
        <f>'Master Hunt List'!H42</f>
        <v>Yes</v>
      </c>
      <c r="J49" s="55" t="str">
        <f>'Master Hunt List'!I42</f>
        <v>2026-09-01</v>
      </c>
      <c r="K49" s="56">
        <f>'Master Hunt List'!K42</f>
        <v>0</v>
      </c>
      <c r="L49" s="38" t="str">
        <f>'Master Hunt List'!AF42</f>
        <v/>
      </c>
      <c r="M49" s="14" t="str">
        <f>'Master Hunt List'!AH42</f>
        <v/>
      </c>
      <c r="N49" s="14" t="str">
        <f>'Master Hunt List'!AI42</f>
        <v/>
      </c>
      <c r="O49" s="61" t="str">
        <f>'Master Hunt List'!V42</f>
        <v>https://tpwd.texas.gov/huntwild/hunt/public/public_hunt_drawing/hunt-category-details.phtml?OCat=YDE</v>
      </c>
    </row>
    <row r="50" ht="15.75" customHeight="1">
      <c r="A50" s="38">
        <f>43</f>
        <v>43</v>
      </c>
      <c r="B50" s="37" t="str">
        <f>'Master Hunt List'!A43</f>
        <v>No</v>
      </c>
      <c r="C50" s="38" t="str">
        <f>'Master Hunt List'!B43</f>
        <v>A</v>
      </c>
      <c r="D50" s="38" t="str">
        <f>'Master Hunt List'!C43</f>
        <v>Whitetail Deer</v>
      </c>
      <c r="E50" s="38" t="str">
        <f>'Master Hunt List'!D43</f>
        <v>Enchanted Rock SNA</v>
      </c>
      <c r="F50" s="38" t="str">
        <f>'Master Hunt List'!E43</f>
        <v>Hill Country / San Antonio</v>
      </c>
      <c r="G50" s="38" t="str">
        <f>'Master Hunt List'!F43</f>
        <v>Youth Gun Deer - Either Sex</v>
      </c>
      <c r="H50" s="38" t="str">
        <f>'Master Hunt List'!G43</f>
        <v>No</v>
      </c>
      <c r="I50" s="38" t="str">
        <f>'Master Hunt List'!H43</f>
        <v>Yes</v>
      </c>
      <c r="J50" s="55" t="str">
        <f>'Master Hunt List'!I43</f>
        <v>2026-09-01</v>
      </c>
      <c r="K50" s="56">
        <f>'Master Hunt List'!K43</f>
        <v>0</v>
      </c>
      <c r="L50" s="38" t="str">
        <f>'Master Hunt List'!AF43</f>
        <v/>
      </c>
      <c r="M50" s="14" t="str">
        <f>'Master Hunt List'!AH43</f>
        <v/>
      </c>
      <c r="N50" s="14" t="str">
        <f>'Master Hunt List'!AI43</f>
        <v/>
      </c>
      <c r="O50" s="61" t="str">
        <f>'Master Hunt List'!V43</f>
        <v>https://tpwd.texas.gov/huntwild/hunt/public/public_hunt_drawing/hunt-category-details.phtml?OCat=YDE</v>
      </c>
    </row>
    <row r="51" ht="15.75" customHeight="1">
      <c r="A51" s="38">
        <f>44</f>
        <v>44</v>
      </c>
      <c r="B51" s="37" t="str">
        <f>'Master Hunt List'!A44</f>
        <v>No</v>
      </c>
      <c r="C51" s="38" t="str">
        <f>'Master Hunt List'!B44</f>
        <v>A</v>
      </c>
      <c r="D51" s="38" t="str">
        <f>'Master Hunt List'!C44</f>
        <v>Whitetail Deer</v>
      </c>
      <c r="E51" s="38" t="str">
        <f>'Master Hunt List'!D44</f>
        <v>Garner SP</v>
      </c>
      <c r="F51" s="38" t="str">
        <f>'Master Hunt List'!E44</f>
        <v>Hill Country / San Antonio</v>
      </c>
      <c r="G51" s="38" t="str">
        <f>'Master Hunt List'!F44</f>
        <v>Youth Gun Deer - Either Sex</v>
      </c>
      <c r="H51" s="38" t="str">
        <f>'Master Hunt List'!G44</f>
        <v>No</v>
      </c>
      <c r="I51" s="38" t="str">
        <f>'Master Hunt List'!H44</f>
        <v>Yes</v>
      </c>
      <c r="J51" s="55" t="str">
        <f>'Master Hunt List'!I44</f>
        <v>2026-09-01</v>
      </c>
      <c r="K51" s="56">
        <f>'Master Hunt List'!K44</f>
        <v>0</v>
      </c>
      <c r="L51" s="38" t="str">
        <f>'Master Hunt List'!AF44</f>
        <v/>
      </c>
      <c r="M51" s="14" t="str">
        <f>'Master Hunt List'!AH44</f>
        <v/>
      </c>
      <c r="N51" s="14" t="str">
        <f>'Master Hunt List'!AI44</f>
        <v/>
      </c>
      <c r="O51" s="61" t="str">
        <f>'Master Hunt List'!V44</f>
        <v>https://tpwd.texas.gov/huntwild/hunt/public/public_hunt_drawing/hunt-category-details.phtml?OCat=YDE</v>
      </c>
    </row>
    <row r="52" ht="15.75" customHeight="1">
      <c r="A52" s="38">
        <f>45</f>
        <v>45</v>
      </c>
      <c r="B52" s="37" t="str">
        <f>'Master Hunt List'!A45</f>
        <v>No</v>
      </c>
      <c r="C52" s="38" t="str">
        <f>'Master Hunt List'!B45</f>
        <v>A</v>
      </c>
      <c r="D52" s="38" t="str">
        <f>'Master Hunt List'!C45</f>
        <v>Whitetail Deer</v>
      </c>
      <c r="E52" s="38" t="str">
        <f>'Master Hunt List'!D45</f>
        <v>Gene Howe WMA</v>
      </c>
      <c r="F52" s="38" t="str">
        <f>'Master Hunt List'!E45</f>
        <v>Panhandle / Rolling Plains</v>
      </c>
      <c r="G52" s="38" t="str">
        <f>'Master Hunt List'!F45</f>
        <v>Youth Gun Deer - Either Sex</v>
      </c>
      <c r="H52" s="38" t="str">
        <f>'Master Hunt List'!G45</f>
        <v>No</v>
      </c>
      <c r="I52" s="38" t="str">
        <f>'Master Hunt List'!H45</f>
        <v>Yes</v>
      </c>
      <c r="J52" s="55" t="str">
        <f>'Master Hunt List'!I45</f>
        <v>2026-09-01</v>
      </c>
      <c r="K52" s="56">
        <f>'Master Hunt List'!K45</f>
        <v>0</v>
      </c>
      <c r="L52" s="38" t="str">
        <f>'Master Hunt List'!AF45</f>
        <v/>
      </c>
      <c r="M52" s="14" t="str">
        <f>'Master Hunt List'!AH45</f>
        <v/>
      </c>
      <c r="N52" s="14" t="str">
        <f>'Master Hunt List'!AI45</f>
        <v/>
      </c>
      <c r="O52" s="61" t="str">
        <f>'Master Hunt List'!V45</f>
        <v>https://tpwd.texas.gov/huntwild/hunt/public/public_hunt_drawing/hunt-category-details.phtml?OCat=YDE</v>
      </c>
    </row>
    <row r="53" ht="15.75" customHeight="1">
      <c r="A53" s="38">
        <f>46</f>
        <v>46</v>
      </c>
      <c r="B53" s="37" t="str">
        <f>'Master Hunt List'!A46</f>
        <v>No</v>
      </c>
      <c r="C53" s="38" t="str">
        <f>'Master Hunt List'!B46</f>
        <v>A</v>
      </c>
      <c r="D53" s="38" t="str">
        <f>'Master Hunt List'!C46</f>
        <v>Whitetail Deer</v>
      </c>
      <c r="E53" s="38" t="str">
        <f>'Master Hunt List'!D46</f>
        <v>Government Canyon SNA</v>
      </c>
      <c r="F53" s="38" t="str">
        <f>'Master Hunt List'!E46</f>
        <v>Hill Country / San Antonio</v>
      </c>
      <c r="G53" s="38" t="str">
        <f>'Master Hunt List'!F46</f>
        <v>Youth Gun Deer - Either Sex</v>
      </c>
      <c r="H53" s="38" t="str">
        <f>'Master Hunt List'!G46</f>
        <v>No</v>
      </c>
      <c r="I53" s="38" t="str">
        <f>'Master Hunt List'!H46</f>
        <v>Yes</v>
      </c>
      <c r="J53" s="55" t="str">
        <f>'Master Hunt List'!I46</f>
        <v>2026-09-01</v>
      </c>
      <c r="K53" s="56">
        <f>'Master Hunt List'!K46</f>
        <v>0</v>
      </c>
      <c r="L53" s="38" t="str">
        <f>'Master Hunt List'!AF46</f>
        <v/>
      </c>
      <c r="M53" s="14" t="str">
        <f>'Master Hunt List'!AH46</f>
        <v/>
      </c>
      <c r="N53" s="14" t="str">
        <f>'Master Hunt List'!AI46</f>
        <v/>
      </c>
      <c r="O53" s="61" t="str">
        <f>'Master Hunt List'!V46</f>
        <v>https://tpwd.texas.gov/huntwild/hunt/public/public_hunt_drawing/hunt-category-details.phtml?OCat=YDE</v>
      </c>
    </row>
    <row r="54" ht="15.75" customHeight="1">
      <c r="A54" s="38">
        <f>47</f>
        <v>47</v>
      </c>
      <c r="B54" s="37" t="str">
        <f>'Master Hunt List'!A47</f>
        <v>No</v>
      </c>
      <c r="C54" s="38" t="str">
        <f>'Master Hunt List'!B47</f>
        <v>A</v>
      </c>
      <c r="D54" s="38" t="str">
        <f>'Master Hunt List'!C47</f>
        <v>Whitetail Deer</v>
      </c>
      <c r="E54" s="38" t="str">
        <f>'Master Hunt List'!D47</f>
        <v>Guadalupe River SP</v>
      </c>
      <c r="F54" s="38" t="str">
        <f>'Master Hunt List'!E47</f>
        <v>Hill Country / San Antonio</v>
      </c>
      <c r="G54" s="38" t="str">
        <f>'Master Hunt List'!F47</f>
        <v>Youth Gun Deer - Either Sex</v>
      </c>
      <c r="H54" s="38" t="str">
        <f>'Master Hunt List'!G47</f>
        <v>No</v>
      </c>
      <c r="I54" s="38" t="str">
        <f>'Master Hunt List'!H47</f>
        <v>Yes</v>
      </c>
      <c r="J54" s="55" t="str">
        <f>'Master Hunt List'!I47</f>
        <v>2026-09-01</v>
      </c>
      <c r="K54" s="56">
        <f>'Master Hunt List'!K47</f>
        <v>0</v>
      </c>
      <c r="L54" s="38" t="str">
        <f>'Master Hunt List'!AF47</f>
        <v/>
      </c>
      <c r="M54" s="14" t="str">
        <f>'Master Hunt List'!AH47</f>
        <v/>
      </c>
      <c r="N54" s="14" t="str">
        <f>'Master Hunt List'!AI47</f>
        <v/>
      </c>
      <c r="O54" s="61" t="str">
        <f>'Master Hunt List'!V47</f>
        <v>https://tpwd.texas.gov/huntwild/hunt/public/public_hunt_drawing/hunt-category-details.phtml?OCat=YDE</v>
      </c>
    </row>
    <row r="55" ht="15.75" customHeight="1">
      <c r="A55" s="38">
        <f>48</f>
        <v>48</v>
      </c>
      <c r="B55" s="37" t="str">
        <f>'Master Hunt List'!A48</f>
        <v>No</v>
      </c>
      <c r="C55" s="38" t="str">
        <f>'Master Hunt List'!B48</f>
        <v>A</v>
      </c>
      <c r="D55" s="38" t="str">
        <f>'Master Hunt List'!C48</f>
        <v>Whitetail Deer</v>
      </c>
      <c r="E55" s="38" t="str">
        <f>'Master Hunt List'!D48</f>
        <v>Gus Engeling WMA</v>
      </c>
      <c r="F55" s="38" t="str">
        <f>'Master Hunt List'!E48</f>
        <v>Statewide / Other</v>
      </c>
      <c r="G55" s="38" t="str">
        <f>'Master Hunt List'!F48</f>
        <v>Youth Gun Deer - Either Sex</v>
      </c>
      <c r="H55" s="38" t="str">
        <f>'Master Hunt List'!G48</f>
        <v>No</v>
      </c>
      <c r="I55" s="38" t="str">
        <f>'Master Hunt List'!H48</f>
        <v>Yes</v>
      </c>
      <c r="J55" s="55" t="str">
        <f>'Master Hunt List'!I48</f>
        <v>2026-09-01</v>
      </c>
      <c r="K55" s="56">
        <f>'Master Hunt List'!K48</f>
        <v>0</v>
      </c>
      <c r="L55" s="38" t="str">
        <f>'Master Hunt List'!AF48</f>
        <v/>
      </c>
      <c r="M55" s="14" t="str">
        <f>'Master Hunt List'!AH48</f>
        <v/>
      </c>
      <c r="N55" s="14" t="str">
        <f>'Master Hunt List'!AI48</f>
        <v/>
      </c>
      <c r="O55" s="61" t="str">
        <f>'Master Hunt List'!V48</f>
        <v>https://tpwd.texas.gov/huntwild/hunt/public/public_hunt_drawing/hunt-category-details.phtml?OCat=YDE</v>
      </c>
    </row>
    <row r="56" ht="15.75" customHeight="1">
      <c r="A56" s="38">
        <f>49</f>
        <v>49</v>
      </c>
      <c r="B56" s="37" t="str">
        <f>'Master Hunt List'!A49</f>
        <v>No</v>
      </c>
      <c r="C56" s="38" t="str">
        <f>'Master Hunt List'!B49</f>
        <v>A</v>
      </c>
      <c r="D56" s="38" t="str">
        <f>'Master Hunt List'!C49</f>
        <v>Whitetail Deer</v>
      </c>
      <c r="E56" s="38" t="str">
        <f>'Master Hunt List'!D49</f>
        <v>Hill Country SNA</v>
      </c>
      <c r="F56" s="38" t="str">
        <f>'Master Hunt List'!E49</f>
        <v>Hill Country / San Antonio</v>
      </c>
      <c r="G56" s="38" t="str">
        <f>'Master Hunt List'!F49</f>
        <v>Youth Gun Deer - Either Sex</v>
      </c>
      <c r="H56" s="38" t="str">
        <f>'Master Hunt List'!G49</f>
        <v>No</v>
      </c>
      <c r="I56" s="38" t="str">
        <f>'Master Hunt List'!H49</f>
        <v>Yes</v>
      </c>
      <c r="J56" s="55" t="str">
        <f>'Master Hunt List'!I49</f>
        <v>2026-09-01</v>
      </c>
      <c r="K56" s="56">
        <f>'Master Hunt List'!K49</f>
        <v>0</v>
      </c>
      <c r="L56" s="38" t="str">
        <f>'Master Hunt List'!AF49</f>
        <v/>
      </c>
      <c r="M56" s="14" t="str">
        <f>'Master Hunt List'!AH49</f>
        <v/>
      </c>
      <c r="N56" s="14" t="str">
        <f>'Master Hunt List'!AI49</f>
        <v/>
      </c>
      <c r="O56" s="61" t="str">
        <f>'Master Hunt List'!V49</f>
        <v>https://tpwd.texas.gov/huntwild/hunt/public/public_hunt_drawing/hunt-category-details.phtml?OCat=YDE</v>
      </c>
    </row>
    <row r="57" ht="15.75" customHeight="1">
      <c r="A57" s="38">
        <f>50</f>
        <v>50</v>
      </c>
      <c r="B57" s="37" t="str">
        <f>'Master Hunt List'!A50</f>
        <v>No</v>
      </c>
      <c r="C57" s="38" t="str">
        <f>'Master Hunt List'!B50</f>
        <v>A</v>
      </c>
      <c r="D57" s="38" t="str">
        <f>'Master Hunt List'!C50</f>
        <v>Whitetail Deer</v>
      </c>
      <c r="E57" s="38" t="str">
        <f>'Master Hunt List'!D50</f>
        <v>Honey Creek SNA</v>
      </c>
      <c r="F57" s="38" t="str">
        <f>'Master Hunt List'!E50</f>
        <v>Hill Country / San Antonio</v>
      </c>
      <c r="G57" s="38" t="str">
        <f>'Master Hunt List'!F50</f>
        <v>Youth Gun Deer - Either Sex</v>
      </c>
      <c r="H57" s="38" t="str">
        <f>'Master Hunt List'!G50</f>
        <v>No</v>
      </c>
      <c r="I57" s="38" t="str">
        <f>'Master Hunt List'!H50</f>
        <v>Yes</v>
      </c>
      <c r="J57" s="55" t="str">
        <f>'Master Hunt List'!I50</f>
        <v>2026-09-01</v>
      </c>
      <c r="K57" s="56">
        <f>'Master Hunt List'!K50</f>
        <v>0</v>
      </c>
      <c r="L57" s="38" t="str">
        <f>'Master Hunt List'!AF50</f>
        <v/>
      </c>
      <c r="M57" s="14" t="str">
        <f>'Master Hunt List'!AH50</f>
        <v/>
      </c>
      <c r="N57" s="14" t="str">
        <f>'Master Hunt List'!AI50</f>
        <v/>
      </c>
      <c r="O57" s="61" t="str">
        <f>'Master Hunt List'!V50</f>
        <v>https://tpwd.texas.gov/huntwild/hunt/public/public_hunt_drawing/hunt-category-details.phtml?OCat=YDE</v>
      </c>
    </row>
    <row r="58" ht="15.75" customHeight="1">
      <c r="A58" s="14">
        <f>51</f>
        <v>51</v>
      </c>
      <c r="B58" s="14" t="str">
        <f>'Master Hunt List'!A51</f>
        <v>No</v>
      </c>
      <c r="C58" s="14" t="str">
        <f>'Master Hunt List'!B51</f>
        <v>A</v>
      </c>
      <c r="D58" s="14" t="str">
        <f>'Master Hunt List'!C51</f>
        <v>Whitetail Deer</v>
      </c>
      <c r="E58" s="14" t="str">
        <f>'Master Hunt List'!D51</f>
        <v>Huntsville SP</v>
      </c>
      <c r="F58" s="14" t="str">
        <f>'Master Hunt List'!E51</f>
        <v>East Texas / Pineywoods</v>
      </c>
      <c r="G58" s="14" t="str">
        <f>'Master Hunt List'!F51</f>
        <v>Youth Gun Deer - Either Sex</v>
      </c>
      <c r="H58" s="14" t="str">
        <f>'Master Hunt List'!G51</f>
        <v>No</v>
      </c>
      <c r="I58" s="14" t="str">
        <f>'Master Hunt List'!H51</f>
        <v>Yes</v>
      </c>
      <c r="J58" s="15" t="str">
        <f>'Master Hunt List'!I51</f>
        <v>2026-09-01</v>
      </c>
      <c r="K58" s="27">
        <f>'Master Hunt List'!K51</f>
        <v>0</v>
      </c>
      <c r="L58" s="14" t="str">
        <f>'Master Hunt List'!AF51</f>
        <v/>
      </c>
      <c r="M58" s="14" t="str">
        <f>'Master Hunt List'!AH51</f>
        <v/>
      </c>
      <c r="N58" s="14" t="str">
        <f>'Master Hunt List'!AI51</f>
        <v/>
      </c>
      <c r="O58" s="61" t="str">
        <f>'Master Hunt List'!V51</f>
        <v>https://tpwd.texas.gov/huntwild/hunt/public/public_hunt_drawing/hunt-category-details.phtml?OCat=YDE</v>
      </c>
    </row>
    <row r="59" ht="15.75" customHeight="1">
      <c r="A59" s="14">
        <f>52</f>
        <v>52</v>
      </c>
      <c r="B59" s="14" t="str">
        <f>'Master Hunt List'!A52</f>
        <v>No</v>
      </c>
      <c r="C59" s="14" t="str">
        <f>'Master Hunt List'!B52</f>
        <v>A</v>
      </c>
      <c r="D59" s="14" t="str">
        <f>'Master Hunt List'!C52</f>
        <v>Whitetail Deer</v>
      </c>
      <c r="E59" s="14" t="str">
        <f>'Master Hunt List'!D52</f>
        <v>I.D. Fairchild State Forest</v>
      </c>
      <c r="F59" s="14" t="str">
        <f>'Master Hunt List'!E52</f>
        <v>East Texas / Pineywoods</v>
      </c>
      <c r="G59" s="14" t="str">
        <f>'Master Hunt List'!F52</f>
        <v>Youth Gun Deer - Either Sex</v>
      </c>
      <c r="H59" s="14" t="str">
        <f>'Master Hunt List'!G52</f>
        <v>No</v>
      </c>
      <c r="I59" s="14" t="str">
        <f>'Master Hunt List'!H52</f>
        <v>Yes</v>
      </c>
      <c r="J59" s="15" t="str">
        <f>'Master Hunt List'!I52</f>
        <v>2026-09-01</v>
      </c>
      <c r="K59" s="27">
        <f>'Master Hunt List'!K52</f>
        <v>0</v>
      </c>
      <c r="L59" s="14" t="str">
        <f>'Master Hunt List'!AF52</f>
        <v/>
      </c>
      <c r="M59" s="14" t="str">
        <f>'Master Hunt List'!AH52</f>
        <v/>
      </c>
      <c r="N59" s="14" t="str">
        <f>'Master Hunt List'!AI52</f>
        <v/>
      </c>
      <c r="O59" s="61" t="str">
        <f>'Master Hunt List'!V52</f>
        <v>https://tpwd.texas.gov/huntwild/hunt/public/public_hunt_drawing/hunt-category-details.phtml?OCat=YDE</v>
      </c>
    </row>
    <row r="60" ht="15.75" customHeight="1">
      <c r="A60" s="14">
        <f>53</f>
        <v>53</v>
      </c>
      <c r="B60" s="14" t="str">
        <f>'Master Hunt List'!A53</f>
        <v>No</v>
      </c>
      <c r="C60" s="14" t="str">
        <f>'Master Hunt List'!B53</f>
        <v>A</v>
      </c>
      <c r="D60" s="14" t="str">
        <f>'Master Hunt List'!C53</f>
        <v>Whitetail Deer</v>
      </c>
      <c r="E60" s="14" t="str">
        <f>'Master Hunt List'!D53</f>
        <v>Inks Lake/Longhorn Caverns SP</v>
      </c>
      <c r="F60" s="14" t="str">
        <f>'Master Hunt List'!E53</f>
        <v>Central Texas / Austin</v>
      </c>
      <c r="G60" s="14" t="str">
        <f>'Master Hunt List'!F53</f>
        <v>Youth Gun Deer - Either Sex</v>
      </c>
      <c r="H60" s="14" t="str">
        <f>'Master Hunt List'!G53</f>
        <v>No</v>
      </c>
      <c r="I60" s="14" t="str">
        <f>'Master Hunt List'!H53</f>
        <v>Yes</v>
      </c>
      <c r="J60" s="15" t="str">
        <f>'Master Hunt List'!I53</f>
        <v>2026-09-01</v>
      </c>
      <c r="K60" s="27">
        <f>'Master Hunt List'!K53</f>
        <v>0</v>
      </c>
      <c r="L60" s="14" t="str">
        <f>'Master Hunt List'!AF53</f>
        <v/>
      </c>
      <c r="M60" s="14" t="str">
        <f>'Master Hunt List'!AH53</f>
        <v/>
      </c>
      <c r="N60" s="14" t="str">
        <f>'Master Hunt List'!AI53</f>
        <v/>
      </c>
      <c r="O60" s="61" t="str">
        <f>'Master Hunt List'!V53</f>
        <v>https://tpwd.texas.gov/huntwild/hunt/public/public_hunt_drawing/hunt-category-details.phtml?OCat=YDE</v>
      </c>
    </row>
    <row r="61" ht="15.75" customHeight="1">
      <c r="A61" s="14">
        <f>54</f>
        <v>54</v>
      </c>
      <c r="B61" s="14" t="str">
        <f>'Master Hunt List'!A54</f>
        <v>No</v>
      </c>
      <c r="C61" s="14" t="str">
        <f>'Master Hunt List'!B54</f>
        <v>A</v>
      </c>
      <c r="D61" s="14" t="str">
        <f>'Master Hunt List'!C54</f>
        <v>Whitetail Deer</v>
      </c>
      <c r="E61" s="14" t="str">
        <f>'Master Hunt List'!D54</f>
        <v>James Daughtrey WMA</v>
      </c>
      <c r="F61" s="14" t="str">
        <f>'Master Hunt List'!E54</f>
        <v>South Texas / Rio Grande Valley</v>
      </c>
      <c r="G61" s="14" t="str">
        <f>'Master Hunt List'!F54</f>
        <v>Youth Gun Deer - Either Sex</v>
      </c>
      <c r="H61" s="14" t="str">
        <f>'Master Hunt List'!G54</f>
        <v>No</v>
      </c>
      <c r="I61" s="14" t="str">
        <f>'Master Hunt List'!H54</f>
        <v>Yes</v>
      </c>
      <c r="J61" s="15" t="str">
        <f>'Master Hunt List'!I54</f>
        <v>2026-09-01</v>
      </c>
      <c r="K61" s="27">
        <f>'Master Hunt List'!K54</f>
        <v>0</v>
      </c>
      <c r="L61" s="14" t="str">
        <f>'Master Hunt List'!AF54</f>
        <v/>
      </c>
      <c r="M61" s="14" t="str">
        <f>'Master Hunt List'!AH54</f>
        <v/>
      </c>
      <c r="N61" s="14" t="str">
        <f>'Master Hunt List'!AI54</f>
        <v/>
      </c>
      <c r="O61" s="61" t="str">
        <f>'Master Hunt List'!V54</f>
        <v>https://tpwd.texas.gov/huntwild/hunt/public/public_hunt_drawing/hunt-category-details.phtml?OCat=YDE</v>
      </c>
    </row>
    <row r="62" ht="15.75" customHeight="1">
      <c r="A62" s="14">
        <f>55</f>
        <v>55</v>
      </c>
      <c r="B62" s="14" t="str">
        <f>'Master Hunt List'!A55</f>
        <v>No</v>
      </c>
      <c r="C62" s="14" t="str">
        <f>'Master Hunt List'!B55</f>
        <v>A</v>
      </c>
      <c r="D62" s="14" t="str">
        <f>'Master Hunt List'!C55</f>
        <v>Whitetail Deer</v>
      </c>
      <c r="E62" s="14" t="str">
        <f>'Master Hunt List'!D55</f>
        <v>John Henry Kirby State Forest</v>
      </c>
      <c r="F62" s="14" t="str">
        <f>'Master Hunt List'!E55</f>
        <v>East Texas / Pineywoods</v>
      </c>
      <c r="G62" s="14" t="str">
        <f>'Master Hunt List'!F55</f>
        <v>Youth Gun Deer - Either Sex</v>
      </c>
      <c r="H62" s="14" t="str">
        <f>'Master Hunt List'!G55</f>
        <v>No</v>
      </c>
      <c r="I62" s="14" t="str">
        <f>'Master Hunt List'!H55</f>
        <v>Yes</v>
      </c>
      <c r="J62" s="15" t="str">
        <f>'Master Hunt List'!I55</f>
        <v>2026-09-01</v>
      </c>
      <c r="K62" s="27">
        <f>'Master Hunt List'!K55</f>
        <v>0</v>
      </c>
      <c r="L62" s="14" t="str">
        <f>'Master Hunt List'!AF55</f>
        <v/>
      </c>
      <c r="M62" s="14" t="str">
        <f>'Master Hunt List'!AH55</f>
        <v/>
      </c>
      <c r="N62" s="14" t="str">
        <f>'Master Hunt List'!AI55</f>
        <v/>
      </c>
      <c r="O62" s="61" t="str">
        <f>'Master Hunt List'!V55</f>
        <v>https://tpwd.texas.gov/huntwild/hunt/public/public_hunt_drawing/hunt-category-details.phtml?OCat=YDE</v>
      </c>
    </row>
    <row r="63" ht="15.75" customHeight="1">
      <c r="A63" s="14">
        <f>56</f>
        <v>56</v>
      </c>
      <c r="B63" s="14" t="str">
        <f>'Master Hunt List'!A56</f>
        <v>No</v>
      </c>
      <c r="C63" s="14" t="str">
        <f>'Master Hunt List'!B56</f>
        <v>A</v>
      </c>
      <c r="D63" s="14" t="str">
        <f>'Master Hunt List'!C56</f>
        <v>Whitetail Deer</v>
      </c>
      <c r="E63" s="14" t="str">
        <f>'Master Hunt List'!D56</f>
        <v>Justin Hurst WMA</v>
      </c>
      <c r="F63" s="14" t="str">
        <f>'Master Hunt List'!E56</f>
        <v>Houston / Gulf Coast</v>
      </c>
      <c r="G63" s="14" t="str">
        <f>'Master Hunt List'!F56</f>
        <v>Youth Gun Deer - Either Sex</v>
      </c>
      <c r="H63" s="14" t="str">
        <f>'Master Hunt List'!G56</f>
        <v>No</v>
      </c>
      <c r="I63" s="14" t="str">
        <f>'Master Hunt List'!H56</f>
        <v>Yes</v>
      </c>
      <c r="J63" s="15" t="str">
        <f>'Master Hunt List'!I56</f>
        <v>2026-09-01</v>
      </c>
      <c r="K63" s="27">
        <f>'Master Hunt List'!K56</f>
        <v>0</v>
      </c>
      <c r="L63" s="14" t="str">
        <f>'Master Hunt List'!AF56</f>
        <v/>
      </c>
      <c r="M63" s="14" t="str">
        <f>'Master Hunt List'!AH56</f>
        <v/>
      </c>
      <c r="N63" s="14" t="str">
        <f>'Master Hunt List'!AI56</f>
        <v/>
      </c>
      <c r="O63" s="61" t="str">
        <f>'Master Hunt List'!V56</f>
        <v>https://tpwd.texas.gov/huntwild/hunt/public/public_hunt_drawing/hunt-category-details.phtml?OCat=YDE</v>
      </c>
    </row>
    <row r="64" ht="15.75" customHeight="1">
      <c r="A64" s="14">
        <f>57</f>
        <v>57</v>
      </c>
      <c r="B64" s="14" t="str">
        <f>'Master Hunt List'!A57</f>
        <v>No</v>
      </c>
      <c r="C64" s="14" t="str">
        <f>'Master Hunt List'!B57</f>
        <v>A</v>
      </c>
      <c r="D64" s="14" t="str">
        <f>'Master Hunt List'!C57</f>
        <v>Whitetail Deer</v>
      </c>
      <c r="E64" s="14" t="str">
        <f>'Master Hunt List'!D57</f>
        <v>Kerr WMA</v>
      </c>
      <c r="F64" s="14" t="str">
        <f>'Master Hunt List'!E57</f>
        <v>Hill Country / San Antonio</v>
      </c>
      <c r="G64" s="14" t="str">
        <f>'Master Hunt List'!F57</f>
        <v>Youth Gun Deer - Either Sex</v>
      </c>
      <c r="H64" s="14" t="str">
        <f>'Master Hunt List'!G57</f>
        <v>No</v>
      </c>
      <c r="I64" s="14" t="str">
        <f>'Master Hunt List'!H57</f>
        <v>Yes</v>
      </c>
      <c r="J64" s="15" t="str">
        <f>'Master Hunt List'!I57</f>
        <v>2026-09-01</v>
      </c>
      <c r="K64" s="27">
        <f>'Master Hunt List'!K57</f>
        <v>0</v>
      </c>
      <c r="L64" s="14" t="str">
        <f>'Master Hunt List'!AF57</f>
        <v/>
      </c>
      <c r="M64" s="14" t="str">
        <f>'Master Hunt List'!AH57</f>
        <v/>
      </c>
      <c r="N64" s="14" t="str">
        <f>'Master Hunt List'!AI57</f>
        <v/>
      </c>
      <c r="O64" s="61" t="str">
        <f>'Master Hunt List'!V57</f>
        <v>https://tpwd.texas.gov/huntwild/hunt/public/public_hunt_drawing/hunt-category-details.phtml?OCat=YDE</v>
      </c>
    </row>
    <row r="65" ht="15.75" customHeight="1">
      <c r="A65" s="14">
        <f>58</f>
        <v>58</v>
      </c>
      <c r="B65" s="14" t="str">
        <f>'Master Hunt List'!A58</f>
        <v>No</v>
      </c>
      <c r="C65" s="14" t="str">
        <f>'Master Hunt List'!B58</f>
        <v>A</v>
      </c>
      <c r="D65" s="14" t="str">
        <f>'Master Hunt List'!C58</f>
        <v>Whitetail Deer</v>
      </c>
      <c r="E65" s="14" t="str">
        <f>'Master Hunt List'!D58</f>
        <v>Lake Brownwood SP</v>
      </c>
      <c r="F65" s="14" t="str">
        <f>'Master Hunt List'!E58</f>
        <v>West-Central Texas</v>
      </c>
      <c r="G65" s="14" t="str">
        <f>'Master Hunt List'!F58</f>
        <v>Youth Gun Deer - Either Sex</v>
      </c>
      <c r="H65" s="14" t="str">
        <f>'Master Hunt List'!G58</f>
        <v>No</v>
      </c>
      <c r="I65" s="14" t="str">
        <f>'Master Hunt List'!H58</f>
        <v>Yes</v>
      </c>
      <c r="J65" s="15" t="str">
        <f>'Master Hunt List'!I58</f>
        <v>2026-09-01</v>
      </c>
      <c r="K65" s="27">
        <f>'Master Hunt List'!K58</f>
        <v>0</v>
      </c>
      <c r="L65" s="14" t="str">
        <f>'Master Hunt List'!AF58</f>
        <v/>
      </c>
      <c r="M65" s="14" t="str">
        <f>'Master Hunt List'!AH58</f>
        <v/>
      </c>
      <c r="N65" s="14" t="str">
        <f>'Master Hunt List'!AI58</f>
        <v/>
      </c>
      <c r="O65" s="61" t="str">
        <f>'Master Hunt List'!V58</f>
        <v>https://tpwd.texas.gov/huntwild/hunt/public/public_hunt_drawing/hunt-category-details.phtml?OCat=YDE</v>
      </c>
    </row>
    <row r="66" ht="15.75" customHeight="1">
      <c r="A66" s="14">
        <f>59</f>
        <v>59</v>
      </c>
      <c r="B66" s="14" t="str">
        <f>'Master Hunt List'!A59</f>
        <v>No</v>
      </c>
      <c r="C66" s="14" t="str">
        <f>'Master Hunt List'!B59</f>
        <v>A</v>
      </c>
      <c r="D66" s="14" t="str">
        <f>'Master Hunt List'!C59</f>
        <v>Whitetail Deer</v>
      </c>
      <c r="E66" s="14" t="str">
        <f>'Master Hunt List'!D59</f>
        <v>Lake McClellan Recreation Area</v>
      </c>
      <c r="F66" s="14" t="str">
        <f>'Master Hunt List'!E59</f>
        <v>Panhandle / Rolling Plains</v>
      </c>
      <c r="G66" s="14" t="str">
        <f>'Master Hunt List'!F59</f>
        <v>Youth Gun Deer - Either Sex</v>
      </c>
      <c r="H66" s="14" t="str">
        <f>'Master Hunt List'!G59</f>
        <v>No</v>
      </c>
      <c r="I66" s="14" t="str">
        <f>'Master Hunt List'!H59</f>
        <v>Yes</v>
      </c>
      <c r="J66" s="15" t="str">
        <f>'Master Hunt List'!I59</f>
        <v>2026-09-01</v>
      </c>
      <c r="K66" s="27">
        <f>'Master Hunt List'!K59</f>
        <v>0</v>
      </c>
      <c r="L66" s="14" t="str">
        <f>'Master Hunt List'!AF59</f>
        <v/>
      </c>
      <c r="M66" s="14" t="str">
        <f>'Master Hunt List'!AH59</f>
        <v/>
      </c>
      <c r="N66" s="14" t="str">
        <f>'Master Hunt List'!AI59</f>
        <v/>
      </c>
      <c r="O66" s="61" t="str">
        <f>'Master Hunt List'!V59</f>
        <v>https://tpwd.texas.gov/huntwild/hunt/public/public_hunt_drawing/hunt-category-details.phtml?OCat=YDE</v>
      </c>
    </row>
    <row r="67" ht="15.75" customHeight="1">
      <c r="A67" s="14">
        <f>60</f>
        <v>60</v>
      </c>
      <c r="B67" s="14" t="str">
        <f>'Master Hunt List'!A60</f>
        <v>No</v>
      </c>
      <c r="C67" s="14" t="str">
        <f>'Master Hunt List'!B60</f>
        <v>A</v>
      </c>
      <c r="D67" s="14" t="str">
        <f>'Master Hunt List'!C60</f>
        <v>Whitetail Deer</v>
      </c>
      <c r="E67" s="14" t="str">
        <f>'Master Hunt List'!D60</f>
        <v>Lake Mineral Wells SP</v>
      </c>
      <c r="F67" s="14" t="str">
        <f>'Master Hunt List'!E60</f>
        <v>North Texas / DFW</v>
      </c>
      <c r="G67" s="14" t="str">
        <f>'Master Hunt List'!F60</f>
        <v>Youth Gun Deer - Either Sex</v>
      </c>
      <c r="H67" s="14" t="str">
        <f>'Master Hunt List'!G60</f>
        <v>No</v>
      </c>
      <c r="I67" s="14" t="str">
        <f>'Master Hunt List'!H60</f>
        <v>Yes</v>
      </c>
      <c r="J67" s="15" t="str">
        <f>'Master Hunt List'!I60</f>
        <v>2026-09-01</v>
      </c>
      <c r="K67" s="27">
        <f>'Master Hunt List'!K60</f>
        <v>0</v>
      </c>
      <c r="L67" s="14" t="str">
        <f>'Master Hunt List'!AF60</f>
        <v/>
      </c>
      <c r="M67" s="14" t="str">
        <f>'Master Hunt List'!AH60</f>
        <v/>
      </c>
      <c r="N67" s="14" t="str">
        <f>'Master Hunt List'!AI60</f>
        <v/>
      </c>
      <c r="O67" s="61" t="str">
        <f>'Master Hunt List'!V60</f>
        <v>https://tpwd.texas.gov/huntwild/hunt/public/public_hunt_drawing/hunt-category-details.phtml?OCat=YDE</v>
      </c>
    </row>
    <row r="68" ht="15.75" customHeight="1">
      <c r="A68" s="14">
        <f>61</f>
        <v>61</v>
      </c>
      <c r="B68" s="14" t="str">
        <f>'Master Hunt List'!A61</f>
        <v>No</v>
      </c>
      <c r="C68" s="14" t="str">
        <f>'Master Hunt List'!B61</f>
        <v>A</v>
      </c>
      <c r="D68" s="14" t="str">
        <f>'Master Hunt List'!C61</f>
        <v>Whitetail Deer</v>
      </c>
      <c r="E68" s="14" t="str">
        <f>'Master Hunt List'!D61</f>
        <v>Lake Somerville SP - Nails Creek Unit</v>
      </c>
      <c r="F68" s="14" t="str">
        <f>'Master Hunt List'!E61</f>
        <v>Central Texas / Austin</v>
      </c>
      <c r="G68" s="14" t="str">
        <f>'Master Hunt List'!F61</f>
        <v>Youth Gun Deer - Either Sex</v>
      </c>
      <c r="H68" s="14" t="str">
        <f>'Master Hunt List'!G61</f>
        <v>No</v>
      </c>
      <c r="I68" s="14" t="str">
        <f>'Master Hunt List'!H61</f>
        <v>Yes</v>
      </c>
      <c r="J68" s="15" t="str">
        <f>'Master Hunt List'!I61</f>
        <v>2026-09-01</v>
      </c>
      <c r="K68" s="27">
        <f>'Master Hunt List'!K61</f>
        <v>0</v>
      </c>
      <c r="L68" s="14" t="str">
        <f>'Master Hunt List'!AF61</f>
        <v/>
      </c>
      <c r="M68" s="14" t="str">
        <f>'Master Hunt List'!AH61</f>
        <v/>
      </c>
      <c r="N68" s="14" t="str">
        <f>'Master Hunt List'!AI61</f>
        <v/>
      </c>
      <c r="O68" s="61" t="str">
        <f>'Master Hunt List'!V61</f>
        <v>https://tpwd.texas.gov/huntwild/hunt/public/public_hunt_drawing/hunt-category-details.phtml?OCat=YDE</v>
      </c>
    </row>
    <row r="69" ht="15.75" customHeight="1">
      <c r="A69" s="14">
        <f>62</f>
        <v>62</v>
      </c>
      <c r="B69" s="14" t="str">
        <f>'Master Hunt List'!A62</f>
        <v>No</v>
      </c>
      <c r="C69" s="14" t="str">
        <f>'Master Hunt List'!B62</f>
        <v>B</v>
      </c>
      <c r="D69" s="14" t="str">
        <f>'Master Hunt List'!C62</f>
        <v>Whitetail Deer</v>
      </c>
      <c r="E69" s="14" t="str">
        <f>'Master Hunt List'!D62</f>
        <v>Lake Whitney SP</v>
      </c>
      <c r="F69" s="14" t="str">
        <f>'Master Hunt List'!E62</f>
        <v>Central Texas / Austin</v>
      </c>
      <c r="G69" s="14" t="str">
        <f>'Master Hunt List'!F62</f>
        <v>E-Postcard Youth Archery Deer</v>
      </c>
      <c r="H69" s="14" t="str">
        <f>'Master Hunt List'!G62</f>
        <v>No</v>
      </c>
      <c r="I69" s="14" t="str">
        <f>'Master Hunt List'!H62</f>
        <v>Yes</v>
      </c>
      <c r="J69" s="15" t="str">
        <f>'Master Hunt List'!I62</f>
        <v>2026-09-01</v>
      </c>
      <c r="K69" s="27">
        <f>'Master Hunt List'!K62</f>
        <v>0</v>
      </c>
      <c r="L69" s="14" t="str">
        <f>'Master Hunt List'!AF62</f>
        <v/>
      </c>
      <c r="M69" s="14" t="str">
        <f>'Master Hunt List'!AH62</f>
        <v/>
      </c>
      <c r="N69" s="14" t="str">
        <f>'Master Hunt List'!AI62</f>
        <v/>
      </c>
      <c r="O69" s="61" t="str">
        <f>'Master Hunt List'!V62</f>
        <v>https://tpwd.texas.gov/huntwild/hunt/public/public_hunt_drawing/hunt-category-details.phtml?OCat=EYA</v>
      </c>
    </row>
    <row r="70" ht="15.75" customHeight="1">
      <c r="A70" s="14">
        <f>63</f>
        <v>63</v>
      </c>
      <c r="B70" s="14" t="str">
        <f>'Master Hunt List'!A63</f>
        <v>No</v>
      </c>
      <c r="C70" s="14" t="str">
        <f>'Master Hunt List'!B63</f>
        <v>B</v>
      </c>
      <c r="D70" s="14" t="str">
        <f>'Master Hunt List'!C63</f>
        <v>Whitetail Deer</v>
      </c>
      <c r="E70" s="14" t="str">
        <f>'Master Hunt List'!D63</f>
        <v>Mad Island WMA</v>
      </c>
      <c r="F70" s="14" t="str">
        <f>'Master Hunt List'!E63</f>
        <v>Houston / Gulf Coast</v>
      </c>
      <c r="G70" s="14" t="str">
        <f>'Master Hunt List'!F63</f>
        <v>E-Postcard Youth Archery Deer</v>
      </c>
      <c r="H70" s="14" t="str">
        <f>'Master Hunt List'!G63</f>
        <v>No</v>
      </c>
      <c r="I70" s="14" t="str">
        <f>'Master Hunt List'!H63</f>
        <v>Yes</v>
      </c>
      <c r="J70" s="15" t="str">
        <f>'Master Hunt List'!I63</f>
        <v>2026-09-01</v>
      </c>
      <c r="K70" s="27">
        <f>'Master Hunt List'!K63</f>
        <v>0</v>
      </c>
      <c r="L70" s="14" t="str">
        <f>'Master Hunt List'!AF63</f>
        <v/>
      </c>
      <c r="M70" s="14" t="str">
        <f>'Master Hunt List'!AH63</f>
        <v/>
      </c>
      <c r="N70" s="14" t="str">
        <f>'Master Hunt List'!AI63</f>
        <v/>
      </c>
      <c r="O70" s="61" t="str">
        <f>'Master Hunt List'!V63</f>
        <v>https://tpwd.texas.gov/huntwild/hunt/public/public_hunt_drawing/hunt-category-details.phtml?OCat=EYA</v>
      </c>
    </row>
    <row r="71" ht="15.75" customHeight="1">
      <c r="A71" s="14">
        <f>64</f>
        <v>64</v>
      </c>
      <c r="B71" s="14" t="str">
        <f>'Master Hunt List'!A64</f>
        <v>No</v>
      </c>
      <c r="C71" s="14" t="str">
        <f>'Master Hunt List'!B64</f>
        <v>A</v>
      </c>
      <c r="D71" s="14" t="str">
        <f>'Master Hunt List'!C64</f>
        <v>Whitetail Deer</v>
      </c>
      <c r="E71" s="14" t="str">
        <f>'Master Hunt List'!D64</f>
        <v>Masterson State Forest</v>
      </c>
      <c r="F71" s="14" t="str">
        <f>'Master Hunt List'!E64</f>
        <v>East Texas / Pineywoods</v>
      </c>
      <c r="G71" s="14" t="str">
        <f>'Master Hunt List'!F64</f>
        <v>Youth Gun Deer - Either Sex</v>
      </c>
      <c r="H71" s="14" t="str">
        <f>'Master Hunt List'!G64</f>
        <v>No</v>
      </c>
      <c r="I71" s="14" t="str">
        <f>'Master Hunt List'!H64</f>
        <v>Yes</v>
      </c>
      <c r="J71" s="15" t="str">
        <f>'Master Hunt List'!I64</f>
        <v>2026-09-01</v>
      </c>
      <c r="K71" s="27">
        <f>'Master Hunt List'!K64</f>
        <v>0</v>
      </c>
      <c r="L71" s="14" t="str">
        <f>'Master Hunt List'!AF64</f>
        <v/>
      </c>
      <c r="M71" s="14" t="str">
        <f>'Master Hunt List'!AH64</f>
        <v/>
      </c>
      <c r="N71" s="14" t="str">
        <f>'Master Hunt List'!AI64</f>
        <v/>
      </c>
      <c r="O71" s="61" t="str">
        <f>'Master Hunt List'!V64</f>
        <v>https://tpwd.texas.gov/huntwild/hunt/public/public_hunt_drawing/hunt-category-details.phtml?OCat=YDE</v>
      </c>
    </row>
    <row r="72" ht="15.75" customHeight="1">
      <c r="A72" s="14">
        <f>65</f>
        <v>65</v>
      </c>
      <c r="B72" s="14" t="str">
        <f>'Master Hunt List'!A65</f>
        <v>No</v>
      </c>
      <c r="C72" s="14" t="str">
        <f>'Master Hunt List'!B65</f>
        <v>A</v>
      </c>
      <c r="D72" s="14" t="str">
        <f>'Master Hunt List'!C65</f>
        <v>Whitetail Deer</v>
      </c>
      <c r="E72" s="14" t="str">
        <f>'Master Hunt List'!D65</f>
        <v>Matagorda Island WMA</v>
      </c>
      <c r="F72" s="14" t="str">
        <f>'Master Hunt List'!E65</f>
        <v>Houston / Gulf Coast</v>
      </c>
      <c r="G72" s="14" t="str">
        <f>'Master Hunt List'!F65</f>
        <v>Youth Gun Deer - Either Sex</v>
      </c>
      <c r="H72" s="14" t="str">
        <f>'Master Hunt List'!G65</f>
        <v>No</v>
      </c>
      <c r="I72" s="14" t="str">
        <f>'Master Hunt List'!H65</f>
        <v>Yes</v>
      </c>
      <c r="J72" s="15" t="str">
        <f>'Master Hunt List'!I65</f>
        <v>2026-09-01</v>
      </c>
      <c r="K72" s="27">
        <f>'Master Hunt List'!K65</f>
        <v>0</v>
      </c>
      <c r="L72" s="14" t="str">
        <f>'Master Hunt List'!AF65</f>
        <v/>
      </c>
      <c r="M72" s="14" t="str">
        <f>'Master Hunt List'!AH65</f>
        <v/>
      </c>
      <c r="N72" s="14" t="str">
        <f>'Master Hunt List'!AI65</f>
        <v/>
      </c>
      <c r="O72" s="61" t="str">
        <f>'Master Hunt List'!V65</f>
        <v>https://tpwd.texas.gov/huntwild/hunt/public/public_hunt_drawing/hunt-category-details.phtml?OCat=YDE</v>
      </c>
    </row>
    <row r="73" ht="15.75" customHeight="1">
      <c r="A73" s="14">
        <f>66</f>
        <v>66</v>
      </c>
      <c r="B73" s="14" t="str">
        <f>'Master Hunt List'!A66</f>
        <v>No</v>
      </c>
      <c r="C73" s="14" t="str">
        <f>'Master Hunt List'!B66</f>
        <v>A</v>
      </c>
      <c r="D73" s="14" t="str">
        <f>'Master Hunt List'!C66</f>
        <v>Whitetail Deer</v>
      </c>
      <c r="E73" s="14" t="str">
        <f>'Master Hunt List'!D66</f>
        <v>Nannie Stringfellow WMA</v>
      </c>
      <c r="F73" s="14" t="str">
        <f>'Master Hunt List'!E66</f>
        <v>Houston / Gulf Coast</v>
      </c>
      <c r="G73" s="14" t="str">
        <f>'Master Hunt List'!F66</f>
        <v>Youth Gun Deer - Either Sex</v>
      </c>
      <c r="H73" s="14" t="str">
        <f>'Master Hunt List'!G66</f>
        <v>No</v>
      </c>
      <c r="I73" s="14" t="str">
        <f>'Master Hunt List'!H66</f>
        <v>Yes</v>
      </c>
      <c r="J73" s="15" t="str">
        <f>'Master Hunt List'!I66</f>
        <v>2026-09-01</v>
      </c>
      <c r="K73" s="27">
        <f>'Master Hunt List'!K66</f>
        <v>0</v>
      </c>
      <c r="L73" s="14" t="str">
        <f>'Master Hunt List'!AF66</f>
        <v/>
      </c>
      <c r="M73" s="14" t="str">
        <f>'Master Hunt List'!AH66</f>
        <v/>
      </c>
      <c r="N73" s="14" t="str">
        <f>'Master Hunt List'!AI66</f>
        <v/>
      </c>
      <c r="O73" s="61" t="str">
        <f>'Master Hunt List'!V66</f>
        <v>https://tpwd.texas.gov/huntwild/hunt/public/public_hunt_drawing/hunt-category-details.phtml?OCat=YDE</v>
      </c>
    </row>
    <row r="74" ht="15.75" customHeight="1">
      <c r="A74" s="14">
        <f>67</f>
        <v>67</v>
      </c>
      <c r="B74" s="14" t="str">
        <f>'Master Hunt List'!A67</f>
        <v>No</v>
      </c>
      <c r="C74" s="14" t="str">
        <f>'Master Hunt List'!B67</f>
        <v>A</v>
      </c>
      <c r="D74" s="14" t="str">
        <f>'Master Hunt List'!C67</f>
        <v>Whitetail Deer</v>
      </c>
      <c r="E74" s="14" t="str">
        <f>'Master Hunt List'!D67</f>
        <v>Old Sabine Bottom WMA</v>
      </c>
      <c r="F74" s="14" t="str">
        <f>'Master Hunt List'!E67</f>
        <v>East Texas / Pineywoods</v>
      </c>
      <c r="G74" s="14" t="str">
        <f>'Master Hunt List'!F67</f>
        <v>Youth Gun Deer - Either Sex</v>
      </c>
      <c r="H74" s="14" t="str">
        <f>'Master Hunt List'!G67</f>
        <v>No</v>
      </c>
      <c r="I74" s="14" t="str">
        <f>'Master Hunt List'!H67</f>
        <v>Yes</v>
      </c>
      <c r="J74" s="15" t="str">
        <f>'Master Hunt List'!I67</f>
        <v>2026-09-01</v>
      </c>
      <c r="K74" s="27">
        <f>'Master Hunt List'!K67</f>
        <v>0</v>
      </c>
      <c r="L74" s="14" t="str">
        <f>'Master Hunt List'!AF67</f>
        <v/>
      </c>
      <c r="M74" s="14" t="str">
        <f>'Master Hunt List'!AH67</f>
        <v/>
      </c>
      <c r="N74" s="14" t="str">
        <f>'Master Hunt List'!AI67</f>
        <v/>
      </c>
      <c r="O74" s="61" t="str">
        <f>'Master Hunt List'!V67</f>
        <v>https://tpwd.texas.gov/huntwild/hunt/public/public_hunt_drawing/hunt-category-details.phtml?OCat=YDE</v>
      </c>
    </row>
    <row r="75" ht="15.75" customHeight="1">
      <c r="A75" s="14">
        <f>68</f>
        <v>68</v>
      </c>
      <c r="B75" s="14" t="str">
        <f>'Master Hunt List'!A68</f>
        <v>No</v>
      </c>
      <c r="C75" s="14" t="str">
        <f>'Master Hunt List'!B68</f>
        <v>A</v>
      </c>
      <c r="D75" s="14" t="str">
        <f>'Master Hunt List'!C68</f>
        <v>Whitetail Deer</v>
      </c>
      <c r="E75" s="14" t="str">
        <f>'Master Hunt List'!D68</f>
        <v>Pedernales Falls SP</v>
      </c>
      <c r="F75" s="14" t="str">
        <f>'Master Hunt List'!E68</f>
        <v>Hill Country / San Antonio</v>
      </c>
      <c r="G75" s="14" t="str">
        <f>'Master Hunt List'!F68</f>
        <v>Youth Gun Deer - Either Sex</v>
      </c>
      <c r="H75" s="14" t="str">
        <f>'Master Hunt List'!G68</f>
        <v>No</v>
      </c>
      <c r="I75" s="14" t="str">
        <f>'Master Hunt List'!H68</f>
        <v>Yes</v>
      </c>
      <c r="J75" s="15" t="str">
        <f>'Master Hunt List'!I68</f>
        <v>2026-09-01</v>
      </c>
      <c r="K75" s="27">
        <f>'Master Hunt List'!K68</f>
        <v>0</v>
      </c>
      <c r="L75" s="14" t="str">
        <f>'Master Hunt List'!AF68</f>
        <v/>
      </c>
      <c r="M75" s="14" t="str">
        <f>'Master Hunt List'!AH68</f>
        <v/>
      </c>
      <c r="N75" s="14" t="str">
        <f>'Master Hunt List'!AI68</f>
        <v/>
      </c>
      <c r="O75" s="61" t="str">
        <f>'Master Hunt List'!V68</f>
        <v>https://tpwd.texas.gov/huntwild/hunt/public/public_hunt_drawing/hunt-category-details.phtml?OCat=YDE</v>
      </c>
    </row>
    <row r="76" ht="15.75" customHeight="1">
      <c r="A76" s="14">
        <f>69</f>
        <v>69</v>
      </c>
      <c r="B76" s="14" t="str">
        <f>'Master Hunt List'!A69</f>
        <v>No</v>
      </c>
      <c r="C76" s="14" t="str">
        <f>'Master Hunt List'!B69</f>
        <v>A</v>
      </c>
      <c r="D76" s="14" t="str">
        <f>'Master Hunt List'!C69</f>
        <v>Whitetail Deer</v>
      </c>
      <c r="E76" s="14" t="str">
        <f>'Master Hunt List'!D69</f>
        <v>Post Oak Ridge State Park</v>
      </c>
      <c r="F76" s="14" t="str">
        <f>'Master Hunt List'!E69</f>
        <v>Statewide / Other</v>
      </c>
      <c r="G76" s="14" t="str">
        <f>'Master Hunt List'!F69</f>
        <v>Youth Gun Deer - Either Sex</v>
      </c>
      <c r="H76" s="14" t="str">
        <f>'Master Hunt List'!G69</f>
        <v>No</v>
      </c>
      <c r="I76" s="14" t="str">
        <f>'Master Hunt List'!H69</f>
        <v>Yes</v>
      </c>
      <c r="J76" s="15" t="str">
        <f>'Master Hunt List'!I69</f>
        <v>2026-09-01</v>
      </c>
      <c r="K76" s="27">
        <f>'Master Hunt List'!K69</f>
        <v>0</v>
      </c>
      <c r="L76" s="14" t="str">
        <f>'Master Hunt List'!AF69</f>
        <v/>
      </c>
      <c r="M76" s="14" t="str">
        <f>'Master Hunt List'!AH69</f>
        <v/>
      </c>
      <c r="N76" s="14" t="str">
        <f>'Master Hunt List'!AI69</f>
        <v/>
      </c>
      <c r="O76" s="61" t="str">
        <f>'Master Hunt List'!V69</f>
        <v>https://tpwd.texas.gov/huntwild/hunt/public/public_hunt_drawing/hunt-category-details.phtml?OCat=YDE</v>
      </c>
    </row>
    <row r="77" ht="15.75" customHeight="1">
      <c r="A77" s="14">
        <f>70</f>
        <v>70</v>
      </c>
      <c r="B77" s="14" t="str">
        <f>'Master Hunt List'!A70</f>
        <v>No</v>
      </c>
      <c r="C77" s="14" t="str">
        <f>'Master Hunt List'!B70</f>
        <v>A</v>
      </c>
      <c r="D77" s="14" t="str">
        <f>'Master Hunt List'!C70</f>
        <v>Whitetail Deer</v>
      </c>
      <c r="E77" s="14" t="str">
        <f>'Master Hunt List'!D70</f>
        <v>Powderhorn State Park</v>
      </c>
      <c r="F77" s="14" t="str">
        <f>'Master Hunt List'!E70</f>
        <v>Houston / Gulf Coast</v>
      </c>
      <c r="G77" s="14" t="str">
        <f>'Master Hunt List'!F70</f>
        <v>Youth Gun Deer - Either Sex</v>
      </c>
      <c r="H77" s="14" t="str">
        <f>'Master Hunt List'!G70</f>
        <v>No</v>
      </c>
      <c r="I77" s="14" t="str">
        <f>'Master Hunt List'!H70</f>
        <v>Yes</v>
      </c>
      <c r="J77" s="15" t="str">
        <f>'Master Hunt List'!I70</f>
        <v>2026-09-01</v>
      </c>
      <c r="K77" s="27">
        <f>'Master Hunt List'!K70</f>
        <v>0</v>
      </c>
      <c r="L77" s="14" t="str">
        <f>'Master Hunt List'!AF70</f>
        <v/>
      </c>
      <c r="M77" s="14" t="str">
        <f>'Master Hunt List'!AH70</f>
        <v/>
      </c>
      <c r="N77" s="14" t="str">
        <f>'Master Hunt List'!AI70</f>
        <v/>
      </c>
      <c r="O77" s="61" t="str">
        <f>'Master Hunt List'!V70</f>
        <v>https://tpwd.texas.gov/huntwild/hunt/public/public_hunt_drawing/hunt-category-details.phtml?OCat=YDE</v>
      </c>
    </row>
    <row r="78" ht="15.75" customHeight="1">
      <c r="A78" s="14">
        <f>71</f>
        <v>71</v>
      </c>
      <c r="B78" s="14" t="str">
        <f>'Master Hunt List'!A71</f>
        <v>No</v>
      </c>
      <c r="C78" s="14" t="str">
        <f>'Master Hunt List'!B71</f>
        <v>A</v>
      </c>
      <c r="D78" s="14" t="str">
        <f>'Master Hunt List'!C71</f>
        <v>Whitetail Deer</v>
      </c>
      <c r="E78" s="14" t="str">
        <f>'Master Hunt List'!D71</f>
        <v>Powderhorn WMA</v>
      </c>
      <c r="F78" s="14" t="str">
        <f>'Master Hunt List'!E71</f>
        <v>Houston / Gulf Coast</v>
      </c>
      <c r="G78" s="14" t="str">
        <f>'Master Hunt List'!F71</f>
        <v>Youth Gun Deer - Either Sex</v>
      </c>
      <c r="H78" s="14" t="str">
        <f>'Master Hunt List'!G71</f>
        <v>No</v>
      </c>
      <c r="I78" s="14" t="str">
        <f>'Master Hunt List'!H71</f>
        <v>Yes</v>
      </c>
      <c r="J78" s="15" t="str">
        <f>'Master Hunt List'!I71</f>
        <v>2026-09-01</v>
      </c>
      <c r="K78" s="27">
        <f>'Master Hunt List'!K71</f>
        <v>0</v>
      </c>
      <c r="L78" s="14" t="str">
        <f>'Master Hunt List'!AF71</f>
        <v/>
      </c>
      <c r="M78" s="14" t="str">
        <f>'Master Hunt List'!AH71</f>
        <v/>
      </c>
      <c r="N78" s="14" t="str">
        <f>'Master Hunt List'!AI71</f>
        <v/>
      </c>
      <c r="O78" s="61" t="str">
        <f>'Master Hunt List'!V71</f>
        <v>https://tpwd.texas.gov/huntwild/hunt/public/public_hunt_drawing/hunt-category-details.phtml?OCat=YDE</v>
      </c>
    </row>
    <row r="79" ht="15.75" customHeight="1">
      <c r="A79" s="14">
        <f>72</f>
        <v>72</v>
      </c>
      <c r="B79" s="14" t="str">
        <f>'Master Hunt List'!A72</f>
        <v>No</v>
      </c>
      <c r="C79" s="14" t="str">
        <f>'Master Hunt List'!B72</f>
        <v>A</v>
      </c>
      <c r="D79" s="14" t="str">
        <f>'Master Hunt List'!C72</f>
        <v>Whitetail Deer</v>
      </c>
      <c r="E79" s="14" t="str">
        <f>'Master Hunt List'!D72</f>
        <v>Richland Creek WMA - Carl Frentress Unit</v>
      </c>
      <c r="F79" s="14" t="str">
        <f>'Master Hunt List'!E72</f>
        <v>Statewide / Other</v>
      </c>
      <c r="G79" s="14" t="str">
        <f>'Master Hunt List'!F72</f>
        <v>Youth Gun Deer - Either Sex</v>
      </c>
      <c r="H79" s="14" t="str">
        <f>'Master Hunt List'!G72</f>
        <v>No</v>
      </c>
      <c r="I79" s="14" t="str">
        <f>'Master Hunt List'!H72</f>
        <v>Yes</v>
      </c>
      <c r="J79" s="15" t="str">
        <f>'Master Hunt List'!I72</f>
        <v>2026-09-01</v>
      </c>
      <c r="K79" s="27">
        <f>'Master Hunt List'!K72</f>
        <v>0</v>
      </c>
      <c r="L79" s="14" t="str">
        <f>'Master Hunt List'!AF72</f>
        <v/>
      </c>
      <c r="M79" s="14" t="str">
        <f>'Master Hunt List'!AH72</f>
        <v/>
      </c>
      <c r="N79" s="14" t="str">
        <f>'Master Hunt List'!AI72</f>
        <v/>
      </c>
      <c r="O79" s="61" t="str">
        <f>'Master Hunt List'!V72</f>
        <v>https://tpwd.texas.gov/huntwild/hunt/public/public_hunt_drawing/hunt-category-details.phtml?OCat=YDE</v>
      </c>
    </row>
    <row r="80" ht="15.75" customHeight="1">
      <c r="A80" s="14">
        <f>73</f>
        <v>73</v>
      </c>
      <c r="B80" s="14" t="str">
        <f>'Master Hunt List'!A73</f>
        <v>No</v>
      </c>
      <c r="C80" s="14" t="str">
        <f>'Master Hunt List'!B73</f>
        <v>A</v>
      </c>
      <c r="D80" s="14" t="str">
        <f>'Master Hunt List'!C73</f>
        <v>Whitetail Deer</v>
      </c>
      <c r="E80" s="14" t="str">
        <f>'Master Hunt List'!D73</f>
        <v>Richland Creek WMA - South Unit</v>
      </c>
      <c r="F80" s="14" t="str">
        <f>'Master Hunt List'!E73</f>
        <v>Statewide / Other</v>
      </c>
      <c r="G80" s="14" t="str">
        <f>'Master Hunt List'!F73</f>
        <v>Youth Gun Deer - Either Sex</v>
      </c>
      <c r="H80" s="14" t="str">
        <f>'Master Hunt List'!G73</f>
        <v>No</v>
      </c>
      <c r="I80" s="14" t="str">
        <f>'Master Hunt List'!H73</f>
        <v>Yes</v>
      </c>
      <c r="J80" s="15" t="str">
        <f>'Master Hunt List'!I73</f>
        <v>2026-09-01</v>
      </c>
      <c r="K80" s="27">
        <f>'Master Hunt List'!K73</f>
        <v>0</v>
      </c>
      <c r="L80" s="14" t="str">
        <f>'Master Hunt List'!AF73</f>
        <v/>
      </c>
      <c r="M80" s="14" t="str">
        <f>'Master Hunt List'!AH73</f>
        <v/>
      </c>
      <c r="N80" s="14" t="str">
        <f>'Master Hunt List'!AI73</f>
        <v/>
      </c>
      <c r="O80" s="61" t="str">
        <f>'Master Hunt List'!V73</f>
        <v>https://tpwd.texas.gov/huntwild/hunt/public/public_hunt_drawing/hunt-category-details.phtml?OCat=YDE</v>
      </c>
    </row>
    <row r="81" ht="15.75" customHeight="1">
      <c r="A81" s="14">
        <f>74</f>
        <v>74</v>
      </c>
      <c r="B81" s="14" t="str">
        <f>'Master Hunt List'!A74</f>
        <v>No</v>
      </c>
      <c r="C81" s="14" t="str">
        <f>'Master Hunt List'!B74</f>
        <v>A</v>
      </c>
      <c r="D81" s="14" t="str">
        <f>'Master Hunt List'!C74</f>
        <v>Whitetail Deer</v>
      </c>
      <c r="E81" s="14" t="str">
        <f>'Master Hunt List'!D74</f>
        <v>San Angelo SP</v>
      </c>
      <c r="F81" s="14" t="str">
        <f>'Master Hunt List'!E74</f>
        <v>West-Central Texas</v>
      </c>
      <c r="G81" s="14" t="str">
        <f>'Master Hunt List'!F74</f>
        <v>Youth Gun Deer - Either Sex</v>
      </c>
      <c r="H81" s="14" t="str">
        <f>'Master Hunt List'!G74</f>
        <v>No</v>
      </c>
      <c r="I81" s="14" t="str">
        <f>'Master Hunt List'!H74</f>
        <v>Yes</v>
      </c>
      <c r="J81" s="15" t="str">
        <f>'Master Hunt List'!I74</f>
        <v>2026-09-01</v>
      </c>
      <c r="K81" s="27">
        <f>'Master Hunt List'!K74</f>
        <v>0</v>
      </c>
      <c r="L81" s="14" t="str">
        <f>'Master Hunt List'!AF74</f>
        <v/>
      </c>
      <c r="M81" s="14" t="str">
        <f>'Master Hunt List'!AH74</f>
        <v/>
      </c>
      <c r="N81" s="14" t="str">
        <f>'Master Hunt List'!AI74</f>
        <v/>
      </c>
      <c r="O81" s="61" t="str">
        <f>'Master Hunt List'!V74</f>
        <v>https://tpwd.texas.gov/huntwild/hunt/public/public_hunt_drawing/hunt-category-details.phtml?OCat=YDE</v>
      </c>
    </row>
    <row r="82" ht="15.75" customHeight="1">
      <c r="A82" s="14">
        <f>75</f>
        <v>75</v>
      </c>
      <c r="B82" s="14" t="str">
        <f>'Master Hunt List'!A75</f>
        <v>No</v>
      </c>
      <c r="C82" s="14" t="str">
        <f>'Master Hunt List'!B75</f>
        <v>A</v>
      </c>
      <c r="D82" s="14" t="str">
        <f>'Master Hunt List'!C75</f>
        <v>Whitetail Deer</v>
      </c>
      <c r="E82" s="14" t="str">
        <f>'Master Hunt List'!D75</f>
        <v>South Llano River SP</v>
      </c>
      <c r="F82" s="14" t="str">
        <f>'Master Hunt List'!E75</f>
        <v>Hill Country / San Antonio</v>
      </c>
      <c r="G82" s="14" t="str">
        <f>'Master Hunt List'!F75</f>
        <v>Youth Gun Deer - Either Sex</v>
      </c>
      <c r="H82" s="14" t="str">
        <f>'Master Hunt List'!G75</f>
        <v>No</v>
      </c>
      <c r="I82" s="14" t="str">
        <f>'Master Hunt List'!H75</f>
        <v>Yes</v>
      </c>
      <c r="J82" s="15" t="str">
        <f>'Master Hunt List'!I75</f>
        <v>2026-09-01</v>
      </c>
      <c r="K82" s="27">
        <f>'Master Hunt List'!K75</f>
        <v>0</v>
      </c>
      <c r="L82" s="14" t="str">
        <f>'Master Hunt List'!AF75</f>
        <v/>
      </c>
      <c r="M82" s="14" t="str">
        <f>'Master Hunt List'!AH75</f>
        <v/>
      </c>
      <c r="N82" s="14" t="str">
        <f>'Master Hunt List'!AI75</f>
        <v/>
      </c>
      <c r="O82" s="61" t="str">
        <f>'Master Hunt List'!V75</f>
        <v>https://tpwd.texas.gov/huntwild/hunt/public/public_hunt_drawing/hunt-category-details.phtml?OCat=YDE</v>
      </c>
    </row>
    <row r="83" ht="15.75" customHeight="1">
      <c r="A83" s="14">
        <f>76</f>
        <v>76</v>
      </c>
      <c r="B83" s="14" t="str">
        <f>'Master Hunt List'!A76</f>
        <v>No</v>
      </c>
      <c r="C83" s="14" t="str">
        <f>'Master Hunt List'!B76</f>
        <v>A</v>
      </c>
      <c r="D83" s="14" t="str">
        <f>'Master Hunt List'!C76</f>
        <v>Whitetail Deer</v>
      </c>
      <c r="E83" s="14" t="str">
        <f>'Master Hunt List'!D76</f>
        <v>Taylor Lakes, Playa Lakes WMA</v>
      </c>
      <c r="F83" s="14" t="str">
        <f>'Master Hunt List'!E76</f>
        <v>Panhandle / Rolling Plains</v>
      </c>
      <c r="G83" s="14" t="str">
        <f>'Master Hunt List'!F76</f>
        <v>Youth Gun Deer - Either Sex</v>
      </c>
      <c r="H83" s="14" t="str">
        <f>'Master Hunt List'!G76</f>
        <v>No</v>
      </c>
      <c r="I83" s="14" t="str">
        <f>'Master Hunt List'!H76</f>
        <v>Yes</v>
      </c>
      <c r="J83" s="15" t="str">
        <f>'Master Hunt List'!I76</f>
        <v>2026-09-01</v>
      </c>
      <c r="K83" s="27">
        <f>'Master Hunt List'!K76</f>
        <v>0</v>
      </c>
      <c r="L83" s="14" t="str">
        <f>'Master Hunt List'!AF76</f>
        <v/>
      </c>
      <c r="M83" s="14" t="str">
        <f>'Master Hunt List'!AH76</f>
        <v/>
      </c>
      <c r="N83" s="14" t="str">
        <f>'Master Hunt List'!AI76</f>
        <v/>
      </c>
      <c r="O83" s="61" t="str">
        <f>'Master Hunt List'!V76</f>
        <v>https://tpwd.texas.gov/huntwild/hunt/public/public_hunt_drawing/hunt-category-details.phtml?OCat=YDE</v>
      </c>
    </row>
    <row r="84" ht="15.75" customHeight="1">
      <c r="A84" s="14">
        <f>77</f>
        <v>77</v>
      </c>
      <c r="B84" s="14" t="str">
        <f>'Master Hunt List'!A77</f>
        <v>No</v>
      </c>
      <c r="C84" s="14" t="str">
        <f>'Master Hunt List'!B77</f>
        <v>A</v>
      </c>
      <c r="D84" s="14" t="str">
        <f>'Master Hunt List'!C77</f>
        <v>Whitetail Deer</v>
      </c>
      <c r="E84" s="14" t="str">
        <f>'Master Hunt List'!D77</f>
        <v>Trinity River WMA</v>
      </c>
      <c r="F84" s="14" t="str">
        <f>'Master Hunt List'!E77</f>
        <v>East Texas / Pineywoods</v>
      </c>
      <c r="G84" s="14" t="str">
        <f>'Master Hunt List'!F77</f>
        <v>Youth Gun Deer - Either Sex</v>
      </c>
      <c r="H84" s="14" t="str">
        <f>'Master Hunt List'!G77</f>
        <v>No</v>
      </c>
      <c r="I84" s="14" t="str">
        <f>'Master Hunt List'!H77</f>
        <v>Yes</v>
      </c>
      <c r="J84" s="15" t="str">
        <f>'Master Hunt List'!I77</f>
        <v>2026-09-01</v>
      </c>
      <c r="K84" s="27">
        <f>'Master Hunt List'!K77</f>
        <v>0</v>
      </c>
      <c r="L84" s="14" t="str">
        <f>'Master Hunt List'!AF77</f>
        <v/>
      </c>
      <c r="M84" s="14" t="str">
        <f>'Master Hunt List'!AH77</f>
        <v/>
      </c>
      <c r="N84" s="14" t="str">
        <f>'Master Hunt List'!AI77</f>
        <v/>
      </c>
      <c r="O84" s="61" t="str">
        <f>'Master Hunt List'!V77</f>
        <v>https://tpwd.texas.gov/huntwild/hunt/public/public_hunt_drawing/hunt-category-details.phtml?OCat=YDE</v>
      </c>
    </row>
    <row r="85" ht="15.75" customHeight="1">
      <c r="A85" s="14">
        <f>78</f>
        <v>78</v>
      </c>
      <c r="B85" s="14" t="str">
        <f>'Master Hunt List'!A78</f>
        <v>No</v>
      </c>
      <c r="C85" s="14" t="str">
        <f>'Master Hunt List'!B78</f>
        <v>A</v>
      </c>
      <c r="D85" s="14" t="str">
        <f>'Master Hunt List'!C78</f>
        <v>Whitetail Deer</v>
      </c>
      <c r="E85" s="14" t="str">
        <f>'Master Hunt List'!D78</f>
        <v>Village Creek SP</v>
      </c>
      <c r="F85" s="14" t="str">
        <f>'Master Hunt List'!E78</f>
        <v>East Texas / Pineywoods</v>
      </c>
      <c r="G85" s="14" t="str">
        <f>'Master Hunt List'!F78</f>
        <v>Youth Gun Deer - Either Sex</v>
      </c>
      <c r="H85" s="14" t="str">
        <f>'Master Hunt List'!G78</f>
        <v>No</v>
      </c>
      <c r="I85" s="14" t="str">
        <f>'Master Hunt List'!H78</f>
        <v>Yes</v>
      </c>
      <c r="J85" s="15" t="str">
        <f>'Master Hunt List'!I78</f>
        <v>2026-09-01</v>
      </c>
      <c r="K85" s="27">
        <f>'Master Hunt List'!K78</f>
        <v>0</v>
      </c>
      <c r="L85" s="14" t="str">
        <f>'Master Hunt List'!AF78</f>
        <v/>
      </c>
      <c r="M85" s="14" t="str">
        <f>'Master Hunt List'!AH78</f>
        <v/>
      </c>
      <c r="N85" s="14" t="str">
        <f>'Master Hunt List'!AI78</f>
        <v/>
      </c>
      <c r="O85" s="61" t="str">
        <f>'Master Hunt List'!V78</f>
        <v>https://tpwd.texas.gov/huntwild/hunt/public/public_hunt_drawing/hunt-category-details.phtml?OCat=YDE</v>
      </c>
    </row>
    <row r="86" ht="15.75" customHeight="1">
      <c r="A86" s="14">
        <f>79</f>
        <v>79</v>
      </c>
      <c r="B86" s="14" t="str">
        <f>'Master Hunt List'!A79</f>
        <v>No</v>
      </c>
      <c r="C86" s="14" t="str">
        <f>'Master Hunt List'!B79</f>
        <v>A</v>
      </c>
      <c r="D86" s="14" t="str">
        <f>'Master Hunt List'!C79</f>
        <v>Whitetail Deer</v>
      </c>
      <c r="E86" s="14" t="str">
        <f>'Master Hunt List'!D79</f>
        <v>White Oak Creek WMA</v>
      </c>
      <c r="F86" s="14" t="str">
        <f>'Master Hunt List'!E79</f>
        <v>East Texas / Pineywoods</v>
      </c>
      <c r="G86" s="14" t="str">
        <f>'Master Hunt List'!F79</f>
        <v>Youth Gun Deer - Either Sex</v>
      </c>
      <c r="H86" s="14" t="str">
        <f>'Master Hunt List'!G79</f>
        <v>No</v>
      </c>
      <c r="I86" s="14" t="str">
        <f>'Master Hunt List'!H79</f>
        <v>Yes</v>
      </c>
      <c r="J86" s="15" t="str">
        <f>'Master Hunt List'!I79</f>
        <v>2026-09-01</v>
      </c>
      <c r="K86" s="27">
        <f>'Master Hunt List'!K79</f>
        <v>0</v>
      </c>
      <c r="L86" s="14" t="str">
        <f>'Master Hunt List'!AF79</f>
        <v/>
      </c>
      <c r="M86" s="14" t="str">
        <f>'Master Hunt List'!AH79</f>
        <v/>
      </c>
      <c r="N86" s="14" t="str">
        <f>'Master Hunt List'!AI79</f>
        <v/>
      </c>
      <c r="O86" s="61" t="str">
        <f>'Master Hunt List'!V79</f>
        <v>https://tpwd.texas.gov/huntwild/hunt/public/public_hunt_drawing/hunt-category-details.phtml?OCat=YDE</v>
      </c>
    </row>
    <row r="87" ht="15.75" customHeight="1">
      <c r="A87" s="14">
        <f>80</f>
        <v>80</v>
      </c>
      <c r="B87" s="14" t="str">
        <f>'Master Hunt List'!A80</f>
        <v>No</v>
      </c>
      <c r="C87" s="14" t="str">
        <f>'Master Hunt List'!B80</f>
        <v>B</v>
      </c>
      <c r="D87" s="14" t="str">
        <f>'Master Hunt List'!C80</f>
        <v>Whitetail Deer</v>
      </c>
      <c r="E87" s="14" t="str">
        <f>'Master Hunt List'!D80</f>
        <v>Aransas NWR</v>
      </c>
      <c r="F87" s="14" t="str">
        <f>'Master Hunt List'!E80</f>
        <v>Houston / Gulf Coast</v>
      </c>
      <c r="G87" s="14" t="str">
        <f>'Master Hunt List'!F80</f>
        <v>National Refuge Archery Deer</v>
      </c>
      <c r="H87" s="14" t="str">
        <f>'Master Hunt List'!G80</f>
        <v>Yes</v>
      </c>
      <c r="I87" s="14" t="str">
        <f>'Master Hunt List'!H80</f>
        <v>Yes</v>
      </c>
      <c r="J87" s="15" t="str">
        <f>'Master Hunt List'!I80</f>
        <v>2026-09-01</v>
      </c>
      <c r="K87" s="27">
        <f>'Master Hunt List'!K80</f>
        <v>3</v>
      </c>
      <c r="L87" s="14" t="str">
        <f>'Master Hunt List'!AF80</f>
        <v/>
      </c>
      <c r="M87" s="14" t="str">
        <f>'Master Hunt List'!AH80</f>
        <v/>
      </c>
      <c r="N87" s="14" t="str">
        <f>'Master Hunt List'!AI80</f>
        <v/>
      </c>
      <c r="O87" s="61" t="str">
        <f>'Master Hunt List'!V80</f>
        <v>https://tpwd.texas.gov/huntwild/hunt/public/public_hunt_drawing/hunt-category-details.phtml?OCat=NAD</v>
      </c>
    </row>
    <row r="88" ht="15.75" customHeight="1">
      <c r="A88" s="14">
        <f>81</f>
        <v>81</v>
      </c>
      <c r="B88" s="14" t="str">
        <f>'Master Hunt List'!A81</f>
        <v>No</v>
      </c>
      <c r="C88" s="14" t="str">
        <f>'Master Hunt List'!B81</f>
        <v>B</v>
      </c>
      <c r="D88" s="14" t="str">
        <f>'Master Hunt List'!C81</f>
        <v>Whitetail Deer</v>
      </c>
      <c r="E88" s="14" t="str">
        <f>'Master Hunt List'!D81</f>
        <v>Balcones Canyonlands NWR</v>
      </c>
      <c r="F88" s="14" t="str">
        <f>'Master Hunt List'!E81</f>
        <v>Statewide / Other</v>
      </c>
      <c r="G88" s="14" t="str">
        <f>'Master Hunt List'!F81</f>
        <v>E-Postcard Archery Deer</v>
      </c>
      <c r="H88" s="14" t="str">
        <f>'Master Hunt List'!G81</f>
        <v>Yes</v>
      </c>
      <c r="I88" s="14" t="str">
        <f>'Master Hunt List'!H81</f>
        <v>Yes</v>
      </c>
      <c r="J88" s="15" t="str">
        <f>'Master Hunt List'!I81</f>
        <v>2026-09-01</v>
      </c>
      <c r="K88" s="27">
        <f>'Master Hunt List'!K81</f>
        <v>0</v>
      </c>
      <c r="L88" s="14" t="str">
        <f>'Master Hunt List'!AF81</f>
        <v/>
      </c>
      <c r="M88" s="14" t="str">
        <f>'Master Hunt List'!AH81</f>
        <v/>
      </c>
      <c r="N88" s="14" t="str">
        <f>'Master Hunt List'!AI81</f>
        <v/>
      </c>
      <c r="O88" s="61" t="str">
        <f>'Master Hunt List'!V81</f>
        <v>https://tpwd.texas.gov/huntwild/hunt/public/public_hunt_drawing/hunt-category-details.phtml?OCat=EAD</v>
      </c>
    </row>
    <row r="89" ht="15.75" customHeight="1">
      <c r="A89" s="14">
        <f>82</f>
        <v>82</v>
      </c>
      <c r="B89" s="14" t="str">
        <f>'Master Hunt List'!A82</f>
        <v>No</v>
      </c>
      <c r="C89" s="14" t="str">
        <f>'Master Hunt List'!B82</f>
        <v>A</v>
      </c>
      <c r="D89" s="14" t="str">
        <f>'Master Hunt List'!C82</f>
        <v>Whitetail Deer</v>
      </c>
      <c r="E89" s="14" t="str">
        <f>'Master Hunt List'!D82</f>
        <v>Bandera County - The Nature Conservancy</v>
      </c>
      <c r="F89" s="14" t="str">
        <f>'Master Hunt List'!E82</f>
        <v>Hill Country / San Antonio</v>
      </c>
      <c r="G89" s="14" t="str">
        <f>'Master Hunt List'!F82</f>
        <v>Private Lands - Antlerless/Spike</v>
      </c>
      <c r="H89" s="14" t="str">
        <f>'Master Hunt List'!G82</f>
        <v>Yes</v>
      </c>
      <c r="I89" s="14" t="str">
        <f>'Master Hunt List'!H82</f>
        <v>Yes</v>
      </c>
      <c r="J89" s="15" t="str">
        <f>'Master Hunt List'!I82</f>
        <v>2026-09-01</v>
      </c>
      <c r="K89" s="27">
        <f>'Master Hunt List'!K82</f>
        <v>10</v>
      </c>
      <c r="L89" s="14" t="str">
        <f>'Master Hunt List'!AF82</f>
        <v/>
      </c>
      <c r="M89" s="14" t="str">
        <f>'Master Hunt List'!AH82</f>
        <v/>
      </c>
      <c r="N89" s="14" t="str">
        <f>'Master Hunt List'!AI82</f>
        <v/>
      </c>
      <c r="O89" s="61" t="str">
        <f>'Master Hunt List'!V82</f>
        <v>https://tpwd.texas.gov/huntwild/hunt/public/public_hunt_drawing/hunt-category-details.phtml?OCat=PLA</v>
      </c>
    </row>
    <row r="90" ht="15.75" customHeight="1">
      <c r="A90" s="14">
        <f>83</f>
        <v>83</v>
      </c>
      <c r="B90" s="14" t="str">
        <f>'Master Hunt List'!A83</f>
        <v>No</v>
      </c>
      <c r="C90" s="14" t="str">
        <f>'Master Hunt List'!B83</f>
        <v>A</v>
      </c>
      <c r="D90" s="14" t="str">
        <f>'Master Hunt List'!C83</f>
        <v>Whitetail Deer</v>
      </c>
      <c r="E90" s="14" t="str">
        <f>'Master Hunt List'!D83</f>
        <v>Bandera County - The Nature Conservancy</v>
      </c>
      <c r="F90" s="14" t="str">
        <f>'Master Hunt List'!E83</f>
        <v>Hill Country / San Antonio</v>
      </c>
      <c r="G90" s="14" t="str">
        <f>'Master Hunt List'!F83</f>
        <v>Private Lands - Either Sex</v>
      </c>
      <c r="H90" s="14" t="str">
        <f>'Master Hunt List'!G83</f>
        <v>Yes</v>
      </c>
      <c r="I90" s="14" t="str">
        <f>'Master Hunt List'!H83</f>
        <v>Yes</v>
      </c>
      <c r="J90" s="15" t="str">
        <f>'Master Hunt List'!I83</f>
        <v>2026-09-01</v>
      </c>
      <c r="K90" s="27">
        <f>'Master Hunt List'!K83</f>
        <v>10</v>
      </c>
      <c r="L90" s="14" t="str">
        <f>'Master Hunt List'!AF83</f>
        <v/>
      </c>
      <c r="M90" s="14" t="str">
        <f>'Master Hunt List'!AH83</f>
        <v/>
      </c>
      <c r="N90" s="14" t="str">
        <f>'Master Hunt List'!AI83</f>
        <v/>
      </c>
      <c r="O90" s="61" t="str">
        <f>'Master Hunt List'!V83</f>
        <v>https://tpwd.texas.gov/huntwild/hunt/public/public_hunt_drawing/hunt-category-details.phtml?OCat=PLE</v>
      </c>
    </row>
    <row r="91" ht="15.75" customHeight="1">
      <c r="A91" s="14">
        <f>84</f>
        <v>84</v>
      </c>
      <c r="B91" s="14" t="str">
        <f>'Master Hunt List'!A84</f>
        <v>No</v>
      </c>
      <c r="C91" s="14" t="str">
        <f>'Master Hunt List'!B84</f>
        <v>B</v>
      </c>
      <c r="D91" s="14" t="str">
        <f>'Master Hunt List'!C84</f>
        <v>Whitetail Deer</v>
      </c>
      <c r="E91" s="14" t="str">
        <f>'Master Hunt List'!D84</f>
        <v>Big Lake Bottom WMA</v>
      </c>
      <c r="F91" s="14" t="str">
        <f>'Master Hunt List'!E84</f>
        <v>Statewide / Other</v>
      </c>
      <c r="G91" s="14" t="str">
        <f>'Master Hunt List'!F84</f>
        <v>E-Postcard Archery Deer</v>
      </c>
      <c r="H91" s="14" t="str">
        <f>'Master Hunt List'!G84</f>
        <v>Yes</v>
      </c>
      <c r="I91" s="14" t="str">
        <f>'Master Hunt List'!H84</f>
        <v>Yes</v>
      </c>
      <c r="J91" s="15" t="str">
        <f>'Master Hunt List'!I84</f>
        <v>2026-09-01</v>
      </c>
      <c r="K91" s="27">
        <f>'Master Hunt List'!K84</f>
        <v>0</v>
      </c>
      <c r="L91" s="14" t="str">
        <f>'Master Hunt List'!AF84</f>
        <v/>
      </c>
      <c r="M91" s="14" t="str">
        <f>'Master Hunt List'!AH84</f>
        <v/>
      </c>
      <c r="N91" s="14" t="str">
        <f>'Master Hunt List'!AI84</f>
        <v/>
      </c>
      <c r="O91" s="61" t="str">
        <f>'Master Hunt List'!V84</f>
        <v>https://tpwd.texas.gov/huntwild/hunt/public/public_hunt_drawing/hunt-category-details.phtml?OCat=EAD</v>
      </c>
    </row>
    <row r="92" ht="15.75" customHeight="1">
      <c r="A92" s="14">
        <f>85</f>
        <v>85</v>
      </c>
      <c r="B92" s="14" t="str">
        <f>'Master Hunt List'!A85</f>
        <v>No</v>
      </c>
      <c r="C92" s="14" t="str">
        <f>'Master Hunt List'!B85</f>
        <v>A</v>
      </c>
      <c r="D92" s="14" t="str">
        <f>'Master Hunt List'!C85</f>
        <v>Whitetail Deer</v>
      </c>
      <c r="E92" s="14" t="str">
        <f>'Master Hunt List'!D85</f>
        <v>Buffalo Lake NWR</v>
      </c>
      <c r="F92" s="14" t="str">
        <f>'Master Hunt List'!E85</f>
        <v>Panhandle / Rolling Plains</v>
      </c>
      <c r="G92" s="14" t="str">
        <f>'Master Hunt List'!F85</f>
        <v>National Refuge Archery Deer</v>
      </c>
      <c r="H92" s="14" t="str">
        <f>'Master Hunt List'!G85</f>
        <v>Yes</v>
      </c>
      <c r="I92" s="14" t="str">
        <f>'Master Hunt List'!H85</f>
        <v>Yes</v>
      </c>
      <c r="J92" s="15" t="str">
        <f>'Master Hunt List'!I85</f>
        <v>2026-09-01</v>
      </c>
      <c r="K92" s="27">
        <f>'Master Hunt List'!K85</f>
        <v>3</v>
      </c>
      <c r="L92" s="14" t="str">
        <f>'Master Hunt List'!AF85</f>
        <v/>
      </c>
      <c r="M92" s="14" t="str">
        <f>'Master Hunt List'!AH85</f>
        <v/>
      </c>
      <c r="N92" s="14" t="str">
        <f>'Master Hunt List'!AI85</f>
        <v/>
      </c>
      <c r="O92" s="61" t="str">
        <f>'Master Hunt List'!V85</f>
        <v>https://tpwd.texas.gov/huntwild/hunt/public/public_hunt_drawing/hunt-category-details.phtml?OCat=NAD</v>
      </c>
    </row>
    <row r="93" ht="15.75" customHeight="1">
      <c r="A93" s="14">
        <f>86</f>
        <v>86</v>
      </c>
      <c r="B93" s="14" t="str">
        <f>'Master Hunt List'!A86</f>
        <v>No</v>
      </c>
      <c r="C93" s="14" t="str">
        <f>'Master Hunt List'!B86</f>
        <v>A</v>
      </c>
      <c r="D93" s="14" t="str">
        <f>'Master Hunt List'!C86</f>
        <v>Whitetail Deer</v>
      </c>
      <c r="E93" s="14" t="str">
        <f>'Master Hunt List'!D86</f>
        <v>Comal County Ranch - The Nature Conservancy</v>
      </c>
      <c r="F93" s="14" t="str">
        <f>'Master Hunt List'!E86</f>
        <v>Hill Country / San Antonio</v>
      </c>
      <c r="G93" s="14" t="str">
        <f>'Master Hunt List'!F86</f>
        <v>Private Lands - Antlerless/Spike</v>
      </c>
      <c r="H93" s="14" t="str">
        <f>'Master Hunt List'!G86</f>
        <v>Yes</v>
      </c>
      <c r="I93" s="14" t="str">
        <f>'Master Hunt List'!H86</f>
        <v>Yes</v>
      </c>
      <c r="J93" s="15" t="str">
        <f>'Master Hunt List'!I86</f>
        <v>2026-09-01</v>
      </c>
      <c r="K93" s="27">
        <f>'Master Hunt List'!K86</f>
        <v>10</v>
      </c>
      <c r="L93" s="14" t="str">
        <f>'Master Hunt List'!AF86</f>
        <v/>
      </c>
      <c r="M93" s="14" t="str">
        <f>'Master Hunt List'!AH86</f>
        <v/>
      </c>
      <c r="N93" s="14" t="str">
        <f>'Master Hunt List'!AI86</f>
        <v/>
      </c>
      <c r="O93" s="61" t="str">
        <f>'Master Hunt List'!V86</f>
        <v>https://tpwd.texas.gov/huntwild/hunt/public/public_hunt_drawing/hunt-category-details.phtml?OCat=PLA</v>
      </c>
    </row>
    <row r="94" ht="15.75" customHeight="1">
      <c r="A94" s="14">
        <f>87</f>
        <v>87</v>
      </c>
      <c r="B94" s="14" t="str">
        <f>'Master Hunt List'!A87</f>
        <v>No</v>
      </c>
      <c r="C94" s="14" t="str">
        <f>'Master Hunt List'!B87</f>
        <v>A</v>
      </c>
      <c r="D94" s="14" t="str">
        <f>'Master Hunt List'!C87</f>
        <v>Whitetail Deer</v>
      </c>
      <c r="E94" s="14" t="str">
        <f>'Master Hunt List'!D87</f>
        <v>Comal County Ranch - The Nature Conservancy</v>
      </c>
      <c r="F94" s="14" t="str">
        <f>'Master Hunt List'!E87</f>
        <v>Hill Country / San Antonio</v>
      </c>
      <c r="G94" s="14" t="str">
        <f>'Master Hunt List'!F87</f>
        <v>Private Lands - Either Sex</v>
      </c>
      <c r="H94" s="14" t="str">
        <f>'Master Hunt List'!G87</f>
        <v>Yes</v>
      </c>
      <c r="I94" s="14" t="str">
        <f>'Master Hunt List'!H87</f>
        <v>Yes</v>
      </c>
      <c r="J94" s="15" t="str">
        <f>'Master Hunt List'!I87</f>
        <v>2026-09-01</v>
      </c>
      <c r="K94" s="27">
        <f>'Master Hunt List'!K87</f>
        <v>10</v>
      </c>
      <c r="L94" s="14" t="str">
        <f>'Master Hunt List'!AF87</f>
        <v/>
      </c>
      <c r="M94" s="14" t="str">
        <f>'Master Hunt List'!AH87</f>
        <v/>
      </c>
      <c r="N94" s="14" t="str">
        <f>'Master Hunt List'!AI87</f>
        <v/>
      </c>
      <c r="O94" s="61" t="str">
        <f>'Master Hunt List'!V87</f>
        <v>https://tpwd.texas.gov/huntwild/hunt/public/public_hunt_drawing/hunt-category-details.phtml?OCat=PLE</v>
      </c>
    </row>
    <row r="95" ht="15.75" customHeight="1">
      <c r="A95" s="14">
        <f>88</f>
        <v>88</v>
      </c>
      <c r="B95" s="14" t="str">
        <f>'Master Hunt List'!A88</f>
        <v>No</v>
      </c>
      <c r="C95" s="14" t="str">
        <f>'Master Hunt List'!B88</f>
        <v>A</v>
      </c>
      <c r="D95" s="14" t="str">
        <f>'Master Hunt List'!C88</f>
        <v>Whitetail Deer</v>
      </c>
      <c r="E95" s="14" t="str">
        <f>'Master Hunt List'!D88</f>
        <v>DeWitt County Ranch</v>
      </c>
      <c r="F95" s="14" t="str">
        <f>'Master Hunt List'!E88</f>
        <v>Houston / Gulf Coast</v>
      </c>
      <c r="G95" s="14" t="str">
        <f>'Master Hunt List'!F88</f>
        <v>Private Lands - Antlerless/Spike</v>
      </c>
      <c r="H95" s="14" t="str">
        <f>'Master Hunt List'!G88</f>
        <v>Yes</v>
      </c>
      <c r="I95" s="14" t="str">
        <f>'Master Hunt List'!H88</f>
        <v>Yes</v>
      </c>
      <c r="J95" s="15" t="str">
        <f>'Master Hunt List'!I88</f>
        <v>2026-09-01</v>
      </c>
      <c r="K95" s="27">
        <f>'Master Hunt List'!K88</f>
        <v>10</v>
      </c>
      <c r="L95" s="14" t="str">
        <f>'Master Hunt List'!AF88</f>
        <v/>
      </c>
      <c r="M95" s="14" t="str">
        <f>'Master Hunt List'!AH88</f>
        <v/>
      </c>
      <c r="N95" s="14" t="str">
        <f>'Master Hunt List'!AI88</f>
        <v/>
      </c>
      <c r="O95" s="61" t="str">
        <f>'Master Hunt List'!V88</f>
        <v>https://tpwd.texas.gov/huntwild/hunt/public/public_hunt_drawing/hunt-category-details.phtml?OCat=PLA</v>
      </c>
    </row>
    <row r="96" ht="15.75" customHeight="1">
      <c r="A96" s="14">
        <f>89</f>
        <v>89</v>
      </c>
      <c r="B96" s="14" t="str">
        <f>'Master Hunt List'!A89</f>
        <v>No</v>
      </c>
      <c r="C96" s="14" t="str">
        <f>'Master Hunt List'!B89</f>
        <v>A</v>
      </c>
      <c r="D96" s="14" t="str">
        <f>'Master Hunt List'!C89</f>
        <v>Whitetail Deer</v>
      </c>
      <c r="E96" s="14" t="str">
        <f>'Master Hunt List'!D89</f>
        <v>DeWitt County Ranch</v>
      </c>
      <c r="F96" s="14" t="str">
        <f>'Master Hunt List'!E89</f>
        <v>Houston / Gulf Coast</v>
      </c>
      <c r="G96" s="14" t="str">
        <f>'Master Hunt List'!F89</f>
        <v>Private Lands - Either Sex</v>
      </c>
      <c r="H96" s="14" t="str">
        <f>'Master Hunt List'!G89</f>
        <v>Yes</v>
      </c>
      <c r="I96" s="14" t="str">
        <f>'Master Hunt List'!H89</f>
        <v>Yes</v>
      </c>
      <c r="J96" s="15" t="str">
        <f>'Master Hunt List'!I89</f>
        <v>2026-09-01</v>
      </c>
      <c r="K96" s="27">
        <f>'Master Hunt List'!K89</f>
        <v>10</v>
      </c>
      <c r="L96" s="14" t="str">
        <f>'Master Hunt List'!AF89</f>
        <v/>
      </c>
      <c r="M96" s="14" t="str">
        <f>'Master Hunt List'!AH89</f>
        <v/>
      </c>
      <c r="N96" s="14" t="str">
        <f>'Master Hunt List'!AI89</f>
        <v/>
      </c>
      <c r="O96" s="61" t="str">
        <f>'Master Hunt List'!V89</f>
        <v>https://tpwd.texas.gov/huntwild/hunt/public/public_hunt_drawing/hunt-category-details.phtml?OCat=PLE</v>
      </c>
    </row>
    <row r="97" ht="15.75" customHeight="1">
      <c r="A97" s="14">
        <f>90</f>
        <v>90</v>
      </c>
      <c r="B97" s="14" t="str">
        <f>'Master Hunt List'!A90</f>
        <v>No</v>
      </c>
      <c r="C97" s="14" t="str">
        <f>'Master Hunt List'!B90</f>
        <v>B</v>
      </c>
      <c r="D97" s="14" t="str">
        <f>'Master Hunt List'!C90</f>
        <v>Whitetail Deer</v>
      </c>
      <c r="E97" s="14" t="str">
        <f>'Master Hunt List'!D90</f>
        <v>Granger PHL</v>
      </c>
      <c r="F97" s="14" t="str">
        <f>'Master Hunt List'!E90</f>
        <v>Central Texas / Austin</v>
      </c>
      <c r="G97" s="14" t="str">
        <f>'Master Hunt List'!F90</f>
        <v>E-Postcard Archery Deer</v>
      </c>
      <c r="H97" s="14" t="str">
        <f>'Master Hunt List'!G90</f>
        <v>Yes</v>
      </c>
      <c r="I97" s="14" t="str">
        <f>'Master Hunt List'!H90</f>
        <v>Yes</v>
      </c>
      <c r="J97" s="15" t="str">
        <f>'Master Hunt List'!I90</f>
        <v>2026-09-01</v>
      </c>
      <c r="K97" s="27">
        <f>'Master Hunt List'!K90</f>
        <v>0</v>
      </c>
      <c r="L97" s="14" t="str">
        <f>'Master Hunt List'!AF90</f>
        <v/>
      </c>
      <c r="M97" s="14" t="str">
        <f>'Master Hunt List'!AH90</f>
        <v/>
      </c>
      <c r="N97" s="14" t="str">
        <f>'Master Hunt List'!AI90</f>
        <v/>
      </c>
      <c r="O97" s="61" t="str">
        <f>'Master Hunt List'!V90</f>
        <v>https://tpwd.texas.gov/huntwild/hunt/public/public_hunt_drawing/hunt-category-details.phtml?OCat=EAD</v>
      </c>
    </row>
    <row r="98" ht="15.75" customHeight="1">
      <c r="A98" s="14">
        <f>91</f>
        <v>91</v>
      </c>
      <c r="B98" s="14" t="str">
        <f>'Master Hunt List'!A91</f>
        <v>No</v>
      </c>
      <c r="C98" s="14" t="str">
        <f>'Master Hunt List'!B91</f>
        <v>B</v>
      </c>
      <c r="D98" s="14" t="str">
        <f>'Master Hunt List'!C91</f>
        <v>Whitetail Deer</v>
      </c>
      <c r="E98" s="14" t="str">
        <f>'Master Hunt List'!D91</f>
        <v>Hagerman NWR</v>
      </c>
      <c r="F98" s="14" t="str">
        <f>'Master Hunt List'!E91</f>
        <v>North Texas / DFW</v>
      </c>
      <c r="G98" s="14" t="str">
        <f>'Master Hunt List'!F91</f>
        <v>National Refuge Archery Deer</v>
      </c>
      <c r="H98" s="14" t="str">
        <f>'Master Hunt List'!G91</f>
        <v>Yes</v>
      </c>
      <c r="I98" s="14" t="str">
        <f>'Master Hunt List'!H91</f>
        <v>Yes</v>
      </c>
      <c r="J98" s="15" t="str">
        <f>'Master Hunt List'!I91</f>
        <v>2026-09-01</v>
      </c>
      <c r="K98" s="27">
        <f>'Master Hunt List'!K91</f>
        <v>3</v>
      </c>
      <c r="L98" s="14" t="str">
        <f>'Master Hunt List'!AF91</f>
        <v/>
      </c>
      <c r="M98" s="14" t="str">
        <f>'Master Hunt List'!AH91</f>
        <v/>
      </c>
      <c r="N98" s="14" t="str">
        <f>'Master Hunt List'!AI91</f>
        <v/>
      </c>
      <c r="O98" s="61" t="str">
        <f>'Master Hunt List'!V91</f>
        <v>https://tpwd.texas.gov/huntwild/hunt/public/public_hunt_drawing/hunt-category-details.phtml?OCat=NAD</v>
      </c>
    </row>
    <row r="99" ht="15.75" customHeight="1">
      <c r="A99" s="14">
        <f>92</f>
        <v>92</v>
      </c>
      <c r="B99" s="14" t="str">
        <f>'Master Hunt List'!A92</f>
        <v>No</v>
      </c>
      <c r="C99" s="14" t="str">
        <f>'Master Hunt List'!B92</f>
        <v>B</v>
      </c>
      <c r="D99" s="14" t="str">
        <f>'Master Hunt List'!C92</f>
        <v>Whitetail Deer</v>
      </c>
      <c r="E99" s="14" t="str">
        <f>'Master Hunt List'!D92</f>
        <v>Keechi Creek WMA</v>
      </c>
      <c r="F99" s="14" t="str">
        <f>'Master Hunt List'!E92</f>
        <v>Statewide / Other</v>
      </c>
      <c r="G99" s="14" t="str">
        <f>'Master Hunt List'!F92</f>
        <v>E-Postcard Archery Deer</v>
      </c>
      <c r="H99" s="14" t="str">
        <f>'Master Hunt List'!G92</f>
        <v>Yes</v>
      </c>
      <c r="I99" s="14" t="str">
        <f>'Master Hunt List'!H92</f>
        <v>Yes</v>
      </c>
      <c r="J99" s="15" t="str">
        <f>'Master Hunt List'!I92</f>
        <v>2026-09-01</v>
      </c>
      <c r="K99" s="27">
        <f>'Master Hunt List'!K92</f>
        <v>0</v>
      </c>
      <c r="L99" s="14" t="str">
        <f>'Master Hunt List'!AF92</f>
        <v/>
      </c>
      <c r="M99" s="14" t="str">
        <f>'Master Hunt List'!AH92</f>
        <v/>
      </c>
      <c r="N99" s="14" t="str">
        <f>'Master Hunt List'!AI92</f>
        <v/>
      </c>
      <c r="O99" s="61" t="str">
        <f>'Master Hunt List'!V92</f>
        <v>https://tpwd.texas.gov/huntwild/hunt/public/public_hunt_drawing/hunt-category-details.phtml?OCat=EAD</v>
      </c>
    </row>
    <row r="100" ht="15.75" customHeight="1">
      <c r="A100" s="14">
        <f>93</f>
        <v>93</v>
      </c>
      <c r="B100" s="14" t="str">
        <f>'Master Hunt List'!A93</f>
        <v>No</v>
      </c>
      <c r="C100" s="14" t="str">
        <f>'Master Hunt List'!B93</f>
        <v>A</v>
      </c>
      <c r="D100" s="14" t="str">
        <f>'Master Hunt List'!C93</f>
        <v>Whitetail Deer</v>
      </c>
      <c r="E100" s="14" t="str">
        <f>'Master Hunt List'!D93</f>
        <v>La Salle County Ranch</v>
      </c>
      <c r="F100" s="14" t="str">
        <f>'Master Hunt List'!E93</f>
        <v>South Texas / Rio Grande Valley</v>
      </c>
      <c r="G100" s="14" t="str">
        <f>'Master Hunt List'!F93</f>
        <v>Private Lands - Either Sex</v>
      </c>
      <c r="H100" s="14" t="str">
        <f>'Master Hunt List'!G93</f>
        <v>Yes</v>
      </c>
      <c r="I100" s="14" t="str">
        <f>'Master Hunt List'!H93</f>
        <v>Yes</v>
      </c>
      <c r="J100" s="15" t="str">
        <f>'Master Hunt List'!I93</f>
        <v>2026-09-01</v>
      </c>
      <c r="K100" s="27">
        <f>'Master Hunt List'!K93</f>
        <v>10</v>
      </c>
      <c r="L100" s="14" t="str">
        <f>'Master Hunt List'!AF93</f>
        <v/>
      </c>
      <c r="M100" s="14" t="str">
        <f>'Master Hunt List'!AH93</f>
        <v/>
      </c>
      <c r="N100" s="14" t="str">
        <f>'Master Hunt List'!AI93</f>
        <v/>
      </c>
      <c r="O100" s="61" t="str">
        <f>'Master Hunt List'!V93</f>
        <v>https://tpwd.texas.gov/huntwild/hunt/public/public_hunt_drawing/hunt-category-details.phtml?OCat=PLE</v>
      </c>
    </row>
    <row r="101" ht="15.75" customHeight="1">
      <c r="A101" s="14">
        <f>94</f>
        <v>94</v>
      </c>
      <c r="B101" s="14" t="str">
        <f>'Master Hunt List'!A94</f>
        <v>No</v>
      </c>
      <c r="C101" s="14" t="str">
        <f>'Master Hunt List'!B94</f>
        <v>B</v>
      </c>
      <c r="D101" s="14" t="str">
        <f>'Master Hunt List'!C94</f>
        <v>Whitetail Deer</v>
      </c>
      <c r="E101" s="14" t="str">
        <f>'Master Hunt List'!D94</f>
        <v>Laguna Atascosa NWR</v>
      </c>
      <c r="F101" s="14" t="str">
        <f>'Master Hunt List'!E94</f>
        <v>South Texas / Rio Grande Valley</v>
      </c>
      <c r="G101" s="14" t="str">
        <f>'Master Hunt List'!F94</f>
        <v>National Refuge Archery Deer</v>
      </c>
      <c r="H101" s="14" t="str">
        <f>'Master Hunt List'!G94</f>
        <v>Yes</v>
      </c>
      <c r="I101" s="14" t="str">
        <f>'Master Hunt List'!H94</f>
        <v>Yes</v>
      </c>
      <c r="J101" s="15" t="str">
        <f>'Master Hunt List'!I94</f>
        <v>2026-09-01</v>
      </c>
      <c r="K101" s="27">
        <f>'Master Hunt List'!K94</f>
        <v>3</v>
      </c>
      <c r="L101" s="14" t="str">
        <f>'Master Hunt List'!AF94</f>
        <v/>
      </c>
      <c r="M101" s="14" t="str">
        <f>'Master Hunt List'!AH94</f>
        <v/>
      </c>
      <c r="N101" s="14" t="str">
        <f>'Master Hunt List'!AI94</f>
        <v/>
      </c>
      <c r="O101" s="61" t="str">
        <f>'Master Hunt List'!V94</f>
        <v>https://tpwd.texas.gov/huntwild/hunt/public/public_hunt_drawing/hunt-category-details.phtml?OCat=NAD</v>
      </c>
    </row>
    <row r="102" ht="15.75" customHeight="1">
      <c r="A102" s="14">
        <f>95</f>
        <v>95</v>
      </c>
      <c r="B102" s="14" t="str">
        <f>'Master Hunt List'!A95</f>
        <v>No</v>
      </c>
      <c r="C102" s="14" t="str">
        <f>'Master Hunt List'!B95</f>
        <v>B</v>
      </c>
      <c r="D102" s="14" t="str">
        <f>'Master Hunt List'!C95</f>
        <v>Whitetail Deer</v>
      </c>
      <c r="E102" s="14" t="str">
        <f>'Master Hunt List'!D95</f>
        <v>Lake Somerville SP - Nails Creek Unit</v>
      </c>
      <c r="F102" s="14" t="str">
        <f>'Master Hunt List'!E95</f>
        <v>Central Texas / Austin</v>
      </c>
      <c r="G102" s="14" t="str">
        <f>'Master Hunt List'!F95</f>
        <v>E-Postcard Archery Deer</v>
      </c>
      <c r="H102" s="14" t="str">
        <f>'Master Hunt List'!G95</f>
        <v>Yes</v>
      </c>
      <c r="I102" s="14" t="str">
        <f>'Master Hunt List'!H95</f>
        <v>Yes</v>
      </c>
      <c r="J102" s="15" t="str">
        <f>'Master Hunt List'!I95</f>
        <v>2026-09-01</v>
      </c>
      <c r="K102" s="27">
        <f>'Master Hunt List'!K95</f>
        <v>0</v>
      </c>
      <c r="L102" s="14" t="str">
        <f>'Master Hunt List'!AF95</f>
        <v/>
      </c>
      <c r="M102" s="14" t="str">
        <f>'Master Hunt List'!AH95</f>
        <v/>
      </c>
      <c r="N102" s="14" t="str">
        <f>'Master Hunt List'!AI95</f>
        <v/>
      </c>
      <c r="O102" s="61" t="str">
        <f>'Master Hunt List'!V95</f>
        <v>https://tpwd.texas.gov/huntwild/hunt/public/public_hunt_drawing/hunt-category-details.phtml?OCat=EAD</v>
      </c>
    </row>
    <row r="103" ht="15.75" customHeight="1">
      <c r="A103" s="14">
        <f>96</f>
        <v>96</v>
      </c>
      <c r="B103" s="14" t="str">
        <f>'Master Hunt List'!A96</f>
        <v>No</v>
      </c>
      <c r="C103" s="14" t="str">
        <f>'Master Hunt List'!B96</f>
        <v>A</v>
      </c>
      <c r="D103" s="14" t="str">
        <f>'Master Hunt List'!C96</f>
        <v>Whitetail Deer</v>
      </c>
      <c r="E103" s="14" t="str">
        <f>'Master Hunt List'!D96</f>
        <v>Lipscomb County Ranch</v>
      </c>
      <c r="F103" s="14" t="str">
        <f>'Master Hunt List'!E96</f>
        <v>Panhandle / Rolling Plains</v>
      </c>
      <c r="G103" s="14" t="str">
        <f>'Master Hunt List'!F96</f>
        <v>Private Lands - Either Sex</v>
      </c>
      <c r="H103" s="14" t="str">
        <f>'Master Hunt List'!G96</f>
        <v>Yes</v>
      </c>
      <c r="I103" s="14" t="str">
        <f>'Master Hunt List'!H96</f>
        <v>Yes</v>
      </c>
      <c r="J103" s="15" t="str">
        <f>'Master Hunt List'!I96</f>
        <v>2026-09-01</v>
      </c>
      <c r="K103" s="27">
        <f>'Master Hunt List'!K96</f>
        <v>10</v>
      </c>
      <c r="L103" s="14" t="str">
        <f>'Master Hunt List'!AF96</f>
        <v/>
      </c>
      <c r="M103" s="14" t="str">
        <f>'Master Hunt List'!AH96</f>
        <v/>
      </c>
      <c r="N103" s="14" t="str">
        <f>'Master Hunt List'!AI96</f>
        <v/>
      </c>
      <c r="O103" s="61" t="str">
        <f>'Master Hunt List'!V96</f>
        <v>https://tpwd.texas.gov/huntwild/hunt/public/public_hunt_drawing/hunt-category-details.phtml?OCat=PLE</v>
      </c>
    </row>
    <row r="104" ht="15.75" customHeight="1">
      <c r="A104" s="14">
        <f>97</f>
        <v>97</v>
      </c>
      <c r="B104" s="14" t="str">
        <f>'Master Hunt List'!A97</f>
        <v>No</v>
      </c>
      <c r="C104" s="14" t="str">
        <f>'Master Hunt List'!B97</f>
        <v>B</v>
      </c>
      <c r="D104" s="14" t="str">
        <f>'Master Hunt List'!C97</f>
        <v>Whitetail Deer</v>
      </c>
      <c r="E104" s="14" t="str">
        <f>'Master Hunt List'!D97</f>
        <v>Lower Rio Grande NWR - Schaleben</v>
      </c>
      <c r="F104" s="14" t="str">
        <f>'Master Hunt List'!E97</f>
        <v>South Texas / Rio Grande Valley</v>
      </c>
      <c r="G104" s="14" t="str">
        <f>'Master Hunt List'!F97</f>
        <v>National Refuge Archery Deer</v>
      </c>
      <c r="H104" s="14" t="str">
        <f>'Master Hunt List'!G97</f>
        <v>Yes</v>
      </c>
      <c r="I104" s="14" t="str">
        <f>'Master Hunt List'!H97</f>
        <v>Yes</v>
      </c>
      <c r="J104" s="15" t="str">
        <f>'Master Hunt List'!I97</f>
        <v>2026-09-01</v>
      </c>
      <c r="K104" s="27">
        <f>'Master Hunt List'!K97</f>
        <v>3</v>
      </c>
      <c r="L104" s="14" t="str">
        <f>'Master Hunt List'!AF97</f>
        <v/>
      </c>
      <c r="M104" s="14" t="str">
        <f>'Master Hunt List'!AH97</f>
        <v/>
      </c>
      <c r="N104" s="14" t="str">
        <f>'Master Hunt List'!AI97</f>
        <v/>
      </c>
      <c r="O104" s="61" t="str">
        <f>'Master Hunt List'!V97</f>
        <v>https://tpwd.texas.gov/huntwild/hunt/public/public_hunt_drawing/hunt-category-details.phtml?OCat=NAD</v>
      </c>
    </row>
    <row r="105" ht="15.75" customHeight="1">
      <c r="A105" s="14">
        <f>98</f>
        <v>98</v>
      </c>
      <c r="B105" s="14" t="str">
        <f>'Master Hunt List'!A98</f>
        <v>No</v>
      </c>
      <c r="C105" s="14" t="str">
        <f>'Master Hunt List'!B98</f>
        <v>B</v>
      </c>
      <c r="D105" s="14" t="str">
        <f>'Master Hunt List'!C98</f>
        <v>Whitetail Deer</v>
      </c>
      <c r="E105" s="14" t="str">
        <f>'Master Hunt List'!D98</f>
        <v>Lower Rio Grande Valley NWR - Teniente</v>
      </c>
      <c r="F105" s="14" t="str">
        <f>'Master Hunt List'!E98</f>
        <v>South Texas / Rio Grande Valley</v>
      </c>
      <c r="G105" s="14" t="str">
        <f>'Master Hunt List'!F98</f>
        <v>National Refuge Archery Deer</v>
      </c>
      <c r="H105" s="14" t="str">
        <f>'Master Hunt List'!G98</f>
        <v>Yes</v>
      </c>
      <c r="I105" s="14" t="str">
        <f>'Master Hunt List'!H98</f>
        <v>Yes</v>
      </c>
      <c r="J105" s="15" t="str">
        <f>'Master Hunt List'!I98</f>
        <v>2026-09-01</v>
      </c>
      <c r="K105" s="27">
        <f>'Master Hunt List'!K98</f>
        <v>3</v>
      </c>
      <c r="L105" s="14" t="str">
        <f>'Master Hunt List'!AF98</f>
        <v/>
      </c>
      <c r="M105" s="14" t="str">
        <f>'Master Hunt List'!AH98</f>
        <v/>
      </c>
      <c r="N105" s="14" t="str">
        <f>'Master Hunt List'!AI98</f>
        <v/>
      </c>
      <c r="O105" s="61" t="str">
        <f>'Master Hunt List'!V98</f>
        <v>https://tpwd.texas.gov/huntwild/hunt/public/public_hunt_drawing/hunt-category-details.phtml?OCat=NAD</v>
      </c>
    </row>
    <row r="106" ht="15.75" customHeight="1">
      <c r="A106" s="14">
        <f>99</f>
        <v>99</v>
      </c>
      <c r="B106" s="14" t="str">
        <f>'Master Hunt List'!A99</f>
        <v>No</v>
      </c>
      <c r="C106" s="14" t="str">
        <f>'Master Hunt List'!B99</f>
        <v>A</v>
      </c>
      <c r="D106" s="14" t="str">
        <f>'Master Hunt List'!C99</f>
        <v>Whitetail Deer</v>
      </c>
      <c r="E106" s="14" t="str">
        <f>'Master Hunt List'!D99</f>
        <v>Muleshoe NWR</v>
      </c>
      <c r="F106" s="14" t="str">
        <f>'Master Hunt List'!E99</f>
        <v>Panhandle / Rolling Plains</v>
      </c>
      <c r="G106" s="14" t="str">
        <f>'Master Hunt List'!F99</f>
        <v>National Refuge Archery Deer</v>
      </c>
      <c r="H106" s="14" t="str">
        <f>'Master Hunt List'!G99</f>
        <v>Yes</v>
      </c>
      <c r="I106" s="14" t="str">
        <f>'Master Hunt List'!H99</f>
        <v>Yes</v>
      </c>
      <c r="J106" s="15" t="str">
        <f>'Master Hunt List'!I99</f>
        <v>2026-09-01</v>
      </c>
      <c r="K106" s="27">
        <f>'Master Hunt List'!K99</f>
        <v>3</v>
      </c>
      <c r="L106" s="14" t="str">
        <f>'Master Hunt List'!AF99</f>
        <v/>
      </c>
      <c r="M106" s="14" t="str">
        <f>'Master Hunt List'!AH99</f>
        <v/>
      </c>
      <c r="N106" s="14" t="str">
        <f>'Master Hunt List'!AI99</f>
        <v/>
      </c>
      <c r="O106" s="61" t="str">
        <f>'Master Hunt List'!V99</f>
        <v>https://tpwd.texas.gov/huntwild/hunt/public/public_hunt_drawing/hunt-category-details.phtml?OCat=NAD</v>
      </c>
    </row>
    <row r="107" ht="15.75" customHeight="1">
      <c r="A107" s="14">
        <f>100</f>
        <v>100</v>
      </c>
      <c r="B107" s="14" t="str">
        <f>'Master Hunt List'!A100</f>
        <v>No</v>
      </c>
      <c r="C107" s="14" t="str">
        <f>'Master Hunt List'!B100</f>
        <v>B</v>
      </c>
      <c r="D107" s="14" t="str">
        <f>'Master Hunt List'!C100</f>
        <v>Whitetail Deer</v>
      </c>
      <c r="E107" s="14" t="str">
        <f>'Master Hunt List'!D100</f>
        <v>Neches River NWR - Dead Water Unit</v>
      </c>
      <c r="F107" s="14" t="str">
        <f>'Master Hunt List'!E100</f>
        <v>East Texas / Pineywoods</v>
      </c>
      <c r="G107" s="14" t="str">
        <f>'Master Hunt List'!F100</f>
        <v>National Refuge Archery Deer</v>
      </c>
      <c r="H107" s="14" t="str">
        <f>'Master Hunt List'!G100</f>
        <v>Yes</v>
      </c>
      <c r="I107" s="14" t="str">
        <f>'Master Hunt List'!H100</f>
        <v>Yes</v>
      </c>
      <c r="J107" s="15" t="str">
        <f>'Master Hunt List'!I100</f>
        <v>2026-09-01</v>
      </c>
      <c r="K107" s="27">
        <f>'Master Hunt List'!K100</f>
        <v>3</v>
      </c>
      <c r="L107" s="14" t="str">
        <f>'Master Hunt List'!AF100</f>
        <v/>
      </c>
      <c r="M107" s="14" t="str">
        <f>'Master Hunt List'!AH100</f>
        <v/>
      </c>
      <c r="N107" s="14" t="str">
        <f>'Master Hunt List'!AI100</f>
        <v/>
      </c>
      <c r="O107" s="61" t="str">
        <f>'Master Hunt List'!V100</f>
        <v>https://tpwd.texas.gov/huntwild/hunt/public/public_hunt_drawing/hunt-category-details.phtml?OCat=NAD</v>
      </c>
    </row>
    <row r="108" ht="15.75" customHeight="1">
      <c r="A108" s="14">
        <f>101</f>
        <v>101</v>
      </c>
      <c r="B108" s="14" t="str">
        <f>'Master Hunt List'!A101</f>
        <v>No</v>
      </c>
      <c r="C108" s="14" t="str">
        <f>'Master Hunt List'!B101</f>
        <v>B</v>
      </c>
      <c r="D108" s="14" t="str">
        <f>'Master Hunt List'!C101</f>
        <v>Whitetail Deer</v>
      </c>
      <c r="E108" s="14" t="str">
        <f>'Master Hunt List'!D101</f>
        <v>Neches River NWR - Rocky Point Unit</v>
      </c>
      <c r="F108" s="14" t="str">
        <f>'Master Hunt List'!E101</f>
        <v>East Texas / Pineywoods</v>
      </c>
      <c r="G108" s="14" t="str">
        <f>'Master Hunt List'!F101</f>
        <v>National Refuge Archery Deer</v>
      </c>
      <c r="H108" s="14" t="str">
        <f>'Master Hunt List'!G101</f>
        <v>Yes</v>
      </c>
      <c r="I108" s="14" t="str">
        <f>'Master Hunt List'!H101</f>
        <v>Yes</v>
      </c>
      <c r="J108" s="15" t="str">
        <f>'Master Hunt List'!I101</f>
        <v>2026-09-01</v>
      </c>
      <c r="K108" s="27">
        <f>'Master Hunt List'!K101</f>
        <v>3</v>
      </c>
      <c r="L108" s="14" t="str">
        <f>'Master Hunt List'!AF101</f>
        <v/>
      </c>
      <c r="M108" s="14" t="str">
        <f>'Master Hunt List'!AH101</f>
        <v/>
      </c>
      <c r="N108" s="14" t="str">
        <f>'Master Hunt List'!AI101</f>
        <v/>
      </c>
      <c r="O108" s="61" t="str">
        <f>'Master Hunt List'!V101</f>
        <v>https://tpwd.texas.gov/huntwild/hunt/public/public_hunt_drawing/hunt-category-details.phtml?OCat=NAD</v>
      </c>
    </row>
    <row r="109" ht="15.75" customHeight="1">
      <c r="A109" s="14">
        <f>102</f>
        <v>102</v>
      </c>
      <c r="B109" s="14" t="str">
        <f>'Master Hunt List'!A102</f>
        <v>No</v>
      </c>
      <c r="C109" s="14" t="str">
        <f>'Master Hunt List'!B102</f>
        <v>B</v>
      </c>
      <c r="D109" s="14" t="str">
        <f>'Master Hunt List'!C102</f>
        <v>Whitetail Deer</v>
      </c>
      <c r="E109" s="14" t="str">
        <f>'Master Hunt List'!D102</f>
        <v>Neches River NWR - Sandy Bluff Unit</v>
      </c>
      <c r="F109" s="14" t="str">
        <f>'Master Hunt List'!E102</f>
        <v>East Texas / Pineywoods</v>
      </c>
      <c r="G109" s="14" t="str">
        <f>'Master Hunt List'!F102</f>
        <v>National Refuge Archery Deer</v>
      </c>
      <c r="H109" s="14" t="str">
        <f>'Master Hunt List'!G102</f>
        <v>Yes</v>
      </c>
      <c r="I109" s="14" t="str">
        <f>'Master Hunt List'!H102</f>
        <v>Yes</v>
      </c>
      <c r="J109" s="15" t="str">
        <f>'Master Hunt List'!I102</f>
        <v>2026-09-01</v>
      </c>
      <c r="K109" s="27">
        <f>'Master Hunt List'!K102</f>
        <v>3</v>
      </c>
      <c r="L109" s="14" t="str">
        <f>'Master Hunt List'!AF102</f>
        <v/>
      </c>
      <c r="M109" s="14" t="str">
        <f>'Master Hunt List'!AH102</f>
        <v/>
      </c>
      <c r="N109" s="14" t="str">
        <f>'Master Hunt List'!AI102</f>
        <v/>
      </c>
      <c r="O109" s="61" t="str">
        <f>'Master Hunt List'!V102</f>
        <v>https://tpwd.texas.gov/huntwild/hunt/public/public_hunt_drawing/hunt-category-details.phtml?OCat=NAD</v>
      </c>
    </row>
    <row r="110" ht="15.75" customHeight="1">
      <c r="A110" s="14">
        <f>103</f>
        <v>103</v>
      </c>
      <c r="B110" s="14" t="str">
        <f>'Master Hunt List'!A103</f>
        <v>No</v>
      </c>
      <c r="C110" s="14" t="str">
        <f>'Master Hunt List'!B103</f>
        <v>B</v>
      </c>
      <c r="D110" s="14" t="str">
        <f>'Master Hunt List'!C103</f>
        <v>Whitetail Deer</v>
      </c>
      <c r="E110" s="14" t="str">
        <f>'Master Hunt List'!D103</f>
        <v>Neches River NWR - Walnut Branch Unit</v>
      </c>
      <c r="F110" s="14" t="str">
        <f>'Master Hunt List'!E103</f>
        <v>East Texas / Pineywoods</v>
      </c>
      <c r="G110" s="14" t="str">
        <f>'Master Hunt List'!F103</f>
        <v>National Refuge Archery Deer</v>
      </c>
      <c r="H110" s="14" t="str">
        <f>'Master Hunt List'!G103</f>
        <v>Yes</v>
      </c>
      <c r="I110" s="14" t="str">
        <f>'Master Hunt List'!H103</f>
        <v>Yes</v>
      </c>
      <c r="J110" s="15" t="str">
        <f>'Master Hunt List'!I103</f>
        <v>2026-09-01</v>
      </c>
      <c r="K110" s="27">
        <f>'Master Hunt List'!K103</f>
        <v>3</v>
      </c>
      <c r="L110" s="14" t="str">
        <f>'Master Hunt List'!AF103</f>
        <v/>
      </c>
      <c r="M110" s="14" t="str">
        <f>'Master Hunt List'!AH103</f>
        <v/>
      </c>
      <c r="N110" s="14" t="str">
        <f>'Master Hunt List'!AI103</f>
        <v/>
      </c>
      <c r="O110" s="61" t="str">
        <f>'Master Hunt List'!V103</f>
        <v>https://tpwd.texas.gov/huntwild/hunt/public/public_hunt_drawing/hunt-category-details.phtml?OCat=NAD</v>
      </c>
    </row>
    <row r="111" ht="15.75" customHeight="1">
      <c r="A111" s="14">
        <f>104</f>
        <v>104</v>
      </c>
      <c r="B111" s="14" t="str">
        <f>'Master Hunt List'!A104</f>
        <v>No</v>
      </c>
      <c r="C111" s="14" t="str">
        <f>'Master Hunt List'!B104</f>
        <v>A</v>
      </c>
      <c r="D111" s="14" t="str">
        <f>'Master Hunt List'!C104</f>
        <v>Whitetail Deer</v>
      </c>
      <c r="E111" s="14" t="str">
        <f>'Master Hunt List'!D104</f>
        <v>Pecos County Ranch</v>
      </c>
      <c r="F111" s="14" t="str">
        <f>'Master Hunt List'!E104</f>
        <v>Trans-Pecos / West Texas</v>
      </c>
      <c r="G111" s="14" t="str">
        <f>'Master Hunt List'!F104</f>
        <v>Private Lands - Either Sex</v>
      </c>
      <c r="H111" s="14" t="str">
        <f>'Master Hunt List'!G104</f>
        <v>Yes</v>
      </c>
      <c r="I111" s="14" t="str">
        <f>'Master Hunt List'!H104</f>
        <v>Yes</v>
      </c>
      <c r="J111" s="15" t="str">
        <f>'Master Hunt List'!I104</f>
        <v>2026-09-01</v>
      </c>
      <c r="K111" s="27">
        <f>'Master Hunt List'!K104</f>
        <v>10</v>
      </c>
      <c r="L111" s="14" t="str">
        <f>'Master Hunt List'!AF104</f>
        <v/>
      </c>
      <c r="M111" s="14" t="str">
        <f>'Master Hunt List'!AH104</f>
        <v/>
      </c>
      <c r="N111" s="14" t="str">
        <f>'Master Hunt List'!AI104</f>
        <v/>
      </c>
      <c r="O111" s="61" t="str">
        <f>'Master Hunt List'!V104</f>
        <v>https://tpwd.texas.gov/huntwild/hunt/public/public_hunt_drawing/hunt-category-details.phtml?OCat=PLE</v>
      </c>
    </row>
    <row r="112" ht="15.75" customHeight="1">
      <c r="A112" s="14">
        <f>105</f>
        <v>105</v>
      </c>
      <c r="B112" s="14" t="str">
        <f>'Master Hunt List'!A105</f>
        <v>No</v>
      </c>
      <c r="C112" s="14" t="str">
        <f>'Master Hunt List'!B105</f>
        <v>A</v>
      </c>
      <c r="D112" s="14" t="str">
        <f>'Master Hunt List'!C105</f>
        <v>Whitetail Deer</v>
      </c>
      <c r="E112" s="14" t="str">
        <f>'Master Hunt List'!D105</f>
        <v>Travis County Ranch</v>
      </c>
      <c r="F112" s="14" t="str">
        <f>'Master Hunt List'!E105</f>
        <v>Central Texas / Austin</v>
      </c>
      <c r="G112" s="14" t="str">
        <f>'Master Hunt List'!F105</f>
        <v>Private Lands - Antlerless/Spike</v>
      </c>
      <c r="H112" s="14" t="str">
        <f>'Master Hunt List'!G105</f>
        <v>Yes</v>
      </c>
      <c r="I112" s="14" t="str">
        <f>'Master Hunt List'!H105</f>
        <v>Yes</v>
      </c>
      <c r="J112" s="15" t="str">
        <f>'Master Hunt List'!I105</f>
        <v>2026-09-01</v>
      </c>
      <c r="K112" s="27">
        <f>'Master Hunt List'!K105</f>
        <v>10</v>
      </c>
      <c r="L112" s="14" t="str">
        <f>'Master Hunt List'!AF105</f>
        <v/>
      </c>
      <c r="M112" s="14" t="str">
        <f>'Master Hunt List'!AH105</f>
        <v/>
      </c>
      <c r="N112" s="14" t="str">
        <f>'Master Hunt List'!AI105</f>
        <v/>
      </c>
      <c r="O112" s="61" t="str">
        <f>'Master Hunt List'!V105</f>
        <v>https://tpwd.texas.gov/huntwild/hunt/public/public_hunt_drawing/hunt-category-details.phtml?OCat=PLA</v>
      </c>
    </row>
    <row r="113" ht="15.75" customHeight="1">
      <c r="A113" s="14">
        <f>106</f>
        <v>106</v>
      </c>
      <c r="B113" s="14" t="str">
        <f>'Master Hunt List'!A106</f>
        <v>No</v>
      </c>
      <c r="C113" s="14" t="str">
        <f>'Master Hunt List'!B106</f>
        <v>A</v>
      </c>
      <c r="D113" s="14" t="str">
        <f>'Master Hunt List'!C106</f>
        <v>Whitetail Deer</v>
      </c>
      <c r="E113" s="14" t="str">
        <f>'Master Hunt List'!D106</f>
        <v>Travis County Ranch</v>
      </c>
      <c r="F113" s="14" t="str">
        <f>'Master Hunt List'!E106</f>
        <v>Central Texas / Austin</v>
      </c>
      <c r="G113" s="14" t="str">
        <f>'Master Hunt List'!F106</f>
        <v>Private Lands - Either Sex</v>
      </c>
      <c r="H113" s="14" t="str">
        <f>'Master Hunt List'!G106</f>
        <v>Yes</v>
      </c>
      <c r="I113" s="14" t="str">
        <f>'Master Hunt List'!H106</f>
        <v>Yes</v>
      </c>
      <c r="J113" s="15" t="str">
        <f>'Master Hunt List'!I106</f>
        <v>2026-09-01</v>
      </c>
      <c r="K113" s="27">
        <f>'Master Hunt List'!K106</f>
        <v>10</v>
      </c>
      <c r="L113" s="14" t="str">
        <f>'Master Hunt List'!AF106</f>
        <v/>
      </c>
      <c r="M113" s="14" t="str">
        <f>'Master Hunt List'!AH106</f>
        <v/>
      </c>
      <c r="N113" s="14" t="str">
        <f>'Master Hunt List'!AI106</f>
        <v/>
      </c>
      <c r="O113" s="61" t="str">
        <f>'Master Hunt List'!V106</f>
        <v>https://tpwd.texas.gov/huntwild/hunt/public/public_hunt_drawing/hunt-category-details.phtml?OCat=PLE</v>
      </c>
    </row>
    <row r="114" ht="15.75" customHeight="1">
      <c r="A114" s="14">
        <f>107</f>
        <v>107</v>
      </c>
      <c r="B114" s="14" t="str">
        <f>'Master Hunt List'!A107</f>
        <v>No</v>
      </c>
      <c r="C114" s="14" t="str">
        <f>'Master Hunt List'!B107</f>
        <v>B</v>
      </c>
      <c r="D114" s="14" t="str">
        <f>'Master Hunt List'!C107</f>
        <v>Whitetail Deer</v>
      </c>
      <c r="E114" s="14" t="str">
        <f>'Master Hunt List'!D107</f>
        <v>Trinity River NWR - Brierwood</v>
      </c>
      <c r="F114" s="14" t="str">
        <f>'Master Hunt List'!E107</f>
        <v>East Texas / Pineywoods</v>
      </c>
      <c r="G114" s="14" t="str">
        <f>'Master Hunt List'!F107</f>
        <v>National Refuge Archery Deer</v>
      </c>
      <c r="H114" s="14" t="str">
        <f>'Master Hunt List'!G107</f>
        <v>Yes</v>
      </c>
      <c r="I114" s="14" t="str">
        <f>'Master Hunt List'!H107</f>
        <v>Yes</v>
      </c>
      <c r="J114" s="15" t="str">
        <f>'Master Hunt List'!I107</f>
        <v>2026-09-01</v>
      </c>
      <c r="K114" s="27">
        <f>'Master Hunt List'!K107</f>
        <v>3</v>
      </c>
      <c r="L114" s="14" t="str">
        <f>'Master Hunt List'!AF107</f>
        <v/>
      </c>
      <c r="M114" s="14" t="str">
        <f>'Master Hunt List'!AH107</f>
        <v/>
      </c>
      <c r="N114" s="14" t="str">
        <f>'Master Hunt List'!AI107</f>
        <v/>
      </c>
      <c r="O114" s="61" t="str">
        <f>'Master Hunt List'!V107</f>
        <v>https://tpwd.texas.gov/huntwild/hunt/public/public_hunt_drawing/hunt-category-details.phtml?OCat=NAD</v>
      </c>
    </row>
    <row r="115" ht="15.75" customHeight="1">
      <c r="A115" s="14">
        <f>108</f>
        <v>108</v>
      </c>
      <c r="B115" s="14" t="str">
        <f>'Master Hunt List'!A108</f>
        <v>No</v>
      </c>
      <c r="C115" s="14" t="str">
        <f>'Master Hunt List'!B108</f>
        <v>B</v>
      </c>
      <c r="D115" s="14" t="str">
        <f>'Master Hunt List'!C108</f>
        <v>Whitetail Deer</v>
      </c>
      <c r="E115" s="14" t="str">
        <f>'Master Hunt List'!D108</f>
        <v>Trinity River NWR - Hirsch</v>
      </c>
      <c r="F115" s="14" t="str">
        <f>'Master Hunt List'!E108</f>
        <v>East Texas / Pineywoods</v>
      </c>
      <c r="G115" s="14" t="str">
        <f>'Master Hunt List'!F108</f>
        <v>National Refuge Archery Deer</v>
      </c>
      <c r="H115" s="14" t="str">
        <f>'Master Hunt List'!G108</f>
        <v>Yes</v>
      </c>
      <c r="I115" s="14" t="str">
        <f>'Master Hunt List'!H108</f>
        <v>Yes</v>
      </c>
      <c r="J115" s="15" t="str">
        <f>'Master Hunt List'!I108</f>
        <v>2026-09-01</v>
      </c>
      <c r="K115" s="27">
        <f>'Master Hunt List'!K108</f>
        <v>3</v>
      </c>
      <c r="L115" s="14" t="str">
        <f>'Master Hunt List'!AF108</f>
        <v/>
      </c>
      <c r="M115" s="14" t="str">
        <f>'Master Hunt List'!AH108</f>
        <v/>
      </c>
      <c r="N115" s="14" t="str">
        <f>'Master Hunt List'!AI108</f>
        <v/>
      </c>
      <c r="O115" s="61" t="str">
        <f>'Master Hunt List'!V108</f>
        <v>https://tpwd.texas.gov/huntwild/hunt/public/public_hunt_drawing/hunt-category-details.phtml?OCat=NAD</v>
      </c>
    </row>
    <row r="116" ht="15.75" customHeight="1">
      <c r="A116" s="14">
        <f>109</f>
        <v>109</v>
      </c>
      <c r="B116" s="14" t="str">
        <f>'Master Hunt List'!A109</f>
        <v>No</v>
      </c>
      <c r="C116" s="14" t="str">
        <f>'Master Hunt List'!B109</f>
        <v>A</v>
      </c>
      <c r="D116" s="14" t="str">
        <f>'Master Hunt List'!C109</f>
        <v>Mule Deer</v>
      </c>
      <c r="E116" s="14" t="str">
        <f>'Master Hunt List'!D109</f>
        <v>Elephant Mountain WMA</v>
      </c>
      <c r="F116" s="14" t="str">
        <f>'Master Hunt List'!E109</f>
        <v>Trans-Pecos / West Texas</v>
      </c>
      <c r="G116" s="14" t="str">
        <f>'Master Hunt List'!F109</f>
        <v>Youth Gun Deer - Management</v>
      </c>
      <c r="H116" s="14" t="str">
        <f>'Master Hunt List'!G109</f>
        <v>No</v>
      </c>
      <c r="I116" s="14" t="str">
        <f>'Master Hunt List'!H109</f>
        <v>Yes</v>
      </c>
      <c r="J116" s="15" t="str">
        <f>'Master Hunt List'!I109</f>
        <v>2026-09-15</v>
      </c>
      <c r="K116" s="27">
        <f>'Master Hunt List'!K109</f>
        <v>0</v>
      </c>
      <c r="L116" s="14" t="str">
        <f>'Master Hunt List'!AF109</f>
        <v/>
      </c>
      <c r="M116" s="14" t="str">
        <f>'Master Hunt List'!AH109</f>
        <v/>
      </c>
      <c r="N116" s="14" t="str">
        <f>'Master Hunt List'!AI109</f>
        <v/>
      </c>
      <c r="O116" s="61" t="str">
        <f>'Master Hunt List'!V109</f>
        <v>https://tpwd.texas.gov/huntwild/hunt/public/public_hunt_drawing/hunt-category-details.phtml?OCat=YDM</v>
      </c>
    </row>
    <row r="117" ht="15.75" customHeight="1">
      <c r="A117" s="14">
        <f>110</f>
        <v>110</v>
      </c>
      <c r="B117" s="14" t="str">
        <f>'Master Hunt List'!A110</f>
        <v>No</v>
      </c>
      <c r="C117" s="14" t="str">
        <f>'Master Hunt List'!B110</f>
        <v>A</v>
      </c>
      <c r="D117" s="14" t="str">
        <f>'Master Hunt List'!C110</f>
        <v>Mule Deer</v>
      </c>
      <c r="E117" s="14" t="str">
        <f>'Master Hunt List'!D110</f>
        <v>Sierra Diablo WMA</v>
      </c>
      <c r="F117" s="14" t="str">
        <f>'Master Hunt List'!E110</f>
        <v>Trans-Pecos / West Texas</v>
      </c>
      <c r="G117" s="14" t="str">
        <f>'Master Hunt List'!F110</f>
        <v>Youth Gun Deer - Management</v>
      </c>
      <c r="H117" s="14" t="str">
        <f>'Master Hunt List'!G110</f>
        <v>No</v>
      </c>
      <c r="I117" s="14" t="str">
        <f>'Master Hunt List'!H110</f>
        <v>Yes</v>
      </c>
      <c r="J117" s="15" t="str">
        <f>'Master Hunt List'!I110</f>
        <v>2026-09-15</v>
      </c>
      <c r="K117" s="27">
        <f>'Master Hunt List'!K110</f>
        <v>0</v>
      </c>
      <c r="L117" s="14" t="str">
        <f>'Master Hunt List'!AF110</f>
        <v/>
      </c>
      <c r="M117" s="14" t="str">
        <f>'Master Hunt List'!AH110</f>
        <v/>
      </c>
      <c r="N117" s="14" t="str">
        <f>'Master Hunt List'!AI110</f>
        <v/>
      </c>
      <c r="O117" s="61" t="str">
        <f>'Master Hunt List'!V110</f>
        <v>https://tpwd.texas.gov/huntwild/hunt/public/public_hunt_drawing/hunt-category-details.phtml?OCat=YDM</v>
      </c>
    </row>
    <row r="118" ht="15.75" customHeight="1">
      <c r="A118" s="14">
        <f>111</f>
        <v>111</v>
      </c>
      <c r="B118" s="14" t="str">
        <f>'Master Hunt List'!A111</f>
        <v>No</v>
      </c>
      <c r="C118" s="14" t="str">
        <f>'Master Hunt List'!B111</f>
        <v>A</v>
      </c>
      <c r="D118" s="14" t="str">
        <f>'Master Hunt List'!C111</f>
        <v>Mule Deer</v>
      </c>
      <c r="E118" s="14" t="str">
        <f>'Master Hunt List'!D111</f>
        <v>Yoakum Dunes WMA</v>
      </c>
      <c r="F118" s="14" t="str">
        <f>'Master Hunt List'!E111</f>
        <v>Panhandle / Rolling Plains</v>
      </c>
      <c r="G118" s="14" t="str">
        <f>'Master Hunt List'!F111</f>
        <v>Youth Gun Deer - Management</v>
      </c>
      <c r="H118" s="14" t="str">
        <f>'Master Hunt List'!G111</f>
        <v>No</v>
      </c>
      <c r="I118" s="14" t="str">
        <f>'Master Hunt List'!H111</f>
        <v>Yes</v>
      </c>
      <c r="J118" s="15" t="str">
        <f>'Master Hunt List'!I111</f>
        <v>2026-09-15</v>
      </c>
      <c r="K118" s="27">
        <f>'Master Hunt List'!K111</f>
        <v>0</v>
      </c>
      <c r="L118" s="14" t="str">
        <f>'Master Hunt List'!AF111</f>
        <v/>
      </c>
      <c r="M118" s="14" t="str">
        <f>'Master Hunt List'!AH111</f>
        <v/>
      </c>
      <c r="N118" s="14" t="str">
        <f>'Master Hunt List'!AI111</f>
        <v/>
      </c>
      <c r="O118" s="61" t="str">
        <f>'Master Hunt List'!V111</f>
        <v>https://tpwd.texas.gov/huntwild/hunt/public/public_hunt_drawing/hunt-category-details.phtml?OCat=YDM</v>
      </c>
    </row>
    <row r="119" ht="15.75" customHeight="1">
      <c r="A119" s="14">
        <f>112</f>
        <v>112</v>
      </c>
      <c r="B119" s="14" t="str">
        <f>'Master Hunt List'!A112</f>
        <v>No</v>
      </c>
      <c r="C119" s="14" t="str">
        <f>'Master Hunt List'!B112</f>
        <v>A</v>
      </c>
      <c r="D119" s="14" t="str">
        <f>'Master Hunt List'!C112</f>
        <v>Whitetail Deer</v>
      </c>
      <c r="E119" s="14" t="str">
        <f>'Master Hunt List'!D112</f>
        <v>Alabama Creek WMA</v>
      </c>
      <c r="F119" s="14" t="str">
        <f>'Master Hunt List'!E112</f>
        <v>East Texas / Pineywoods</v>
      </c>
      <c r="G119" s="14" t="str">
        <f>'Master Hunt List'!F112</f>
        <v>USFS Antlerless Deer Permit - Youth</v>
      </c>
      <c r="H119" s="14" t="str">
        <f>'Master Hunt List'!G112</f>
        <v>No</v>
      </c>
      <c r="I119" s="14" t="str">
        <f>'Master Hunt List'!H112</f>
        <v>Yes</v>
      </c>
      <c r="J119" s="15" t="str">
        <f>'Master Hunt List'!I112</f>
        <v>2026-09-15</v>
      </c>
      <c r="K119" s="27">
        <f>'Master Hunt List'!K112</f>
        <v>0</v>
      </c>
      <c r="L119" s="14" t="str">
        <f>'Master Hunt List'!AF112</f>
        <v/>
      </c>
      <c r="M119" s="14" t="str">
        <f>'Master Hunt List'!AH112</f>
        <v/>
      </c>
      <c r="N119" s="14" t="str">
        <f>'Master Hunt List'!AI112</f>
        <v/>
      </c>
      <c r="O119" s="61" t="str">
        <f>'Master Hunt List'!V112</f>
        <v>https://tpwd.texas.gov/huntwild/hunt/public/public_hunt_drawing/hunt-category-details.phtml?OCat=FSY</v>
      </c>
    </row>
    <row r="120" ht="15.75" customHeight="1">
      <c r="A120" s="14">
        <f>113</f>
        <v>113</v>
      </c>
      <c r="B120" s="14" t="str">
        <f>'Master Hunt List'!A113</f>
        <v>No</v>
      </c>
      <c r="C120" s="14" t="str">
        <f>'Master Hunt List'!B113</f>
        <v>A</v>
      </c>
      <c r="D120" s="14" t="str">
        <f>'Master Hunt List'!C113</f>
        <v>Whitetail Deer</v>
      </c>
      <c r="E120" s="14" t="str">
        <f>'Master Hunt List'!D113</f>
        <v>Alabama Creek WMA</v>
      </c>
      <c r="F120" s="14" t="str">
        <f>'Master Hunt List'!E113</f>
        <v>East Texas / Pineywoods</v>
      </c>
      <c r="G120" s="14" t="str">
        <f>'Master Hunt List'!F113</f>
        <v>USFS Buck Deer Permit - Youth</v>
      </c>
      <c r="H120" s="14" t="str">
        <f>'Master Hunt List'!G113</f>
        <v>No</v>
      </c>
      <c r="I120" s="14" t="str">
        <f>'Master Hunt List'!H113</f>
        <v>Yes</v>
      </c>
      <c r="J120" s="15" t="str">
        <f>'Master Hunt List'!I113</f>
        <v>2026-09-15</v>
      </c>
      <c r="K120" s="27">
        <f>'Master Hunt List'!K113</f>
        <v>0</v>
      </c>
      <c r="L120" s="14" t="str">
        <f>'Master Hunt List'!AF113</f>
        <v/>
      </c>
      <c r="M120" s="14" t="str">
        <f>'Master Hunt List'!AH113</f>
        <v/>
      </c>
      <c r="N120" s="14" t="str">
        <f>'Master Hunt List'!AI113</f>
        <v/>
      </c>
      <c r="O120" s="61" t="str">
        <f>'Master Hunt List'!V113</f>
        <v>https://tpwd.texas.gov/huntwild/hunt/public/public_hunt_drawing/hunt-category-details.phtml?OCat=FBY</v>
      </c>
    </row>
    <row r="121" ht="15.75" customHeight="1">
      <c r="A121" s="14">
        <f>114</f>
        <v>114</v>
      </c>
      <c r="B121" s="14" t="str">
        <f>'Master Hunt List'!A114</f>
        <v>No</v>
      </c>
      <c r="C121" s="14" t="str">
        <f>'Master Hunt List'!B114</f>
        <v>A</v>
      </c>
      <c r="D121" s="14" t="str">
        <f>'Master Hunt List'!C114</f>
        <v>Whitetail Deer</v>
      </c>
      <c r="E121" s="14" t="str">
        <f>'Master Hunt List'!D114</f>
        <v>Bannister WMA</v>
      </c>
      <c r="F121" s="14" t="str">
        <f>'Master Hunt List'!E114</f>
        <v>East Texas / Pineywoods</v>
      </c>
      <c r="G121" s="14" t="str">
        <f>'Master Hunt List'!F114</f>
        <v>USFS Antlerless Deer Permit - Youth</v>
      </c>
      <c r="H121" s="14" t="str">
        <f>'Master Hunt List'!G114</f>
        <v>No</v>
      </c>
      <c r="I121" s="14" t="str">
        <f>'Master Hunt List'!H114</f>
        <v>Yes</v>
      </c>
      <c r="J121" s="15" t="str">
        <f>'Master Hunt List'!I114</f>
        <v>2026-09-15</v>
      </c>
      <c r="K121" s="27">
        <f>'Master Hunt List'!K114</f>
        <v>0</v>
      </c>
      <c r="L121" s="14" t="str">
        <f>'Master Hunt List'!AF114</f>
        <v/>
      </c>
      <c r="M121" s="14" t="str">
        <f>'Master Hunt List'!AH114</f>
        <v/>
      </c>
      <c r="N121" s="14" t="str">
        <f>'Master Hunt List'!AI114</f>
        <v/>
      </c>
      <c r="O121" s="61" t="str">
        <f>'Master Hunt List'!V114</f>
        <v>https://tpwd.texas.gov/huntwild/hunt/public/public_hunt_drawing/hunt-category-details.phtml?OCat=FSY</v>
      </c>
    </row>
    <row r="122" ht="15.75" customHeight="1">
      <c r="A122" s="14">
        <f>115</f>
        <v>115</v>
      </c>
      <c r="B122" s="14" t="str">
        <f>'Master Hunt List'!A115</f>
        <v>No</v>
      </c>
      <c r="C122" s="14" t="str">
        <f>'Master Hunt List'!B115</f>
        <v>A</v>
      </c>
      <c r="D122" s="14" t="str">
        <f>'Master Hunt List'!C115</f>
        <v>Whitetail Deer</v>
      </c>
      <c r="E122" s="14" t="str">
        <f>'Master Hunt List'!D115</f>
        <v>Big Lake Bottom WMA</v>
      </c>
      <c r="F122" s="14" t="str">
        <f>'Master Hunt List'!E115</f>
        <v>Statewide / Other</v>
      </c>
      <c r="G122" s="14" t="str">
        <f>'Master Hunt List'!F115</f>
        <v>E-Postcard Youth Deer</v>
      </c>
      <c r="H122" s="14" t="str">
        <f>'Master Hunt List'!G115</f>
        <v>No</v>
      </c>
      <c r="I122" s="14" t="str">
        <f>'Master Hunt List'!H115</f>
        <v>Yes</v>
      </c>
      <c r="J122" s="15" t="str">
        <f>'Master Hunt List'!I115</f>
        <v>2026-09-15</v>
      </c>
      <c r="K122" s="27">
        <f>'Master Hunt List'!K115</f>
        <v>0</v>
      </c>
      <c r="L122" s="14" t="str">
        <f>'Master Hunt List'!AF115</f>
        <v/>
      </c>
      <c r="M122" s="14" t="str">
        <f>'Master Hunt List'!AH115</f>
        <v/>
      </c>
      <c r="N122" s="14" t="str">
        <f>'Master Hunt List'!AI115</f>
        <v/>
      </c>
      <c r="O122" s="61" t="str">
        <f>'Master Hunt List'!V115</f>
        <v>https://tpwd.texas.gov/huntwild/hunt/public/public_hunt_drawing/hunt-category-details.phtml?OCat=EYD</v>
      </c>
    </row>
    <row r="123" ht="15.75" customHeight="1">
      <c r="A123" s="14">
        <f>116</f>
        <v>116</v>
      </c>
      <c r="B123" s="14" t="str">
        <f>'Master Hunt List'!A116</f>
        <v>No</v>
      </c>
      <c r="C123" s="14" t="str">
        <f>'Master Hunt List'!B116</f>
        <v>A</v>
      </c>
      <c r="D123" s="14" t="str">
        <f>'Master Hunt List'!C116</f>
        <v>Whitetail Deer</v>
      </c>
      <c r="E123" s="14" t="str">
        <f>'Master Hunt List'!D116</f>
        <v>Brazos Bend SP</v>
      </c>
      <c r="F123" s="14" t="str">
        <f>'Master Hunt List'!E116</f>
        <v>Houston / Gulf Coast</v>
      </c>
      <c r="G123" s="14" t="str">
        <f>'Master Hunt List'!F116</f>
        <v>Youth Gun Deer - Antlerless/Spike</v>
      </c>
      <c r="H123" s="14" t="str">
        <f>'Master Hunt List'!G116</f>
        <v>No</v>
      </c>
      <c r="I123" s="14" t="str">
        <f>'Master Hunt List'!H116</f>
        <v>Yes</v>
      </c>
      <c r="J123" s="15" t="str">
        <f>'Master Hunt List'!I116</f>
        <v>2026-09-15</v>
      </c>
      <c r="K123" s="27">
        <f>'Master Hunt List'!K116</f>
        <v>0</v>
      </c>
      <c r="L123" s="14" t="str">
        <f>'Master Hunt List'!AF116</f>
        <v/>
      </c>
      <c r="M123" s="14" t="str">
        <f>'Master Hunt List'!AH116</f>
        <v/>
      </c>
      <c r="N123" s="14" t="str">
        <f>'Master Hunt List'!AI116</f>
        <v/>
      </c>
      <c r="O123" s="61" t="str">
        <f>'Master Hunt List'!V116</f>
        <v>https://tpwd.texas.gov/huntwild/hunt/public/public_hunt_drawing/hunt-category-details.phtml?OCat=YDA</v>
      </c>
    </row>
    <row r="124" ht="15.75" customHeight="1">
      <c r="A124" s="14">
        <f>117</f>
        <v>117</v>
      </c>
      <c r="B124" s="14" t="str">
        <f>'Master Hunt List'!A117</f>
        <v>No</v>
      </c>
      <c r="C124" s="14" t="str">
        <f>'Master Hunt List'!B117</f>
        <v>A</v>
      </c>
      <c r="D124" s="14" t="str">
        <f>'Master Hunt List'!C117</f>
        <v>Whitetail Deer</v>
      </c>
      <c r="E124" s="14" t="str">
        <f>'Master Hunt List'!D117</f>
        <v>Caddo Lake WMA</v>
      </c>
      <c r="F124" s="14" t="str">
        <f>'Master Hunt List'!E117</f>
        <v>East Texas / Pineywoods</v>
      </c>
      <c r="G124" s="14" t="str">
        <f>'Master Hunt List'!F117</f>
        <v>E-Postcard Youth Deer</v>
      </c>
      <c r="H124" s="14" t="str">
        <f>'Master Hunt List'!G117</f>
        <v>No</v>
      </c>
      <c r="I124" s="14" t="str">
        <f>'Master Hunt List'!H117</f>
        <v>Yes</v>
      </c>
      <c r="J124" s="15" t="str">
        <f>'Master Hunt List'!I117</f>
        <v>2026-09-15</v>
      </c>
      <c r="K124" s="27">
        <f>'Master Hunt List'!K117</f>
        <v>0</v>
      </c>
      <c r="L124" s="14" t="str">
        <f>'Master Hunt List'!AF117</f>
        <v/>
      </c>
      <c r="M124" s="14" t="str">
        <f>'Master Hunt List'!AH117</f>
        <v/>
      </c>
      <c r="N124" s="14" t="str">
        <f>'Master Hunt List'!AI117</f>
        <v/>
      </c>
      <c r="O124" s="61" t="str">
        <f>'Master Hunt List'!V117</f>
        <v>https://tpwd.texas.gov/huntwild/hunt/public/public_hunt_drawing/hunt-category-details.phtml?OCat=EYD</v>
      </c>
    </row>
    <row r="125" ht="15.75" customHeight="1">
      <c r="A125" s="14">
        <f>118</f>
        <v>118</v>
      </c>
      <c r="B125" s="14" t="str">
        <f>'Master Hunt List'!A118</f>
        <v>No</v>
      </c>
      <c r="C125" s="14" t="str">
        <f>'Master Hunt List'!B118</f>
        <v>A</v>
      </c>
      <c r="D125" s="14" t="str">
        <f>'Master Hunt List'!C118</f>
        <v>Whitetail Deer</v>
      </c>
      <c r="E125" s="14" t="str">
        <f>'Master Hunt List'!D118</f>
        <v>Caddo National Grasslands WMA - Bois d'Arc Unit</v>
      </c>
      <c r="F125" s="14" t="str">
        <f>'Master Hunt List'!E118</f>
        <v>North Texas / DFW</v>
      </c>
      <c r="G125" s="14" t="str">
        <f>'Master Hunt List'!F118</f>
        <v>USFS Antlerless Deer Permit - Youth</v>
      </c>
      <c r="H125" s="14" t="str">
        <f>'Master Hunt List'!G118</f>
        <v>No</v>
      </c>
      <c r="I125" s="14" t="str">
        <f>'Master Hunt List'!H118</f>
        <v>Yes</v>
      </c>
      <c r="J125" s="15" t="str">
        <f>'Master Hunt List'!I118</f>
        <v>2026-09-15</v>
      </c>
      <c r="K125" s="27">
        <f>'Master Hunt List'!K118</f>
        <v>0</v>
      </c>
      <c r="L125" s="14" t="str">
        <f>'Master Hunt List'!AF118</f>
        <v/>
      </c>
      <c r="M125" s="14" t="str">
        <f>'Master Hunt List'!AH118</f>
        <v/>
      </c>
      <c r="N125" s="14" t="str">
        <f>'Master Hunt List'!AI118</f>
        <v/>
      </c>
      <c r="O125" s="61" t="str">
        <f>'Master Hunt List'!V118</f>
        <v>https://tpwd.texas.gov/huntwild/hunt/public/public_hunt_drawing/hunt-category-details.phtml?OCat=FSY</v>
      </c>
    </row>
    <row r="126" ht="15.75" customHeight="1">
      <c r="A126" s="14">
        <f>119</f>
        <v>119</v>
      </c>
      <c r="B126" s="14" t="str">
        <f>'Master Hunt List'!A119</f>
        <v>No</v>
      </c>
      <c r="C126" s="14" t="str">
        <f>'Master Hunt List'!B119</f>
        <v>A</v>
      </c>
      <c r="D126" s="14" t="str">
        <f>'Master Hunt List'!C119</f>
        <v>Whitetail Deer</v>
      </c>
      <c r="E126" s="14" t="str">
        <f>'Master Hunt List'!D119</f>
        <v>Caddo National Grasslands WMA - Ladonia Unit</v>
      </c>
      <c r="F126" s="14" t="str">
        <f>'Master Hunt List'!E119</f>
        <v>North Texas / DFW</v>
      </c>
      <c r="G126" s="14" t="str">
        <f>'Master Hunt List'!F119</f>
        <v>USFS Antlerless Deer Permit - Youth</v>
      </c>
      <c r="H126" s="14" t="str">
        <f>'Master Hunt List'!G119</f>
        <v>No</v>
      </c>
      <c r="I126" s="14" t="str">
        <f>'Master Hunt List'!H119</f>
        <v>Yes</v>
      </c>
      <c r="J126" s="15" t="str">
        <f>'Master Hunt List'!I119</f>
        <v>2026-09-15</v>
      </c>
      <c r="K126" s="27">
        <f>'Master Hunt List'!K119</f>
        <v>0</v>
      </c>
      <c r="L126" s="14" t="str">
        <f>'Master Hunt List'!AF119</f>
        <v/>
      </c>
      <c r="M126" s="14" t="str">
        <f>'Master Hunt List'!AH119</f>
        <v/>
      </c>
      <c r="N126" s="14" t="str">
        <f>'Master Hunt List'!AI119</f>
        <v/>
      </c>
      <c r="O126" s="61" t="str">
        <f>'Master Hunt List'!V119</f>
        <v>https://tpwd.texas.gov/huntwild/hunt/public/public_hunt_drawing/hunt-category-details.phtml?OCat=FSY</v>
      </c>
    </row>
    <row r="127" ht="15.75" customHeight="1">
      <c r="A127" s="14">
        <f>120</f>
        <v>120</v>
      </c>
      <c r="B127" s="14" t="str">
        <f>'Master Hunt List'!A120</f>
        <v>No</v>
      </c>
      <c r="C127" s="14" t="str">
        <f>'Master Hunt List'!B120</f>
        <v>A</v>
      </c>
      <c r="D127" s="14" t="str">
        <f>'Master Hunt List'!C120</f>
        <v>Whitetail Deer</v>
      </c>
      <c r="E127" s="14" t="str">
        <f>'Master Hunt List'!D120</f>
        <v>Chaparral WMA</v>
      </c>
      <c r="F127" s="14" t="str">
        <f>'Master Hunt List'!E120</f>
        <v>South Texas / Rio Grande Valley</v>
      </c>
      <c r="G127" s="14" t="str">
        <f>'Master Hunt List'!F120</f>
        <v>Youth Gun Deer - Antlerless/Spike</v>
      </c>
      <c r="H127" s="14" t="str">
        <f>'Master Hunt List'!G120</f>
        <v>No</v>
      </c>
      <c r="I127" s="14" t="str">
        <f>'Master Hunt List'!H120</f>
        <v>Yes</v>
      </c>
      <c r="J127" s="15" t="str">
        <f>'Master Hunt List'!I120</f>
        <v>2026-09-15</v>
      </c>
      <c r="K127" s="27">
        <f>'Master Hunt List'!K120</f>
        <v>0</v>
      </c>
      <c r="L127" s="14" t="str">
        <f>'Master Hunt List'!AF120</f>
        <v/>
      </c>
      <c r="M127" s="14" t="str">
        <f>'Master Hunt List'!AH120</f>
        <v/>
      </c>
      <c r="N127" s="14" t="str">
        <f>'Master Hunt List'!AI120</f>
        <v/>
      </c>
      <c r="O127" s="61" t="str">
        <f>'Master Hunt List'!V120</f>
        <v>https://tpwd.texas.gov/huntwild/hunt/public/public_hunt_drawing/hunt-category-details.phtml?OCat=YDA</v>
      </c>
    </row>
    <row r="128" ht="15.75" customHeight="1">
      <c r="A128" s="14">
        <f>121</f>
        <v>121</v>
      </c>
      <c r="B128" s="14" t="str">
        <f>'Master Hunt List'!A121</f>
        <v>No</v>
      </c>
      <c r="C128" s="14" t="str">
        <f>'Master Hunt List'!B121</f>
        <v>A</v>
      </c>
      <c r="D128" s="14" t="str">
        <f>'Master Hunt List'!C121</f>
        <v>Whitetail Deer</v>
      </c>
      <c r="E128" s="14" t="str">
        <f>'Master Hunt List'!D121</f>
        <v>Choke Canyon SP - North Shore Unit</v>
      </c>
      <c r="F128" s="14" t="str">
        <f>'Master Hunt List'!E121</f>
        <v>South Texas / Rio Grande Valley</v>
      </c>
      <c r="G128" s="14" t="str">
        <f>'Master Hunt List'!F121</f>
        <v>Youth Gun Deer - Antlerless/Spike</v>
      </c>
      <c r="H128" s="14" t="str">
        <f>'Master Hunt List'!G121</f>
        <v>No</v>
      </c>
      <c r="I128" s="14" t="str">
        <f>'Master Hunt List'!H121</f>
        <v>Yes</v>
      </c>
      <c r="J128" s="15" t="str">
        <f>'Master Hunt List'!I121</f>
        <v>2026-09-15</v>
      </c>
      <c r="K128" s="27">
        <f>'Master Hunt List'!K121</f>
        <v>0</v>
      </c>
      <c r="L128" s="14" t="str">
        <f>'Master Hunt List'!AF121</f>
        <v/>
      </c>
      <c r="M128" s="14" t="str">
        <f>'Master Hunt List'!AH121</f>
        <v/>
      </c>
      <c r="N128" s="14" t="str">
        <f>'Master Hunt List'!AI121</f>
        <v/>
      </c>
      <c r="O128" s="61" t="str">
        <f>'Master Hunt List'!V121</f>
        <v>https://tpwd.texas.gov/huntwild/hunt/public/public_hunt_drawing/hunt-category-details.phtml?OCat=YDA</v>
      </c>
    </row>
    <row r="129" ht="15.75" customHeight="1">
      <c r="A129" s="14">
        <f>122</f>
        <v>122</v>
      </c>
      <c r="B129" s="14" t="str">
        <f>'Master Hunt List'!A122</f>
        <v>No</v>
      </c>
      <c r="C129" s="14" t="str">
        <f>'Master Hunt List'!B122</f>
        <v>A</v>
      </c>
      <c r="D129" s="14" t="str">
        <f>'Master Hunt List'!C122</f>
        <v>Whitetail Deer</v>
      </c>
      <c r="E129" s="14" t="str">
        <f>'Master Hunt List'!D122</f>
        <v>Choke Canyon SP - North Shore Unit</v>
      </c>
      <c r="F129" s="14" t="str">
        <f>'Master Hunt List'!E122</f>
        <v>South Texas / Rio Grande Valley</v>
      </c>
      <c r="G129" s="14" t="str">
        <f>'Master Hunt List'!F122</f>
        <v>Youth Gun Deer - Management</v>
      </c>
      <c r="H129" s="14" t="str">
        <f>'Master Hunt List'!G122</f>
        <v>No</v>
      </c>
      <c r="I129" s="14" t="str">
        <f>'Master Hunt List'!H122</f>
        <v>Yes</v>
      </c>
      <c r="J129" s="15" t="str">
        <f>'Master Hunt List'!I122</f>
        <v>2026-09-15</v>
      </c>
      <c r="K129" s="27">
        <f>'Master Hunt List'!K122</f>
        <v>0</v>
      </c>
      <c r="L129" s="14" t="str">
        <f>'Master Hunt List'!AF122</f>
        <v/>
      </c>
      <c r="M129" s="14" t="str">
        <f>'Master Hunt List'!AH122</f>
        <v/>
      </c>
      <c r="N129" s="14" t="str">
        <f>'Master Hunt List'!AI122</f>
        <v/>
      </c>
      <c r="O129" s="61" t="str">
        <f>'Master Hunt List'!V122</f>
        <v>https://tpwd.texas.gov/huntwild/hunt/public/public_hunt_drawing/hunt-category-details.phtml?OCat=YDM</v>
      </c>
    </row>
    <row r="130" ht="15.75" customHeight="1">
      <c r="A130" s="14">
        <f>123</f>
        <v>123</v>
      </c>
      <c r="B130" s="14" t="str">
        <f>'Master Hunt List'!A123</f>
        <v>No</v>
      </c>
      <c r="C130" s="14" t="str">
        <f>'Master Hunt List'!B123</f>
        <v>A</v>
      </c>
      <c r="D130" s="14" t="str">
        <f>'Master Hunt List'!C123</f>
        <v>Whitetail Deer</v>
      </c>
      <c r="E130" s="14" t="str">
        <f>'Master Hunt List'!D123</f>
        <v>Cooper Lake State Park</v>
      </c>
      <c r="F130" s="14" t="str">
        <f>'Master Hunt List'!E123</f>
        <v>North Texas / DFW</v>
      </c>
      <c r="G130" s="14" t="str">
        <f>'Master Hunt List'!F123</f>
        <v>Youth Gun Deer - Antlerless/Spike</v>
      </c>
      <c r="H130" s="14" t="str">
        <f>'Master Hunt List'!G123</f>
        <v>No</v>
      </c>
      <c r="I130" s="14" t="str">
        <f>'Master Hunt List'!H123</f>
        <v>Yes</v>
      </c>
      <c r="J130" s="15" t="str">
        <f>'Master Hunt List'!I123</f>
        <v>2026-09-15</v>
      </c>
      <c r="K130" s="27">
        <f>'Master Hunt List'!K123</f>
        <v>0</v>
      </c>
      <c r="L130" s="14" t="str">
        <f>'Master Hunt List'!AF123</f>
        <v/>
      </c>
      <c r="M130" s="14" t="str">
        <f>'Master Hunt List'!AH123</f>
        <v/>
      </c>
      <c r="N130" s="14" t="str">
        <f>'Master Hunt List'!AI123</f>
        <v/>
      </c>
      <c r="O130" s="61" t="str">
        <f>'Master Hunt List'!V123</f>
        <v>https://tpwd.texas.gov/huntwild/hunt/public/public_hunt_drawing/hunt-category-details.phtml?OCat=YDA</v>
      </c>
    </row>
    <row r="131" ht="15.75" customHeight="1">
      <c r="A131" s="14">
        <f>124</f>
        <v>124</v>
      </c>
      <c r="B131" s="14" t="str">
        <f>'Master Hunt List'!A124</f>
        <v>No</v>
      </c>
      <c r="C131" s="14" t="str">
        <f>'Master Hunt List'!B124</f>
        <v>A</v>
      </c>
      <c r="D131" s="14" t="str">
        <f>'Master Hunt List'!C124</f>
        <v>Whitetail Deer</v>
      </c>
      <c r="E131" s="14" t="str">
        <f>'Master Hunt List'!D124</f>
        <v>Gene Howe WMA</v>
      </c>
      <c r="F131" s="14" t="str">
        <f>'Master Hunt List'!E124</f>
        <v>Panhandle / Rolling Plains</v>
      </c>
      <c r="G131" s="14" t="str">
        <f>'Master Hunt List'!F124</f>
        <v>Youth Gun Deer - Antlerless/Spike</v>
      </c>
      <c r="H131" s="14" t="str">
        <f>'Master Hunt List'!G124</f>
        <v>No</v>
      </c>
      <c r="I131" s="14" t="str">
        <f>'Master Hunt List'!H124</f>
        <v>Yes</v>
      </c>
      <c r="J131" s="15" t="str">
        <f>'Master Hunt List'!I124</f>
        <v>2026-09-15</v>
      </c>
      <c r="K131" s="27">
        <f>'Master Hunt List'!K124</f>
        <v>0</v>
      </c>
      <c r="L131" s="14" t="str">
        <f>'Master Hunt List'!AF124</f>
        <v/>
      </c>
      <c r="M131" s="14" t="str">
        <f>'Master Hunt List'!AH124</f>
        <v/>
      </c>
      <c r="N131" s="14" t="str">
        <f>'Master Hunt List'!AI124</f>
        <v/>
      </c>
      <c r="O131" s="61" t="str">
        <f>'Master Hunt List'!V124</f>
        <v>https://tpwd.texas.gov/huntwild/hunt/public/public_hunt_drawing/hunt-category-details.phtml?OCat=YDA</v>
      </c>
    </row>
    <row r="132" ht="15.75" customHeight="1">
      <c r="A132" s="14">
        <f>125</f>
        <v>125</v>
      </c>
      <c r="B132" s="14" t="str">
        <f>'Master Hunt List'!A125</f>
        <v>No</v>
      </c>
      <c r="C132" s="14" t="str">
        <f>'Master Hunt List'!B125</f>
        <v>A</v>
      </c>
      <c r="D132" s="14" t="str">
        <f>'Master Hunt List'!C125</f>
        <v>Whitetail Deer</v>
      </c>
      <c r="E132" s="14" t="str">
        <f>'Master Hunt List'!D125</f>
        <v>Granger PHL</v>
      </c>
      <c r="F132" s="14" t="str">
        <f>'Master Hunt List'!E125</f>
        <v>Central Texas / Austin</v>
      </c>
      <c r="G132" s="14" t="str">
        <f>'Master Hunt List'!F125</f>
        <v>Youth Gun Deer - Antlerless/Spike</v>
      </c>
      <c r="H132" s="14" t="str">
        <f>'Master Hunt List'!G125</f>
        <v>No</v>
      </c>
      <c r="I132" s="14" t="str">
        <f>'Master Hunt List'!H125</f>
        <v>Yes</v>
      </c>
      <c r="J132" s="15" t="str">
        <f>'Master Hunt List'!I125</f>
        <v>2026-09-15</v>
      </c>
      <c r="K132" s="27">
        <f>'Master Hunt List'!K125</f>
        <v>0</v>
      </c>
      <c r="L132" s="14" t="str">
        <f>'Master Hunt List'!AF125</f>
        <v/>
      </c>
      <c r="M132" s="14" t="str">
        <f>'Master Hunt List'!AH125</f>
        <v/>
      </c>
      <c r="N132" s="14" t="str">
        <f>'Master Hunt List'!AI125</f>
        <v/>
      </c>
      <c r="O132" s="61" t="str">
        <f>'Master Hunt List'!V125</f>
        <v>https://tpwd.texas.gov/huntwild/hunt/public/public_hunt_drawing/hunt-category-details.phtml?OCat=YDA</v>
      </c>
    </row>
    <row r="133" ht="15.75" customHeight="1">
      <c r="A133" s="14">
        <f>126</f>
        <v>126</v>
      </c>
      <c r="B133" s="14" t="str">
        <f>'Master Hunt List'!A126</f>
        <v>No</v>
      </c>
      <c r="C133" s="14" t="str">
        <f>'Master Hunt List'!B126</f>
        <v>A</v>
      </c>
      <c r="D133" s="14" t="str">
        <f>'Master Hunt List'!C126</f>
        <v>Whitetail Deer</v>
      </c>
      <c r="E133" s="14" t="str">
        <f>'Master Hunt List'!D126</f>
        <v>Granger PHL</v>
      </c>
      <c r="F133" s="14" t="str">
        <f>'Master Hunt List'!E126</f>
        <v>Central Texas / Austin</v>
      </c>
      <c r="G133" s="14" t="str">
        <f>'Master Hunt List'!F126</f>
        <v>Youth Gun Deer - Management</v>
      </c>
      <c r="H133" s="14" t="str">
        <f>'Master Hunt List'!G126</f>
        <v>No</v>
      </c>
      <c r="I133" s="14" t="str">
        <f>'Master Hunt List'!H126</f>
        <v>Yes</v>
      </c>
      <c r="J133" s="15" t="str">
        <f>'Master Hunt List'!I126</f>
        <v>2026-09-15</v>
      </c>
      <c r="K133" s="27">
        <f>'Master Hunt List'!K126</f>
        <v>0</v>
      </c>
      <c r="L133" s="14" t="str">
        <f>'Master Hunt List'!AF126</f>
        <v/>
      </c>
      <c r="M133" s="14" t="str">
        <f>'Master Hunt List'!AH126</f>
        <v/>
      </c>
      <c r="N133" s="14" t="str">
        <f>'Master Hunt List'!AI126</f>
        <v/>
      </c>
      <c r="O133" s="61" t="str">
        <f>'Master Hunt List'!V126</f>
        <v>https://tpwd.texas.gov/huntwild/hunt/public/public_hunt_drawing/hunt-category-details.phtml?OCat=YDM</v>
      </c>
    </row>
    <row r="134" ht="15.75" customHeight="1">
      <c r="A134" s="14">
        <f>127</f>
        <v>127</v>
      </c>
      <c r="B134" s="14" t="str">
        <f>'Master Hunt List'!A127</f>
        <v>No</v>
      </c>
      <c r="C134" s="14" t="str">
        <f>'Master Hunt List'!B127</f>
        <v>A</v>
      </c>
      <c r="D134" s="14" t="str">
        <f>'Master Hunt List'!C127</f>
        <v>Whitetail Deer</v>
      </c>
      <c r="E134" s="14" t="str">
        <f>'Master Hunt List'!D127</f>
        <v>Gus Engeling WMA</v>
      </c>
      <c r="F134" s="14" t="str">
        <f>'Master Hunt List'!E127</f>
        <v>Statewide / Other</v>
      </c>
      <c r="G134" s="14" t="str">
        <f>'Master Hunt List'!F127</f>
        <v>Youth Gun Deer - Antlerless/Spike</v>
      </c>
      <c r="H134" s="14" t="str">
        <f>'Master Hunt List'!G127</f>
        <v>No</v>
      </c>
      <c r="I134" s="14" t="str">
        <f>'Master Hunt List'!H127</f>
        <v>Yes</v>
      </c>
      <c r="J134" s="15" t="str">
        <f>'Master Hunt List'!I127</f>
        <v>2026-09-15</v>
      </c>
      <c r="K134" s="27">
        <f>'Master Hunt List'!K127</f>
        <v>0</v>
      </c>
      <c r="L134" s="14" t="str">
        <f>'Master Hunt List'!AF127</f>
        <v/>
      </c>
      <c r="M134" s="14" t="str">
        <f>'Master Hunt List'!AH127</f>
        <v/>
      </c>
      <c r="N134" s="14" t="str">
        <f>'Master Hunt List'!AI127</f>
        <v/>
      </c>
      <c r="O134" s="61" t="str">
        <f>'Master Hunt List'!V127</f>
        <v>https://tpwd.texas.gov/huntwild/hunt/public/public_hunt_drawing/hunt-category-details.phtml?OCat=YDA</v>
      </c>
    </row>
    <row r="135" ht="15.75" customHeight="1">
      <c r="A135" s="14">
        <f>128</f>
        <v>128</v>
      </c>
      <c r="B135" s="14" t="str">
        <f>'Master Hunt List'!A128</f>
        <v>No</v>
      </c>
      <c r="C135" s="14" t="str">
        <f>'Master Hunt List'!B128</f>
        <v>A</v>
      </c>
      <c r="D135" s="14" t="str">
        <f>'Master Hunt List'!C128</f>
        <v>Whitetail Deer</v>
      </c>
      <c r="E135" s="14" t="str">
        <f>'Master Hunt List'!D128</f>
        <v>James Daughtrey WMA</v>
      </c>
      <c r="F135" s="14" t="str">
        <f>'Master Hunt List'!E128</f>
        <v>South Texas / Rio Grande Valley</v>
      </c>
      <c r="G135" s="14" t="str">
        <f>'Master Hunt List'!F128</f>
        <v>Youth Gun Deer - Antlerless/Spike</v>
      </c>
      <c r="H135" s="14" t="str">
        <f>'Master Hunt List'!G128</f>
        <v>No</v>
      </c>
      <c r="I135" s="14" t="str">
        <f>'Master Hunt List'!H128</f>
        <v>Yes</v>
      </c>
      <c r="J135" s="15" t="str">
        <f>'Master Hunt List'!I128</f>
        <v>2026-09-15</v>
      </c>
      <c r="K135" s="27">
        <f>'Master Hunt List'!K128</f>
        <v>0</v>
      </c>
      <c r="L135" s="14" t="str">
        <f>'Master Hunt List'!AF128</f>
        <v/>
      </c>
      <c r="M135" s="14" t="str">
        <f>'Master Hunt List'!AH128</f>
        <v/>
      </c>
      <c r="N135" s="14" t="str">
        <f>'Master Hunt List'!AI128</f>
        <v/>
      </c>
      <c r="O135" s="61" t="str">
        <f>'Master Hunt List'!V128</f>
        <v>https://tpwd.texas.gov/huntwild/hunt/public/public_hunt_drawing/hunt-category-details.phtml?OCat=YDA</v>
      </c>
    </row>
    <row r="136" ht="15.75" customHeight="1">
      <c r="A136" s="14">
        <f>129</f>
        <v>129</v>
      </c>
      <c r="B136" s="14" t="str">
        <f>'Master Hunt List'!A129</f>
        <v>No</v>
      </c>
      <c r="C136" s="14" t="str">
        <f>'Master Hunt List'!B129</f>
        <v>A</v>
      </c>
      <c r="D136" s="14" t="str">
        <f>'Master Hunt List'!C129</f>
        <v>Whitetail Deer</v>
      </c>
      <c r="E136" s="14" t="str">
        <f>'Master Hunt List'!D129</f>
        <v>James Daughtrey WMA</v>
      </c>
      <c r="F136" s="14" t="str">
        <f>'Master Hunt List'!E129</f>
        <v>South Texas / Rio Grande Valley</v>
      </c>
      <c r="G136" s="14" t="str">
        <f>'Master Hunt List'!F129</f>
        <v>Youth Gun Deer - Management</v>
      </c>
      <c r="H136" s="14" t="str">
        <f>'Master Hunt List'!G129</f>
        <v>No</v>
      </c>
      <c r="I136" s="14" t="str">
        <f>'Master Hunt List'!H129</f>
        <v>Yes</v>
      </c>
      <c r="J136" s="15" t="str">
        <f>'Master Hunt List'!I129</f>
        <v>2026-09-15</v>
      </c>
      <c r="K136" s="27">
        <f>'Master Hunt List'!K129</f>
        <v>0</v>
      </c>
      <c r="L136" s="14" t="str">
        <f>'Master Hunt List'!AF129</f>
        <v/>
      </c>
      <c r="M136" s="14" t="str">
        <f>'Master Hunt List'!AH129</f>
        <v/>
      </c>
      <c r="N136" s="14" t="str">
        <f>'Master Hunt List'!AI129</f>
        <v/>
      </c>
      <c r="O136" s="61" t="str">
        <f>'Master Hunt List'!V129</f>
        <v>https://tpwd.texas.gov/huntwild/hunt/public/public_hunt_drawing/hunt-category-details.phtml?OCat=YDM</v>
      </c>
    </row>
    <row r="137" ht="15.75" customHeight="1">
      <c r="A137" s="14">
        <f>130</f>
        <v>130</v>
      </c>
      <c r="B137" s="14" t="str">
        <f>'Master Hunt List'!A130</f>
        <v>No</v>
      </c>
      <c r="C137" s="14" t="str">
        <f>'Master Hunt List'!B130</f>
        <v>A</v>
      </c>
      <c r="D137" s="14" t="str">
        <f>'Master Hunt List'!C130</f>
        <v>Whitetail Deer</v>
      </c>
      <c r="E137" s="14" t="str">
        <f>'Master Hunt List'!D130</f>
        <v>Justin Hurst WMA</v>
      </c>
      <c r="F137" s="14" t="str">
        <f>'Master Hunt List'!E130</f>
        <v>Houston / Gulf Coast</v>
      </c>
      <c r="G137" s="14" t="str">
        <f>'Master Hunt List'!F130</f>
        <v>Youth Gun Deer - Antlerless/Spike</v>
      </c>
      <c r="H137" s="14" t="str">
        <f>'Master Hunt List'!G130</f>
        <v>No</v>
      </c>
      <c r="I137" s="14" t="str">
        <f>'Master Hunt List'!H130</f>
        <v>Yes</v>
      </c>
      <c r="J137" s="15" t="str">
        <f>'Master Hunt List'!I130</f>
        <v>2026-09-15</v>
      </c>
      <c r="K137" s="27">
        <f>'Master Hunt List'!K130</f>
        <v>0</v>
      </c>
      <c r="L137" s="14" t="str">
        <f>'Master Hunt List'!AF130</f>
        <v/>
      </c>
      <c r="M137" s="14" t="str">
        <f>'Master Hunt List'!AH130</f>
        <v/>
      </c>
      <c r="N137" s="14" t="str">
        <f>'Master Hunt List'!AI130</f>
        <v/>
      </c>
      <c r="O137" s="61" t="str">
        <f>'Master Hunt List'!V130</f>
        <v>https://tpwd.texas.gov/huntwild/hunt/public/public_hunt_drawing/hunt-category-details.phtml?OCat=YDA</v>
      </c>
    </row>
    <row r="138" ht="15.75" customHeight="1">
      <c r="A138" s="14">
        <f>131</f>
        <v>131</v>
      </c>
      <c r="B138" s="14" t="str">
        <f>'Master Hunt List'!A131</f>
        <v>No</v>
      </c>
      <c r="C138" s="14" t="str">
        <f>'Master Hunt List'!B131</f>
        <v>A</v>
      </c>
      <c r="D138" s="14" t="str">
        <f>'Master Hunt List'!C131</f>
        <v>Whitetail Deer</v>
      </c>
      <c r="E138" s="14" t="str">
        <f>'Master Hunt List'!D131</f>
        <v>Lake McClellan Recreation Area</v>
      </c>
      <c r="F138" s="14" t="str">
        <f>'Master Hunt List'!E131</f>
        <v>Panhandle / Rolling Plains</v>
      </c>
      <c r="G138" s="14" t="str">
        <f>'Master Hunt List'!F131</f>
        <v>Youth Gun Deer - Antlerless/Spike</v>
      </c>
      <c r="H138" s="14" t="str">
        <f>'Master Hunt List'!G131</f>
        <v>No</v>
      </c>
      <c r="I138" s="14" t="str">
        <f>'Master Hunt List'!H131</f>
        <v>Yes</v>
      </c>
      <c r="J138" s="15" t="str">
        <f>'Master Hunt List'!I131</f>
        <v>2026-09-15</v>
      </c>
      <c r="K138" s="27">
        <f>'Master Hunt List'!K131</f>
        <v>0</v>
      </c>
      <c r="L138" s="14" t="str">
        <f>'Master Hunt List'!AF131</f>
        <v/>
      </c>
      <c r="M138" s="14" t="str">
        <f>'Master Hunt List'!AH131</f>
        <v/>
      </c>
      <c r="N138" s="14" t="str">
        <f>'Master Hunt List'!AI131</f>
        <v/>
      </c>
      <c r="O138" s="61" t="str">
        <f>'Master Hunt List'!V131</f>
        <v>https://tpwd.texas.gov/huntwild/hunt/public/public_hunt_drawing/hunt-category-details.phtml?OCat=YDA</v>
      </c>
    </row>
    <row r="139" ht="15.75" customHeight="1">
      <c r="A139" s="14">
        <f>132</f>
        <v>132</v>
      </c>
      <c r="B139" s="14" t="str">
        <f>'Master Hunt List'!A132</f>
        <v>No</v>
      </c>
      <c r="C139" s="14" t="str">
        <f>'Master Hunt List'!B132</f>
        <v>A</v>
      </c>
      <c r="D139" s="14" t="str">
        <f>'Master Hunt List'!C132</f>
        <v>Whitetail Deer</v>
      </c>
      <c r="E139" s="14" t="str">
        <f>'Master Hunt List'!D132</f>
        <v>Lake Tawakoni State Park</v>
      </c>
      <c r="F139" s="14" t="str">
        <f>'Master Hunt List'!E132</f>
        <v>North Texas / DFW</v>
      </c>
      <c r="G139" s="14" t="str">
        <f>'Master Hunt List'!F132</f>
        <v>Youth Gun Deer - Antlerless/Spike</v>
      </c>
      <c r="H139" s="14" t="str">
        <f>'Master Hunt List'!G132</f>
        <v>No</v>
      </c>
      <c r="I139" s="14" t="str">
        <f>'Master Hunt List'!H132</f>
        <v>Yes</v>
      </c>
      <c r="J139" s="15" t="str">
        <f>'Master Hunt List'!I132</f>
        <v>2026-09-15</v>
      </c>
      <c r="K139" s="27">
        <f>'Master Hunt List'!K132</f>
        <v>0</v>
      </c>
      <c r="L139" s="14" t="str">
        <f>'Master Hunt List'!AF132</f>
        <v/>
      </c>
      <c r="M139" s="14" t="str">
        <f>'Master Hunt List'!AH132</f>
        <v/>
      </c>
      <c r="N139" s="14" t="str">
        <f>'Master Hunt List'!AI132</f>
        <v/>
      </c>
      <c r="O139" s="61" t="str">
        <f>'Master Hunt List'!V132</f>
        <v>https://tpwd.texas.gov/huntwild/hunt/public/public_hunt_drawing/hunt-category-details.phtml?OCat=YDA</v>
      </c>
    </row>
    <row r="140" ht="15.75" customHeight="1">
      <c r="A140" s="14">
        <f>133</f>
        <v>133</v>
      </c>
      <c r="B140" s="14" t="str">
        <f>'Master Hunt List'!A133</f>
        <v>No</v>
      </c>
      <c r="C140" s="14" t="str">
        <f>'Master Hunt List'!B133</f>
        <v>A</v>
      </c>
      <c r="D140" s="14" t="str">
        <f>'Master Hunt List'!C133</f>
        <v>Whitetail Deer</v>
      </c>
      <c r="E140" s="14" t="str">
        <f>'Master Hunt List'!D133</f>
        <v>Las Palomas WMA - Arroyo Colorado Unit</v>
      </c>
      <c r="F140" s="14" t="str">
        <f>'Master Hunt List'!E133</f>
        <v>South Texas / Rio Grande Valley</v>
      </c>
      <c r="G140" s="14" t="str">
        <f>'Master Hunt List'!F133</f>
        <v>Youth Gun Deer - Management</v>
      </c>
      <c r="H140" s="14" t="str">
        <f>'Master Hunt List'!G133</f>
        <v>No</v>
      </c>
      <c r="I140" s="14" t="str">
        <f>'Master Hunt List'!H133</f>
        <v>Yes</v>
      </c>
      <c r="J140" s="15" t="str">
        <f>'Master Hunt List'!I133</f>
        <v>2026-09-15</v>
      </c>
      <c r="K140" s="27">
        <f>'Master Hunt List'!K133</f>
        <v>0</v>
      </c>
      <c r="L140" s="14" t="str">
        <f>'Master Hunt List'!AF133</f>
        <v/>
      </c>
      <c r="M140" s="14" t="str">
        <f>'Master Hunt List'!AH133</f>
        <v/>
      </c>
      <c r="N140" s="14" t="str">
        <f>'Master Hunt List'!AI133</f>
        <v/>
      </c>
      <c r="O140" s="61" t="str">
        <f>'Master Hunt List'!V133</f>
        <v>https://tpwd.texas.gov/huntwild/hunt/public/public_hunt_drawing/hunt-category-details.phtml?OCat=YDM</v>
      </c>
    </row>
    <row r="141" ht="15.75" customHeight="1">
      <c r="A141" s="14">
        <f>134</f>
        <v>134</v>
      </c>
      <c r="B141" s="14" t="str">
        <f>'Master Hunt List'!A134</f>
        <v>No</v>
      </c>
      <c r="C141" s="14" t="str">
        <f>'Master Hunt List'!B134</f>
        <v>A</v>
      </c>
      <c r="D141" s="14" t="str">
        <f>'Master Hunt List'!C134</f>
        <v>Whitetail Deer</v>
      </c>
      <c r="E141" s="14" t="str">
        <f>'Master Hunt List'!D134</f>
        <v>Mad Island WMA</v>
      </c>
      <c r="F141" s="14" t="str">
        <f>'Master Hunt List'!E134</f>
        <v>Houston / Gulf Coast</v>
      </c>
      <c r="G141" s="14" t="str">
        <f>'Master Hunt List'!F134</f>
        <v>E-Postcard Youth Deer</v>
      </c>
      <c r="H141" s="14" t="str">
        <f>'Master Hunt List'!G134</f>
        <v>No</v>
      </c>
      <c r="I141" s="14" t="str">
        <f>'Master Hunt List'!H134</f>
        <v>Yes</v>
      </c>
      <c r="J141" s="15" t="str">
        <f>'Master Hunt List'!I134</f>
        <v>2026-09-15</v>
      </c>
      <c r="K141" s="27">
        <f>'Master Hunt List'!K134</f>
        <v>0</v>
      </c>
      <c r="L141" s="14" t="str">
        <f>'Master Hunt List'!AF134</f>
        <v/>
      </c>
      <c r="M141" s="14" t="str">
        <f>'Master Hunt List'!AH134</f>
        <v/>
      </c>
      <c r="N141" s="14" t="str">
        <f>'Master Hunt List'!AI134</f>
        <v/>
      </c>
      <c r="O141" s="61" t="str">
        <f>'Master Hunt List'!V134</f>
        <v>https://tpwd.texas.gov/huntwild/hunt/public/public_hunt_drawing/hunt-category-details.phtml?OCat=EYD</v>
      </c>
    </row>
    <row r="142" ht="15.75" customHeight="1">
      <c r="A142" s="14">
        <f>135</f>
        <v>135</v>
      </c>
      <c r="B142" s="14" t="str">
        <f>'Master Hunt List'!A135</f>
        <v>No</v>
      </c>
      <c r="C142" s="14" t="str">
        <f>'Master Hunt List'!B135</f>
        <v>A</v>
      </c>
      <c r="D142" s="14" t="str">
        <f>'Master Hunt List'!C135</f>
        <v>Whitetail Deer</v>
      </c>
      <c r="E142" s="14" t="str">
        <f>'Master Hunt List'!D135</f>
        <v>Mason Mountain WMA</v>
      </c>
      <c r="F142" s="14" t="str">
        <f>'Master Hunt List'!E135</f>
        <v>Hill Country / San Antonio</v>
      </c>
      <c r="G142" s="14" t="str">
        <f>'Master Hunt List'!F135</f>
        <v>Youth Gun Deer - Management</v>
      </c>
      <c r="H142" s="14" t="str">
        <f>'Master Hunt List'!G135</f>
        <v>No</v>
      </c>
      <c r="I142" s="14" t="str">
        <f>'Master Hunt List'!H135</f>
        <v>Yes</v>
      </c>
      <c r="J142" s="15" t="str">
        <f>'Master Hunt List'!I135</f>
        <v>2026-09-15</v>
      </c>
      <c r="K142" s="27">
        <f>'Master Hunt List'!K135</f>
        <v>0</v>
      </c>
      <c r="L142" s="14" t="str">
        <f>'Master Hunt List'!AF135</f>
        <v/>
      </c>
      <c r="M142" s="14" t="str">
        <f>'Master Hunt List'!AH135</f>
        <v/>
      </c>
      <c r="N142" s="14" t="str">
        <f>'Master Hunt List'!AI135</f>
        <v/>
      </c>
      <c r="O142" s="61" t="str">
        <f>'Master Hunt List'!V135</f>
        <v>https://tpwd.texas.gov/huntwild/hunt/public/public_hunt_drawing/hunt-category-details.phtml?OCat=YDM</v>
      </c>
    </row>
    <row r="143" ht="15.75" customHeight="1">
      <c r="A143" s="14">
        <f>136</f>
        <v>136</v>
      </c>
      <c r="B143" s="14" t="str">
        <f>'Master Hunt List'!A136</f>
        <v>No</v>
      </c>
      <c r="C143" s="14" t="str">
        <f>'Master Hunt List'!B136</f>
        <v>A</v>
      </c>
      <c r="D143" s="14" t="str">
        <f>'Master Hunt List'!C136</f>
        <v>Whitetail Deer</v>
      </c>
      <c r="E143" s="14" t="str">
        <f>'Master Hunt List'!D136</f>
        <v>Moore Plantation WMA</v>
      </c>
      <c r="F143" s="14" t="str">
        <f>'Master Hunt List'!E136</f>
        <v>East Texas / Pineywoods</v>
      </c>
      <c r="G143" s="14" t="str">
        <f>'Master Hunt List'!F136</f>
        <v>USFS Antlerless Deer Permit - Youth</v>
      </c>
      <c r="H143" s="14" t="str">
        <f>'Master Hunt List'!G136</f>
        <v>No</v>
      </c>
      <c r="I143" s="14" t="str">
        <f>'Master Hunt List'!H136</f>
        <v>Yes</v>
      </c>
      <c r="J143" s="15" t="str">
        <f>'Master Hunt List'!I136</f>
        <v>2026-09-15</v>
      </c>
      <c r="K143" s="27">
        <f>'Master Hunt List'!K136</f>
        <v>0</v>
      </c>
      <c r="L143" s="14" t="str">
        <f>'Master Hunt List'!AF136</f>
        <v/>
      </c>
      <c r="M143" s="14" t="str">
        <f>'Master Hunt List'!AH136</f>
        <v/>
      </c>
      <c r="N143" s="14" t="str">
        <f>'Master Hunt List'!AI136</f>
        <v/>
      </c>
      <c r="O143" s="61" t="str">
        <f>'Master Hunt List'!V136</f>
        <v>https://tpwd.texas.gov/huntwild/hunt/public/public_hunt_drawing/hunt-category-details.phtml?OCat=FSY</v>
      </c>
    </row>
    <row r="144" ht="15.75" customHeight="1">
      <c r="A144" s="14">
        <f>137</f>
        <v>137</v>
      </c>
      <c r="B144" s="14" t="str">
        <f>'Master Hunt List'!A137</f>
        <v>No</v>
      </c>
      <c r="C144" s="14" t="str">
        <f>'Master Hunt List'!B137</f>
        <v>A</v>
      </c>
      <c r="D144" s="14" t="str">
        <f>'Master Hunt List'!C137</f>
        <v>Whitetail Deer</v>
      </c>
      <c r="E144" s="14" t="str">
        <f>'Master Hunt List'!D137</f>
        <v>Muse WMA</v>
      </c>
      <c r="F144" s="14" t="str">
        <f>'Master Hunt List'!E137</f>
        <v>Statewide / Other</v>
      </c>
      <c r="G144" s="14" t="str">
        <f>'Master Hunt List'!F137</f>
        <v>Youth Gun Deer - Antlerless/Spike</v>
      </c>
      <c r="H144" s="14" t="str">
        <f>'Master Hunt List'!G137</f>
        <v>No</v>
      </c>
      <c r="I144" s="14" t="str">
        <f>'Master Hunt List'!H137</f>
        <v>Yes</v>
      </c>
      <c r="J144" s="15" t="str">
        <f>'Master Hunt List'!I137</f>
        <v>2026-09-15</v>
      </c>
      <c r="K144" s="27">
        <f>'Master Hunt List'!K137</f>
        <v>0</v>
      </c>
      <c r="L144" s="14" t="str">
        <f>'Master Hunt List'!AF137</f>
        <v/>
      </c>
      <c r="M144" s="14" t="str">
        <f>'Master Hunt List'!AH137</f>
        <v/>
      </c>
      <c r="N144" s="14" t="str">
        <f>'Master Hunt List'!AI137</f>
        <v/>
      </c>
      <c r="O144" s="61" t="str">
        <f>'Master Hunt List'!V137</f>
        <v>https://tpwd.texas.gov/huntwild/hunt/public/public_hunt_drawing/hunt-category-details.phtml?OCat=YDA</v>
      </c>
    </row>
    <row r="145" ht="15.75" customHeight="1">
      <c r="A145" s="14">
        <f>138</f>
        <v>138</v>
      </c>
      <c r="B145" s="14" t="str">
        <f>'Master Hunt List'!A138</f>
        <v>No</v>
      </c>
      <c r="C145" s="14" t="str">
        <f>'Master Hunt List'!B138</f>
        <v>A</v>
      </c>
      <c r="D145" s="14" t="str">
        <f>'Master Hunt List'!C138</f>
        <v>Whitetail Deer</v>
      </c>
      <c r="E145" s="14" t="str">
        <f>'Master Hunt List'!D138</f>
        <v>Nannie Stringfellow WMA</v>
      </c>
      <c r="F145" s="14" t="str">
        <f>'Master Hunt List'!E138</f>
        <v>Houston / Gulf Coast</v>
      </c>
      <c r="G145" s="14" t="str">
        <f>'Master Hunt List'!F138</f>
        <v>Youth Gun Deer - Antlerless/Spike</v>
      </c>
      <c r="H145" s="14" t="str">
        <f>'Master Hunt List'!G138</f>
        <v>No</v>
      </c>
      <c r="I145" s="14" t="str">
        <f>'Master Hunt List'!H138</f>
        <v>Yes</v>
      </c>
      <c r="J145" s="15" t="str">
        <f>'Master Hunt List'!I138</f>
        <v>2026-09-15</v>
      </c>
      <c r="K145" s="27">
        <f>'Master Hunt List'!K138</f>
        <v>0</v>
      </c>
      <c r="L145" s="14" t="str">
        <f>'Master Hunt List'!AF138</f>
        <v/>
      </c>
      <c r="M145" s="14" t="str">
        <f>'Master Hunt List'!AH138</f>
        <v/>
      </c>
      <c r="N145" s="14" t="str">
        <f>'Master Hunt List'!AI138</f>
        <v/>
      </c>
      <c r="O145" s="61" t="str">
        <f>'Master Hunt List'!V138</f>
        <v>https://tpwd.texas.gov/huntwild/hunt/public/public_hunt_drawing/hunt-category-details.phtml?OCat=YDA</v>
      </c>
    </row>
    <row r="146" ht="15.75" customHeight="1">
      <c r="A146" s="14">
        <f>139</f>
        <v>139</v>
      </c>
      <c r="B146" s="14" t="str">
        <f>'Master Hunt List'!A139</f>
        <v>No</v>
      </c>
      <c r="C146" s="14" t="str">
        <f>'Master Hunt List'!B139</f>
        <v>A</v>
      </c>
      <c r="D146" s="14" t="str">
        <f>'Master Hunt List'!C139</f>
        <v>Whitetail Deer</v>
      </c>
      <c r="E146" s="14" t="str">
        <f>'Master Hunt List'!D139</f>
        <v>Palmetto SP</v>
      </c>
      <c r="F146" s="14" t="str">
        <f>'Master Hunt List'!E139</f>
        <v>Central Texas / Austin</v>
      </c>
      <c r="G146" s="14" t="str">
        <f>'Master Hunt List'!F139</f>
        <v>Youth Gun Deer - Antlerless/Spike</v>
      </c>
      <c r="H146" s="14" t="str">
        <f>'Master Hunt List'!G139</f>
        <v>No</v>
      </c>
      <c r="I146" s="14" t="str">
        <f>'Master Hunt List'!H139</f>
        <v>Yes</v>
      </c>
      <c r="J146" s="15" t="str">
        <f>'Master Hunt List'!I139</f>
        <v>2026-09-15</v>
      </c>
      <c r="K146" s="27">
        <f>'Master Hunt List'!K139</f>
        <v>0</v>
      </c>
      <c r="L146" s="14" t="str">
        <f>'Master Hunt List'!AF139</f>
        <v/>
      </c>
      <c r="M146" s="14" t="str">
        <f>'Master Hunt List'!AH139</f>
        <v/>
      </c>
      <c r="N146" s="14" t="str">
        <f>'Master Hunt List'!AI139</f>
        <v/>
      </c>
      <c r="O146" s="61" t="str">
        <f>'Master Hunt List'!V139</f>
        <v>https://tpwd.texas.gov/huntwild/hunt/public/public_hunt_drawing/hunt-category-details.phtml?OCat=YDA</v>
      </c>
    </row>
    <row r="147" ht="15.75" customHeight="1">
      <c r="A147" s="14">
        <f>140</f>
        <v>140</v>
      </c>
      <c r="B147" s="14" t="str">
        <f>'Master Hunt List'!A140</f>
        <v>No</v>
      </c>
      <c r="C147" s="14" t="str">
        <f>'Master Hunt List'!B140</f>
        <v>A</v>
      </c>
      <c r="D147" s="14" t="str">
        <f>'Master Hunt List'!C140</f>
        <v>Whitetail Deer</v>
      </c>
      <c r="E147" s="14" t="str">
        <f>'Master Hunt List'!D140</f>
        <v>Palo Duro Canyon SP</v>
      </c>
      <c r="F147" s="14" t="str">
        <f>'Master Hunt List'!E140</f>
        <v>Panhandle / Rolling Plains</v>
      </c>
      <c r="G147" s="14" t="str">
        <f>'Master Hunt List'!F140</f>
        <v>Youth Gun Deer - Antlerless/Spike</v>
      </c>
      <c r="H147" s="14" t="str">
        <f>'Master Hunt List'!G140</f>
        <v>No</v>
      </c>
      <c r="I147" s="14" t="str">
        <f>'Master Hunt List'!H140</f>
        <v>Yes</v>
      </c>
      <c r="J147" s="15" t="str">
        <f>'Master Hunt List'!I140</f>
        <v>2026-09-15</v>
      </c>
      <c r="K147" s="27">
        <f>'Master Hunt List'!K140</f>
        <v>0</v>
      </c>
      <c r="L147" s="14" t="str">
        <f>'Master Hunt List'!AF140</f>
        <v/>
      </c>
      <c r="M147" s="14" t="str">
        <f>'Master Hunt List'!AH140</f>
        <v/>
      </c>
      <c r="N147" s="14" t="str">
        <f>'Master Hunt List'!AI140</f>
        <v/>
      </c>
      <c r="O147" s="61" t="str">
        <f>'Master Hunt List'!V140</f>
        <v>https://tpwd.texas.gov/huntwild/hunt/public/public_hunt_drawing/hunt-category-details.phtml?OCat=YDA</v>
      </c>
    </row>
    <row r="148" ht="15.75" customHeight="1">
      <c r="A148" s="14">
        <f>141</f>
        <v>141</v>
      </c>
      <c r="B148" s="14" t="str">
        <f>'Master Hunt List'!A141</f>
        <v>No</v>
      </c>
      <c r="C148" s="14" t="str">
        <f>'Master Hunt List'!B141</f>
        <v>A</v>
      </c>
      <c r="D148" s="14" t="str">
        <f>'Master Hunt List'!C141</f>
        <v>Whitetail Deer</v>
      </c>
      <c r="E148" s="14" t="str">
        <f>'Master Hunt List'!D141</f>
        <v>Palo Duro Canyon SP</v>
      </c>
      <c r="F148" s="14" t="str">
        <f>'Master Hunt List'!E141</f>
        <v>Panhandle / Rolling Plains</v>
      </c>
      <c r="G148" s="14" t="str">
        <f>'Master Hunt List'!F141</f>
        <v>Youth Gun Deer - Management</v>
      </c>
      <c r="H148" s="14" t="str">
        <f>'Master Hunt List'!G141</f>
        <v>No</v>
      </c>
      <c r="I148" s="14" t="str">
        <f>'Master Hunt List'!H141</f>
        <v>Yes</v>
      </c>
      <c r="J148" s="15" t="str">
        <f>'Master Hunt List'!I141</f>
        <v>2026-09-15</v>
      </c>
      <c r="K148" s="27">
        <f>'Master Hunt List'!K141</f>
        <v>0</v>
      </c>
      <c r="L148" s="14" t="str">
        <f>'Master Hunt List'!AF141</f>
        <v/>
      </c>
      <c r="M148" s="14" t="str">
        <f>'Master Hunt List'!AH141</f>
        <v/>
      </c>
      <c r="N148" s="14" t="str">
        <f>'Master Hunt List'!AI141</f>
        <v/>
      </c>
      <c r="O148" s="61" t="str">
        <f>'Master Hunt List'!V141</f>
        <v>https://tpwd.texas.gov/huntwild/hunt/public/public_hunt_drawing/hunt-category-details.phtml?OCat=YDM</v>
      </c>
    </row>
    <row r="149" ht="15.75" customHeight="1">
      <c r="A149" s="14">
        <f>142</f>
        <v>142</v>
      </c>
      <c r="B149" s="14" t="str">
        <f>'Master Hunt List'!A142</f>
        <v>No</v>
      </c>
      <c r="C149" s="14" t="str">
        <f>'Master Hunt List'!B142</f>
        <v>A</v>
      </c>
      <c r="D149" s="14" t="str">
        <f>'Master Hunt List'!C142</f>
        <v>Whitetail Deer</v>
      </c>
      <c r="E149" s="14" t="str">
        <f>'Master Hunt List'!D142</f>
        <v>Paul &amp; Toni Fox Burns WMA</v>
      </c>
      <c r="F149" s="14" t="str">
        <f>'Master Hunt List'!E142</f>
        <v>Statewide / Other</v>
      </c>
      <c r="G149" s="14" t="str">
        <f>'Master Hunt List'!F142</f>
        <v>Youth Gun Deer - Antlerless/Spike</v>
      </c>
      <c r="H149" s="14" t="str">
        <f>'Master Hunt List'!G142</f>
        <v>No</v>
      </c>
      <c r="I149" s="14" t="str">
        <f>'Master Hunt List'!H142</f>
        <v>Yes</v>
      </c>
      <c r="J149" s="15" t="str">
        <f>'Master Hunt List'!I142</f>
        <v>2026-09-15</v>
      </c>
      <c r="K149" s="27">
        <f>'Master Hunt List'!K142</f>
        <v>0</v>
      </c>
      <c r="L149" s="14" t="str">
        <f>'Master Hunt List'!AF142</f>
        <v/>
      </c>
      <c r="M149" s="14" t="str">
        <f>'Master Hunt List'!AH142</f>
        <v/>
      </c>
      <c r="N149" s="14" t="str">
        <f>'Master Hunt List'!AI142</f>
        <v/>
      </c>
      <c r="O149" s="61" t="str">
        <f>'Master Hunt List'!V142</f>
        <v>https://tpwd.texas.gov/huntwild/hunt/public/public_hunt_drawing/hunt-category-details.phtml?OCat=YDA</v>
      </c>
    </row>
    <row r="150" ht="15.75" customHeight="1">
      <c r="A150" s="14">
        <f>143</f>
        <v>143</v>
      </c>
      <c r="B150" s="14" t="str">
        <f>'Master Hunt List'!A143</f>
        <v>No</v>
      </c>
      <c r="C150" s="14" t="str">
        <f>'Master Hunt List'!B143</f>
        <v>A</v>
      </c>
      <c r="D150" s="14" t="str">
        <f>'Master Hunt List'!C143</f>
        <v>Whitetail Deer</v>
      </c>
      <c r="E150" s="14" t="str">
        <f>'Master Hunt List'!D143</f>
        <v>Possum Kingdom SP</v>
      </c>
      <c r="F150" s="14" t="str">
        <f>'Master Hunt List'!E143</f>
        <v>Statewide / Other</v>
      </c>
      <c r="G150" s="14" t="str">
        <f>'Master Hunt List'!F143</f>
        <v>Youth Gun Deer - Antlerless/Spike</v>
      </c>
      <c r="H150" s="14" t="str">
        <f>'Master Hunt List'!G143</f>
        <v>No</v>
      </c>
      <c r="I150" s="14" t="str">
        <f>'Master Hunt List'!H143</f>
        <v>Yes</v>
      </c>
      <c r="J150" s="15" t="str">
        <f>'Master Hunt List'!I143</f>
        <v>2026-09-15</v>
      </c>
      <c r="K150" s="27">
        <f>'Master Hunt List'!K143</f>
        <v>0</v>
      </c>
      <c r="L150" s="14" t="str">
        <f>'Master Hunt List'!AF143</f>
        <v/>
      </c>
      <c r="M150" s="14" t="str">
        <f>'Master Hunt List'!AH143</f>
        <v/>
      </c>
      <c r="N150" s="14" t="str">
        <f>'Master Hunt List'!AI143</f>
        <v/>
      </c>
      <c r="O150" s="61" t="str">
        <f>'Master Hunt List'!V143</f>
        <v>https://tpwd.texas.gov/huntwild/hunt/public/public_hunt_drawing/hunt-category-details.phtml?OCat=YDA</v>
      </c>
    </row>
    <row r="151" ht="15.75" customHeight="1">
      <c r="A151" s="14">
        <f>144</f>
        <v>144</v>
      </c>
      <c r="B151" s="14" t="str">
        <f>'Master Hunt List'!A144</f>
        <v>No</v>
      </c>
      <c r="C151" s="14" t="str">
        <f>'Master Hunt List'!B144</f>
        <v>A</v>
      </c>
      <c r="D151" s="14" t="str">
        <f>'Master Hunt List'!C144</f>
        <v>Whitetail Deer</v>
      </c>
      <c r="E151" s="14" t="str">
        <f>'Master Hunt List'!D144</f>
        <v>Ray Roberts Lake State Park - Isle du Bois</v>
      </c>
      <c r="F151" s="14" t="str">
        <f>'Master Hunt List'!E144</f>
        <v>North Texas / DFW</v>
      </c>
      <c r="G151" s="14" t="str">
        <f>'Master Hunt List'!F144</f>
        <v>Youth Gun Deer - Antlerless/Spike</v>
      </c>
      <c r="H151" s="14" t="str">
        <f>'Master Hunt List'!G144</f>
        <v>No</v>
      </c>
      <c r="I151" s="14" t="str">
        <f>'Master Hunt List'!H144</f>
        <v>Yes</v>
      </c>
      <c r="J151" s="15" t="str">
        <f>'Master Hunt List'!I144</f>
        <v>2026-09-15</v>
      </c>
      <c r="K151" s="27">
        <f>'Master Hunt List'!K144</f>
        <v>0</v>
      </c>
      <c r="L151" s="14" t="str">
        <f>'Master Hunt List'!AF144</f>
        <v/>
      </c>
      <c r="M151" s="14" t="str">
        <f>'Master Hunt List'!AH144</f>
        <v/>
      </c>
      <c r="N151" s="14" t="str">
        <f>'Master Hunt List'!AI144</f>
        <v/>
      </c>
      <c r="O151" s="61" t="str">
        <f>'Master Hunt List'!V144</f>
        <v>https://tpwd.texas.gov/huntwild/hunt/public/public_hunt_drawing/hunt-category-details.phtml?OCat=YDA</v>
      </c>
    </row>
    <row r="152" ht="15.75" customHeight="1">
      <c r="A152" s="14">
        <f>145</f>
        <v>145</v>
      </c>
      <c r="B152" s="14" t="str">
        <f>'Master Hunt List'!A145</f>
        <v>No</v>
      </c>
      <c r="C152" s="14" t="str">
        <f>'Master Hunt List'!B145</f>
        <v>A</v>
      </c>
      <c r="D152" s="14" t="str">
        <f>'Master Hunt List'!C145</f>
        <v>Whitetail Deer</v>
      </c>
      <c r="E152" s="14" t="str">
        <f>'Master Hunt List'!D145</f>
        <v>Roger Fawcett WMA</v>
      </c>
      <c r="F152" s="14" t="str">
        <f>'Master Hunt List'!E145</f>
        <v>West-Central Texas</v>
      </c>
      <c r="G152" s="14" t="str">
        <f>'Master Hunt List'!F145</f>
        <v>Youth Gun Deer - Antlerless/Spike</v>
      </c>
      <c r="H152" s="14" t="str">
        <f>'Master Hunt List'!G145</f>
        <v>No</v>
      </c>
      <c r="I152" s="14" t="str">
        <f>'Master Hunt List'!H145</f>
        <v>Yes</v>
      </c>
      <c r="J152" s="15" t="str">
        <f>'Master Hunt List'!I145</f>
        <v>2026-09-15</v>
      </c>
      <c r="K152" s="27">
        <f>'Master Hunt List'!K145</f>
        <v>0</v>
      </c>
      <c r="L152" s="14" t="str">
        <f>'Master Hunt List'!AF145</f>
        <v/>
      </c>
      <c r="M152" s="14" t="str">
        <f>'Master Hunt List'!AH145</f>
        <v/>
      </c>
      <c r="N152" s="14" t="str">
        <f>'Master Hunt List'!AI145</f>
        <v/>
      </c>
      <c r="O152" s="61" t="str">
        <f>'Master Hunt List'!V145</f>
        <v>https://tpwd.texas.gov/huntwild/hunt/public/public_hunt_drawing/hunt-category-details.phtml?OCat=YDA</v>
      </c>
    </row>
    <row r="153" ht="15.75" customHeight="1">
      <c r="A153" s="14">
        <f>146</f>
        <v>146</v>
      </c>
      <c r="B153" s="14" t="str">
        <f>'Master Hunt List'!A146</f>
        <v>No</v>
      </c>
      <c r="C153" s="14" t="str">
        <f>'Master Hunt List'!B146</f>
        <v>A</v>
      </c>
      <c r="D153" s="14" t="str">
        <f>'Master Hunt List'!C146</f>
        <v>Whitetail Deer</v>
      </c>
      <c r="E153" s="14" t="str">
        <f>'Master Hunt List'!D146</f>
        <v>Sam Houston National Forest WMA</v>
      </c>
      <c r="F153" s="14" t="str">
        <f>'Master Hunt List'!E146</f>
        <v>East Texas / Pineywoods</v>
      </c>
      <c r="G153" s="14" t="str">
        <f>'Master Hunt List'!F146</f>
        <v>USFS Antlerless Deer Permit - Youth</v>
      </c>
      <c r="H153" s="14" t="str">
        <f>'Master Hunt List'!G146</f>
        <v>No</v>
      </c>
      <c r="I153" s="14" t="str">
        <f>'Master Hunt List'!H146</f>
        <v>Yes</v>
      </c>
      <c r="J153" s="15" t="str">
        <f>'Master Hunt List'!I146</f>
        <v>2026-09-15</v>
      </c>
      <c r="K153" s="27">
        <f>'Master Hunt List'!K146</f>
        <v>0</v>
      </c>
      <c r="L153" s="14" t="str">
        <f>'Master Hunt List'!AF146</f>
        <v/>
      </c>
      <c r="M153" s="14" t="str">
        <f>'Master Hunt List'!AH146</f>
        <v/>
      </c>
      <c r="N153" s="14" t="str">
        <f>'Master Hunt List'!AI146</f>
        <v/>
      </c>
      <c r="O153" s="61" t="str">
        <f>'Master Hunt List'!V146</f>
        <v>https://tpwd.texas.gov/huntwild/hunt/public/public_hunt_drawing/hunt-category-details.phtml?OCat=FSY</v>
      </c>
    </row>
    <row r="154" ht="15.75" customHeight="1">
      <c r="A154" s="14">
        <f>147</f>
        <v>147</v>
      </c>
      <c r="B154" s="14" t="str">
        <f>'Master Hunt List'!A147</f>
        <v>No</v>
      </c>
      <c r="C154" s="14" t="str">
        <f>'Master Hunt List'!B147</f>
        <v>A</v>
      </c>
      <c r="D154" s="14" t="str">
        <f>'Master Hunt List'!C147</f>
        <v>Whitetail Deer</v>
      </c>
      <c r="E154" s="14" t="str">
        <f>'Master Hunt List'!D147</f>
        <v>San Angelo SP</v>
      </c>
      <c r="F154" s="14" t="str">
        <f>'Master Hunt List'!E147</f>
        <v>West-Central Texas</v>
      </c>
      <c r="G154" s="14" t="str">
        <f>'Master Hunt List'!F147</f>
        <v>Youth Gun Deer - Antlerless/Spike</v>
      </c>
      <c r="H154" s="14" t="str">
        <f>'Master Hunt List'!G147</f>
        <v>No</v>
      </c>
      <c r="I154" s="14" t="str">
        <f>'Master Hunt List'!H147</f>
        <v>Yes</v>
      </c>
      <c r="J154" s="15" t="str">
        <f>'Master Hunt List'!I147</f>
        <v>2026-09-15</v>
      </c>
      <c r="K154" s="27">
        <f>'Master Hunt List'!K147</f>
        <v>0</v>
      </c>
      <c r="L154" s="14" t="str">
        <f>'Master Hunt List'!AF147</f>
        <v/>
      </c>
      <c r="M154" s="14" t="str">
        <f>'Master Hunt List'!AH147</f>
        <v/>
      </c>
      <c r="N154" s="14" t="str">
        <f>'Master Hunt List'!AI147</f>
        <v/>
      </c>
      <c r="O154" s="61" t="str">
        <f>'Master Hunt List'!V147</f>
        <v>https://tpwd.texas.gov/huntwild/hunt/public/public_hunt_drawing/hunt-category-details.phtml?OCat=YDA</v>
      </c>
    </row>
    <row r="155" ht="15.75" customHeight="1">
      <c r="A155" s="14">
        <f>148</f>
        <v>148</v>
      </c>
      <c r="B155" s="14" t="str">
        <f>'Master Hunt List'!A148</f>
        <v>No</v>
      </c>
      <c r="C155" s="14" t="str">
        <f>'Master Hunt List'!B148</f>
        <v>A</v>
      </c>
      <c r="D155" s="14" t="str">
        <f>'Master Hunt List'!C148</f>
        <v>Whitetail Deer</v>
      </c>
      <c r="E155" s="14" t="str">
        <f>'Master Hunt List'!D148</f>
        <v>Abilene SP</v>
      </c>
      <c r="F155" s="14" t="str">
        <f>'Master Hunt List'!E148</f>
        <v>West-Central Texas</v>
      </c>
      <c r="G155" s="14" t="str">
        <f>'Master Hunt List'!F148</f>
        <v>Gun Deer - Either Sex</v>
      </c>
      <c r="H155" s="14" t="str">
        <f>'Master Hunt List'!G148</f>
        <v>Yes</v>
      </c>
      <c r="I155" s="14" t="str">
        <f>'Master Hunt List'!H148</f>
        <v>Yes</v>
      </c>
      <c r="J155" s="15" t="str">
        <f>'Master Hunt List'!I148</f>
        <v>2026-09-15</v>
      </c>
      <c r="K155" s="27">
        <f>'Master Hunt List'!K148</f>
        <v>3</v>
      </c>
      <c r="L155" s="14" t="str">
        <f>'Master Hunt List'!AF148</f>
        <v/>
      </c>
      <c r="M155" s="14" t="str">
        <f>'Master Hunt List'!AH148</f>
        <v/>
      </c>
      <c r="N155" s="14" t="str">
        <f>'Master Hunt List'!AI148</f>
        <v/>
      </c>
      <c r="O155" s="61" t="str">
        <f>'Master Hunt List'!V148</f>
        <v>https://tpwd.texas.gov/huntwild/hunt/public/public_hunt_drawing/hunt-category-details.phtml?OCat=GDE</v>
      </c>
    </row>
    <row r="156" ht="15.75" customHeight="1">
      <c r="A156" s="14">
        <f>149</f>
        <v>149</v>
      </c>
      <c r="B156" s="14" t="str">
        <f>'Master Hunt List'!A149</f>
        <v>No</v>
      </c>
      <c r="C156" s="14" t="str">
        <f>'Master Hunt List'!B149</f>
        <v>A</v>
      </c>
      <c r="D156" s="14" t="str">
        <f>'Master Hunt List'!C149</f>
        <v>Whitetail Deer</v>
      </c>
      <c r="E156" s="14" t="str">
        <f>'Master Hunt List'!D149</f>
        <v>Alabama Creek WMA</v>
      </c>
      <c r="F156" s="14" t="str">
        <f>'Master Hunt List'!E149</f>
        <v>East Texas / Pineywoods</v>
      </c>
      <c r="G156" s="14" t="str">
        <f>'Master Hunt List'!F149</f>
        <v>USFS Antlerless Deer Permit - Adult</v>
      </c>
      <c r="H156" s="14" t="str">
        <f>'Master Hunt List'!G149</f>
        <v>Yes</v>
      </c>
      <c r="I156" s="14" t="str">
        <f>'Master Hunt List'!H149</f>
        <v>No</v>
      </c>
      <c r="J156" s="15" t="str">
        <f>'Master Hunt List'!I149</f>
        <v>2026-09-15</v>
      </c>
      <c r="K156" s="27">
        <f>'Master Hunt List'!K149</f>
        <v>0</v>
      </c>
      <c r="L156" s="14" t="str">
        <f>'Master Hunt List'!AF149</f>
        <v/>
      </c>
      <c r="M156" s="14" t="str">
        <f>'Master Hunt List'!AH149</f>
        <v/>
      </c>
      <c r="N156" s="14" t="str">
        <f>'Master Hunt List'!AI149</f>
        <v/>
      </c>
      <c r="O156" s="61" t="str">
        <f>'Master Hunt List'!V149</f>
        <v>https://tpwd.texas.gov/huntwild/hunt/public/public_hunt_drawing/hunt-category-details.phtml?OCat=FSD</v>
      </c>
    </row>
    <row r="157" ht="15.75" customHeight="1">
      <c r="A157" s="14">
        <f>150</f>
        <v>150</v>
      </c>
      <c r="B157" s="14" t="str">
        <f>'Master Hunt List'!A150</f>
        <v>No</v>
      </c>
      <c r="C157" s="14" t="str">
        <f>'Master Hunt List'!B150</f>
        <v>A</v>
      </c>
      <c r="D157" s="14" t="str">
        <f>'Master Hunt List'!C150</f>
        <v>Whitetail Deer</v>
      </c>
      <c r="E157" s="14" t="str">
        <f>'Master Hunt List'!D150</f>
        <v>Alabama Creek WMA</v>
      </c>
      <c r="F157" s="14" t="str">
        <f>'Master Hunt List'!E150</f>
        <v>East Texas / Pineywoods</v>
      </c>
      <c r="G157" s="14" t="str">
        <f>'Master Hunt List'!F150</f>
        <v>USFS Buck Deer Permit - Adult</v>
      </c>
      <c r="H157" s="14" t="str">
        <f>'Master Hunt List'!G150</f>
        <v>Yes</v>
      </c>
      <c r="I157" s="14" t="str">
        <f>'Master Hunt List'!H150</f>
        <v>No</v>
      </c>
      <c r="J157" s="15" t="str">
        <f>'Master Hunt List'!I150</f>
        <v>2026-09-15</v>
      </c>
      <c r="K157" s="27">
        <f>'Master Hunt List'!K150</f>
        <v>0</v>
      </c>
      <c r="L157" s="14" t="str">
        <f>'Master Hunt List'!AF150</f>
        <v/>
      </c>
      <c r="M157" s="14" t="str">
        <f>'Master Hunt List'!AH150</f>
        <v/>
      </c>
      <c r="N157" s="14" t="str">
        <f>'Master Hunt List'!AI150</f>
        <v/>
      </c>
      <c r="O157" s="61" t="str">
        <f>'Master Hunt List'!V150</f>
        <v>https://tpwd.texas.gov/huntwild/hunt/public/public_hunt_drawing/hunt-category-details.phtml?OCat=FBA</v>
      </c>
    </row>
    <row r="158" ht="15.75" customHeight="1">
      <c r="A158" s="14">
        <f>151</f>
        <v>151</v>
      </c>
      <c r="B158" s="14" t="str">
        <f>'Master Hunt List'!A151</f>
        <v>No</v>
      </c>
      <c r="C158" s="14" t="str">
        <f>'Master Hunt List'!B151</f>
        <v>A</v>
      </c>
      <c r="D158" s="14" t="str">
        <f>'Master Hunt List'!C151</f>
        <v>Whitetail Deer</v>
      </c>
      <c r="E158" s="14" t="str">
        <f>'Master Hunt List'!D151</f>
        <v>Alazan Bayou WMA</v>
      </c>
      <c r="F158" s="14" t="str">
        <f>'Master Hunt List'!E151</f>
        <v>East Texas / Pineywoods</v>
      </c>
      <c r="G158" s="14" t="str">
        <f>'Master Hunt List'!F151</f>
        <v>Gun Deer - Either Sex</v>
      </c>
      <c r="H158" s="14" t="str">
        <f>'Master Hunt List'!G151</f>
        <v>Yes</v>
      </c>
      <c r="I158" s="14" t="str">
        <f>'Master Hunt List'!H151</f>
        <v>Yes</v>
      </c>
      <c r="J158" s="15" t="str">
        <f>'Master Hunt List'!I151</f>
        <v>2026-09-15</v>
      </c>
      <c r="K158" s="27">
        <f>'Master Hunt List'!K151</f>
        <v>3</v>
      </c>
      <c r="L158" s="14" t="str">
        <f>'Master Hunt List'!AF151</f>
        <v/>
      </c>
      <c r="M158" s="14" t="str">
        <f>'Master Hunt List'!AH151</f>
        <v/>
      </c>
      <c r="N158" s="14" t="str">
        <f>'Master Hunt List'!AI151</f>
        <v/>
      </c>
      <c r="O158" s="61" t="str">
        <f>'Master Hunt List'!V151</f>
        <v>https://tpwd.texas.gov/huntwild/hunt/public/public_hunt_drawing/hunt-category-details.phtml?OCat=GDE</v>
      </c>
    </row>
    <row r="159" ht="15.75" customHeight="1">
      <c r="A159" s="14">
        <f>152</f>
        <v>152</v>
      </c>
      <c r="B159" s="14" t="str">
        <f>'Master Hunt List'!A152</f>
        <v>No</v>
      </c>
      <c r="C159" s="14" t="str">
        <f>'Master Hunt List'!B152</f>
        <v>A</v>
      </c>
      <c r="D159" s="14" t="str">
        <f>'Master Hunt List'!C152</f>
        <v>Whitetail Deer</v>
      </c>
      <c r="E159" s="14" t="str">
        <f>'Master Hunt List'!D152</f>
        <v>Aransas NWR</v>
      </c>
      <c r="F159" s="14" t="str">
        <f>'Master Hunt List'!E152</f>
        <v>Houston / Gulf Coast</v>
      </c>
      <c r="G159" s="14" t="str">
        <f>'Master Hunt List'!F152</f>
        <v>National Refuge General Deer</v>
      </c>
      <c r="H159" s="14" t="str">
        <f>'Master Hunt List'!G152</f>
        <v>Yes</v>
      </c>
      <c r="I159" s="14" t="str">
        <f>'Master Hunt List'!H152</f>
        <v>Yes</v>
      </c>
      <c r="J159" s="15" t="str">
        <f>'Master Hunt List'!I152</f>
        <v>2026-09-15</v>
      </c>
      <c r="K159" s="27">
        <f>'Master Hunt List'!K152</f>
        <v>3</v>
      </c>
      <c r="L159" s="14" t="str">
        <f>'Master Hunt List'!AF152</f>
        <v/>
      </c>
      <c r="M159" s="14" t="str">
        <f>'Master Hunt List'!AH152</f>
        <v/>
      </c>
      <c r="N159" s="14" t="str">
        <f>'Master Hunt List'!AI152</f>
        <v/>
      </c>
      <c r="O159" s="61" t="str">
        <f>'Master Hunt List'!V152</f>
        <v>https://tpwd.texas.gov/huntwild/hunt/public/public_hunt_drawing/hunt-category-details.phtml?OCat=NGE</v>
      </c>
    </row>
    <row r="160" ht="15.75" customHeight="1">
      <c r="A160" s="14">
        <f>153</f>
        <v>153</v>
      </c>
      <c r="B160" s="14" t="str">
        <f>'Master Hunt List'!A153</f>
        <v>No</v>
      </c>
      <c r="C160" s="14" t="str">
        <f>'Master Hunt List'!B153</f>
        <v>A</v>
      </c>
      <c r="D160" s="14" t="str">
        <f>'Master Hunt List'!C153</f>
        <v>Whitetail Deer</v>
      </c>
      <c r="E160" s="14" t="str">
        <f>'Master Hunt List'!D153</f>
        <v>Atlanta SP</v>
      </c>
      <c r="F160" s="14" t="str">
        <f>'Master Hunt List'!E153</f>
        <v>East Texas / Pineywoods</v>
      </c>
      <c r="G160" s="14" t="str">
        <f>'Master Hunt List'!F153</f>
        <v>Gun Deer - Antlerless/Spike</v>
      </c>
      <c r="H160" s="14" t="str">
        <f>'Master Hunt List'!G153</f>
        <v>Yes</v>
      </c>
      <c r="I160" s="14" t="str">
        <f>'Master Hunt List'!H153</f>
        <v>Yes</v>
      </c>
      <c r="J160" s="15" t="str">
        <f>'Master Hunt List'!I153</f>
        <v>2026-09-15</v>
      </c>
      <c r="K160" s="27">
        <f>'Master Hunt List'!K153</f>
        <v>3</v>
      </c>
      <c r="L160" s="14" t="str">
        <f>'Master Hunt List'!AF153</f>
        <v/>
      </c>
      <c r="M160" s="14" t="str">
        <f>'Master Hunt List'!AH153</f>
        <v/>
      </c>
      <c r="N160" s="14" t="str">
        <f>'Master Hunt List'!AI153</f>
        <v/>
      </c>
      <c r="O160" s="61" t="str">
        <f>'Master Hunt List'!V153</f>
        <v>https://tpwd.texas.gov/huntwild/hunt/public/public_hunt_drawing/hunt-category-details.phtml?OCat=GDA</v>
      </c>
    </row>
    <row r="161" ht="15.75" customHeight="1">
      <c r="A161" s="14">
        <f>154</f>
        <v>154</v>
      </c>
      <c r="B161" s="14" t="str">
        <f>'Master Hunt List'!A154</f>
        <v>No</v>
      </c>
      <c r="C161" s="14" t="str">
        <f>'Master Hunt List'!B154</f>
        <v>A</v>
      </c>
      <c r="D161" s="14" t="str">
        <f>'Master Hunt List'!C154</f>
        <v>Whitetail Deer</v>
      </c>
      <c r="E161" s="14" t="str">
        <f>'Master Hunt List'!D154</f>
        <v>Atlanta SP</v>
      </c>
      <c r="F161" s="14" t="str">
        <f>'Master Hunt List'!E154</f>
        <v>East Texas / Pineywoods</v>
      </c>
      <c r="G161" s="14" t="str">
        <f>'Master Hunt List'!F154</f>
        <v>Gun Deer - Either Sex</v>
      </c>
      <c r="H161" s="14" t="str">
        <f>'Master Hunt List'!G154</f>
        <v>Yes</v>
      </c>
      <c r="I161" s="14" t="str">
        <f>'Master Hunt List'!H154</f>
        <v>Yes</v>
      </c>
      <c r="J161" s="15" t="str">
        <f>'Master Hunt List'!I154</f>
        <v>2026-09-15</v>
      </c>
      <c r="K161" s="27">
        <f>'Master Hunt List'!K154</f>
        <v>3</v>
      </c>
      <c r="L161" s="14" t="str">
        <f>'Master Hunt List'!AF154</f>
        <v/>
      </c>
      <c r="M161" s="14" t="str">
        <f>'Master Hunt List'!AH154</f>
        <v/>
      </c>
      <c r="N161" s="14" t="str">
        <f>'Master Hunt List'!AI154</f>
        <v/>
      </c>
      <c r="O161" s="61" t="str">
        <f>'Master Hunt List'!V154</f>
        <v>https://tpwd.texas.gov/huntwild/hunt/public/public_hunt_drawing/hunt-category-details.phtml?OCat=GDE</v>
      </c>
    </row>
    <row r="162" ht="15.75" customHeight="1">
      <c r="A162" s="14">
        <f>155</f>
        <v>155</v>
      </c>
      <c r="B162" s="14" t="str">
        <f>'Master Hunt List'!A155</f>
        <v>No</v>
      </c>
      <c r="C162" s="14" t="str">
        <f>'Master Hunt List'!B155</f>
        <v>A</v>
      </c>
      <c r="D162" s="14" t="str">
        <f>'Master Hunt List'!C155</f>
        <v>Whitetail Deer</v>
      </c>
      <c r="E162" s="14" t="str">
        <f>'Master Hunt List'!D155</f>
        <v>Balcones Canyonlands NWR</v>
      </c>
      <c r="F162" s="14" t="str">
        <f>'Master Hunt List'!E155</f>
        <v>Statewide / Other</v>
      </c>
      <c r="G162" s="14" t="str">
        <f>'Master Hunt List'!F155</f>
        <v>National Refuge General Deer</v>
      </c>
      <c r="H162" s="14" t="str">
        <f>'Master Hunt List'!G155</f>
        <v>Yes</v>
      </c>
      <c r="I162" s="14" t="str">
        <f>'Master Hunt List'!H155</f>
        <v>Yes</v>
      </c>
      <c r="J162" s="15" t="str">
        <f>'Master Hunt List'!I155</f>
        <v>2026-09-15</v>
      </c>
      <c r="K162" s="27">
        <f>'Master Hunt List'!K155</f>
        <v>3</v>
      </c>
      <c r="L162" s="14" t="str">
        <f>'Master Hunt List'!AF155</f>
        <v/>
      </c>
      <c r="M162" s="14" t="str">
        <f>'Master Hunt List'!AH155</f>
        <v/>
      </c>
      <c r="N162" s="14" t="str">
        <f>'Master Hunt List'!AI155</f>
        <v/>
      </c>
      <c r="O162" s="61" t="str">
        <f>'Master Hunt List'!V155</f>
        <v>https://tpwd.texas.gov/huntwild/hunt/public/public_hunt_drawing/hunt-category-details.phtml?OCat=NGE</v>
      </c>
    </row>
    <row r="163" ht="15.75" customHeight="1">
      <c r="A163" s="14">
        <f>156</f>
        <v>156</v>
      </c>
      <c r="B163" s="14" t="str">
        <f>'Master Hunt List'!A156</f>
        <v>No</v>
      </c>
      <c r="C163" s="14" t="str">
        <f>'Master Hunt List'!B156</f>
        <v>A</v>
      </c>
      <c r="D163" s="14" t="str">
        <f>'Master Hunt List'!C156</f>
        <v>Whitetail Deer</v>
      </c>
      <c r="E163" s="14" t="str">
        <f>'Master Hunt List'!D156</f>
        <v>Bannister WMA</v>
      </c>
      <c r="F163" s="14" t="str">
        <f>'Master Hunt List'!E156</f>
        <v>East Texas / Pineywoods</v>
      </c>
      <c r="G163" s="14" t="str">
        <f>'Master Hunt List'!F156</f>
        <v>USFS Antlerless Deer Permit - Adult</v>
      </c>
      <c r="H163" s="14" t="str">
        <f>'Master Hunt List'!G156</f>
        <v>Yes</v>
      </c>
      <c r="I163" s="14" t="str">
        <f>'Master Hunt List'!H156</f>
        <v>No</v>
      </c>
      <c r="J163" s="15" t="str">
        <f>'Master Hunt List'!I156</f>
        <v>2026-09-15</v>
      </c>
      <c r="K163" s="27">
        <f>'Master Hunt List'!K156</f>
        <v>0</v>
      </c>
      <c r="L163" s="14" t="str">
        <f>'Master Hunt List'!AF156</f>
        <v/>
      </c>
      <c r="M163" s="14" t="str">
        <f>'Master Hunt List'!AH156</f>
        <v/>
      </c>
      <c r="N163" s="14" t="str">
        <f>'Master Hunt List'!AI156</f>
        <v/>
      </c>
      <c r="O163" s="61" t="str">
        <f>'Master Hunt List'!V156</f>
        <v>https://tpwd.texas.gov/huntwild/hunt/public/public_hunt_drawing/hunt-category-details.phtml?OCat=FSD</v>
      </c>
    </row>
    <row r="164" ht="15.75" customHeight="1">
      <c r="A164" s="14">
        <f>157</f>
        <v>157</v>
      </c>
      <c r="B164" s="14" t="str">
        <f>'Master Hunt List'!A157</f>
        <v>No</v>
      </c>
      <c r="C164" s="14" t="str">
        <f>'Master Hunt List'!B157</f>
        <v>A</v>
      </c>
      <c r="D164" s="14" t="str">
        <f>'Master Hunt List'!C157</f>
        <v>Whitetail Deer</v>
      </c>
      <c r="E164" s="14" t="str">
        <f>'Master Hunt List'!D157</f>
        <v>Bastrop SP</v>
      </c>
      <c r="F164" s="14" t="str">
        <f>'Master Hunt List'!E157</f>
        <v>Central Texas / Austin</v>
      </c>
      <c r="G164" s="14" t="str">
        <f>'Master Hunt List'!F157</f>
        <v>Gun Deer - Antlerless/Spike</v>
      </c>
      <c r="H164" s="14" t="str">
        <f>'Master Hunt List'!G157</f>
        <v>Yes</v>
      </c>
      <c r="I164" s="14" t="str">
        <f>'Master Hunt List'!H157</f>
        <v>Yes</v>
      </c>
      <c r="J164" s="15" t="str">
        <f>'Master Hunt List'!I157</f>
        <v>2026-09-15</v>
      </c>
      <c r="K164" s="27">
        <f>'Master Hunt List'!K157</f>
        <v>3</v>
      </c>
      <c r="L164" s="14" t="str">
        <f>'Master Hunt List'!AF157</f>
        <v/>
      </c>
      <c r="M164" s="14" t="str">
        <f>'Master Hunt List'!AH157</f>
        <v/>
      </c>
      <c r="N164" s="14" t="str">
        <f>'Master Hunt List'!AI157</f>
        <v/>
      </c>
      <c r="O164" s="61" t="str">
        <f>'Master Hunt List'!V157</f>
        <v>https://tpwd.texas.gov/huntwild/hunt/public/public_hunt_drawing/hunt-category-details.phtml?OCat=GDA</v>
      </c>
    </row>
    <row r="165" ht="15.75" customHeight="1">
      <c r="A165" s="14">
        <f>158</f>
        <v>158</v>
      </c>
      <c r="B165" s="14" t="str">
        <f>'Master Hunt List'!A158</f>
        <v>No</v>
      </c>
      <c r="C165" s="14" t="str">
        <f>'Master Hunt List'!B158</f>
        <v>A</v>
      </c>
      <c r="D165" s="14" t="str">
        <f>'Master Hunt List'!C158</f>
        <v>Whitetail Deer</v>
      </c>
      <c r="E165" s="14" t="str">
        <f>'Master Hunt List'!D158</f>
        <v>Bear Creek State Park</v>
      </c>
      <c r="F165" s="14" t="str">
        <f>'Master Hunt List'!E158</f>
        <v>East Texas / Pineywoods</v>
      </c>
      <c r="G165" s="14" t="str">
        <f>'Master Hunt List'!F158</f>
        <v>Gun Deer - Either Sex</v>
      </c>
      <c r="H165" s="14" t="str">
        <f>'Master Hunt List'!G158</f>
        <v>Yes</v>
      </c>
      <c r="I165" s="14" t="str">
        <f>'Master Hunt List'!H158</f>
        <v>Yes</v>
      </c>
      <c r="J165" s="15" t="str">
        <f>'Master Hunt List'!I158</f>
        <v>2026-09-15</v>
      </c>
      <c r="K165" s="27">
        <f>'Master Hunt List'!K158</f>
        <v>3</v>
      </c>
      <c r="L165" s="14" t="str">
        <f>'Master Hunt List'!AF158</f>
        <v/>
      </c>
      <c r="M165" s="14" t="str">
        <f>'Master Hunt List'!AH158</f>
        <v/>
      </c>
      <c r="N165" s="14" t="str">
        <f>'Master Hunt List'!AI158</f>
        <v/>
      </c>
      <c r="O165" s="61" t="str">
        <f>'Master Hunt List'!V158</f>
        <v>https://tpwd.texas.gov/huntwild/hunt/public/public_hunt_drawing/hunt-category-details.phtml?OCat=GDE</v>
      </c>
    </row>
    <row r="166" ht="15.75" customHeight="1">
      <c r="A166" s="14">
        <f>159</f>
        <v>159</v>
      </c>
      <c r="B166" s="14" t="str">
        <f>'Master Hunt List'!A159</f>
        <v>No</v>
      </c>
      <c r="C166" s="14" t="str">
        <f>'Master Hunt List'!B159</f>
        <v>A</v>
      </c>
      <c r="D166" s="14" t="str">
        <f>'Master Hunt List'!C159</f>
        <v>Whitetail Deer</v>
      </c>
      <c r="E166" s="14" t="str">
        <f>'Master Hunt List'!D159</f>
        <v>Big Lake Bottom WMA</v>
      </c>
      <c r="F166" s="14" t="str">
        <f>'Master Hunt List'!E159</f>
        <v>Statewide / Other</v>
      </c>
      <c r="G166" s="14" t="str">
        <f>'Master Hunt List'!F159</f>
        <v>E-Postcard Deer</v>
      </c>
      <c r="H166" s="14" t="str">
        <f>'Master Hunt List'!G159</f>
        <v>Yes</v>
      </c>
      <c r="I166" s="14" t="str">
        <f>'Master Hunt List'!H159</f>
        <v>Yes</v>
      </c>
      <c r="J166" s="15" t="str">
        <f>'Master Hunt List'!I159</f>
        <v>2026-09-15</v>
      </c>
      <c r="K166" s="27">
        <f>'Master Hunt List'!K159</f>
        <v>0</v>
      </c>
      <c r="L166" s="14" t="str">
        <f>'Master Hunt List'!AF159</f>
        <v/>
      </c>
      <c r="M166" s="14" t="str">
        <f>'Master Hunt List'!AH159</f>
        <v/>
      </c>
      <c r="N166" s="14" t="str">
        <f>'Master Hunt List'!AI159</f>
        <v/>
      </c>
      <c r="O166" s="61" t="str">
        <f>'Master Hunt List'!V159</f>
        <v>https://tpwd.texas.gov/huntwild/hunt/public/public_hunt_drawing/hunt-category-details.phtml?OCat=EDR</v>
      </c>
    </row>
    <row r="167" ht="15.75" customHeight="1">
      <c r="A167" s="14">
        <f>160</f>
        <v>160</v>
      </c>
      <c r="B167" s="14" t="str">
        <f>'Master Hunt List'!A160</f>
        <v>No</v>
      </c>
      <c r="C167" s="14" t="str">
        <f>'Master Hunt List'!B160</f>
        <v>A</v>
      </c>
      <c r="D167" s="14" t="str">
        <f>'Master Hunt List'!C160</f>
        <v>Whitetail Deer</v>
      </c>
      <c r="E167" s="14" t="str">
        <f>'Master Hunt List'!D160</f>
        <v>Brazos Bend SP</v>
      </c>
      <c r="F167" s="14" t="str">
        <f>'Master Hunt List'!E160</f>
        <v>Houston / Gulf Coast</v>
      </c>
      <c r="G167" s="14" t="str">
        <f>'Master Hunt List'!F160</f>
        <v>Gun Deer - Antlerless/Spike</v>
      </c>
      <c r="H167" s="14" t="str">
        <f>'Master Hunt List'!G160</f>
        <v>Yes</v>
      </c>
      <c r="I167" s="14" t="str">
        <f>'Master Hunt List'!H160</f>
        <v>Yes</v>
      </c>
      <c r="J167" s="15" t="str">
        <f>'Master Hunt List'!I160</f>
        <v>2026-09-15</v>
      </c>
      <c r="K167" s="27">
        <f>'Master Hunt List'!K160</f>
        <v>3</v>
      </c>
      <c r="L167" s="14" t="str">
        <f>'Master Hunt List'!AF160</f>
        <v/>
      </c>
      <c r="M167" s="14" t="str">
        <f>'Master Hunt List'!AH160</f>
        <v/>
      </c>
      <c r="N167" s="14" t="str">
        <f>'Master Hunt List'!AI160</f>
        <v/>
      </c>
      <c r="O167" s="61" t="str">
        <f>'Master Hunt List'!V160</f>
        <v>https://tpwd.texas.gov/huntwild/hunt/public/public_hunt_drawing/hunt-category-details.phtml?OCat=GDA</v>
      </c>
    </row>
    <row r="168" ht="15.75" customHeight="1">
      <c r="A168" s="14">
        <f>161</f>
        <v>161</v>
      </c>
      <c r="B168" s="14" t="str">
        <f>'Master Hunt List'!A161</f>
        <v>No</v>
      </c>
      <c r="C168" s="14" t="str">
        <f>'Master Hunt List'!B161</f>
        <v>A</v>
      </c>
      <c r="D168" s="14" t="str">
        <f>'Master Hunt List'!C161</f>
        <v>Whitetail Deer</v>
      </c>
      <c r="E168" s="14" t="str">
        <f>'Master Hunt List'!D161</f>
        <v>Brazos Bend SP</v>
      </c>
      <c r="F168" s="14" t="str">
        <f>'Master Hunt List'!E161</f>
        <v>Houston / Gulf Coast</v>
      </c>
      <c r="G168" s="14" t="str">
        <f>'Master Hunt List'!F161</f>
        <v>Gun Deer - Either Sex</v>
      </c>
      <c r="H168" s="14" t="str">
        <f>'Master Hunt List'!G161</f>
        <v>Yes</v>
      </c>
      <c r="I168" s="14" t="str">
        <f>'Master Hunt List'!H161</f>
        <v>Yes</v>
      </c>
      <c r="J168" s="15" t="str">
        <f>'Master Hunt List'!I161</f>
        <v>2026-09-15</v>
      </c>
      <c r="K168" s="27">
        <f>'Master Hunt List'!K161</f>
        <v>3</v>
      </c>
      <c r="L168" s="14" t="str">
        <f>'Master Hunt List'!AF161</f>
        <v/>
      </c>
      <c r="M168" s="14" t="str">
        <f>'Master Hunt List'!AH161</f>
        <v/>
      </c>
      <c r="N168" s="14" t="str">
        <f>'Master Hunt List'!AI161</f>
        <v/>
      </c>
      <c r="O168" s="61" t="str">
        <f>'Master Hunt List'!V161</f>
        <v>https://tpwd.texas.gov/huntwild/hunt/public/public_hunt_drawing/hunt-category-details.phtml?OCat=GDE</v>
      </c>
    </row>
    <row r="169" ht="15.75" customHeight="1">
      <c r="A169" s="14">
        <f>162</f>
        <v>162</v>
      </c>
      <c r="B169" s="14" t="str">
        <f>'Master Hunt List'!A162</f>
        <v>No</v>
      </c>
      <c r="C169" s="14" t="str">
        <f>'Master Hunt List'!B162</f>
        <v>A</v>
      </c>
      <c r="D169" s="14" t="str">
        <f>'Master Hunt List'!C162</f>
        <v>Whitetail Deer</v>
      </c>
      <c r="E169" s="14" t="str">
        <f>'Master Hunt List'!D162</f>
        <v>Caddo Lake NWR</v>
      </c>
      <c r="F169" s="14" t="str">
        <f>'Master Hunt List'!E162</f>
        <v>East Texas / Pineywoods</v>
      </c>
      <c r="G169" s="14" t="str">
        <f>'Master Hunt List'!F162</f>
        <v>National Refuge General Deer</v>
      </c>
      <c r="H169" s="14" t="str">
        <f>'Master Hunt List'!G162</f>
        <v>Yes</v>
      </c>
      <c r="I169" s="14" t="str">
        <f>'Master Hunt List'!H162</f>
        <v>Yes</v>
      </c>
      <c r="J169" s="15" t="str">
        <f>'Master Hunt List'!I162</f>
        <v>2026-09-15</v>
      </c>
      <c r="K169" s="27">
        <f>'Master Hunt List'!K162</f>
        <v>3</v>
      </c>
      <c r="L169" s="14" t="str">
        <f>'Master Hunt List'!AF162</f>
        <v/>
      </c>
      <c r="M169" s="14" t="str">
        <f>'Master Hunt List'!AH162</f>
        <v/>
      </c>
      <c r="N169" s="14" t="str">
        <f>'Master Hunt List'!AI162</f>
        <v/>
      </c>
      <c r="O169" s="61" t="str">
        <f>'Master Hunt List'!V162</f>
        <v>https://tpwd.texas.gov/huntwild/hunt/public/public_hunt_drawing/hunt-category-details.phtml?OCat=NGE</v>
      </c>
    </row>
    <row r="170" ht="15.75" customHeight="1">
      <c r="A170" s="14">
        <f>163</f>
        <v>163</v>
      </c>
      <c r="B170" s="14" t="str">
        <f>'Master Hunt List'!A163</f>
        <v>No</v>
      </c>
      <c r="C170" s="14" t="str">
        <f>'Master Hunt List'!B163</f>
        <v>A</v>
      </c>
      <c r="D170" s="14" t="str">
        <f>'Master Hunt List'!C163</f>
        <v>Whitetail Deer</v>
      </c>
      <c r="E170" s="14" t="str">
        <f>'Master Hunt List'!D163</f>
        <v>Caddo Lake WMA</v>
      </c>
      <c r="F170" s="14" t="str">
        <f>'Master Hunt List'!E163</f>
        <v>East Texas / Pineywoods</v>
      </c>
      <c r="G170" s="14" t="str">
        <f>'Master Hunt List'!F163</f>
        <v>E-Postcard Deer</v>
      </c>
      <c r="H170" s="14" t="str">
        <f>'Master Hunt List'!G163</f>
        <v>Yes</v>
      </c>
      <c r="I170" s="14" t="str">
        <f>'Master Hunt List'!H163</f>
        <v>Yes</v>
      </c>
      <c r="J170" s="15" t="str">
        <f>'Master Hunt List'!I163</f>
        <v>2026-09-15</v>
      </c>
      <c r="K170" s="27">
        <f>'Master Hunt List'!K163</f>
        <v>0</v>
      </c>
      <c r="L170" s="14" t="str">
        <f>'Master Hunt List'!AF163</f>
        <v/>
      </c>
      <c r="M170" s="14" t="str">
        <f>'Master Hunt List'!AH163</f>
        <v/>
      </c>
      <c r="N170" s="14" t="str">
        <f>'Master Hunt List'!AI163</f>
        <v/>
      </c>
      <c r="O170" s="61" t="str">
        <f>'Master Hunt List'!V163</f>
        <v>https://tpwd.texas.gov/huntwild/hunt/public/public_hunt_drawing/hunt-category-details.phtml?OCat=EDR</v>
      </c>
    </row>
    <row r="171" ht="15.75" customHeight="1">
      <c r="A171" s="14">
        <f>164</f>
        <v>164</v>
      </c>
      <c r="B171" s="14" t="str">
        <f>'Master Hunt List'!A164</f>
        <v>No</v>
      </c>
      <c r="C171" s="14" t="str">
        <f>'Master Hunt List'!B164</f>
        <v>A</v>
      </c>
      <c r="D171" s="14" t="str">
        <f>'Master Hunt List'!C164</f>
        <v>Whitetail Deer</v>
      </c>
      <c r="E171" s="14" t="str">
        <f>'Master Hunt List'!D164</f>
        <v>Caddo National Grasslands WMA - Bois d'Arc Unit</v>
      </c>
      <c r="F171" s="14" t="str">
        <f>'Master Hunt List'!E164</f>
        <v>North Texas / DFW</v>
      </c>
      <c r="G171" s="14" t="str">
        <f>'Master Hunt List'!F164</f>
        <v>USFS Antlerless Deer Permit - Adult</v>
      </c>
      <c r="H171" s="14" t="str">
        <f>'Master Hunt List'!G164</f>
        <v>Yes</v>
      </c>
      <c r="I171" s="14" t="str">
        <f>'Master Hunt List'!H164</f>
        <v>No</v>
      </c>
      <c r="J171" s="15" t="str">
        <f>'Master Hunt List'!I164</f>
        <v>2026-09-15</v>
      </c>
      <c r="K171" s="27">
        <f>'Master Hunt List'!K164</f>
        <v>0</v>
      </c>
      <c r="L171" s="14" t="str">
        <f>'Master Hunt List'!AF164</f>
        <v/>
      </c>
      <c r="M171" s="14" t="str">
        <f>'Master Hunt List'!AH164</f>
        <v/>
      </c>
      <c r="N171" s="14" t="str">
        <f>'Master Hunt List'!AI164</f>
        <v/>
      </c>
      <c r="O171" s="61" t="str">
        <f>'Master Hunt List'!V164</f>
        <v>https://tpwd.texas.gov/huntwild/hunt/public/public_hunt_drawing/hunt-category-details.phtml?OCat=FSD</v>
      </c>
    </row>
    <row r="172" ht="15.75" customHeight="1">
      <c r="A172" s="14">
        <f>165</f>
        <v>165</v>
      </c>
      <c r="B172" s="14" t="str">
        <f>'Master Hunt List'!A165</f>
        <v>No</v>
      </c>
      <c r="C172" s="14" t="str">
        <f>'Master Hunt List'!B165</f>
        <v>A</v>
      </c>
      <c r="D172" s="14" t="str">
        <f>'Master Hunt List'!C165</f>
        <v>Whitetail Deer</v>
      </c>
      <c r="E172" s="14" t="str">
        <f>'Master Hunt List'!D165</f>
        <v>Caddo National Grasslands WMA - Ladonia Unit</v>
      </c>
      <c r="F172" s="14" t="str">
        <f>'Master Hunt List'!E165</f>
        <v>North Texas / DFW</v>
      </c>
      <c r="G172" s="14" t="str">
        <f>'Master Hunt List'!F165</f>
        <v>USFS Antlerless Deer Permit - Adult</v>
      </c>
      <c r="H172" s="14" t="str">
        <f>'Master Hunt List'!G165</f>
        <v>Yes</v>
      </c>
      <c r="I172" s="14" t="str">
        <f>'Master Hunt List'!H165</f>
        <v>No</v>
      </c>
      <c r="J172" s="15" t="str">
        <f>'Master Hunt List'!I165</f>
        <v>2026-09-15</v>
      </c>
      <c r="K172" s="27">
        <f>'Master Hunt List'!K165</f>
        <v>0</v>
      </c>
      <c r="L172" s="14" t="str">
        <f>'Master Hunt List'!AF165</f>
        <v/>
      </c>
      <c r="M172" s="14" t="str">
        <f>'Master Hunt List'!AH165</f>
        <v/>
      </c>
      <c r="N172" s="14" t="str">
        <f>'Master Hunt List'!AI165</f>
        <v/>
      </c>
      <c r="O172" s="61" t="str">
        <f>'Master Hunt List'!V165</f>
        <v>https://tpwd.texas.gov/huntwild/hunt/public/public_hunt_drawing/hunt-category-details.phtml?OCat=FSD</v>
      </c>
    </row>
    <row r="173" ht="15.75" customHeight="1">
      <c r="A173" s="14">
        <f>166</f>
        <v>166</v>
      </c>
      <c r="B173" s="14" t="str">
        <f>'Master Hunt List'!A166</f>
        <v>No</v>
      </c>
      <c r="C173" s="14" t="str">
        <f>'Master Hunt List'!B166</f>
        <v>A</v>
      </c>
      <c r="D173" s="14" t="str">
        <f>'Master Hunt List'!C166</f>
        <v>Whitetail Deer</v>
      </c>
      <c r="E173" s="14" t="str">
        <f>'Master Hunt List'!D166</f>
        <v>Caprock Canyons SP</v>
      </c>
      <c r="F173" s="14" t="str">
        <f>'Master Hunt List'!E166</f>
        <v>Panhandle / Rolling Plains</v>
      </c>
      <c r="G173" s="14" t="str">
        <f>'Master Hunt List'!F166</f>
        <v>E-Postcard Deer</v>
      </c>
      <c r="H173" s="14" t="str">
        <f>'Master Hunt List'!G166</f>
        <v>Yes</v>
      </c>
      <c r="I173" s="14" t="str">
        <f>'Master Hunt List'!H166</f>
        <v>Yes</v>
      </c>
      <c r="J173" s="15" t="str">
        <f>'Master Hunt List'!I166</f>
        <v>2026-09-15</v>
      </c>
      <c r="K173" s="27">
        <f>'Master Hunt List'!K166</f>
        <v>0</v>
      </c>
      <c r="L173" s="14" t="str">
        <f>'Master Hunt List'!AF166</f>
        <v/>
      </c>
      <c r="M173" s="14" t="str">
        <f>'Master Hunt List'!AH166</f>
        <v/>
      </c>
      <c r="N173" s="14" t="str">
        <f>'Master Hunt List'!AI166</f>
        <v/>
      </c>
      <c r="O173" s="61" t="str">
        <f>'Master Hunt List'!V166</f>
        <v>https://tpwd.texas.gov/huntwild/hunt/public/public_hunt_drawing/hunt-category-details.phtml?OCat=EDR</v>
      </c>
    </row>
    <row r="174" ht="15.75" customHeight="1">
      <c r="A174" s="14">
        <f>167</f>
        <v>167</v>
      </c>
      <c r="B174" s="14" t="str">
        <f>'Master Hunt List'!A167</f>
        <v>No</v>
      </c>
      <c r="C174" s="14" t="str">
        <f>'Master Hunt List'!B167</f>
        <v>A</v>
      </c>
      <c r="D174" s="14" t="str">
        <f>'Master Hunt List'!C167</f>
        <v>Whitetail Deer</v>
      </c>
      <c r="E174" s="14" t="str">
        <f>'Master Hunt List'!D167</f>
        <v>Chaparral WMA</v>
      </c>
      <c r="F174" s="14" t="str">
        <f>'Master Hunt List'!E167</f>
        <v>South Texas / Rio Grande Valley</v>
      </c>
      <c r="G174" s="14" t="str">
        <f>'Master Hunt List'!F167</f>
        <v>Gun Deer - Either Sex</v>
      </c>
      <c r="H174" s="14" t="str">
        <f>'Master Hunt List'!G167</f>
        <v>Yes</v>
      </c>
      <c r="I174" s="14" t="str">
        <f>'Master Hunt List'!H167</f>
        <v>Yes</v>
      </c>
      <c r="J174" s="15" t="str">
        <f>'Master Hunt List'!I167</f>
        <v>2026-09-15</v>
      </c>
      <c r="K174" s="27">
        <f>'Master Hunt List'!K167</f>
        <v>3</v>
      </c>
      <c r="L174" s="14" t="str">
        <f>'Master Hunt List'!AF167</f>
        <v/>
      </c>
      <c r="M174" s="14" t="str">
        <f>'Master Hunt List'!AH167</f>
        <v/>
      </c>
      <c r="N174" s="14" t="str">
        <f>'Master Hunt List'!AI167</f>
        <v/>
      </c>
      <c r="O174" s="61" t="str">
        <f>'Master Hunt List'!V167</f>
        <v>https://tpwd.texas.gov/huntwild/hunt/public/public_hunt_drawing/hunt-category-details.phtml?OCat=GDE</v>
      </c>
    </row>
    <row r="175" ht="15.75" customHeight="1">
      <c r="A175" s="14">
        <f>168</f>
        <v>168</v>
      </c>
      <c r="B175" s="14" t="str">
        <f>'Master Hunt List'!A168</f>
        <v>No</v>
      </c>
      <c r="C175" s="14" t="str">
        <f>'Master Hunt List'!B168</f>
        <v>A</v>
      </c>
      <c r="D175" s="14" t="str">
        <f>'Master Hunt List'!C168</f>
        <v>Whitetail Deer</v>
      </c>
      <c r="E175" s="14" t="str">
        <f>'Master Hunt List'!D168</f>
        <v>Choke Canyon SP - Calliham Unit</v>
      </c>
      <c r="F175" s="14" t="str">
        <f>'Master Hunt List'!E168</f>
        <v>South Texas / Rio Grande Valley</v>
      </c>
      <c r="G175" s="14" t="str">
        <f>'Master Hunt List'!F168</f>
        <v>Gun Deer - Management</v>
      </c>
      <c r="H175" s="14" t="str">
        <f>'Master Hunt List'!G168</f>
        <v>Yes</v>
      </c>
      <c r="I175" s="14" t="str">
        <f>'Master Hunt List'!H168</f>
        <v>Yes</v>
      </c>
      <c r="J175" s="15" t="str">
        <f>'Master Hunt List'!I168</f>
        <v>2026-09-15</v>
      </c>
      <c r="K175" s="27">
        <f>'Master Hunt List'!K168</f>
        <v>3</v>
      </c>
      <c r="L175" s="14" t="str">
        <f>'Master Hunt List'!AF168</f>
        <v/>
      </c>
      <c r="M175" s="14" t="str">
        <f>'Master Hunt List'!AH168</f>
        <v/>
      </c>
      <c r="N175" s="14" t="str">
        <f>'Master Hunt List'!AI168</f>
        <v/>
      </c>
      <c r="O175" s="61" t="str">
        <f>'Master Hunt List'!V168</f>
        <v>https://tpwd.texas.gov/huntwild/hunt/public/public_hunt_drawing/hunt-category-details.phtml?OCat=GDM</v>
      </c>
    </row>
    <row r="176" ht="15.75" customHeight="1">
      <c r="A176" s="14">
        <f>169</f>
        <v>169</v>
      </c>
      <c r="B176" s="14" t="str">
        <f>'Master Hunt List'!A169</f>
        <v>No</v>
      </c>
      <c r="C176" s="14" t="str">
        <f>'Master Hunt List'!B169</f>
        <v>A</v>
      </c>
      <c r="D176" s="14" t="str">
        <f>'Master Hunt List'!C169</f>
        <v>Whitetail Deer</v>
      </c>
      <c r="E176" s="14" t="str">
        <f>'Master Hunt List'!D169</f>
        <v>Choke Canyon SP - North Shore Unit</v>
      </c>
      <c r="F176" s="14" t="str">
        <f>'Master Hunt List'!E169</f>
        <v>South Texas / Rio Grande Valley</v>
      </c>
      <c r="G176" s="14" t="str">
        <f>'Master Hunt List'!F169</f>
        <v>Gun Deer - Either Sex</v>
      </c>
      <c r="H176" s="14" t="str">
        <f>'Master Hunt List'!G169</f>
        <v>Yes</v>
      </c>
      <c r="I176" s="14" t="str">
        <f>'Master Hunt List'!H169</f>
        <v>Yes</v>
      </c>
      <c r="J176" s="15" t="str">
        <f>'Master Hunt List'!I169</f>
        <v>2026-09-15</v>
      </c>
      <c r="K176" s="27">
        <f>'Master Hunt List'!K169</f>
        <v>3</v>
      </c>
      <c r="L176" s="14" t="str">
        <f>'Master Hunt List'!AF169</f>
        <v/>
      </c>
      <c r="M176" s="14" t="str">
        <f>'Master Hunt List'!AH169</f>
        <v/>
      </c>
      <c r="N176" s="14" t="str">
        <f>'Master Hunt List'!AI169</f>
        <v/>
      </c>
      <c r="O176" s="61" t="str">
        <f>'Master Hunt List'!V169</f>
        <v>https://tpwd.texas.gov/huntwild/hunt/public/public_hunt_drawing/hunt-category-details.phtml?OCat=GDE</v>
      </c>
    </row>
    <row r="177" ht="15.75" customHeight="1">
      <c r="A177" s="14">
        <f>170</f>
        <v>170</v>
      </c>
      <c r="B177" s="14" t="str">
        <f>'Master Hunt List'!A170</f>
        <v>No</v>
      </c>
      <c r="C177" s="14" t="str">
        <f>'Master Hunt List'!B170</f>
        <v>A</v>
      </c>
      <c r="D177" s="14" t="str">
        <f>'Master Hunt List'!C170</f>
        <v>Whitetail Deer</v>
      </c>
      <c r="E177" s="14" t="str">
        <f>'Master Hunt List'!D170</f>
        <v>Choke Canyon SP - North Shore Unit</v>
      </c>
      <c r="F177" s="14" t="str">
        <f>'Master Hunt List'!E170</f>
        <v>South Texas / Rio Grande Valley</v>
      </c>
      <c r="G177" s="14" t="str">
        <f>'Master Hunt List'!F170</f>
        <v>Gun Deer - Management</v>
      </c>
      <c r="H177" s="14" t="str">
        <f>'Master Hunt List'!G170</f>
        <v>Yes</v>
      </c>
      <c r="I177" s="14" t="str">
        <f>'Master Hunt List'!H170</f>
        <v>Yes</v>
      </c>
      <c r="J177" s="15" t="str">
        <f>'Master Hunt List'!I170</f>
        <v>2026-09-15</v>
      </c>
      <c r="K177" s="27">
        <f>'Master Hunt List'!K170</f>
        <v>3</v>
      </c>
      <c r="L177" s="14" t="str">
        <f>'Master Hunt List'!AF170</f>
        <v/>
      </c>
      <c r="M177" s="14" t="str">
        <f>'Master Hunt List'!AH170</f>
        <v/>
      </c>
      <c r="N177" s="14" t="str">
        <f>'Master Hunt List'!AI170</f>
        <v/>
      </c>
      <c r="O177" s="61" t="str">
        <f>'Master Hunt List'!V170</f>
        <v>https://tpwd.texas.gov/huntwild/hunt/public/public_hunt_drawing/hunt-category-details.phtml?OCat=GDM</v>
      </c>
    </row>
    <row r="178" ht="15.75" customHeight="1">
      <c r="A178" s="14">
        <f>171</f>
        <v>171</v>
      </c>
      <c r="B178" s="14" t="str">
        <f>'Master Hunt List'!A171</f>
        <v>No</v>
      </c>
      <c r="C178" s="14" t="str">
        <f>'Master Hunt List'!B171</f>
        <v>A</v>
      </c>
      <c r="D178" s="14" t="str">
        <f>'Master Hunt List'!C171</f>
        <v>Whitetail Deer</v>
      </c>
      <c r="E178" s="14" t="str">
        <f>'Master Hunt List'!D171</f>
        <v>Choke Canyon SP - South Shore Unit</v>
      </c>
      <c r="F178" s="14" t="str">
        <f>'Master Hunt List'!E171</f>
        <v>South Texas / Rio Grande Valley</v>
      </c>
      <c r="G178" s="14" t="str">
        <f>'Master Hunt List'!F171</f>
        <v>Gun Deer - Management</v>
      </c>
      <c r="H178" s="14" t="str">
        <f>'Master Hunt List'!G171</f>
        <v>Yes</v>
      </c>
      <c r="I178" s="14" t="str">
        <f>'Master Hunt List'!H171</f>
        <v>Yes</v>
      </c>
      <c r="J178" s="15" t="str">
        <f>'Master Hunt List'!I171</f>
        <v>2026-09-15</v>
      </c>
      <c r="K178" s="27">
        <f>'Master Hunt List'!K171</f>
        <v>3</v>
      </c>
      <c r="L178" s="14" t="str">
        <f>'Master Hunt List'!AF171</f>
        <v/>
      </c>
      <c r="M178" s="14" t="str">
        <f>'Master Hunt List'!AH171</f>
        <v/>
      </c>
      <c r="N178" s="14" t="str">
        <f>'Master Hunt List'!AI171</f>
        <v/>
      </c>
      <c r="O178" s="61" t="str">
        <f>'Master Hunt List'!V171</f>
        <v>https://tpwd.texas.gov/huntwild/hunt/public/public_hunt_drawing/hunt-category-details.phtml?OCat=GDM</v>
      </c>
    </row>
    <row r="179" ht="15.75" customHeight="1">
      <c r="A179" s="14">
        <f>172</f>
        <v>172</v>
      </c>
      <c r="B179" s="14" t="str">
        <f>'Master Hunt List'!A172</f>
        <v>No</v>
      </c>
      <c r="C179" s="14" t="str">
        <f>'Master Hunt List'!B172</f>
        <v>A</v>
      </c>
      <c r="D179" s="14" t="str">
        <f>'Master Hunt List'!C172</f>
        <v>Whitetail Deer</v>
      </c>
      <c r="E179" s="14" t="str">
        <f>'Master Hunt List'!D172</f>
        <v>Colorado Bend SP</v>
      </c>
      <c r="F179" s="14" t="str">
        <f>'Master Hunt List'!E172</f>
        <v>Central Texas / Austin</v>
      </c>
      <c r="G179" s="14" t="str">
        <f>'Master Hunt List'!F172</f>
        <v>Gun Deer - Antlerless/Spike</v>
      </c>
      <c r="H179" s="14" t="str">
        <f>'Master Hunt List'!G172</f>
        <v>Yes</v>
      </c>
      <c r="I179" s="14" t="str">
        <f>'Master Hunt List'!H172</f>
        <v>Yes</v>
      </c>
      <c r="J179" s="15" t="str">
        <f>'Master Hunt List'!I172</f>
        <v>2026-09-15</v>
      </c>
      <c r="K179" s="27">
        <f>'Master Hunt List'!K172</f>
        <v>3</v>
      </c>
      <c r="L179" s="14" t="str">
        <f>'Master Hunt List'!AF172</f>
        <v/>
      </c>
      <c r="M179" s="14" t="str">
        <f>'Master Hunt List'!AH172</f>
        <v/>
      </c>
      <c r="N179" s="14" t="str">
        <f>'Master Hunt List'!AI172</f>
        <v/>
      </c>
      <c r="O179" s="61" t="str">
        <f>'Master Hunt List'!V172</f>
        <v>https://tpwd.texas.gov/huntwild/hunt/public/public_hunt_drawing/hunt-category-details.phtml?OCat=GDA</v>
      </c>
    </row>
    <row r="180" ht="15.75" customHeight="1">
      <c r="A180" s="14">
        <f>173</f>
        <v>173</v>
      </c>
      <c r="B180" s="14" t="str">
        <f>'Master Hunt List'!A173</f>
        <v>No</v>
      </c>
      <c r="C180" s="14" t="str">
        <f>'Master Hunt List'!B173</f>
        <v>A</v>
      </c>
      <c r="D180" s="14" t="str">
        <f>'Master Hunt List'!C173</f>
        <v>Whitetail Deer</v>
      </c>
      <c r="E180" s="14" t="str">
        <f>'Master Hunt List'!D173</f>
        <v>Cooper WMA</v>
      </c>
      <c r="F180" s="14" t="str">
        <f>'Master Hunt List'!E173</f>
        <v>North Texas / DFW</v>
      </c>
      <c r="G180" s="14" t="str">
        <f>'Master Hunt List'!F173</f>
        <v>Gun Deer - Antlerless/Spike</v>
      </c>
      <c r="H180" s="14" t="str">
        <f>'Master Hunt List'!G173</f>
        <v>Yes</v>
      </c>
      <c r="I180" s="14" t="str">
        <f>'Master Hunt List'!H173</f>
        <v>Yes</v>
      </c>
      <c r="J180" s="15" t="str">
        <f>'Master Hunt List'!I173</f>
        <v>2026-09-15</v>
      </c>
      <c r="K180" s="27">
        <f>'Master Hunt List'!K173</f>
        <v>3</v>
      </c>
      <c r="L180" s="14" t="str">
        <f>'Master Hunt List'!AF173</f>
        <v/>
      </c>
      <c r="M180" s="14" t="str">
        <f>'Master Hunt List'!AH173</f>
        <v/>
      </c>
      <c r="N180" s="14" t="str">
        <f>'Master Hunt List'!AI173</f>
        <v/>
      </c>
      <c r="O180" s="61" t="str">
        <f>'Master Hunt List'!V173</f>
        <v>https://tpwd.texas.gov/huntwild/hunt/public/public_hunt_drawing/hunt-category-details.phtml?OCat=GDA</v>
      </c>
    </row>
    <row r="181" ht="15.75" customHeight="1">
      <c r="A181" s="14">
        <f>174</f>
        <v>174</v>
      </c>
      <c r="B181" s="14" t="str">
        <f>'Master Hunt List'!A174</f>
        <v>No</v>
      </c>
      <c r="C181" s="14" t="str">
        <f>'Master Hunt List'!B174</f>
        <v>A</v>
      </c>
      <c r="D181" s="14" t="str">
        <f>'Master Hunt List'!C174</f>
        <v>Whitetail Deer</v>
      </c>
      <c r="E181" s="14" t="str">
        <f>'Master Hunt List'!D174</f>
        <v>Copper Breaks SP</v>
      </c>
      <c r="F181" s="14" t="str">
        <f>'Master Hunt List'!E174</f>
        <v>West-Central Texas</v>
      </c>
      <c r="G181" s="14" t="str">
        <f>'Master Hunt List'!F174</f>
        <v>Gun Deer - Antlerless/Spike</v>
      </c>
      <c r="H181" s="14" t="str">
        <f>'Master Hunt List'!G174</f>
        <v>Yes</v>
      </c>
      <c r="I181" s="14" t="str">
        <f>'Master Hunt List'!H174</f>
        <v>Yes</v>
      </c>
      <c r="J181" s="15" t="str">
        <f>'Master Hunt List'!I174</f>
        <v>2026-09-15</v>
      </c>
      <c r="K181" s="27">
        <f>'Master Hunt List'!K174</f>
        <v>3</v>
      </c>
      <c r="L181" s="14" t="str">
        <f>'Master Hunt List'!AF174</f>
        <v/>
      </c>
      <c r="M181" s="14" t="str">
        <f>'Master Hunt List'!AH174</f>
        <v/>
      </c>
      <c r="N181" s="14" t="str">
        <f>'Master Hunt List'!AI174</f>
        <v/>
      </c>
      <c r="O181" s="61" t="str">
        <f>'Master Hunt List'!V174</f>
        <v>https://tpwd.texas.gov/huntwild/hunt/public/public_hunt_drawing/hunt-category-details.phtml?OCat=GDA</v>
      </c>
    </row>
    <row r="182" ht="15.75" customHeight="1">
      <c r="A182" s="14">
        <f>175</f>
        <v>175</v>
      </c>
      <c r="B182" s="14" t="str">
        <f>'Master Hunt List'!A175</f>
        <v>No</v>
      </c>
      <c r="C182" s="14" t="str">
        <f>'Master Hunt List'!B175</f>
        <v>A</v>
      </c>
      <c r="D182" s="14" t="str">
        <f>'Master Hunt List'!C175</f>
        <v>Whitetail Deer</v>
      </c>
      <c r="E182" s="14" t="str">
        <f>'Master Hunt List'!D175</f>
        <v>Devil's Sinkhole SNA</v>
      </c>
      <c r="F182" s="14" t="str">
        <f>'Master Hunt List'!E175</f>
        <v>Hill Country / San Antonio</v>
      </c>
      <c r="G182" s="14" t="str">
        <f>'Master Hunt List'!F175</f>
        <v>Gun Deer - Antlerless/Spike</v>
      </c>
      <c r="H182" s="14" t="str">
        <f>'Master Hunt List'!G175</f>
        <v>Yes</v>
      </c>
      <c r="I182" s="14" t="str">
        <f>'Master Hunt List'!H175</f>
        <v>Yes</v>
      </c>
      <c r="J182" s="15" t="str">
        <f>'Master Hunt List'!I175</f>
        <v>2026-09-15</v>
      </c>
      <c r="K182" s="27">
        <f>'Master Hunt List'!K175</f>
        <v>3</v>
      </c>
      <c r="L182" s="14" t="str">
        <f>'Master Hunt List'!AF175</f>
        <v/>
      </c>
      <c r="M182" s="14" t="str">
        <f>'Master Hunt List'!AH175</f>
        <v/>
      </c>
      <c r="N182" s="14" t="str">
        <f>'Master Hunt List'!AI175</f>
        <v/>
      </c>
      <c r="O182" s="61" t="str">
        <f>'Master Hunt List'!V175</f>
        <v>https://tpwd.texas.gov/huntwild/hunt/public/public_hunt_drawing/hunt-category-details.phtml?OCat=GDA</v>
      </c>
    </row>
    <row r="183" ht="15.75" customHeight="1">
      <c r="A183" s="14">
        <f>176</f>
        <v>176</v>
      </c>
      <c r="B183" s="14" t="str">
        <f>'Master Hunt List'!A176</f>
        <v>No</v>
      </c>
      <c r="C183" s="14" t="str">
        <f>'Master Hunt List'!B176</f>
        <v>A</v>
      </c>
      <c r="D183" s="14" t="str">
        <f>'Master Hunt List'!C176</f>
        <v>Whitetail Deer</v>
      </c>
      <c r="E183" s="14" t="str">
        <f>'Master Hunt List'!D176</f>
        <v>Devils River SNA - Del Norte Unit</v>
      </c>
      <c r="F183" s="14" t="str">
        <f>'Master Hunt List'!E176</f>
        <v>Trans-Pecos / West Texas</v>
      </c>
      <c r="G183" s="14" t="str">
        <f>'Master Hunt List'!F176</f>
        <v>Gun Deer - Management</v>
      </c>
      <c r="H183" s="14" t="str">
        <f>'Master Hunt List'!G176</f>
        <v>Yes</v>
      </c>
      <c r="I183" s="14" t="str">
        <f>'Master Hunt List'!H176</f>
        <v>Yes</v>
      </c>
      <c r="J183" s="15" t="str">
        <f>'Master Hunt List'!I176</f>
        <v>2026-09-15</v>
      </c>
      <c r="K183" s="27">
        <f>'Master Hunt List'!K176</f>
        <v>3</v>
      </c>
      <c r="L183" s="14" t="str">
        <f>'Master Hunt List'!AF176</f>
        <v/>
      </c>
      <c r="M183" s="14" t="str">
        <f>'Master Hunt List'!AH176</f>
        <v/>
      </c>
      <c r="N183" s="14" t="str">
        <f>'Master Hunt List'!AI176</f>
        <v/>
      </c>
      <c r="O183" s="61" t="str">
        <f>'Master Hunt List'!V176</f>
        <v>https://tpwd.texas.gov/huntwild/hunt/public/public_hunt_drawing/hunt-category-details.phtml?OCat=GDM</v>
      </c>
    </row>
    <row r="184" ht="15.75" customHeight="1">
      <c r="A184" s="14">
        <f>177</f>
        <v>177</v>
      </c>
      <c r="B184" s="14" t="str">
        <f>'Master Hunt List'!A177</f>
        <v>No</v>
      </c>
      <c r="C184" s="14" t="str">
        <f>'Master Hunt List'!B177</f>
        <v>A</v>
      </c>
      <c r="D184" s="14" t="str">
        <f>'Master Hunt List'!C177</f>
        <v>Whitetail Deer</v>
      </c>
      <c r="E184" s="14" t="str">
        <f>'Master Hunt List'!D177</f>
        <v>Dinosaur Valley SP</v>
      </c>
      <c r="F184" s="14" t="str">
        <f>'Master Hunt List'!E177</f>
        <v>Statewide / Other</v>
      </c>
      <c r="G184" s="14" t="str">
        <f>'Master Hunt List'!F177</f>
        <v>Gun Deer - Antlerless/Spike</v>
      </c>
      <c r="H184" s="14" t="str">
        <f>'Master Hunt List'!G177</f>
        <v>Yes</v>
      </c>
      <c r="I184" s="14" t="str">
        <f>'Master Hunt List'!H177</f>
        <v>Yes</v>
      </c>
      <c r="J184" s="15" t="str">
        <f>'Master Hunt List'!I177</f>
        <v>2026-09-15</v>
      </c>
      <c r="K184" s="27">
        <f>'Master Hunt List'!K177</f>
        <v>3</v>
      </c>
      <c r="L184" s="14" t="str">
        <f>'Master Hunt List'!AF177</f>
        <v/>
      </c>
      <c r="M184" s="14" t="str">
        <f>'Master Hunt List'!AH177</f>
        <v/>
      </c>
      <c r="N184" s="14" t="str">
        <f>'Master Hunt List'!AI177</f>
        <v/>
      </c>
      <c r="O184" s="61" t="str">
        <f>'Master Hunt List'!V177</f>
        <v>https://tpwd.texas.gov/huntwild/hunt/public/public_hunt_drawing/hunt-category-details.phtml?OCat=GDA</v>
      </c>
    </row>
    <row r="185" ht="15.75" customHeight="1">
      <c r="A185" s="14">
        <f>178</f>
        <v>178</v>
      </c>
      <c r="B185" s="14" t="str">
        <f>'Master Hunt List'!A178</f>
        <v>No</v>
      </c>
      <c r="C185" s="14" t="str">
        <f>'Master Hunt List'!B178</f>
        <v>A</v>
      </c>
      <c r="D185" s="14" t="str">
        <f>'Master Hunt List'!C178</f>
        <v>Whitetail Deer</v>
      </c>
      <c r="E185" s="14" t="str">
        <f>'Master Hunt List'!D178</f>
        <v>Dinosaur Valley SP</v>
      </c>
      <c r="F185" s="14" t="str">
        <f>'Master Hunt List'!E178</f>
        <v>Statewide / Other</v>
      </c>
      <c r="G185" s="14" t="str">
        <f>'Master Hunt List'!F178</f>
        <v>Gun Deer - Either Sex</v>
      </c>
      <c r="H185" s="14" t="str">
        <f>'Master Hunt List'!G178</f>
        <v>Yes</v>
      </c>
      <c r="I185" s="14" t="str">
        <f>'Master Hunt List'!H178</f>
        <v>Yes</v>
      </c>
      <c r="J185" s="15" t="str">
        <f>'Master Hunt List'!I178</f>
        <v>2026-09-15</v>
      </c>
      <c r="K185" s="27">
        <f>'Master Hunt List'!K178</f>
        <v>3</v>
      </c>
      <c r="L185" s="14" t="str">
        <f>'Master Hunt List'!AF178</f>
        <v/>
      </c>
      <c r="M185" s="14" t="str">
        <f>'Master Hunt List'!AH178</f>
        <v/>
      </c>
      <c r="N185" s="14" t="str">
        <f>'Master Hunt List'!AI178</f>
        <v/>
      </c>
      <c r="O185" s="61" t="str">
        <f>'Master Hunt List'!V178</f>
        <v>https://tpwd.texas.gov/huntwild/hunt/public/public_hunt_drawing/hunt-category-details.phtml?OCat=GDE</v>
      </c>
    </row>
    <row r="186" ht="15.75" customHeight="1">
      <c r="A186" s="14">
        <f>179</f>
        <v>179</v>
      </c>
      <c r="B186" s="14" t="str">
        <f>'Master Hunt List'!A179</f>
        <v>No</v>
      </c>
      <c r="C186" s="14" t="str">
        <f>'Master Hunt List'!B179</f>
        <v>A</v>
      </c>
      <c r="D186" s="14" t="str">
        <f>'Master Hunt List'!C179</f>
        <v>Whitetail Deer</v>
      </c>
      <c r="E186" s="14" t="str">
        <f>'Master Hunt List'!D179</f>
        <v>Elephant Mountain WMA</v>
      </c>
      <c r="F186" s="14" t="str">
        <f>'Master Hunt List'!E179</f>
        <v>Trans-Pecos / West Texas</v>
      </c>
      <c r="G186" s="14" t="str">
        <f>'Master Hunt List'!F179</f>
        <v>Gun Deer - Management</v>
      </c>
      <c r="H186" s="14" t="str">
        <f>'Master Hunt List'!G179</f>
        <v>Yes</v>
      </c>
      <c r="I186" s="14" t="str">
        <f>'Master Hunt List'!H179</f>
        <v>Yes</v>
      </c>
      <c r="J186" s="15" t="str">
        <f>'Master Hunt List'!I179</f>
        <v>2026-09-15</v>
      </c>
      <c r="K186" s="27">
        <f>'Master Hunt List'!K179</f>
        <v>3</v>
      </c>
      <c r="L186" s="14" t="str">
        <f>'Master Hunt List'!AF179</f>
        <v/>
      </c>
      <c r="M186" s="14" t="str">
        <f>'Master Hunt List'!AH179</f>
        <v/>
      </c>
      <c r="N186" s="14" t="str">
        <f>'Master Hunt List'!AI179</f>
        <v/>
      </c>
      <c r="O186" s="61" t="str">
        <f>'Master Hunt List'!V179</f>
        <v>https://tpwd.texas.gov/huntwild/hunt/public/public_hunt_drawing/hunt-category-details.phtml?OCat=GDM</v>
      </c>
    </row>
    <row r="187" ht="15.75" customHeight="1">
      <c r="A187" s="14">
        <f>180</f>
        <v>180</v>
      </c>
      <c r="B187" s="14" t="str">
        <f>'Master Hunt List'!A180</f>
        <v>No</v>
      </c>
      <c r="C187" s="14" t="str">
        <f>'Master Hunt List'!B180</f>
        <v>A</v>
      </c>
      <c r="D187" s="14" t="str">
        <f>'Master Hunt List'!C180</f>
        <v>Whitetail Deer</v>
      </c>
      <c r="E187" s="14" t="str">
        <f>'Master Hunt List'!D180</f>
        <v>Enchanted Rock SNA</v>
      </c>
      <c r="F187" s="14" t="str">
        <f>'Master Hunt List'!E180</f>
        <v>Hill Country / San Antonio</v>
      </c>
      <c r="G187" s="14" t="str">
        <f>'Master Hunt List'!F180</f>
        <v>Gun Deer - Antlerless/Spike</v>
      </c>
      <c r="H187" s="14" t="str">
        <f>'Master Hunt List'!G180</f>
        <v>Yes</v>
      </c>
      <c r="I187" s="14" t="str">
        <f>'Master Hunt List'!H180</f>
        <v>Yes</v>
      </c>
      <c r="J187" s="15" t="str">
        <f>'Master Hunt List'!I180</f>
        <v>2026-09-15</v>
      </c>
      <c r="K187" s="27">
        <f>'Master Hunt List'!K180</f>
        <v>3</v>
      </c>
      <c r="L187" s="14" t="str">
        <f>'Master Hunt List'!AF180</f>
        <v/>
      </c>
      <c r="M187" s="14" t="str">
        <f>'Master Hunt List'!AH180</f>
        <v/>
      </c>
      <c r="N187" s="14" t="str">
        <f>'Master Hunt List'!AI180</f>
        <v/>
      </c>
      <c r="O187" s="61" t="str">
        <f>'Master Hunt List'!V180</f>
        <v>https://tpwd.texas.gov/huntwild/hunt/public/public_hunt_drawing/hunt-category-details.phtml?OCat=GDA</v>
      </c>
    </row>
    <row r="188" ht="15.75" customHeight="1">
      <c r="A188" s="14">
        <f>181</f>
        <v>181</v>
      </c>
      <c r="B188" s="14" t="str">
        <f>'Master Hunt List'!A181</f>
        <v>No</v>
      </c>
      <c r="C188" s="14" t="str">
        <f>'Master Hunt List'!B181</f>
        <v>A</v>
      </c>
      <c r="D188" s="14" t="str">
        <f>'Master Hunt List'!C181</f>
        <v>Whitetail Deer</v>
      </c>
      <c r="E188" s="14" t="str">
        <f>'Master Hunt List'!D181</f>
        <v>Enchanted Rock SNA</v>
      </c>
      <c r="F188" s="14" t="str">
        <f>'Master Hunt List'!E181</f>
        <v>Hill Country / San Antonio</v>
      </c>
      <c r="G188" s="14" t="str">
        <f>'Master Hunt List'!F181</f>
        <v>Gun Deer - Either Sex</v>
      </c>
      <c r="H188" s="14" t="str">
        <f>'Master Hunt List'!G181</f>
        <v>Yes</v>
      </c>
      <c r="I188" s="14" t="str">
        <f>'Master Hunt List'!H181</f>
        <v>Yes</v>
      </c>
      <c r="J188" s="15" t="str">
        <f>'Master Hunt List'!I181</f>
        <v>2026-09-15</v>
      </c>
      <c r="K188" s="27">
        <f>'Master Hunt List'!K181</f>
        <v>3</v>
      </c>
      <c r="L188" s="14" t="str">
        <f>'Master Hunt List'!AF181</f>
        <v/>
      </c>
      <c r="M188" s="14" t="str">
        <f>'Master Hunt List'!AH181</f>
        <v/>
      </c>
      <c r="N188" s="14" t="str">
        <f>'Master Hunt List'!AI181</f>
        <v/>
      </c>
      <c r="O188" s="61" t="str">
        <f>'Master Hunt List'!V181</f>
        <v>https://tpwd.texas.gov/huntwild/hunt/public/public_hunt_drawing/hunt-category-details.phtml?OCat=GDE</v>
      </c>
    </row>
    <row r="189" ht="15.75" customHeight="1">
      <c r="A189" s="14">
        <f>182</f>
        <v>182</v>
      </c>
      <c r="B189" s="14" t="str">
        <f>'Master Hunt List'!A182</f>
        <v>No</v>
      </c>
      <c r="C189" s="14" t="str">
        <f>'Master Hunt List'!B182</f>
        <v>A</v>
      </c>
      <c r="D189" s="14" t="str">
        <f>'Master Hunt List'!C182</f>
        <v>Whitetail Deer</v>
      </c>
      <c r="E189" s="14" t="str">
        <f>'Master Hunt List'!D182</f>
        <v>Fort Boggy SP</v>
      </c>
      <c r="F189" s="14" t="str">
        <f>'Master Hunt List'!E182</f>
        <v>North Texas / DFW</v>
      </c>
      <c r="G189" s="14" t="str">
        <f>'Master Hunt List'!F182</f>
        <v>Gun Deer - Either Sex</v>
      </c>
      <c r="H189" s="14" t="str">
        <f>'Master Hunt List'!G182</f>
        <v>Yes</v>
      </c>
      <c r="I189" s="14" t="str">
        <f>'Master Hunt List'!H182</f>
        <v>Yes</v>
      </c>
      <c r="J189" s="15" t="str">
        <f>'Master Hunt List'!I182</f>
        <v>2026-09-15</v>
      </c>
      <c r="K189" s="27">
        <f>'Master Hunt List'!K182</f>
        <v>3</v>
      </c>
      <c r="L189" s="14" t="str">
        <f>'Master Hunt List'!AF182</f>
        <v/>
      </c>
      <c r="M189" s="14" t="str">
        <f>'Master Hunt List'!AH182</f>
        <v/>
      </c>
      <c r="N189" s="14" t="str">
        <f>'Master Hunt List'!AI182</f>
        <v/>
      </c>
      <c r="O189" s="61" t="str">
        <f>'Master Hunt List'!V182</f>
        <v>https://tpwd.texas.gov/huntwild/hunt/public/public_hunt_drawing/hunt-category-details.phtml?OCat=GDE</v>
      </c>
    </row>
    <row r="190" ht="15.75" customHeight="1">
      <c r="A190" s="14">
        <f>183</f>
        <v>183</v>
      </c>
      <c r="B190" s="14" t="str">
        <f>'Master Hunt List'!A183</f>
        <v>No</v>
      </c>
      <c r="C190" s="14" t="str">
        <f>'Master Hunt List'!B183</f>
        <v>A</v>
      </c>
      <c r="D190" s="14" t="str">
        <f>'Master Hunt List'!C183</f>
        <v>Whitetail Deer</v>
      </c>
      <c r="E190" s="14" t="str">
        <f>'Master Hunt List'!D183</f>
        <v>Gene Howe WMA</v>
      </c>
      <c r="F190" s="14" t="str">
        <f>'Master Hunt List'!E183</f>
        <v>Panhandle / Rolling Plains</v>
      </c>
      <c r="G190" s="14" t="str">
        <f>'Master Hunt List'!F183</f>
        <v>Gun Deer - Antlerless/Spike</v>
      </c>
      <c r="H190" s="14" t="str">
        <f>'Master Hunt List'!G183</f>
        <v>Yes</v>
      </c>
      <c r="I190" s="14" t="str">
        <f>'Master Hunt List'!H183</f>
        <v>Yes</v>
      </c>
      <c r="J190" s="15" t="str">
        <f>'Master Hunt List'!I183</f>
        <v>2026-09-15</v>
      </c>
      <c r="K190" s="27">
        <f>'Master Hunt List'!K183</f>
        <v>3</v>
      </c>
      <c r="L190" s="14" t="str">
        <f>'Master Hunt List'!AF183</f>
        <v/>
      </c>
      <c r="M190" s="14" t="str">
        <f>'Master Hunt List'!AH183</f>
        <v/>
      </c>
      <c r="N190" s="14" t="str">
        <f>'Master Hunt List'!AI183</f>
        <v/>
      </c>
      <c r="O190" s="61" t="str">
        <f>'Master Hunt List'!V183</f>
        <v>https://tpwd.texas.gov/huntwild/hunt/public/public_hunt_drawing/hunt-category-details.phtml?OCat=GDA</v>
      </c>
    </row>
    <row r="191" ht="15.75" customHeight="1">
      <c r="A191" s="14">
        <f>184</f>
        <v>184</v>
      </c>
      <c r="B191" s="14" t="str">
        <f>'Master Hunt List'!A184</f>
        <v>No</v>
      </c>
      <c r="C191" s="14" t="str">
        <f>'Master Hunt List'!B184</f>
        <v>A</v>
      </c>
      <c r="D191" s="14" t="str">
        <f>'Master Hunt List'!C184</f>
        <v>Whitetail Deer</v>
      </c>
      <c r="E191" s="14" t="str">
        <f>'Master Hunt List'!D184</f>
        <v>Gene Howe WMA</v>
      </c>
      <c r="F191" s="14" t="str">
        <f>'Master Hunt List'!E184</f>
        <v>Panhandle / Rolling Plains</v>
      </c>
      <c r="G191" s="14" t="str">
        <f>'Master Hunt List'!F184</f>
        <v>Gun Deer - Either Sex</v>
      </c>
      <c r="H191" s="14" t="str">
        <f>'Master Hunt List'!G184</f>
        <v>Yes</v>
      </c>
      <c r="I191" s="14" t="str">
        <f>'Master Hunt List'!H184</f>
        <v>Yes</v>
      </c>
      <c r="J191" s="15" t="str">
        <f>'Master Hunt List'!I184</f>
        <v>2026-09-15</v>
      </c>
      <c r="K191" s="27">
        <f>'Master Hunt List'!K184</f>
        <v>3</v>
      </c>
      <c r="L191" s="14" t="str">
        <f>'Master Hunt List'!AF184</f>
        <v/>
      </c>
      <c r="M191" s="14" t="str">
        <f>'Master Hunt List'!AH184</f>
        <v/>
      </c>
      <c r="N191" s="14" t="str">
        <f>'Master Hunt List'!AI184</f>
        <v/>
      </c>
      <c r="O191" s="61" t="str">
        <f>'Master Hunt List'!V184</f>
        <v>https://tpwd.texas.gov/huntwild/hunt/public/public_hunt_drawing/hunt-category-details.phtml?OCat=GDE</v>
      </c>
    </row>
    <row r="192" ht="15.75" customHeight="1">
      <c r="A192" s="14">
        <f>185</f>
        <v>185</v>
      </c>
      <c r="B192" s="14" t="str">
        <f>'Master Hunt List'!A185</f>
        <v>No</v>
      </c>
      <c r="C192" s="14" t="str">
        <f>'Master Hunt List'!B185</f>
        <v>A</v>
      </c>
      <c r="D192" s="14" t="str">
        <f>'Master Hunt List'!C185</f>
        <v>Whitetail Deer</v>
      </c>
      <c r="E192" s="14" t="str">
        <f>'Master Hunt List'!D185</f>
        <v>Government Canyon SNA</v>
      </c>
      <c r="F192" s="14" t="str">
        <f>'Master Hunt List'!E185</f>
        <v>Hill Country / San Antonio</v>
      </c>
      <c r="G192" s="14" t="str">
        <f>'Master Hunt List'!F185</f>
        <v>Gun Deer - Either Sex</v>
      </c>
      <c r="H192" s="14" t="str">
        <f>'Master Hunt List'!G185</f>
        <v>Yes</v>
      </c>
      <c r="I192" s="14" t="str">
        <f>'Master Hunt List'!H185</f>
        <v>Yes</v>
      </c>
      <c r="J192" s="15" t="str">
        <f>'Master Hunt List'!I185</f>
        <v>2026-09-15</v>
      </c>
      <c r="K192" s="27">
        <f>'Master Hunt List'!K185</f>
        <v>3</v>
      </c>
      <c r="L192" s="14" t="str">
        <f>'Master Hunt List'!AF185</f>
        <v/>
      </c>
      <c r="M192" s="14" t="str">
        <f>'Master Hunt List'!AH185</f>
        <v/>
      </c>
      <c r="N192" s="14" t="str">
        <f>'Master Hunt List'!AI185</f>
        <v/>
      </c>
      <c r="O192" s="61" t="str">
        <f>'Master Hunt List'!V185</f>
        <v>https://tpwd.texas.gov/huntwild/hunt/public/public_hunt_drawing/hunt-category-details.phtml?OCat=GDE</v>
      </c>
    </row>
    <row r="193" ht="15.75" customHeight="1">
      <c r="A193" s="14">
        <f>186</f>
        <v>186</v>
      </c>
      <c r="B193" s="14" t="str">
        <f>'Master Hunt List'!A186</f>
        <v>No</v>
      </c>
      <c r="C193" s="14" t="str">
        <f>'Master Hunt List'!B186</f>
        <v>A</v>
      </c>
      <c r="D193" s="14" t="str">
        <f>'Master Hunt List'!C186</f>
        <v>Whitetail Deer</v>
      </c>
      <c r="E193" s="14" t="str">
        <f>'Master Hunt List'!D186</f>
        <v>Guadalupe River SP</v>
      </c>
      <c r="F193" s="14" t="str">
        <f>'Master Hunt List'!E186</f>
        <v>Hill Country / San Antonio</v>
      </c>
      <c r="G193" s="14" t="str">
        <f>'Master Hunt List'!F186</f>
        <v>Gun Deer - Either Sex</v>
      </c>
      <c r="H193" s="14" t="str">
        <f>'Master Hunt List'!G186</f>
        <v>Yes</v>
      </c>
      <c r="I193" s="14" t="str">
        <f>'Master Hunt List'!H186</f>
        <v>Yes</v>
      </c>
      <c r="J193" s="15" t="str">
        <f>'Master Hunt List'!I186</f>
        <v>2026-09-15</v>
      </c>
      <c r="K193" s="27">
        <f>'Master Hunt List'!K186</f>
        <v>3</v>
      </c>
      <c r="L193" s="14" t="str">
        <f>'Master Hunt List'!AF186</f>
        <v/>
      </c>
      <c r="M193" s="14" t="str">
        <f>'Master Hunt List'!AH186</f>
        <v/>
      </c>
      <c r="N193" s="14" t="str">
        <f>'Master Hunt List'!AI186</f>
        <v/>
      </c>
      <c r="O193" s="61" t="str">
        <f>'Master Hunt List'!V186</f>
        <v>https://tpwd.texas.gov/huntwild/hunt/public/public_hunt_drawing/hunt-category-details.phtml?OCat=GDE</v>
      </c>
    </row>
    <row r="194" ht="15.75" customHeight="1">
      <c r="A194" s="14">
        <f>187</f>
        <v>187</v>
      </c>
      <c r="B194" s="14" t="str">
        <f>'Master Hunt List'!A187</f>
        <v>No</v>
      </c>
      <c r="C194" s="14" t="str">
        <f>'Master Hunt List'!B187</f>
        <v>A</v>
      </c>
      <c r="D194" s="14" t="str">
        <f>'Master Hunt List'!C187</f>
        <v>Whitetail Deer</v>
      </c>
      <c r="E194" s="14" t="str">
        <f>'Master Hunt List'!D187</f>
        <v>Gus Engeling WMA</v>
      </c>
      <c r="F194" s="14" t="str">
        <f>'Master Hunt List'!E187</f>
        <v>Statewide / Other</v>
      </c>
      <c r="G194" s="14" t="str">
        <f>'Master Hunt List'!F187</f>
        <v>Gun Deer - Antlerless/Spike</v>
      </c>
      <c r="H194" s="14" t="str">
        <f>'Master Hunt List'!G187</f>
        <v>Yes</v>
      </c>
      <c r="I194" s="14" t="str">
        <f>'Master Hunt List'!H187</f>
        <v>Yes</v>
      </c>
      <c r="J194" s="15" t="str">
        <f>'Master Hunt List'!I187</f>
        <v>2026-09-15</v>
      </c>
      <c r="K194" s="27">
        <f>'Master Hunt List'!K187</f>
        <v>3</v>
      </c>
      <c r="L194" s="14" t="str">
        <f>'Master Hunt List'!AF187</f>
        <v/>
      </c>
      <c r="M194" s="14" t="str">
        <f>'Master Hunt List'!AH187</f>
        <v/>
      </c>
      <c r="N194" s="14" t="str">
        <f>'Master Hunt List'!AI187</f>
        <v/>
      </c>
      <c r="O194" s="61" t="str">
        <f>'Master Hunt List'!V187</f>
        <v>https://tpwd.texas.gov/huntwild/hunt/public/public_hunt_drawing/hunt-category-details.phtml?OCat=GDA</v>
      </c>
    </row>
    <row r="195" ht="15.75" customHeight="1">
      <c r="A195" s="14">
        <f>188</f>
        <v>188</v>
      </c>
      <c r="B195" s="14" t="str">
        <f>'Master Hunt List'!A188</f>
        <v>No</v>
      </c>
      <c r="C195" s="14" t="str">
        <f>'Master Hunt List'!B188</f>
        <v>A</v>
      </c>
      <c r="D195" s="14" t="str">
        <f>'Master Hunt List'!C188</f>
        <v>Whitetail Deer</v>
      </c>
      <c r="E195" s="14" t="str">
        <f>'Master Hunt List'!D188</f>
        <v>Gus Engeling WMA</v>
      </c>
      <c r="F195" s="14" t="str">
        <f>'Master Hunt List'!E188</f>
        <v>Statewide / Other</v>
      </c>
      <c r="G195" s="14" t="str">
        <f>'Master Hunt List'!F188</f>
        <v>Gun Deer - Either Sex</v>
      </c>
      <c r="H195" s="14" t="str">
        <f>'Master Hunt List'!G188</f>
        <v>Yes</v>
      </c>
      <c r="I195" s="14" t="str">
        <f>'Master Hunt List'!H188</f>
        <v>Yes</v>
      </c>
      <c r="J195" s="15" t="str">
        <f>'Master Hunt List'!I188</f>
        <v>2026-09-15</v>
      </c>
      <c r="K195" s="27">
        <f>'Master Hunt List'!K188</f>
        <v>3</v>
      </c>
      <c r="L195" s="14" t="str">
        <f>'Master Hunt List'!AF188</f>
        <v/>
      </c>
      <c r="M195" s="14" t="str">
        <f>'Master Hunt List'!AH188</f>
        <v/>
      </c>
      <c r="N195" s="14" t="str">
        <f>'Master Hunt List'!AI188</f>
        <v/>
      </c>
      <c r="O195" s="61" t="str">
        <f>'Master Hunt List'!V188</f>
        <v>https://tpwd.texas.gov/huntwild/hunt/public/public_hunt_drawing/hunt-category-details.phtml?OCat=GDE</v>
      </c>
    </row>
    <row r="196" ht="15.75" customHeight="1">
      <c r="A196" s="14">
        <f>189</f>
        <v>189</v>
      </c>
      <c r="B196" s="14" t="str">
        <f>'Master Hunt List'!A189</f>
        <v>No</v>
      </c>
      <c r="C196" s="14" t="str">
        <f>'Master Hunt List'!B189</f>
        <v>A</v>
      </c>
      <c r="D196" s="14" t="str">
        <f>'Master Hunt List'!C189</f>
        <v>Whitetail Deer</v>
      </c>
      <c r="E196" s="14" t="str">
        <f>'Master Hunt List'!D189</f>
        <v>Hill Country SNA</v>
      </c>
      <c r="F196" s="14" t="str">
        <f>'Master Hunt List'!E189</f>
        <v>Hill Country / San Antonio</v>
      </c>
      <c r="G196" s="14" t="str">
        <f>'Master Hunt List'!F189</f>
        <v>Gun Deer - Antlerless/Spike</v>
      </c>
      <c r="H196" s="14" t="str">
        <f>'Master Hunt List'!G189</f>
        <v>Yes</v>
      </c>
      <c r="I196" s="14" t="str">
        <f>'Master Hunt List'!H189</f>
        <v>Yes</v>
      </c>
      <c r="J196" s="15" t="str">
        <f>'Master Hunt List'!I189</f>
        <v>2026-09-15</v>
      </c>
      <c r="K196" s="27">
        <f>'Master Hunt List'!K189</f>
        <v>3</v>
      </c>
      <c r="L196" s="14" t="str">
        <f>'Master Hunt List'!AF189</f>
        <v/>
      </c>
      <c r="M196" s="14" t="str">
        <f>'Master Hunt List'!AH189</f>
        <v/>
      </c>
      <c r="N196" s="14" t="str">
        <f>'Master Hunt List'!AI189</f>
        <v/>
      </c>
      <c r="O196" s="61" t="str">
        <f>'Master Hunt List'!V189</f>
        <v>https://tpwd.texas.gov/huntwild/hunt/public/public_hunt_drawing/hunt-category-details.phtml?OCat=GDA</v>
      </c>
    </row>
    <row r="197" ht="15.75" customHeight="1">
      <c r="A197" s="14">
        <f>190</f>
        <v>190</v>
      </c>
      <c r="B197" s="14" t="str">
        <f>'Master Hunt List'!A190</f>
        <v>No</v>
      </c>
      <c r="C197" s="14" t="str">
        <f>'Master Hunt List'!B190</f>
        <v>A</v>
      </c>
      <c r="D197" s="14" t="str">
        <f>'Master Hunt List'!C190</f>
        <v>Whitetail Deer</v>
      </c>
      <c r="E197" s="14" t="str">
        <f>'Master Hunt List'!D190</f>
        <v>Honey Creek SNA</v>
      </c>
      <c r="F197" s="14" t="str">
        <f>'Master Hunt List'!E190</f>
        <v>Hill Country / San Antonio</v>
      </c>
      <c r="G197" s="14" t="str">
        <f>'Master Hunt List'!F190</f>
        <v>Gun Deer - Either Sex</v>
      </c>
      <c r="H197" s="14" t="str">
        <f>'Master Hunt List'!G190</f>
        <v>Yes</v>
      </c>
      <c r="I197" s="14" t="str">
        <f>'Master Hunt List'!H190</f>
        <v>Yes</v>
      </c>
      <c r="J197" s="15" t="str">
        <f>'Master Hunt List'!I190</f>
        <v>2026-09-15</v>
      </c>
      <c r="K197" s="27">
        <f>'Master Hunt List'!K190</f>
        <v>3</v>
      </c>
      <c r="L197" s="14" t="str">
        <f>'Master Hunt List'!AF190</f>
        <v/>
      </c>
      <c r="M197" s="14" t="str">
        <f>'Master Hunt List'!AH190</f>
        <v/>
      </c>
      <c r="N197" s="14" t="str">
        <f>'Master Hunt List'!AI190</f>
        <v/>
      </c>
      <c r="O197" s="61" t="str">
        <f>'Master Hunt List'!V190</f>
        <v>https://tpwd.texas.gov/huntwild/hunt/public/public_hunt_drawing/hunt-category-details.phtml?OCat=GDE</v>
      </c>
    </row>
    <row r="198" ht="15.75" customHeight="1">
      <c r="A198" s="14">
        <f>191</f>
        <v>191</v>
      </c>
      <c r="B198" s="14" t="str">
        <f>'Master Hunt List'!A191</f>
        <v>No</v>
      </c>
      <c r="C198" s="14" t="str">
        <f>'Master Hunt List'!B191</f>
        <v>A</v>
      </c>
      <c r="D198" s="14" t="str">
        <f>'Master Hunt List'!C191</f>
        <v>Whitetail Deer</v>
      </c>
      <c r="E198" s="14" t="str">
        <f>'Master Hunt List'!D191</f>
        <v>Huntsville SP</v>
      </c>
      <c r="F198" s="14" t="str">
        <f>'Master Hunt List'!E191</f>
        <v>East Texas / Pineywoods</v>
      </c>
      <c r="G198" s="14" t="str">
        <f>'Master Hunt List'!F191</f>
        <v>Gun Deer - Either Sex</v>
      </c>
      <c r="H198" s="14" t="str">
        <f>'Master Hunt List'!G191</f>
        <v>Yes</v>
      </c>
      <c r="I198" s="14" t="str">
        <f>'Master Hunt List'!H191</f>
        <v>Yes</v>
      </c>
      <c r="J198" s="15" t="str">
        <f>'Master Hunt List'!I191</f>
        <v>2026-09-15</v>
      </c>
      <c r="K198" s="27">
        <f>'Master Hunt List'!K191</f>
        <v>3</v>
      </c>
      <c r="L198" s="14" t="str">
        <f>'Master Hunt List'!AF191</f>
        <v/>
      </c>
      <c r="M198" s="14" t="str">
        <f>'Master Hunt List'!AH191</f>
        <v/>
      </c>
      <c r="N198" s="14" t="str">
        <f>'Master Hunt List'!AI191</f>
        <v/>
      </c>
      <c r="O198" s="61" t="str">
        <f>'Master Hunt List'!V191</f>
        <v>https://tpwd.texas.gov/huntwild/hunt/public/public_hunt_drawing/hunt-category-details.phtml?OCat=GDE</v>
      </c>
    </row>
    <row r="199" ht="15.75" customHeight="1">
      <c r="A199" s="14">
        <f>192</f>
        <v>192</v>
      </c>
      <c r="B199" s="14" t="str">
        <f>'Master Hunt List'!A192</f>
        <v>No</v>
      </c>
      <c r="C199" s="14" t="str">
        <f>'Master Hunt List'!B192</f>
        <v>A</v>
      </c>
      <c r="D199" s="14" t="str">
        <f>'Master Hunt List'!C192</f>
        <v>Whitetail Deer</v>
      </c>
      <c r="E199" s="14" t="str">
        <f>'Master Hunt List'!D192</f>
        <v>Inks Lake/Longhorn Caverns SP</v>
      </c>
      <c r="F199" s="14" t="str">
        <f>'Master Hunt List'!E192</f>
        <v>Central Texas / Austin</v>
      </c>
      <c r="G199" s="14" t="str">
        <f>'Master Hunt List'!F192</f>
        <v>Gun Deer - Antlerless/Spike</v>
      </c>
      <c r="H199" s="14" t="str">
        <f>'Master Hunt List'!G192</f>
        <v>Yes</v>
      </c>
      <c r="I199" s="14" t="str">
        <f>'Master Hunt List'!H192</f>
        <v>Yes</v>
      </c>
      <c r="J199" s="15" t="str">
        <f>'Master Hunt List'!I192</f>
        <v>2026-09-15</v>
      </c>
      <c r="K199" s="27">
        <f>'Master Hunt List'!K192</f>
        <v>3</v>
      </c>
      <c r="L199" s="14" t="str">
        <f>'Master Hunt List'!AF192</f>
        <v/>
      </c>
      <c r="M199" s="14" t="str">
        <f>'Master Hunt List'!AH192</f>
        <v/>
      </c>
      <c r="N199" s="14" t="str">
        <f>'Master Hunt List'!AI192</f>
        <v/>
      </c>
      <c r="O199" s="61" t="str">
        <f>'Master Hunt List'!V192</f>
        <v>https://tpwd.texas.gov/huntwild/hunt/public/public_hunt_drawing/hunt-category-details.phtml?OCat=GDA</v>
      </c>
    </row>
    <row r="200" ht="15.75" customHeight="1">
      <c r="A200" s="14">
        <f>193</f>
        <v>193</v>
      </c>
      <c r="B200" s="14" t="str">
        <f>'Master Hunt List'!A193</f>
        <v>No</v>
      </c>
      <c r="C200" s="14" t="str">
        <f>'Master Hunt List'!B193</f>
        <v>A</v>
      </c>
      <c r="D200" s="14" t="str">
        <f>'Master Hunt List'!C193</f>
        <v>Whitetail Deer</v>
      </c>
      <c r="E200" s="14" t="str">
        <f>'Master Hunt List'!D193</f>
        <v>Inks Lake/Longhorn Caverns SP</v>
      </c>
      <c r="F200" s="14" t="str">
        <f>'Master Hunt List'!E193</f>
        <v>Central Texas / Austin</v>
      </c>
      <c r="G200" s="14" t="str">
        <f>'Master Hunt List'!F193</f>
        <v>Gun Deer - Either Sex</v>
      </c>
      <c r="H200" s="14" t="str">
        <f>'Master Hunt List'!G193</f>
        <v>Yes</v>
      </c>
      <c r="I200" s="14" t="str">
        <f>'Master Hunt List'!H193</f>
        <v>Yes</v>
      </c>
      <c r="J200" s="15" t="str">
        <f>'Master Hunt List'!I193</f>
        <v>2026-09-15</v>
      </c>
      <c r="K200" s="27">
        <f>'Master Hunt List'!K193</f>
        <v>3</v>
      </c>
      <c r="L200" s="14" t="str">
        <f>'Master Hunt List'!AF193</f>
        <v/>
      </c>
      <c r="M200" s="14" t="str">
        <f>'Master Hunt List'!AH193</f>
        <v/>
      </c>
      <c r="N200" s="14" t="str">
        <f>'Master Hunt List'!AI193</f>
        <v/>
      </c>
      <c r="O200" s="61" t="str">
        <f>'Master Hunt List'!V193</f>
        <v>https://tpwd.texas.gov/huntwild/hunt/public/public_hunt_drawing/hunt-category-details.phtml?OCat=GDE</v>
      </c>
    </row>
    <row r="201" ht="15.75" customHeight="1">
      <c r="A201" s="14">
        <f>194</f>
        <v>194</v>
      </c>
      <c r="B201" s="14" t="str">
        <f>'Master Hunt List'!A194</f>
        <v>No</v>
      </c>
      <c r="C201" s="14" t="str">
        <f>'Master Hunt List'!B194</f>
        <v>A</v>
      </c>
      <c r="D201" s="14" t="str">
        <f>'Master Hunt List'!C194</f>
        <v>Whitetail Deer</v>
      </c>
      <c r="E201" s="14" t="str">
        <f>'Master Hunt List'!D194</f>
        <v>James Daughtrey WMA</v>
      </c>
      <c r="F201" s="14" t="str">
        <f>'Master Hunt List'!E194</f>
        <v>South Texas / Rio Grande Valley</v>
      </c>
      <c r="G201" s="14" t="str">
        <f>'Master Hunt List'!F194</f>
        <v>Gun Deer - Either Sex</v>
      </c>
      <c r="H201" s="14" t="str">
        <f>'Master Hunt List'!G194</f>
        <v>Yes</v>
      </c>
      <c r="I201" s="14" t="str">
        <f>'Master Hunt List'!H194</f>
        <v>Yes</v>
      </c>
      <c r="J201" s="15" t="str">
        <f>'Master Hunt List'!I194</f>
        <v>2026-09-15</v>
      </c>
      <c r="K201" s="27">
        <f>'Master Hunt List'!K194</f>
        <v>3</v>
      </c>
      <c r="L201" s="14" t="str">
        <f>'Master Hunt List'!AF194</f>
        <v/>
      </c>
      <c r="M201" s="14" t="str">
        <f>'Master Hunt List'!AH194</f>
        <v/>
      </c>
      <c r="N201" s="14" t="str">
        <f>'Master Hunt List'!AI194</f>
        <v/>
      </c>
      <c r="O201" s="61" t="str">
        <f>'Master Hunt List'!V194</f>
        <v>https://tpwd.texas.gov/huntwild/hunt/public/public_hunt_drawing/hunt-category-details.phtml?OCat=GDE</v>
      </c>
    </row>
    <row r="202" ht="15.75" customHeight="1">
      <c r="A202" s="14">
        <f>195</f>
        <v>195</v>
      </c>
      <c r="B202" s="14" t="str">
        <f>'Master Hunt List'!A195</f>
        <v>No</v>
      </c>
      <c r="C202" s="14" t="str">
        <f>'Master Hunt List'!B195</f>
        <v>A</v>
      </c>
      <c r="D202" s="14" t="str">
        <f>'Master Hunt List'!C195</f>
        <v>Whitetail Deer</v>
      </c>
      <c r="E202" s="14" t="str">
        <f>'Master Hunt List'!D195</f>
        <v>James Daughtrey WMA</v>
      </c>
      <c r="F202" s="14" t="str">
        <f>'Master Hunt List'!E195</f>
        <v>South Texas / Rio Grande Valley</v>
      </c>
      <c r="G202" s="14" t="str">
        <f>'Master Hunt List'!F195</f>
        <v>Gun Deer - Management</v>
      </c>
      <c r="H202" s="14" t="str">
        <f>'Master Hunt List'!G195</f>
        <v>Yes</v>
      </c>
      <c r="I202" s="14" t="str">
        <f>'Master Hunt List'!H195</f>
        <v>Yes</v>
      </c>
      <c r="J202" s="15" t="str">
        <f>'Master Hunt List'!I195</f>
        <v>2026-09-15</v>
      </c>
      <c r="K202" s="27">
        <f>'Master Hunt List'!K195</f>
        <v>3</v>
      </c>
      <c r="L202" s="14" t="str">
        <f>'Master Hunt List'!AF195</f>
        <v/>
      </c>
      <c r="M202" s="14" t="str">
        <f>'Master Hunt List'!AH195</f>
        <v/>
      </c>
      <c r="N202" s="14" t="str">
        <f>'Master Hunt List'!AI195</f>
        <v/>
      </c>
      <c r="O202" s="61" t="str">
        <f>'Master Hunt List'!V195</f>
        <v>https://tpwd.texas.gov/huntwild/hunt/public/public_hunt_drawing/hunt-category-details.phtml?OCat=GDM</v>
      </c>
    </row>
    <row r="203" ht="15.75" customHeight="1">
      <c r="A203" s="14">
        <f>196</f>
        <v>196</v>
      </c>
      <c r="B203" s="14" t="str">
        <f>'Master Hunt List'!A196</f>
        <v>No</v>
      </c>
      <c r="C203" s="14" t="str">
        <f>'Master Hunt List'!B196</f>
        <v>A</v>
      </c>
      <c r="D203" s="14" t="str">
        <f>'Master Hunt List'!C196</f>
        <v>Whitetail Deer</v>
      </c>
      <c r="E203" s="14" t="str">
        <f>'Master Hunt List'!D196</f>
        <v>Keechi Creek WMA</v>
      </c>
      <c r="F203" s="14" t="str">
        <f>'Master Hunt List'!E196</f>
        <v>Statewide / Other</v>
      </c>
      <c r="G203" s="14" t="str">
        <f>'Master Hunt List'!F196</f>
        <v>E-Postcard Deer</v>
      </c>
      <c r="H203" s="14" t="str">
        <f>'Master Hunt List'!G196</f>
        <v>Yes</v>
      </c>
      <c r="I203" s="14" t="str">
        <f>'Master Hunt List'!H196</f>
        <v>Yes</v>
      </c>
      <c r="J203" s="15" t="str">
        <f>'Master Hunt List'!I196</f>
        <v>2026-09-15</v>
      </c>
      <c r="K203" s="27">
        <f>'Master Hunt List'!K196</f>
        <v>0</v>
      </c>
      <c r="L203" s="14" t="str">
        <f>'Master Hunt List'!AF196</f>
        <v/>
      </c>
      <c r="M203" s="14" t="str">
        <f>'Master Hunt List'!AH196</f>
        <v/>
      </c>
      <c r="N203" s="14" t="str">
        <f>'Master Hunt List'!AI196</f>
        <v/>
      </c>
      <c r="O203" s="61" t="str">
        <f>'Master Hunt List'!V196</f>
        <v>https://tpwd.texas.gov/huntwild/hunt/public/public_hunt_drawing/hunt-category-details.phtml?OCat=EDR</v>
      </c>
    </row>
    <row r="204" ht="15.75" customHeight="1">
      <c r="A204" s="14">
        <f>197</f>
        <v>197</v>
      </c>
      <c r="B204" s="14" t="str">
        <f>'Master Hunt List'!A197</f>
        <v>No</v>
      </c>
      <c r="C204" s="14" t="str">
        <f>'Master Hunt List'!B197</f>
        <v>A</v>
      </c>
      <c r="D204" s="14" t="str">
        <f>'Master Hunt List'!C197</f>
        <v>Whitetail Deer</v>
      </c>
      <c r="E204" s="14" t="str">
        <f>'Master Hunt List'!D197</f>
        <v>Kerr WMA</v>
      </c>
      <c r="F204" s="14" t="str">
        <f>'Master Hunt List'!E197</f>
        <v>Hill Country / San Antonio</v>
      </c>
      <c r="G204" s="14" t="str">
        <f>'Master Hunt List'!F197</f>
        <v>Gun Deer - Either Sex</v>
      </c>
      <c r="H204" s="14" t="str">
        <f>'Master Hunt List'!G197</f>
        <v>Yes</v>
      </c>
      <c r="I204" s="14" t="str">
        <f>'Master Hunt List'!H197</f>
        <v>Yes</v>
      </c>
      <c r="J204" s="15" t="str">
        <f>'Master Hunt List'!I197</f>
        <v>2026-09-15</v>
      </c>
      <c r="K204" s="27">
        <f>'Master Hunt List'!K197</f>
        <v>3</v>
      </c>
      <c r="L204" s="14" t="str">
        <f>'Master Hunt List'!AF197</f>
        <v/>
      </c>
      <c r="M204" s="14" t="str">
        <f>'Master Hunt List'!AH197</f>
        <v/>
      </c>
      <c r="N204" s="14" t="str">
        <f>'Master Hunt List'!AI197</f>
        <v/>
      </c>
      <c r="O204" s="61" t="str">
        <f>'Master Hunt List'!V197</f>
        <v>https://tpwd.texas.gov/huntwild/hunt/public/public_hunt_drawing/hunt-category-details.phtml?OCat=GDE</v>
      </c>
    </row>
    <row r="205" ht="15.75" customHeight="1">
      <c r="A205" s="14">
        <f>198</f>
        <v>198</v>
      </c>
      <c r="B205" s="14" t="str">
        <f>'Master Hunt List'!A198</f>
        <v>No</v>
      </c>
      <c r="C205" s="14" t="str">
        <f>'Master Hunt List'!B198</f>
        <v>A</v>
      </c>
      <c r="D205" s="14" t="str">
        <f>'Master Hunt List'!C198</f>
        <v>Whitetail Deer</v>
      </c>
      <c r="E205" s="14" t="str">
        <f>'Master Hunt List'!D198</f>
        <v>Kerr WMA</v>
      </c>
      <c r="F205" s="14" t="str">
        <f>'Master Hunt List'!E198</f>
        <v>Hill Country / San Antonio</v>
      </c>
      <c r="G205" s="14" t="str">
        <f>'Master Hunt List'!F198</f>
        <v>Gun Deer - Management</v>
      </c>
      <c r="H205" s="14" t="str">
        <f>'Master Hunt List'!G198</f>
        <v>Yes</v>
      </c>
      <c r="I205" s="14" t="str">
        <f>'Master Hunt List'!H198</f>
        <v>Yes</v>
      </c>
      <c r="J205" s="15" t="str">
        <f>'Master Hunt List'!I198</f>
        <v>2026-09-15</v>
      </c>
      <c r="K205" s="27">
        <f>'Master Hunt List'!K198</f>
        <v>3</v>
      </c>
      <c r="L205" s="14" t="str">
        <f>'Master Hunt List'!AF198</f>
        <v/>
      </c>
      <c r="M205" s="14" t="str">
        <f>'Master Hunt List'!AH198</f>
        <v/>
      </c>
      <c r="N205" s="14" t="str">
        <f>'Master Hunt List'!AI198</f>
        <v/>
      </c>
      <c r="O205" s="61" t="str">
        <f>'Master Hunt List'!V198</f>
        <v>https://tpwd.texas.gov/huntwild/hunt/public/public_hunt_drawing/hunt-category-details.phtml?OCat=GDM</v>
      </c>
    </row>
    <row r="206" ht="15.75" customHeight="1">
      <c r="A206" s="14">
        <f>199</f>
        <v>199</v>
      </c>
      <c r="B206" s="14" t="str">
        <f>'Master Hunt List'!A199</f>
        <v>No</v>
      </c>
      <c r="C206" s="14" t="str">
        <f>'Master Hunt List'!B199</f>
        <v>A</v>
      </c>
      <c r="D206" s="14" t="str">
        <f>'Master Hunt List'!C199</f>
        <v>Whitetail Deer</v>
      </c>
      <c r="E206" s="14" t="str">
        <f>'Master Hunt List'!D199</f>
        <v>Laguna Atascosa NWR</v>
      </c>
      <c r="F206" s="14" t="str">
        <f>'Master Hunt List'!E199</f>
        <v>South Texas / Rio Grande Valley</v>
      </c>
      <c r="G206" s="14" t="str">
        <f>'Master Hunt List'!F199</f>
        <v>National Refuge General Deer</v>
      </c>
      <c r="H206" s="14" t="str">
        <f>'Master Hunt List'!G199</f>
        <v>Yes</v>
      </c>
      <c r="I206" s="14" t="str">
        <f>'Master Hunt List'!H199</f>
        <v>Yes</v>
      </c>
      <c r="J206" s="15" t="str">
        <f>'Master Hunt List'!I199</f>
        <v>2026-09-15</v>
      </c>
      <c r="K206" s="27">
        <f>'Master Hunt List'!K199</f>
        <v>3</v>
      </c>
      <c r="L206" s="14" t="str">
        <f>'Master Hunt List'!AF199</f>
        <v/>
      </c>
      <c r="M206" s="14" t="str">
        <f>'Master Hunt List'!AH199</f>
        <v/>
      </c>
      <c r="N206" s="14" t="str">
        <f>'Master Hunt List'!AI199</f>
        <v/>
      </c>
      <c r="O206" s="61" t="str">
        <f>'Master Hunt List'!V199</f>
        <v>https://tpwd.texas.gov/huntwild/hunt/public/public_hunt_drawing/hunt-category-details.phtml?OCat=NGE</v>
      </c>
    </row>
    <row r="207" ht="15.75" customHeight="1">
      <c r="A207" s="14">
        <f>200</f>
        <v>200</v>
      </c>
      <c r="B207" s="14" t="str">
        <f>'Master Hunt List'!A200</f>
        <v>No</v>
      </c>
      <c r="C207" s="14" t="str">
        <f>'Master Hunt List'!B200</f>
        <v>A</v>
      </c>
      <c r="D207" s="14" t="str">
        <f>'Master Hunt List'!C200</f>
        <v>Whitetail Deer</v>
      </c>
      <c r="E207" s="14" t="str">
        <f>'Master Hunt List'!D200</f>
        <v>Lake Brownwood SP</v>
      </c>
      <c r="F207" s="14" t="str">
        <f>'Master Hunt List'!E200</f>
        <v>West-Central Texas</v>
      </c>
      <c r="G207" s="14" t="str">
        <f>'Master Hunt List'!F200</f>
        <v>Gun Deer - Antlerless/Spike</v>
      </c>
      <c r="H207" s="14" t="str">
        <f>'Master Hunt List'!G200</f>
        <v>Yes</v>
      </c>
      <c r="I207" s="14" t="str">
        <f>'Master Hunt List'!H200</f>
        <v>Yes</v>
      </c>
      <c r="J207" s="15" t="str">
        <f>'Master Hunt List'!I200</f>
        <v>2026-09-15</v>
      </c>
      <c r="K207" s="27">
        <f>'Master Hunt List'!K200</f>
        <v>3</v>
      </c>
      <c r="L207" s="14" t="str">
        <f>'Master Hunt List'!AF200</f>
        <v/>
      </c>
      <c r="M207" s="14" t="str">
        <f>'Master Hunt List'!AH200</f>
        <v/>
      </c>
      <c r="N207" s="14" t="str">
        <f>'Master Hunt List'!AI200</f>
        <v/>
      </c>
      <c r="O207" s="61" t="str">
        <f>'Master Hunt List'!V200</f>
        <v>https://tpwd.texas.gov/huntwild/hunt/public/public_hunt_drawing/hunt-category-details.phtml?OCat=GDA</v>
      </c>
    </row>
    <row r="208" ht="15.75" customHeight="1">
      <c r="A208" s="14">
        <f>201</f>
        <v>201</v>
      </c>
      <c r="B208" s="14" t="str">
        <f>'Master Hunt List'!A201</f>
        <v>No</v>
      </c>
      <c r="C208" s="14" t="str">
        <f>'Master Hunt List'!B201</f>
        <v>A</v>
      </c>
      <c r="D208" s="14" t="str">
        <f>'Master Hunt List'!C201</f>
        <v>Whitetail Deer</v>
      </c>
      <c r="E208" s="14" t="str">
        <f>'Master Hunt List'!D201</f>
        <v>Lake Mineral Wells SP</v>
      </c>
      <c r="F208" s="14" t="str">
        <f>'Master Hunt List'!E201</f>
        <v>North Texas / DFW</v>
      </c>
      <c r="G208" s="14" t="str">
        <f>'Master Hunt List'!F201</f>
        <v>Gun Deer - Either Sex</v>
      </c>
      <c r="H208" s="14" t="str">
        <f>'Master Hunt List'!G201</f>
        <v>Yes</v>
      </c>
      <c r="I208" s="14" t="str">
        <f>'Master Hunt List'!H201</f>
        <v>Yes</v>
      </c>
      <c r="J208" s="15" t="str">
        <f>'Master Hunt List'!I201</f>
        <v>2026-09-15</v>
      </c>
      <c r="K208" s="27">
        <f>'Master Hunt List'!K201</f>
        <v>3</v>
      </c>
      <c r="L208" s="14" t="str">
        <f>'Master Hunt List'!AF201</f>
        <v/>
      </c>
      <c r="M208" s="14" t="str">
        <f>'Master Hunt List'!AH201</f>
        <v/>
      </c>
      <c r="N208" s="14" t="str">
        <f>'Master Hunt List'!AI201</f>
        <v/>
      </c>
      <c r="O208" s="61" t="str">
        <f>'Master Hunt List'!V201</f>
        <v>https://tpwd.texas.gov/huntwild/hunt/public/public_hunt_drawing/hunt-category-details.phtml?OCat=GDE</v>
      </c>
    </row>
    <row r="209" ht="15.75" customHeight="1">
      <c r="A209" s="14">
        <f>202</f>
        <v>202</v>
      </c>
      <c r="B209" s="14" t="str">
        <f>'Master Hunt List'!A202</f>
        <v>No</v>
      </c>
      <c r="C209" s="14" t="str">
        <f>'Master Hunt List'!B202</f>
        <v>A</v>
      </c>
      <c r="D209" s="14" t="str">
        <f>'Master Hunt List'!C202</f>
        <v>Whitetail Deer</v>
      </c>
      <c r="E209" s="14" t="str">
        <f>'Master Hunt List'!D202</f>
        <v>Lake Somerville SP - Birch Creek Unit</v>
      </c>
      <c r="F209" s="14" t="str">
        <f>'Master Hunt List'!E202</f>
        <v>Central Texas / Austin</v>
      </c>
      <c r="G209" s="14" t="str">
        <f>'Master Hunt List'!F202</f>
        <v>Gun Deer - Antlerless/Spike</v>
      </c>
      <c r="H209" s="14" t="str">
        <f>'Master Hunt List'!G202</f>
        <v>Yes</v>
      </c>
      <c r="I209" s="14" t="str">
        <f>'Master Hunt List'!H202</f>
        <v>Yes</v>
      </c>
      <c r="J209" s="15" t="str">
        <f>'Master Hunt List'!I202</f>
        <v>2026-09-15</v>
      </c>
      <c r="K209" s="27">
        <f>'Master Hunt List'!K202</f>
        <v>3</v>
      </c>
      <c r="L209" s="14" t="str">
        <f>'Master Hunt List'!AF202</f>
        <v/>
      </c>
      <c r="M209" s="14" t="str">
        <f>'Master Hunt List'!AH202</f>
        <v/>
      </c>
      <c r="N209" s="14" t="str">
        <f>'Master Hunt List'!AI202</f>
        <v/>
      </c>
      <c r="O209" s="61" t="str">
        <f>'Master Hunt List'!V202</f>
        <v>https://tpwd.texas.gov/huntwild/hunt/public/public_hunt_drawing/hunt-category-details.phtml?OCat=GDA</v>
      </c>
    </row>
    <row r="210" ht="15.75" customHeight="1">
      <c r="A210" s="14">
        <f>203</f>
        <v>203</v>
      </c>
      <c r="B210" s="14" t="str">
        <f>'Master Hunt List'!A203</f>
        <v>No</v>
      </c>
      <c r="C210" s="14" t="str">
        <f>'Master Hunt List'!B203</f>
        <v>A</v>
      </c>
      <c r="D210" s="14" t="str">
        <f>'Master Hunt List'!C203</f>
        <v>Whitetail Deer</v>
      </c>
      <c r="E210" s="14" t="str">
        <f>'Master Hunt List'!D203</f>
        <v>Lake Somerville SP - Nails Creek Unit</v>
      </c>
      <c r="F210" s="14" t="str">
        <f>'Master Hunt List'!E203</f>
        <v>Central Texas / Austin</v>
      </c>
      <c r="G210" s="14" t="str">
        <f>'Master Hunt List'!F203</f>
        <v>Gun Deer - Antlerless/Spike</v>
      </c>
      <c r="H210" s="14" t="str">
        <f>'Master Hunt List'!G203</f>
        <v>Yes</v>
      </c>
      <c r="I210" s="14" t="str">
        <f>'Master Hunt List'!H203</f>
        <v>Yes</v>
      </c>
      <c r="J210" s="15" t="str">
        <f>'Master Hunt List'!I203</f>
        <v>2026-09-15</v>
      </c>
      <c r="K210" s="27">
        <f>'Master Hunt List'!K203</f>
        <v>3</v>
      </c>
      <c r="L210" s="14" t="str">
        <f>'Master Hunt List'!AF203</f>
        <v/>
      </c>
      <c r="M210" s="14" t="str">
        <f>'Master Hunt List'!AH203</f>
        <v/>
      </c>
      <c r="N210" s="14" t="str">
        <f>'Master Hunt List'!AI203</f>
        <v/>
      </c>
      <c r="O210" s="61" t="str">
        <f>'Master Hunt List'!V203</f>
        <v>https://tpwd.texas.gov/huntwild/hunt/public/public_hunt_drawing/hunt-category-details.phtml?OCat=GDA</v>
      </c>
    </row>
    <row r="211" ht="15.75" customHeight="1">
      <c r="A211" s="14">
        <f>204</f>
        <v>204</v>
      </c>
      <c r="B211" s="14" t="str">
        <f>'Master Hunt List'!A204</f>
        <v>No</v>
      </c>
      <c r="C211" s="14" t="str">
        <f>'Master Hunt List'!B204</f>
        <v>A</v>
      </c>
      <c r="D211" s="14" t="str">
        <f>'Master Hunt List'!C204</f>
        <v>Whitetail Deer</v>
      </c>
      <c r="E211" s="14" t="str">
        <f>'Master Hunt List'!D204</f>
        <v>Lake Whitney SP</v>
      </c>
      <c r="F211" s="14" t="str">
        <f>'Master Hunt List'!E204</f>
        <v>Central Texas / Austin</v>
      </c>
      <c r="G211" s="14" t="str">
        <f>'Master Hunt List'!F204</f>
        <v>Gun Deer - Antlerless/Spike</v>
      </c>
      <c r="H211" s="14" t="str">
        <f>'Master Hunt List'!G204</f>
        <v>Yes</v>
      </c>
      <c r="I211" s="14" t="str">
        <f>'Master Hunt List'!H204</f>
        <v>Yes</v>
      </c>
      <c r="J211" s="15" t="str">
        <f>'Master Hunt List'!I204</f>
        <v>2026-09-15</v>
      </c>
      <c r="K211" s="27">
        <f>'Master Hunt List'!K204</f>
        <v>3</v>
      </c>
      <c r="L211" s="14" t="str">
        <f>'Master Hunt List'!AF204</f>
        <v/>
      </c>
      <c r="M211" s="14" t="str">
        <f>'Master Hunt List'!AH204</f>
        <v/>
      </c>
      <c r="N211" s="14" t="str">
        <f>'Master Hunt List'!AI204</f>
        <v/>
      </c>
      <c r="O211" s="61" t="str">
        <f>'Master Hunt List'!V204</f>
        <v>https://tpwd.texas.gov/huntwild/hunt/public/public_hunt_drawing/hunt-category-details.phtml?OCat=GDA</v>
      </c>
    </row>
    <row r="212" ht="15.75" customHeight="1">
      <c r="A212" s="14">
        <f>205</f>
        <v>205</v>
      </c>
      <c r="B212" s="14" t="str">
        <f>'Master Hunt List'!A205</f>
        <v>No</v>
      </c>
      <c r="C212" s="14" t="str">
        <f>'Master Hunt List'!B205</f>
        <v>A</v>
      </c>
      <c r="D212" s="14" t="str">
        <f>'Master Hunt List'!C205</f>
        <v>Whitetail Deer</v>
      </c>
      <c r="E212" s="14" t="str">
        <f>'Master Hunt List'!D205</f>
        <v>Las Palomas WMA - Arroyo Colorado Unit</v>
      </c>
      <c r="F212" s="14" t="str">
        <f>'Master Hunt List'!E205</f>
        <v>South Texas / Rio Grande Valley</v>
      </c>
      <c r="G212" s="14" t="str">
        <f>'Master Hunt List'!F205</f>
        <v>Gun Deer - Either Sex</v>
      </c>
      <c r="H212" s="14" t="str">
        <f>'Master Hunt List'!G205</f>
        <v>Yes</v>
      </c>
      <c r="I212" s="14" t="str">
        <f>'Master Hunt List'!H205</f>
        <v>Yes</v>
      </c>
      <c r="J212" s="15" t="str">
        <f>'Master Hunt List'!I205</f>
        <v>2026-09-15</v>
      </c>
      <c r="K212" s="27">
        <f>'Master Hunt List'!K205</f>
        <v>3</v>
      </c>
      <c r="L212" s="14" t="str">
        <f>'Master Hunt List'!AF205</f>
        <v/>
      </c>
      <c r="M212" s="14" t="str">
        <f>'Master Hunt List'!AH205</f>
        <v/>
      </c>
      <c r="N212" s="14" t="str">
        <f>'Master Hunt List'!AI205</f>
        <v/>
      </c>
      <c r="O212" s="61" t="str">
        <f>'Master Hunt List'!V205</f>
        <v>https://tpwd.texas.gov/huntwild/hunt/public/public_hunt_drawing/hunt-category-details.phtml?OCat=GDE</v>
      </c>
    </row>
    <row r="213" ht="15.75" customHeight="1">
      <c r="A213" s="14">
        <f>206</f>
        <v>206</v>
      </c>
      <c r="B213" s="14" t="str">
        <f>'Master Hunt List'!A206</f>
        <v>No</v>
      </c>
      <c r="C213" s="14" t="str">
        <f>'Master Hunt List'!B206</f>
        <v>A</v>
      </c>
      <c r="D213" s="14" t="str">
        <f>'Master Hunt List'!C206</f>
        <v>Whitetail Deer</v>
      </c>
      <c r="E213" s="14" t="str">
        <f>'Master Hunt List'!D206</f>
        <v>Lost Maples SNA</v>
      </c>
      <c r="F213" s="14" t="str">
        <f>'Master Hunt List'!E206</f>
        <v>Hill Country / San Antonio</v>
      </c>
      <c r="G213" s="14" t="str">
        <f>'Master Hunt List'!F206</f>
        <v>Gun Deer - Antlerless/Spike</v>
      </c>
      <c r="H213" s="14" t="str">
        <f>'Master Hunt List'!G206</f>
        <v>Yes</v>
      </c>
      <c r="I213" s="14" t="str">
        <f>'Master Hunt List'!H206</f>
        <v>Yes</v>
      </c>
      <c r="J213" s="15" t="str">
        <f>'Master Hunt List'!I206</f>
        <v>2026-09-15</v>
      </c>
      <c r="K213" s="27">
        <f>'Master Hunt List'!K206</f>
        <v>3</v>
      </c>
      <c r="L213" s="14" t="str">
        <f>'Master Hunt List'!AF206</f>
        <v/>
      </c>
      <c r="M213" s="14" t="str">
        <f>'Master Hunt List'!AH206</f>
        <v/>
      </c>
      <c r="N213" s="14" t="str">
        <f>'Master Hunt List'!AI206</f>
        <v/>
      </c>
      <c r="O213" s="61" t="str">
        <f>'Master Hunt List'!V206</f>
        <v>https://tpwd.texas.gov/huntwild/hunt/public/public_hunt_drawing/hunt-category-details.phtml?OCat=GDA</v>
      </c>
    </row>
    <row r="214" ht="15.75" customHeight="1">
      <c r="A214" s="14">
        <f>207</f>
        <v>207</v>
      </c>
      <c r="B214" s="14" t="str">
        <f>'Master Hunt List'!A207</f>
        <v>No</v>
      </c>
      <c r="C214" s="14" t="str">
        <f>'Master Hunt List'!B207</f>
        <v>A</v>
      </c>
      <c r="D214" s="14" t="str">
        <f>'Master Hunt List'!C207</f>
        <v>Whitetail Deer</v>
      </c>
      <c r="E214" s="14" t="str">
        <f>'Master Hunt List'!D207</f>
        <v>Lower Rio Grande Valley NWR - East Lake</v>
      </c>
      <c r="F214" s="14" t="str">
        <f>'Master Hunt List'!E207</f>
        <v>South Texas / Rio Grande Valley</v>
      </c>
      <c r="G214" s="14" t="str">
        <f>'Master Hunt List'!F207</f>
        <v>National Refuge General Deer</v>
      </c>
      <c r="H214" s="14" t="str">
        <f>'Master Hunt List'!G207</f>
        <v>Yes</v>
      </c>
      <c r="I214" s="14" t="str">
        <f>'Master Hunt List'!H207</f>
        <v>Yes</v>
      </c>
      <c r="J214" s="15" t="str">
        <f>'Master Hunt List'!I207</f>
        <v>2026-09-15</v>
      </c>
      <c r="K214" s="27">
        <f>'Master Hunt List'!K207</f>
        <v>3</v>
      </c>
      <c r="L214" s="14" t="str">
        <f>'Master Hunt List'!AF207</f>
        <v/>
      </c>
      <c r="M214" s="14" t="str">
        <f>'Master Hunt List'!AH207</f>
        <v/>
      </c>
      <c r="N214" s="14" t="str">
        <f>'Master Hunt List'!AI207</f>
        <v/>
      </c>
      <c r="O214" s="61" t="str">
        <f>'Master Hunt List'!V207</f>
        <v>https://tpwd.texas.gov/huntwild/hunt/public/public_hunt_drawing/hunt-category-details.phtml?OCat=NGE</v>
      </c>
    </row>
    <row r="215" ht="15.75" customHeight="1">
      <c r="A215" s="14">
        <f>208</f>
        <v>208</v>
      </c>
      <c r="B215" s="14" t="str">
        <f>'Master Hunt List'!A208</f>
        <v>No</v>
      </c>
      <c r="C215" s="14" t="str">
        <f>'Master Hunt List'!B208</f>
        <v>A</v>
      </c>
      <c r="D215" s="14" t="str">
        <f>'Master Hunt List'!C208</f>
        <v>Whitetail Deer</v>
      </c>
      <c r="E215" s="14" t="str">
        <f>'Master Hunt List'!D208</f>
        <v>Mason Mountain WMA</v>
      </c>
      <c r="F215" s="14" t="str">
        <f>'Master Hunt List'!E208</f>
        <v>Hill Country / San Antonio</v>
      </c>
      <c r="G215" s="14" t="str">
        <f>'Master Hunt List'!F208</f>
        <v>Gun Deer - Either Sex</v>
      </c>
      <c r="H215" s="14" t="str">
        <f>'Master Hunt List'!G208</f>
        <v>Yes</v>
      </c>
      <c r="I215" s="14" t="str">
        <f>'Master Hunt List'!H208</f>
        <v>Yes</v>
      </c>
      <c r="J215" s="15" t="str">
        <f>'Master Hunt List'!I208</f>
        <v>2026-09-15</v>
      </c>
      <c r="K215" s="27">
        <f>'Master Hunt List'!K208</f>
        <v>3</v>
      </c>
      <c r="L215" s="14" t="str">
        <f>'Master Hunt List'!AF208</f>
        <v/>
      </c>
      <c r="M215" s="14" t="str">
        <f>'Master Hunt List'!AH208</f>
        <v/>
      </c>
      <c r="N215" s="14" t="str">
        <f>'Master Hunt List'!AI208</f>
        <v/>
      </c>
      <c r="O215" s="61" t="str">
        <f>'Master Hunt List'!V208</f>
        <v>https://tpwd.texas.gov/huntwild/hunt/public/public_hunt_drawing/hunt-category-details.phtml?OCat=GDE</v>
      </c>
    </row>
    <row r="216" ht="15.75" customHeight="1">
      <c r="A216" s="14">
        <f>209</f>
        <v>209</v>
      </c>
      <c r="B216" s="14" t="str">
        <f>'Master Hunt List'!A209</f>
        <v>No</v>
      </c>
      <c r="C216" s="14" t="str">
        <f>'Master Hunt List'!B209</f>
        <v>A</v>
      </c>
      <c r="D216" s="14" t="str">
        <f>'Master Hunt List'!C209</f>
        <v>Whitetail Deer</v>
      </c>
      <c r="E216" s="14" t="str">
        <f>'Master Hunt List'!D209</f>
        <v>Mason Mountain WMA</v>
      </c>
      <c r="F216" s="14" t="str">
        <f>'Master Hunt List'!E209</f>
        <v>Hill Country / San Antonio</v>
      </c>
      <c r="G216" s="14" t="str">
        <f>'Master Hunt List'!F209</f>
        <v>Gun Deer - Management</v>
      </c>
      <c r="H216" s="14" t="str">
        <f>'Master Hunt List'!G209</f>
        <v>Yes</v>
      </c>
      <c r="I216" s="14" t="str">
        <f>'Master Hunt List'!H209</f>
        <v>Yes</v>
      </c>
      <c r="J216" s="15" t="str">
        <f>'Master Hunt List'!I209</f>
        <v>2026-09-15</v>
      </c>
      <c r="K216" s="27">
        <f>'Master Hunt List'!K209</f>
        <v>3</v>
      </c>
      <c r="L216" s="14" t="str">
        <f>'Master Hunt List'!AF209</f>
        <v/>
      </c>
      <c r="M216" s="14" t="str">
        <f>'Master Hunt List'!AH209</f>
        <v/>
      </c>
      <c r="N216" s="14" t="str">
        <f>'Master Hunt List'!AI209</f>
        <v/>
      </c>
      <c r="O216" s="61" t="str">
        <f>'Master Hunt List'!V209</f>
        <v>https://tpwd.texas.gov/huntwild/hunt/public/public_hunt_drawing/hunt-category-details.phtml?OCat=GDM</v>
      </c>
    </row>
    <row r="217" ht="15.75" customHeight="1">
      <c r="A217" s="14">
        <f>210</f>
        <v>210</v>
      </c>
      <c r="B217" s="14" t="str">
        <f>'Master Hunt List'!A210</f>
        <v>No</v>
      </c>
      <c r="C217" s="14" t="str">
        <f>'Master Hunt List'!B210</f>
        <v>A</v>
      </c>
      <c r="D217" s="14" t="str">
        <f>'Master Hunt List'!C210</f>
        <v>Whitetail Deer</v>
      </c>
      <c r="E217" s="14" t="str">
        <f>'Master Hunt List'!D210</f>
        <v>Matador WMA</v>
      </c>
      <c r="F217" s="14" t="str">
        <f>'Master Hunt List'!E210</f>
        <v>Panhandle / Rolling Plains</v>
      </c>
      <c r="G217" s="14" t="str">
        <f>'Master Hunt List'!F210</f>
        <v>Gun Deer - Either Sex</v>
      </c>
      <c r="H217" s="14" t="str">
        <f>'Master Hunt List'!G210</f>
        <v>Yes</v>
      </c>
      <c r="I217" s="14" t="str">
        <f>'Master Hunt List'!H210</f>
        <v>Yes</v>
      </c>
      <c r="J217" s="15" t="str">
        <f>'Master Hunt List'!I210</f>
        <v>2026-09-15</v>
      </c>
      <c r="K217" s="27">
        <f>'Master Hunt List'!K210</f>
        <v>3</v>
      </c>
      <c r="L217" s="14" t="str">
        <f>'Master Hunt List'!AF210</f>
        <v/>
      </c>
      <c r="M217" s="14" t="str">
        <f>'Master Hunt List'!AH210</f>
        <v/>
      </c>
      <c r="N217" s="14" t="str">
        <f>'Master Hunt List'!AI210</f>
        <v/>
      </c>
      <c r="O217" s="61" t="str">
        <f>'Master Hunt List'!V210</f>
        <v>https://tpwd.texas.gov/huntwild/hunt/public/public_hunt_drawing/hunt-category-details.phtml?OCat=GDE</v>
      </c>
    </row>
    <row r="218" ht="15.75" customHeight="1">
      <c r="A218" s="14">
        <f>211</f>
        <v>211</v>
      </c>
      <c r="B218" s="14" t="str">
        <f>'Master Hunt List'!A211</f>
        <v>No</v>
      </c>
      <c r="C218" s="14" t="str">
        <f>'Master Hunt List'!B211</f>
        <v>A</v>
      </c>
      <c r="D218" s="14" t="str">
        <f>'Master Hunt List'!C211</f>
        <v>Whitetail Deer</v>
      </c>
      <c r="E218" s="14" t="str">
        <f>'Master Hunt List'!D211</f>
        <v>Matagorda Island WMA</v>
      </c>
      <c r="F218" s="14" t="str">
        <f>'Master Hunt List'!E211</f>
        <v>Houston / Gulf Coast</v>
      </c>
      <c r="G218" s="14" t="str">
        <f>'Master Hunt List'!F211</f>
        <v>Gun Deer - Either Sex</v>
      </c>
      <c r="H218" s="14" t="str">
        <f>'Master Hunt List'!G211</f>
        <v>Yes</v>
      </c>
      <c r="I218" s="14" t="str">
        <f>'Master Hunt List'!H211</f>
        <v>Yes</v>
      </c>
      <c r="J218" s="15" t="str">
        <f>'Master Hunt List'!I211</f>
        <v>2026-09-15</v>
      </c>
      <c r="K218" s="27">
        <f>'Master Hunt List'!K211</f>
        <v>3</v>
      </c>
      <c r="L218" s="14" t="str">
        <f>'Master Hunt List'!AF211</f>
        <v/>
      </c>
      <c r="M218" s="14" t="str">
        <f>'Master Hunt List'!AH211</f>
        <v/>
      </c>
      <c r="N218" s="14" t="str">
        <f>'Master Hunt List'!AI211</f>
        <v/>
      </c>
      <c r="O218" s="61" t="str">
        <f>'Master Hunt List'!V211</f>
        <v>https://tpwd.texas.gov/huntwild/hunt/public/public_hunt_drawing/hunt-category-details.phtml?OCat=GDE</v>
      </c>
    </row>
    <row r="219" ht="15.75" customHeight="1">
      <c r="A219" s="14">
        <f>212</f>
        <v>212</v>
      </c>
      <c r="B219" s="14" t="str">
        <f>'Master Hunt List'!A212</f>
        <v>No</v>
      </c>
      <c r="C219" s="14" t="str">
        <f>'Master Hunt List'!B212</f>
        <v>A</v>
      </c>
      <c r="D219" s="14" t="str">
        <f>'Master Hunt List'!C212</f>
        <v>Whitetail Deer</v>
      </c>
      <c r="E219" s="14" t="str">
        <f>'Master Hunt List'!D212</f>
        <v>Moore Plantation WMA</v>
      </c>
      <c r="F219" s="14" t="str">
        <f>'Master Hunt List'!E212</f>
        <v>East Texas / Pineywoods</v>
      </c>
      <c r="G219" s="14" t="str">
        <f>'Master Hunt List'!F212</f>
        <v>USFS Antlerless Deer Permit - Adult</v>
      </c>
      <c r="H219" s="14" t="str">
        <f>'Master Hunt List'!G212</f>
        <v>Yes</v>
      </c>
      <c r="I219" s="14" t="str">
        <f>'Master Hunt List'!H212</f>
        <v>No</v>
      </c>
      <c r="J219" s="15" t="str">
        <f>'Master Hunt List'!I212</f>
        <v>2026-09-15</v>
      </c>
      <c r="K219" s="27">
        <f>'Master Hunt List'!K212</f>
        <v>0</v>
      </c>
      <c r="L219" s="14" t="str">
        <f>'Master Hunt List'!AF212</f>
        <v/>
      </c>
      <c r="M219" s="14" t="str">
        <f>'Master Hunt List'!AH212</f>
        <v/>
      </c>
      <c r="N219" s="14" t="str">
        <f>'Master Hunt List'!AI212</f>
        <v/>
      </c>
      <c r="O219" s="61" t="str">
        <f>'Master Hunt List'!V212</f>
        <v>https://tpwd.texas.gov/huntwild/hunt/public/public_hunt_drawing/hunt-category-details.phtml?OCat=FSD</v>
      </c>
    </row>
    <row r="220" ht="15.75" customHeight="1">
      <c r="A220" s="14">
        <f>213</f>
        <v>213</v>
      </c>
      <c r="B220" s="14" t="str">
        <f>'Master Hunt List'!A213</f>
        <v>No</v>
      </c>
      <c r="C220" s="14" t="str">
        <f>'Master Hunt List'!B213</f>
        <v>A</v>
      </c>
      <c r="D220" s="14" t="str">
        <f>'Master Hunt List'!C213</f>
        <v>Whitetail Deer</v>
      </c>
      <c r="E220" s="14" t="str">
        <f>'Master Hunt List'!D213</f>
        <v>Muse WMA</v>
      </c>
      <c r="F220" s="14" t="str">
        <f>'Master Hunt List'!E213</f>
        <v>Statewide / Other</v>
      </c>
      <c r="G220" s="14" t="str">
        <f>'Master Hunt List'!F213</f>
        <v>Gun Deer - Either Sex</v>
      </c>
      <c r="H220" s="14" t="str">
        <f>'Master Hunt List'!G213</f>
        <v>Yes</v>
      </c>
      <c r="I220" s="14" t="str">
        <f>'Master Hunt List'!H213</f>
        <v>Yes</v>
      </c>
      <c r="J220" s="15" t="str">
        <f>'Master Hunt List'!I213</f>
        <v>2026-09-15</v>
      </c>
      <c r="K220" s="27">
        <f>'Master Hunt List'!K213</f>
        <v>3</v>
      </c>
      <c r="L220" s="14" t="str">
        <f>'Master Hunt List'!AF213</f>
        <v/>
      </c>
      <c r="M220" s="14" t="str">
        <f>'Master Hunt List'!AH213</f>
        <v/>
      </c>
      <c r="N220" s="14" t="str">
        <f>'Master Hunt List'!AI213</f>
        <v/>
      </c>
      <c r="O220" s="61" t="str">
        <f>'Master Hunt List'!V213</f>
        <v>https://tpwd.texas.gov/huntwild/hunt/public/public_hunt_drawing/hunt-category-details.phtml?OCat=GDE</v>
      </c>
    </row>
    <row r="221" ht="15.75" customHeight="1">
      <c r="A221" s="14">
        <f>214</f>
        <v>214</v>
      </c>
      <c r="B221" s="14" t="str">
        <f>'Master Hunt List'!A214</f>
        <v>No</v>
      </c>
      <c r="C221" s="14" t="str">
        <f>'Master Hunt List'!B214</f>
        <v>A</v>
      </c>
      <c r="D221" s="14" t="str">
        <f>'Master Hunt List'!C214</f>
        <v>Whitetail Deer</v>
      </c>
      <c r="E221" s="14" t="str">
        <f>'Master Hunt List'!D214</f>
        <v>Nannie Stringfellow WMA</v>
      </c>
      <c r="F221" s="14" t="str">
        <f>'Master Hunt List'!E214</f>
        <v>Houston / Gulf Coast</v>
      </c>
      <c r="G221" s="14" t="str">
        <f>'Master Hunt List'!F214</f>
        <v>Gun Deer - Antlerless/Spike</v>
      </c>
      <c r="H221" s="14" t="str">
        <f>'Master Hunt List'!G214</f>
        <v>Yes</v>
      </c>
      <c r="I221" s="14" t="str">
        <f>'Master Hunt List'!H214</f>
        <v>Yes</v>
      </c>
      <c r="J221" s="15" t="str">
        <f>'Master Hunt List'!I214</f>
        <v>2026-09-15</v>
      </c>
      <c r="K221" s="27">
        <f>'Master Hunt List'!K214</f>
        <v>3</v>
      </c>
      <c r="L221" s="14" t="str">
        <f>'Master Hunt List'!AF214</f>
        <v/>
      </c>
      <c r="M221" s="14" t="str">
        <f>'Master Hunt List'!AH214</f>
        <v/>
      </c>
      <c r="N221" s="14" t="str">
        <f>'Master Hunt List'!AI214</f>
        <v/>
      </c>
      <c r="O221" s="61" t="str">
        <f>'Master Hunt List'!V214</f>
        <v>https://tpwd.texas.gov/huntwild/hunt/public/public_hunt_drawing/hunt-category-details.phtml?OCat=GDA</v>
      </c>
    </row>
    <row r="222" ht="15.75" customHeight="1">
      <c r="A222" s="14">
        <f>215</f>
        <v>215</v>
      </c>
      <c r="B222" s="14" t="str">
        <f>'Master Hunt List'!A215</f>
        <v>No</v>
      </c>
      <c r="C222" s="14" t="str">
        <f>'Master Hunt List'!B215</f>
        <v>A</v>
      </c>
      <c r="D222" s="14" t="str">
        <f>'Master Hunt List'!C215</f>
        <v>Whitetail Deer</v>
      </c>
      <c r="E222" s="14" t="str">
        <f>'Master Hunt List'!D215</f>
        <v>Neches River NWR - Dead Water Unit</v>
      </c>
      <c r="F222" s="14" t="str">
        <f>'Master Hunt List'!E215</f>
        <v>East Texas / Pineywoods</v>
      </c>
      <c r="G222" s="14" t="str">
        <f>'Master Hunt List'!F215</f>
        <v>National Refuge General Deer</v>
      </c>
      <c r="H222" s="14" t="str">
        <f>'Master Hunt List'!G215</f>
        <v>Yes</v>
      </c>
      <c r="I222" s="14" t="str">
        <f>'Master Hunt List'!H215</f>
        <v>Yes</v>
      </c>
      <c r="J222" s="15" t="str">
        <f>'Master Hunt List'!I215</f>
        <v>2026-09-15</v>
      </c>
      <c r="K222" s="27">
        <f>'Master Hunt List'!K215</f>
        <v>3</v>
      </c>
      <c r="L222" s="14" t="str">
        <f>'Master Hunt List'!AF215</f>
        <v/>
      </c>
      <c r="M222" s="14" t="str">
        <f>'Master Hunt List'!AH215</f>
        <v/>
      </c>
      <c r="N222" s="14" t="str">
        <f>'Master Hunt List'!AI215</f>
        <v/>
      </c>
      <c r="O222" s="61" t="str">
        <f>'Master Hunt List'!V215</f>
        <v>https://tpwd.texas.gov/huntwild/hunt/public/public_hunt_drawing/hunt-category-details.phtml?OCat=NGE</v>
      </c>
    </row>
    <row r="223" ht="15.75" customHeight="1">
      <c r="A223" s="14">
        <f>216</f>
        <v>216</v>
      </c>
      <c r="B223" s="14" t="str">
        <f>'Master Hunt List'!A216</f>
        <v>No</v>
      </c>
      <c r="C223" s="14" t="str">
        <f>'Master Hunt List'!B216</f>
        <v>A</v>
      </c>
      <c r="D223" s="14" t="str">
        <f>'Master Hunt List'!C216</f>
        <v>Whitetail Deer</v>
      </c>
      <c r="E223" s="14" t="str">
        <f>'Master Hunt List'!D216</f>
        <v>Neches River NWR - Rocky Point Unit</v>
      </c>
      <c r="F223" s="14" t="str">
        <f>'Master Hunt List'!E216</f>
        <v>East Texas / Pineywoods</v>
      </c>
      <c r="G223" s="14" t="str">
        <f>'Master Hunt List'!F216</f>
        <v>National Refuge General Deer</v>
      </c>
      <c r="H223" s="14" t="str">
        <f>'Master Hunt List'!G216</f>
        <v>Yes</v>
      </c>
      <c r="I223" s="14" t="str">
        <f>'Master Hunt List'!H216</f>
        <v>Yes</v>
      </c>
      <c r="J223" s="15" t="str">
        <f>'Master Hunt List'!I216</f>
        <v>2026-09-15</v>
      </c>
      <c r="K223" s="27">
        <f>'Master Hunt List'!K216</f>
        <v>3</v>
      </c>
      <c r="L223" s="14" t="str">
        <f>'Master Hunt List'!AF216</f>
        <v/>
      </c>
      <c r="M223" s="14" t="str">
        <f>'Master Hunt List'!AH216</f>
        <v/>
      </c>
      <c r="N223" s="14" t="str">
        <f>'Master Hunt List'!AI216</f>
        <v/>
      </c>
      <c r="O223" s="61" t="str">
        <f>'Master Hunt List'!V216</f>
        <v>https://tpwd.texas.gov/huntwild/hunt/public/public_hunt_drawing/hunt-category-details.phtml?OCat=NGE</v>
      </c>
    </row>
    <row r="224" ht="15.75" customHeight="1">
      <c r="A224" s="14">
        <f>217</f>
        <v>217</v>
      </c>
      <c r="B224" s="14" t="str">
        <f>'Master Hunt List'!A217</f>
        <v>No</v>
      </c>
      <c r="C224" s="14" t="str">
        <f>'Master Hunt List'!B217</f>
        <v>A</v>
      </c>
      <c r="D224" s="14" t="str">
        <f>'Master Hunt List'!C217</f>
        <v>Whitetail Deer</v>
      </c>
      <c r="E224" s="14" t="str">
        <f>'Master Hunt List'!D217</f>
        <v>Neches River NWR - Sandy Bluff Unit</v>
      </c>
      <c r="F224" s="14" t="str">
        <f>'Master Hunt List'!E217</f>
        <v>East Texas / Pineywoods</v>
      </c>
      <c r="G224" s="14" t="str">
        <f>'Master Hunt List'!F217</f>
        <v>National Refuge General Deer</v>
      </c>
      <c r="H224" s="14" t="str">
        <f>'Master Hunt List'!G217</f>
        <v>Yes</v>
      </c>
      <c r="I224" s="14" t="str">
        <f>'Master Hunt List'!H217</f>
        <v>Yes</v>
      </c>
      <c r="J224" s="15" t="str">
        <f>'Master Hunt List'!I217</f>
        <v>2026-09-15</v>
      </c>
      <c r="K224" s="27">
        <f>'Master Hunt List'!K217</f>
        <v>3</v>
      </c>
      <c r="L224" s="14" t="str">
        <f>'Master Hunt List'!AF217</f>
        <v/>
      </c>
      <c r="M224" s="14" t="str">
        <f>'Master Hunt List'!AH217</f>
        <v/>
      </c>
      <c r="N224" s="14" t="str">
        <f>'Master Hunt List'!AI217</f>
        <v/>
      </c>
      <c r="O224" s="61" t="str">
        <f>'Master Hunt List'!V217</f>
        <v>https://tpwd.texas.gov/huntwild/hunt/public/public_hunt_drawing/hunt-category-details.phtml?OCat=NGE</v>
      </c>
    </row>
    <row r="225" ht="15.75" customHeight="1">
      <c r="A225" s="14">
        <f>218</f>
        <v>218</v>
      </c>
      <c r="B225" s="14" t="str">
        <f>'Master Hunt List'!A218</f>
        <v>No</v>
      </c>
      <c r="C225" s="14" t="str">
        <f>'Master Hunt List'!B218</f>
        <v>A</v>
      </c>
      <c r="D225" s="14" t="str">
        <f>'Master Hunt List'!C218</f>
        <v>Whitetail Deer</v>
      </c>
      <c r="E225" s="14" t="str">
        <f>'Master Hunt List'!D218</f>
        <v>Neches River NWR - Walnut Branch Unit</v>
      </c>
      <c r="F225" s="14" t="str">
        <f>'Master Hunt List'!E218</f>
        <v>East Texas / Pineywoods</v>
      </c>
      <c r="G225" s="14" t="str">
        <f>'Master Hunt List'!F218</f>
        <v>National Refuge General Deer</v>
      </c>
      <c r="H225" s="14" t="str">
        <f>'Master Hunt List'!G218</f>
        <v>Yes</v>
      </c>
      <c r="I225" s="14" t="str">
        <f>'Master Hunt List'!H218</f>
        <v>Yes</v>
      </c>
      <c r="J225" s="15" t="str">
        <f>'Master Hunt List'!I218</f>
        <v>2026-09-15</v>
      </c>
      <c r="K225" s="27">
        <f>'Master Hunt List'!K218</f>
        <v>3</v>
      </c>
      <c r="L225" s="14" t="str">
        <f>'Master Hunt List'!AF218</f>
        <v/>
      </c>
      <c r="M225" s="14" t="str">
        <f>'Master Hunt List'!AH218</f>
        <v/>
      </c>
      <c r="N225" s="14" t="str">
        <f>'Master Hunt List'!AI218</f>
        <v/>
      </c>
      <c r="O225" s="61" t="str">
        <f>'Master Hunt List'!V218</f>
        <v>https://tpwd.texas.gov/huntwild/hunt/public/public_hunt_drawing/hunt-category-details.phtml?OCat=NGE</v>
      </c>
    </row>
    <row r="226" ht="15.75" customHeight="1">
      <c r="A226" s="14">
        <f>219</f>
        <v>219</v>
      </c>
      <c r="B226" s="14" t="str">
        <f>'Master Hunt List'!A219</f>
        <v>No</v>
      </c>
      <c r="C226" s="14" t="str">
        <f>'Master Hunt List'!B219</f>
        <v>A</v>
      </c>
      <c r="D226" s="14" t="str">
        <f>'Master Hunt List'!C219</f>
        <v>Whitetail Deer</v>
      </c>
      <c r="E226" s="14" t="str">
        <f>'Master Hunt List'!D219</f>
        <v>Old Sabine Bottom WMA</v>
      </c>
      <c r="F226" s="14" t="str">
        <f>'Master Hunt List'!E219</f>
        <v>East Texas / Pineywoods</v>
      </c>
      <c r="G226" s="14" t="str">
        <f>'Master Hunt List'!F219</f>
        <v>E-Postcard Deer</v>
      </c>
      <c r="H226" s="14" t="str">
        <f>'Master Hunt List'!G219</f>
        <v>Yes</v>
      </c>
      <c r="I226" s="14" t="str">
        <f>'Master Hunt List'!H219</f>
        <v>Yes</v>
      </c>
      <c r="J226" s="15" t="str">
        <f>'Master Hunt List'!I219</f>
        <v>2026-09-15</v>
      </c>
      <c r="K226" s="27">
        <f>'Master Hunt List'!K219</f>
        <v>0</v>
      </c>
      <c r="L226" s="14" t="str">
        <f>'Master Hunt List'!AF219</f>
        <v/>
      </c>
      <c r="M226" s="14" t="str">
        <f>'Master Hunt List'!AH219</f>
        <v/>
      </c>
      <c r="N226" s="14" t="str">
        <f>'Master Hunt List'!AI219</f>
        <v/>
      </c>
      <c r="O226" s="61" t="str">
        <f>'Master Hunt List'!V219</f>
        <v>https://tpwd.texas.gov/huntwild/hunt/public/public_hunt_drawing/hunt-category-details.phtml?OCat=EDR</v>
      </c>
    </row>
    <row r="227" ht="15.75" customHeight="1">
      <c r="A227" s="14">
        <f>220</f>
        <v>220</v>
      </c>
      <c r="B227" s="14" t="str">
        <f>'Master Hunt List'!A220</f>
        <v>No</v>
      </c>
      <c r="C227" s="14" t="str">
        <f>'Master Hunt List'!B220</f>
        <v>A</v>
      </c>
      <c r="D227" s="14" t="str">
        <f>'Master Hunt List'!C220</f>
        <v>Whitetail Deer</v>
      </c>
      <c r="E227" s="14" t="str">
        <f>'Master Hunt List'!D220</f>
        <v>Old Sabine Bottom WMA</v>
      </c>
      <c r="F227" s="14" t="str">
        <f>'Master Hunt List'!E220</f>
        <v>East Texas / Pineywoods</v>
      </c>
      <c r="G227" s="14" t="str">
        <f>'Master Hunt List'!F220</f>
        <v>Gun Deer - Either Sex</v>
      </c>
      <c r="H227" s="14" t="str">
        <f>'Master Hunt List'!G220</f>
        <v>Yes</v>
      </c>
      <c r="I227" s="14" t="str">
        <f>'Master Hunt List'!H220</f>
        <v>Yes</v>
      </c>
      <c r="J227" s="15" t="str">
        <f>'Master Hunt List'!I220</f>
        <v>2026-09-15</v>
      </c>
      <c r="K227" s="27">
        <f>'Master Hunt List'!K220</f>
        <v>3</v>
      </c>
      <c r="L227" s="14" t="str">
        <f>'Master Hunt List'!AF220</f>
        <v/>
      </c>
      <c r="M227" s="14" t="str">
        <f>'Master Hunt List'!AH220</f>
        <v/>
      </c>
      <c r="N227" s="14" t="str">
        <f>'Master Hunt List'!AI220</f>
        <v/>
      </c>
      <c r="O227" s="61" t="str">
        <f>'Master Hunt List'!V220</f>
        <v>https://tpwd.texas.gov/huntwild/hunt/public/public_hunt_drawing/hunt-category-details.phtml?OCat=GDE</v>
      </c>
    </row>
    <row r="228" ht="15.75" customHeight="1">
      <c r="A228" s="14">
        <f>221</f>
        <v>221</v>
      </c>
      <c r="B228" s="14" t="str">
        <f>'Master Hunt List'!A221</f>
        <v>No</v>
      </c>
      <c r="C228" s="14" t="str">
        <f>'Master Hunt List'!B221</f>
        <v>A</v>
      </c>
      <c r="D228" s="14" t="str">
        <f>'Master Hunt List'!C221</f>
        <v>Whitetail Deer</v>
      </c>
      <c r="E228" s="14" t="str">
        <f>'Master Hunt List'!D221</f>
        <v>Pat Mayse WMA</v>
      </c>
      <c r="F228" s="14" t="str">
        <f>'Master Hunt List'!E221</f>
        <v>North Texas / DFW</v>
      </c>
      <c r="G228" s="14" t="str">
        <f>'Master Hunt List'!F221</f>
        <v>Gun Deer - Either Sex</v>
      </c>
      <c r="H228" s="14" t="str">
        <f>'Master Hunt List'!G221</f>
        <v>Yes</v>
      </c>
      <c r="I228" s="14" t="str">
        <f>'Master Hunt List'!H221</f>
        <v>Yes</v>
      </c>
      <c r="J228" s="15" t="str">
        <f>'Master Hunt List'!I221</f>
        <v>2026-09-15</v>
      </c>
      <c r="K228" s="27">
        <f>'Master Hunt List'!K221</f>
        <v>3</v>
      </c>
      <c r="L228" s="14" t="str">
        <f>'Master Hunt List'!AF221</f>
        <v/>
      </c>
      <c r="M228" s="14" t="str">
        <f>'Master Hunt List'!AH221</f>
        <v/>
      </c>
      <c r="N228" s="14" t="str">
        <f>'Master Hunt List'!AI221</f>
        <v/>
      </c>
      <c r="O228" s="61" t="str">
        <f>'Master Hunt List'!V221</f>
        <v>https://tpwd.texas.gov/huntwild/hunt/public/public_hunt_drawing/hunt-category-details.phtml?OCat=GDE</v>
      </c>
    </row>
    <row r="229" ht="15.75" customHeight="1">
      <c r="A229" s="14">
        <f>222</f>
        <v>222</v>
      </c>
      <c r="B229" s="14" t="str">
        <f>'Master Hunt List'!A222</f>
        <v>No</v>
      </c>
      <c r="C229" s="14" t="str">
        <f>'Master Hunt List'!B222</f>
        <v>A</v>
      </c>
      <c r="D229" s="14" t="str">
        <f>'Master Hunt List'!C222</f>
        <v>Whitetail Deer</v>
      </c>
      <c r="E229" s="14" t="str">
        <f>'Master Hunt List'!D222</f>
        <v>Pedernales Falls SP</v>
      </c>
      <c r="F229" s="14" t="str">
        <f>'Master Hunt List'!E222</f>
        <v>Hill Country / San Antonio</v>
      </c>
      <c r="G229" s="14" t="str">
        <f>'Master Hunt List'!F222</f>
        <v>Gun Deer - Antlerless/Spike</v>
      </c>
      <c r="H229" s="14" t="str">
        <f>'Master Hunt List'!G222</f>
        <v>Yes</v>
      </c>
      <c r="I229" s="14" t="str">
        <f>'Master Hunt List'!H222</f>
        <v>Yes</v>
      </c>
      <c r="J229" s="15" t="str">
        <f>'Master Hunt List'!I222</f>
        <v>2026-09-15</v>
      </c>
      <c r="K229" s="27">
        <f>'Master Hunt List'!K222</f>
        <v>3</v>
      </c>
      <c r="L229" s="14" t="str">
        <f>'Master Hunt List'!AF222</f>
        <v/>
      </c>
      <c r="M229" s="14" t="str">
        <f>'Master Hunt List'!AH222</f>
        <v/>
      </c>
      <c r="N229" s="14" t="str">
        <f>'Master Hunt List'!AI222</f>
        <v/>
      </c>
      <c r="O229" s="61" t="str">
        <f>'Master Hunt List'!V222</f>
        <v>https://tpwd.texas.gov/huntwild/hunt/public/public_hunt_drawing/hunt-category-details.phtml?OCat=GDA</v>
      </c>
    </row>
    <row r="230" ht="15.75" customHeight="1">
      <c r="A230" s="14">
        <f>223</f>
        <v>223</v>
      </c>
      <c r="B230" s="14" t="str">
        <f>'Master Hunt List'!A223</f>
        <v>No</v>
      </c>
      <c r="C230" s="14" t="str">
        <f>'Master Hunt List'!B223</f>
        <v>A</v>
      </c>
      <c r="D230" s="14" t="str">
        <f>'Master Hunt List'!C223</f>
        <v>Whitetail Deer</v>
      </c>
      <c r="E230" s="14" t="str">
        <f>'Master Hunt List'!D223</f>
        <v>Pedernales Falls SP Annex</v>
      </c>
      <c r="F230" s="14" t="str">
        <f>'Master Hunt List'!E223</f>
        <v>Hill Country / San Antonio</v>
      </c>
      <c r="G230" s="14" t="str">
        <f>'Master Hunt List'!F223</f>
        <v>Gun Deer - Either Sex</v>
      </c>
      <c r="H230" s="14" t="str">
        <f>'Master Hunt List'!G223</f>
        <v>Yes</v>
      </c>
      <c r="I230" s="14" t="str">
        <f>'Master Hunt List'!H223</f>
        <v>Yes</v>
      </c>
      <c r="J230" s="15" t="str">
        <f>'Master Hunt List'!I223</f>
        <v>2026-09-15</v>
      </c>
      <c r="K230" s="27">
        <f>'Master Hunt List'!K223</f>
        <v>3</v>
      </c>
      <c r="L230" s="14" t="str">
        <f>'Master Hunt List'!AF223</f>
        <v/>
      </c>
      <c r="M230" s="14" t="str">
        <f>'Master Hunt List'!AH223</f>
        <v/>
      </c>
      <c r="N230" s="14" t="str">
        <f>'Master Hunt List'!AI223</f>
        <v/>
      </c>
      <c r="O230" s="61" t="str">
        <f>'Master Hunt List'!V223</f>
        <v>https://tpwd.texas.gov/huntwild/hunt/public/public_hunt_drawing/hunt-category-details.phtml?OCat=GDE</v>
      </c>
    </row>
    <row r="231" ht="15.75" customHeight="1">
      <c r="A231" s="14">
        <f>224</f>
        <v>224</v>
      </c>
      <c r="B231" s="14" t="str">
        <f>'Master Hunt List'!A224</f>
        <v>No</v>
      </c>
      <c r="C231" s="14" t="str">
        <f>'Master Hunt List'!B224</f>
        <v>A</v>
      </c>
      <c r="D231" s="14" t="str">
        <f>'Master Hunt List'!C224</f>
        <v>Whitetail Deer</v>
      </c>
      <c r="E231" s="14" t="str">
        <f>'Master Hunt List'!D224</f>
        <v>Post Oak Ridge State Park</v>
      </c>
      <c r="F231" s="14" t="str">
        <f>'Master Hunt List'!E224</f>
        <v>Statewide / Other</v>
      </c>
      <c r="G231" s="14" t="str">
        <f>'Master Hunt List'!F224</f>
        <v>Gun Deer - Antlerless/Spike</v>
      </c>
      <c r="H231" s="14" t="str">
        <f>'Master Hunt List'!G224</f>
        <v>Yes</v>
      </c>
      <c r="I231" s="14" t="str">
        <f>'Master Hunt List'!H224</f>
        <v>Yes</v>
      </c>
      <c r="J231" s="15" t="str">
        <f>'Master Hunt List'!I224</f>
        <v>2026-09-15</v>
      </c>
      <c r="K231" s="27">
        <f>'Master Hunt List'!K224</f>
        <v>3</v>
      </c>
      <c r="L231" s="14" t="str">
        <f>'Master Hunt List'!AF224</f>
        <v/>
      </c>
      <c r="M231" s="14" t="str">
        <f>'Master Hunt List'!AH224</f>
        <v/>
      </c>
      <c r="N231" s="14" t="str">
        <f>'Master Hunt List'!AI224</f>
        <v/>
      </c>
      <c r="O231" s="61" t="str">
        <f>'Master Hunt List'!V224</f>
        <v>https://tpwd.texas.gov/huntwild/hunt/public/public_hunt_drawing/hunt-category-details.phtml?OCat=GDA</v>
      </c>
    </row>
    <row r="232" ht="15.75" customHeight="1">
      <c r="A232" s="14">
        <f>225</f>
        <v>225</v>
      </c>
      <c r="B232" s="14" t="str">
        <f>'Master Hunt List'!A225</f>
        <v>No</v>
      </c>
      <c r="C232" s="14" t="str">
        <f>'Master Hunt List'!B225</f>
        <v>A</v>
      </c>
      <c r="D232" s="14" t="str">
        <f>'Master Hunt List'!C225</f>
        <v>Whitetail Deer</v>
      </c>
      <c r="E232" s="14" t="str">
        <f>'Master Hunt List'!D225</f>
        <v>Post Oak Ridge State Park</v>
      </c>
      <c r="F232" s="14" t="str">
        <f>'Master Hunt List'!E225</f>
        <v>Statewide / Other</v>
      </c>
      <c r="G232" s="14" t="str">
        <f>'Master Hunt List'!F225</f>
        <v>Gun Deer - Either Sex</v>
      </c>
      <c r="H232" s="14" t="str">
        <f>'Master Hunt List'!G225</f>
        <v>Yes</v>
      </c>
      <c r="I232" s="14" t="str">
        <f>'Master Hunt List'!H225</f>
        <v>Yes</v>
      </c>
      <c r="J232" s="15" t="str">
        <f>'Master Hunt List'!I225</f>
        <v>2026-09-15</v>
      </c>
      <c r="K232" s="27">
        <f>'Master Hunt List'!K225</f>
        <v>3</v>
      </c>
      <c r="L232" s="14" t="str">
        <f>'Master Hunt List'!AF225</f>
        <v/>
      </c>
      <c r="M232" s="14" t="str">
        <f>'Master Hunt List'!AH225</f>
        <v/>
      </c>
      <c r="N232" s="14" t="str">
        <f>'Master Hunt List'!AI225</f>
        <v/>
      </c>
      <c r="O232" s="61" t="str">
        <f>'Master Hunt List'!V225</f>
        <v>https://tpwd.texas.gov/huntwild/hunt/public/public_hunt_drawing/hunt-category-details.phtml?OCat=GDE</v>
      </c>
    </row>
    <row r="233" ht="15.75" customHeight="1">
      <c r="A233" s="14">
        <f>226</f>
        <v>226</v>
      </c>
      <c r="B233" s="14" t="str">
        <f>'Master Hunt List'!A226</f>
        <v>No</v>
      </c>
      <c r="C233" s="14" t="str">
        <f>'Master Hunt List'!B226</f>
        <v>A</v>
      </c>
      <c r="D233" s="14" t="str">
        <f>'Master Hunt List'!C226</f>
        <v>Whitetail Deer</v>
      </c>
      <c r="E233" s="14" t="str">
        <f>'Master Hunt List'!D226</f>
        <v>Powderhorn WMA</v>
      </c>
      <c r="F233" s="14" t="str">
        <f>'Master Hunt List'!E226</f>
        <v>Houston / Gulf Coast</v>
      </c>
      <c r="G233" s="14" t="str">
        <f>'Master Hunt List'!F226</f>
        <v>Gun Deer - Either Sex</v>
      </c>
      <c r="H233" s="14" t="str">
        <f>'Master Hunt List'!G226</f>
        <v>Yes</v>
      </c>
      <c r="I233" s="14" t="str">
        <f>'Master Hunt List'!H226</f>
        <v>Yes</v>
      </c>
      <c r="J233" s="15" t="str">
        <f>'Master Hunt List'!I226</f>
        <v>2026-09-15</v>
      </c>
      <c r="K233" s="27">
        <f>'Master Hunt List'!K226</f>
        <v>3</v>
      </c>
      <c r="L233" s="14" t="str">
        <f>'Master Hunt List'!AF226</f>
        <v/>
      </c>
      <c r="M233" s="14" t="str">
        <f>'Master Hunt List'!AH226</f>
        <v/>
      </c>
      <c r="N233" s="14" t="str">
        <f>'Master Hunt List'!AI226</f>
        <v/>
      </c>
      <c r="O233" s="61" t="str">
        <f>'Master Hunt List'!V226</f>
        <v>https://tpwd.texas.gov/huntwild/hunt/public/public_hunt_drawing/hunt-category-details.phtml?OCat=GDE</v>
      </c>
    </row>
    <row r="234" ht="15.75" customHeight="1">
      <c r="A234" s="14">
        <f>227</f>
        <v>227</v>
      </c>
      <c r="B234" s="14" t="str">
        <f>'Master Hunt List'!A227</f>
        <v>No</v>
      </c>
      <c r="C234" s="14" t="str">
        <f>'Master Hunt List'!B227</f>
        <v>A</v>
      </c>
      <c r="D234" s="14" t="str">
        <f>'Master Hunt List'!C227</f>
        <v>Whitetail Deer</v>
      </c>
      <c r="E234" s="14" t="str">
        <f>'Master Hunt List'!D227</f>
        <v>Richland Creek WMA - Carl Frentress Unit</v>
      </c>
      <c r="F234" s="14" t="str">
        <f>'Master Hunt List'!E227</f>
        <v>Statewide / Other</v>
      </c>
      <c r="G234" s="14" t="str">
        <f>'Master Hunt List'!F227</f>
        <v>Gun Deer - Antlerless/Spike</v>
      </c>
      <c r="H234" s="14" t="str">
        <f>'Master Hunt List'!G227</f>
        <v>Yes</v>
      </c>
      <c r="I234" s="14" t="str">
        <f>'Master Hunt List'!H227</f>
        <v>Yes</v>
      </c>
      <c r="J234" s="15" t="str">
        <f>'Master Hunt List'!I227</f>
        <v>2026-09-15</v>
      </c>
      <c r="K234" s="27">
        <f>'Master Hunt List'!K227</f>
        <v>3</v>
      </c>
      <c r="L234" s="14" t="str">
        <f>'Master Hunt List'!AF227</f>
        <v/>
      </c>
      <c r="M234" s="14" t="str">
        <f>'Master Hunt List'!AH227</f>
        <v/>
      </c>
      <c r="N234" s="14" t="str">
        <f>'Master Hunt List'!AI227</f>
        <v/>
      </c>
      <c r="O234" s="61" t="str">
        <f>'Master Hunt List'!V227</f>
        <v>https://tpwd.texas.gov/huntwild/hunt/public/public_hunt_drawing/hunt-category-details.phtml?OCat=GDA</v>
      </c>
    </row>
    <row r="235" ht="15.75" customHeight="1">
      <c r="A235" s="14">
        <f>228</f>
        <v>228</v>
      </c>
      <c r="B235" s="14" t="str">
        <f>'Master Hunt List'!A228</f>
        <v>No</v>
      </c>
      <c r="C235" s="14" t="str">
        <f>'Master Hunt List'!B228</f>
        <v>A</v>
      </c>
      <c r="D235" s="14" t="str">
        <f>'Master Hunt List'!C228</f>
        <v>Whitetail Deer</v>
      </c>
      <c r="E235" s="14" t="str">
        <f>'Master Hunt List'!D228</f>
        <v>Richland Creek WMA - Carl Frentress Unit</v>
      </c>
      <c r="F235" s="14" t="str">
        <f>'Master Hunt List'!E228</f>
        <v>Statewide / Other</v>
      </c>
      <c r="G235" s="14" t="str">
        <f>'Master Hunt List'!F228</f>
        <v>Gun Deer - Either Sex</v>
      </c>
      <c r="H235" s="14" t="str">
        <f>'Master Hunt List'!G228</f>
        <v>Yes</v>
      </c>
      <c r="I235" s="14" t="str">
        <f>'Master Hunt List'!H228</f>
        <v>Yes</v>
      </c>
      <c r="J235" s="15" t="str">
        <f>'Master Hunt List'!I228</f>
        <v>2026-09-15</v>
      </c>
      <c r="K235" s="27">
        <f>'Master Hunt List'!K228</f>
        <v>3</v>
      </c>
      <c r="L235" s="14" t="str">
        <f>'Master Hunt List'!AF228</f>
        <v/>
      </c>
      <c r="M235" s="14" t="str">
        <f>'Master Hunt List'!AH228</f>
        <v/>
      </c>
      <c r="N235" s="14" t="str">
        <f>'Master Hunt List'!AI228</f>
        <v/>
      </c>
      <c r="O235" s="61" t="str">
        <f>'Master Hunt List'!V228</f>
        <v>https://tpwd.texas.gov/huntwild/hunt/public/public_hunt_drawing/hunt-category-details.phtml?OCat=GDE</v>
      </c>
    </row>
    <row r="236" ht="15.75" customHeight="1">
      <c r="A236" s="14">
        <f>229</f>
        <v>229</v>
      </c>
      <c r="B236" s="14" t="str">
        <f>'Master Hunt List'!A229</f>
        <v>No</v>
      </c>
      <c r="C236" s="14" t="str">
        <f>'Master Hunt List'!B229</f>
        <v>A</v>
      </c>
      <c r="D236" s="14" t="str">
        <f>'Master Hunt List'!C229</f>
        <v>Whitetail Deer</v>
      </c>
      <c r="E236" s="14" t="str">
        <f>'Master Hunt List'!D229</f>
        <v>Richland Creek WMA - South Unit</v>
      </c>
      <c r="F236" s="14" t="str">
        <f>'Master Hunt List'!E229</f>
        <v>Statewide / Other</v>
      </c>
      <c r="G236" s="14" t="str">
        <f>'Master Hunt List'!F229</f>
        <v>Gun Deer - Antlerless/Spike</v>
      </c>
      <c r="H236" s="14" t="str">
        <f>'Master Hunt List'!G229</f>
        <v>Yes</v>
      </c>
      <c r="I236" s="14" t="str">
        <f>'Master Hunt List'!H229</f>
        <v>Yes</v>
      </c>
      <c r="J236" s="15" t="str">
        <f>'Master Hunt List'!I229</f>
        <v>2026-09-15</v>
      </c>
      <c r="K236" s="27">
        <f>'Master Hunt List'!K229</f>
        <v>3</v>
      </c>
      <c r="L236" s="14" t="str">
        <f>'Master Hunt List'!AF229</f>
        <v/>
      </c>
      <c r="M236" s="14" t="str">
        <f>'Master Hunt List'!AH229</f>
        <v/>
      </c>
      <c r="N236" s="14" t="str">
        <f>'Master Hunt List'!AI229</f>
        <v/>
      </c>
      <c r="O236" s="61" t="str">
        <f>'Master Hunt List'!V229</f>
        <v>https://tpwd.texas.gov/huntwild/hunt/public/public_hunt_drawing/hunt-category-details.phtml?OCat=GDA</v>
      </c>
    </row>
    <row r="237" ht="15.75" customHeight="1">
      <c r="A237" s="14">
        <f>230</f>
        <v>230</v>
      </c>
      <c r="B237" s="14" t="str">
        <f>'Master Hunt List'!A230</f>
        <v>No</v>
      </c>
      <c r="C237" s="14" t="str">
        <f>'Master Hunt List'!B230</f>
        <v>A</v>
      </c>
      <c r="D237" s="14" t="str">
        <f>'Master Hunt List'!C230</f>
        <v>Whitetail Deer</v>
      </c>
      <c r="E237" s="14" t="str">
        <f>'Master Hunt List'!D230</f>
        <v>Richland Creek WMA - South Unit</v>
      </c>
      <c r="F237" s="14" t="str">
        <f>'Master Hunt List'!E230</f>
        <v>Statewide / Other</v>
      </c>
      <c r="G237" s="14" t="str">
        <f>'Master Hunt List'!F230</f>
        <v>Gun Deer - Either Sex</v>
      </c>
      <c r="H237" s="14" t="str">
        <f>'Master Hunt List'!G230</f>
        <v>Yes</v>
      </c>
      <c r="I237" s="14" t="str">
        <f>'Master Hunt List'!H230</f>
        <v>Yes</v>
      </c>
      <c r="J237" s="15" t="str">
        <f>'Master Hunt List'!I230</f>
        <v>2026-09-15</v>
      </c>
      <c r="K237" s="27">
        <f>'Master Hunt List'!K230</f>
        <v>3</v>
      </c>
      <c r="L237" s="14" t="str">
        <f>'Master Hunt List'!AF230</f>
        <v/>
      </c>
      <c r="M237" s="14" t="str">
        <f>'Master Hunt List'!AH230</f>
        <v/>
      </c>
      <c r="N237" s="14" t="str">
        <f>'Master Hunt List'!AI230</f>
        <v/>
      </c>
      <c r="O237" s="61" t="str">
        <f>'Master Hunt List'!V230</f>
        <v>https://tpwd.texas.gov/huntwild/hunt/public/public_hunt_drawing/hunt-category-details.phtml?OCat=GDE</v>
      </c>
    </row>
    <row r="238" ht="15.75" customHeight="1">
      <c r="A238" s="14">
        <f>231</f>
        <v>231</v>
      </c>
      <c r="B238" s="14" t="str">
        <f>'Master Hunt List'!A231</f>
        <v>No</v>
      </c>
      <c r="C238" s="14" t="str">
        <f>'Master Hunt List'!B231</f>
        <v>A</v>
      </c>
      <c r="D238" s="14" t="str">
        <f>'Master Hunt List'!C231</f>
        <v>Whitetail Deer</v>
      </c>
      <c r="E238" s="14" t="str">
        <f>'Master Hunt List'!D231</f>
        <v>Roger Fawcett WMA</v>
      </c>
      <c r="F238" s="14" t="str">
        <f>'Master Hunt List'!E231</f>
        <v>West-Central Texas</v>
      </c>
      <c r="G238" s="14" t="str">
        <f>'Master Hunt List'!F231</f>
        <v>Gun Deer - Either Sex</v>
      </c>
      <c r="H238" s="14" t="str">
        <f>'Master Hunt List'!G231</f>
        <v>Yes</v>
      </c>
      <c r="I238" s="14" t="str">
        <f>'Master Hunt List'!H231</f>
        <v>Yes</v>
      </c>
      <c r="J238" s="15" t="str">
        <f>'Master Hunt List'!I231</f>
        <v>2026-09-15</v>
      </c>
      <c r="K238" s="27">
        <f>'Master Hunt List'!K231</f>
        <v>3</v>
      </c>
      <c r="L238" s="14" t="str">
        <f>'Master Hunt List'!AF231</f>
        <v/>
      </c>
      <c r="M238" s="14" t="str">
        <f>'Master Hunt List'!AH231</f>
        <v/>
      </c>
      <c r="N238" s="14" t="str">
        <f>'Master Hunt List'!AI231</f>
        <v/>
      </c>
      <c r="O238" s="61" t="str">
        <f>'Master Hunt List'!V231</f>
        <v>https://tpwd.texas.gov/huntwild/hunt/public/public_hunt_drawing/hunt-category-details.phtml?OCat=GDE</v>
      </c>
    </row>
    <row r="239" ht="15.75" customHeight="1">
      <c r="A239" s="14">
        <f>232</f>
        <v>232</v>
      </c>
      <c r="B239" s="14" t="str">
        <f>'Master Hunt List'!A232</f>
        <v>No</v>
      </c>
      <c r="C239" s="14" t="str">
        <f>'Master Hunt List'!B232</f>
        <v>A</v>
      </c>
      <c r="D239" s="14" t="str">
        <f>'Master Hunt List'!C232</f>
        <v>Whitetail Deer</v>
      </c>
      <c r="E239" s="14" t="str">
        <f>'Master Hunt List'!D232</f>
        <v>Sam Houston National Forest WMA</v>
      </c>
      <c r="F239" s="14" t="str">
        <f>'Master Hunt List'!E232</f>
        <v>East Texas / Pineywoods</v>
      </c>
      <c r="G239" s="14" t="str">
        <f>'Master Hunt List'!F232</f>
        <v>USFS Antlerless Deer Permit - Adult</v>
      </c>
      <c r="H239" s="14" t="str">
        <f>'Master Hunt List'!G232</f>
        <v>Yes</v>
      </c>
      <c r="I239" s="14" t="str">
        <f>'Master Hunt List'!H232</f>
        <v>No</v>
      </c>
      <c r="J239" s="15" t="str">
        <f>'Master Hunt List'!I232</f>
        <v>2026-09-15</v>
      </c>
      <c r="K239" s="27">
        <f>'Master Hunt List'!K232</f>
        <v>0</v>
      </c>
      <c r="L239" s="14" t="str">
        <f>'Master Hunt List'!AF232</f>
        <v/>
      </c>
      <c r="M239" s="14" t="str">
        <f>'Master Hunt List'!AH232</f>
        <v/>
      </c>
      <c r="N239" s="14" t="str">
        <f>'Master Hunt List'!AI232</f>
        <v/>
      </c>
      <c r="O239" s="61" t="str">
        <f>'Master Hunt List'!V232</f>
        <v>https://tpwd.texas.gov/huntwild/hunt/public/public_hunt_drawing/hunt-category-details.phtml?OCat=FSD</v>
      </c>
    </row>
    <row r="240" ht="15.75" customHeight="1">
      <c r="A240" s="14">
        <f>233</f>
        <v>233</v>
      </c>
      <c r="B240" s="14" t="str">
        <f>'Master Hunt List'!A233</f>
        <v>No</v>
      </c>
      <c r="C240" s="14" t="str">
        <f>'Master Hunt List'!B233</f>
        <v>A</v>
      </c>
      <c r="D240" s="14" t="str">
        <f>'Master Hunt List'!C233</f>
        <v>Whitetail Deer</v>
      </c>
      <c r="E240" s="14" t="str">
        <f>'Master Hunt List'!D233</f>
        <v>San Angelo SP</v>
      </c>
      <c r="F240" s="14" t="str">
        <f>'Master Hunt List'!E233</f>
        <v>West-Central Texas</v>
      </c>
      <c r="G240" s="14" t="str">
        <f>'Master Hunt List'!F233</f>
        <v>Gun Deer - Antlerless/Spike</v>
      </c>
      <c r="H240" s="14" t="str">
        <f>'Master Hunt List'!G233</f>
        <v>Yes</v>
      </c>
      <c r="I240" s="14" t="str">
        <f>'Master Hunt List'!H233</f>
        <v>Yes</v>
      </c>
      <c r="J240" s="15" t="str">
        <f>'Master Hunt List'!I233</f>
        <v>2026-09-15</v>
      </c>
      <c r="K240" s="27">
        <f>'Master Hunt List'!K233</f>
        <v>3</v>
      </c>
      <c r="L240" s="14" t="str">
        <f>'Master Hunt List'!AF233</f>
        <v/>
      </c>
      <c r="M240" s="14" t="str">
        <f>'Master Hunt List'!AH233</f>
        <v/>
      </c>
      <c r="N240" s="14" t="str">
        <f>'Master Hunt List'!AI233</f>
        <v/>
      </c>
      <c r="O240" s="61" t="str">
        <f>'Master Hunt List'!V233</f>
        <v>https://tpwd.texas.gov/huntwild/hunt/public/public_hunt_drawing/hunt-category-details.phtml?OCat=GDA</v>
      </c>
    </row>
    <row r="241" ht="15.75" customHeight="1">
      <c r="A241" s="14">
        <f>234</f>
        <v>234</v>
      </c>
      <c r="B241" s="14" t="str">
        <f>'Master Hunt List'!A234</f>
        <v>No</v>
      </c>
      <c r="C241" s="14" t="str">
        <f>'Master Hunt List'!B234</f>
        <v>A</v>
      </c>
      <c r="D241" s="14" t="str">
        <f>'Master Hunt List'!C234</f>
        <v>Whitetail Deer</v>
      </c>
      <c r="E241" s="14" t="str">
        <f>'Master Hunt List'!D234</f>
        <v>San Angelo SP</v>
      </c>
      <c r="F241" s="14" t="str">
        <f>'Master Hunt List'!E234</f>
        <v>West-Central Texas</v>
      </c>
      <c r="G241" s="14" t="str">
        <f>'Master Hunt List'!F234</f>
        <v>Gun Deer - Either Sex</v>
      </c>
      <c r="H241" s="14" t="str">
        <f>'Master Hunt List'!G234</f>
        <v>Yes</v>
      </c>
      <c r="I241" s="14" t="str">
        <f>'Master Hunt List'!H234</f>
        <v>Yes</v>
      </c>
      <c r="J241" s="15" t="str">
        <f>'Master Hunt List'!I234</f>
        <v>2026-09-15</v>
      </c>
      <c r="K241" s="27">
        <f>'Master Hunt List'!K234</f>
        <v>3</v>
      </c>
      <c r="L241" s="14" t="str">
        <f>'Master Hunt List'!AF234</f>
        <v/>
      </c>
      <c r="M241" s="14" t="str">
        <f>'Master Hunt List'!AH234</f>
        <v/>
      </c>
      <c r="N241" s="14" t="str">
        <f>'Master Hunt List'!AI234</f>
        <v/>
      </c>
      <c r="O241" s="61" t="str">
        <f>'Master Hunt List'!V234</f>
        <v>https://tpwd.texas.gov/huntwild/hunt/public/public_hunt_drawing/hunt-category-details.phtml?OCat=GDE</v>
      </c>
    </row>
    <row r="242" ht="15.75" customHeight="1">
      <c r="A242" s="14">
        <f>235</f>
        <v>235</v>
      </c>
      <c r="B242" s="14" t="str">
        <f>'Master Hunt List'!A235</f>
        <v>No</v>
      </c>
      <c r="C242" s="14" t="str">
        <f>'Master Hunt List'!B235</f>
        <v>A</v>
      </c>
      <c r="D242" s="14" t="str">
        <f>'Master Hunt List'!C235</f>
        <v>Whitetail Deer</v>
      </c>
      <c r="E242" s="14" t="str">
        <f>'Master Hunt List'!D235</f>
        <v>Seminole Canyon SP / HS</v>
      </c>
      <c r="F242" s="14" t="str">
        <f>'Master Hunt List'!E235</f>
        <v>Trans-Pecos / West Texas</v>
      </c>
      <c r="G242" s="14" t="str">
        <f>'Master Hunt List'!F235</f>
        <v>Gun Deer - Antlerless/Spike</v>
      </c>
      <c r="H242" s="14" t="str">
        <f>'Master Hunt List'!G235</f>
        <v>Yes</v>
      </c>
      <c r="I242" s="14" t="str">
        <f>'Master Hunt List'!H235</f>
        <v>Yes</v>
      </c>
      <c r="J242" s="15" t="str">
        <f>'Master Hunt List'!I235</f>
        <v>2026-09-15</v>
      </c>
      <c r="K242" s="27">
        <f>'Master Hunt List'!K235</f>
        <v>3</v>
      </c>
      <c r="L242" s="14" t="str">
        <f>'Master Hunt List'!AF235</f>
        <v/>
      </c>
      <c r="M242" s="14" t="str">
        <f>'Master Hunt List'!AH235</f>
        <v/>
      </c>
      <c r="N242" s="14" t="str">
        <f>'Master Hunt List'!AI235</f>
        <v/>
      </c>
      <c r="O242" s="61" t="str">
        <f>'Master Hunt List'!V235</f>
        <v>https://tpwd.texas.gov/huntwild/hunt/public/public_hunt_drawing/hunt-category-details.phtml?OCat=GDA</v>
      </c>
    </row>
    <row r="243" ht="15.75" customHeight="1">
      <c r="A243" s="14">
        <f>236</f>
        <v>236</v>
      </c>
      <c r="B243" s="14" t="str">
        <f>'Master Hunt List'!A236</f>
        <v>No</v>
      </c>
      <c r="C243" s="14" t="str">
        <f>'Master Hunt List'!B236</f>
        <v>A</v>
      </c>
      <c r="D243" s="14" t="str">
        <f>'Master Hunt List'!C236</f>
        <v>Whitetail Deer</v>
      </c>
      <c r="E243" s="14" t="str">
        <f>'Master Hunt List'!D236</f>
        <v>Seminole Canyon SP / HS</v>
      </c>
      <c r="F243" s="14" t="str">
        <f>'Master Hunt List'!E236</f>
        <v>Trans-Pecos / West Texas</v>
      </c>
      <c r="G243" s="14" t="str">
        <f>'Master Hunt List'!F236</f>
        <v>Gun Deer - Either Sex</v>
      </c>
      <c r="H243" s="14" t="str">
        <f>'Master Hunt List'!G236</f>
        <v>Yes</v>
      </c>
      <c r="I243" s="14" t="str">
        <f>'Master Hunt List'!H236</f>
        <v>Yes</v>
      </c>
      <c r="J243" s="15" t="str">
        <f>'Master Hunt List'!I236</f>
        <v>2026-09-15</v>
      </c>
      <c r="K243" s="27">
        <f>'Master Hunt List'!K236</f>
        <v>3</v>
      </c>
      <c r="L243" s="14" t="str">
        <f>'Master Hunt List'!AF236</f>
        <v/>
      </c>
      <c r="M243" s="14" t="str">
        <f>'Master Hunt List'!AH236</f>
        <v/>
      </c>
      <c r="N243" s="14" t="str">
        <f>'Master Hunt List'!AI236</f>
        <v/>
      </c>
      <c r="O243" s="61" t="str">
        <f>'Master Hunt List'!V236</f>
        <v>https://tpwd.texas.gov/huntwild/hunt/public/public_hunt_drawing/hunt-category-details.phtml?OCat=GDE</v>
      </c>
    </row>
    <row r="244" ht="15.75" customHeight="1">
      <c r="A244" s="14">
        <f>237</f>
        <v>237</v>
      </c>
      <c r="B244" s="14" t="str">
        <f>'Master Hunt List'!A237</f>
        <v>No</v>
      </c>
      <c r="C244" s="14" t="str">
        <f>'Master Hunt List'!B237</f>
        <v>A</v>
      </c>
      <c r="D244" s="14" t="str">
        <f>'Master Hunt List'!C237</f>
        <v>Whitetail Deer</v>
      </c>
      <c r="E244" s="14" t="str">
        <f>'Master Hunt List'!D237</f>
        <v>Silver Lake State Park</v>
      </c>
      <c r="F244" s="14" t="str">
        <f>'Master Hunt List'!E237</f>
        <v>Statewide / Other</v>
      </c>
      <c r="G244" s="14" t="str">
        <f>'Master Hunt List'!F237</f>
        <v>Gun Deer - Either Sex</v>
      </c>
      <c r="H244" s="14" t="str">
        <f>'Master Hunt List'!G237</f>
        <v>Yes</v>
      </c>
      <c r="I244" s="14" t="str">
        <f>'Master Hunt List'!H237</f>
        <v>Yes</v>
      </c>
      <c r="J244" s="15" t="str">
        <f>'Master Hunt List'!I237</f>
        <v>2026-09-15</v>
      </c>
      <c r="K244" s="27">
        <f>'Master Hunt List'!K237</f>
        <v>3</v>
      </c>
      <c r="L244" s="14" t="str">
        <f>'Master Hunt List'!AF237</f>
        <v/>
      </c>
      <c r="M244" s="14" t="str">
        <f>'Master Hunt List'!AH237</f>
        <v/>
      </c>
      <c r="N244" s="14" t="str">
        <f>'Master Hunt List'!AI237</f>
        <v/>
      </c>
      <c r="O244" s="61" t="str">
        <f>'Master Hunt List'!V237</f>
        <v>https://tpwd.texas.gov/huntwild/hunt/public/public_hunt_drawing/hunt-category-details.phtml?OCat=GDE</v>
      </c>
    </row>
    <row r="245" ht="15.75" customHeight="1">
      <c r="A245" s="14">
        <f>238</f>
        <v>238</v>
      </c>
      <c r="B245" s="14" t="str">
        <f>'Master Hunt List'!A238</f>
        <v>No</v>
      </c>
      <c r="C245" s="14" t="str">
        <f>'Master Hunt List'!B238</f>
        <v>A</v>
      </c>
      <c r="D245" s="14" t="str">
        <f>'Master Hunt List'!C238</f>
        <v>Whitetail Deer</v>
      </c>
      <c r="E245" s="14" t="str">
        <f>'Master Hunt List'!D238</f>
        <v>South Llano River SP</v>
      </c>
      <c r="F245" s="14" t="str">
        <f>'Master Hunt List'!E238</f>
        <v>Hill Country / San Antonio</v>
      </c>
      <c r="G245" s="14" t="str">
        <f>'Master Hunt List'!F238</f>
        <v>Gun Deer - Antlerless/Spike</v>
      </c>
      <c r="H245" s="14" t="str">
        <f>'Master Hunt List'!G238</f>
        <v>Yes</v>
      </c>
      <c r="I245" s="14" t="str">
        <f>'Master Hunt List'!H238</f>
        <v>Yes</v>
      </c>
      <c r="J245" s="15" t="str">
        <f>'Master Hunt List'!I238</f>
        <v>2026-09-15</v>
      </c>
      <c r="K245" s="27">
        <f>'Master Hunt List'!K238</f>
        <v>3</v>
      </c>
      <c r="L245" s="14" t="str">
        <f>'Master Hunt List'!AF238</f>
        <v/>
      </c>
      <c r="M245" s="14" t="str">
        <f>'Master Hunt List'!AH238</f>
        <v/>
      </c>
      <c r="N245" s="14" t="str">
        <f>'Master Hunt List'!AI238</f>
        <v/>
      </c>
      <c r="O245" s="61" t="str">
        <f>'Master Hunt List'!V238</f>
        <v>https://tpwd.texas.gov/huntwild/hunt/public/public_hunt_drawing/hunt-category-details.phtml?OCat=GDA</v>
      </c>
    </row>
    <row r="246" ht="15.75" customHeight="1">
      <c r="A246" s="14">
        <f>239</f>
        <v>239</v>
      </c>
      <c r="B246" s="14" t="str">
        <f>'Master Hunt List'!A239</f>
        <v>No</v>
      </c>
      <c r="C246" s="14" t="str">
        <f>'Master Hunt List'!B239</f>
        <v>A</v>
      </c>
      <c r="D246" s="14" t="str">
        <f>'Master Hunt List'!C239</f>
        <v>Whitetail Deer</v>
      </c>
      <c r="E246" s="14" t="str">
        <f>'Master Hunt List'!D239</f>
        <v>Stephen F. Austin SP</v>
      </c>
      <c r="F246" s="14" t="str">
        <f>'Master Hunt List'!E239</f>
        <v>Central Texas / Austin</v>
      </c>
      <c r="G246" s="14" t="str">
        <f>'Master Hunt List'!F239</f>
        <v>Gun Deer - Management</v>
      </c>
      <c r="H246" s="14" t="str">
        <f>'Master Hunt List'!G239</f>
        <v>Yes</v>
      </c>
      <c r="I246" s="14" t="str">
        <f>'Master Hunt List'!H239</f>
        <v>Yes</v>
      </c>
      <c r="J246" s="15" t="str">
        <f>'Master Hunt List'!I239</f>
        <v>2026-09-15</v>
      </c>
      <c r="K246" s="27">
        <f>'Master Hunt List'!K239</f>
        <v>3</v>
      </c>
      <c r="L246" s="14" t="str">
        <f>'Master Hunt List'!AF239</f>
        <v/>
      </c>
      <c r="M246" s="14" t="str">
        <f>'Master Hunt List'!AH239</f>
        <v/>
      </c>
      <c r="N246" s="14" t="str">
        <f>'Master Hunt List'!AI239</f>
        <v/>
      </c>
      <c r="O246" s="61" t="str">
        <f>'Master Hunt List'!V239</f>
        <v>https://tpwd.texas.gov/huntwild/hunt/public/public_hunt_drawing/hunt-category-details.phtml?OCat=GDM</v>
      </c>
    </row>
    <row r="247" ht="15.75" customHeight="1">
      <c r="A247" s="14">
        <f>240</f>
        <v>240</v>
      </c>
      <c r="B247" s="14" t="str">
        <f>'Master Hunt List'!A240</f>
        <v>No</v>
      </c>
      <c r="C247" s="14" t="str">
        <f>'Master Hunt List'!B240</f>
        <v>A</v>
      </c>
      <c r="D247" s="14" t="str">
        <f>'Master Hunt List'!C240</f>
        <v>Whitetail Deer</v>
      </c>
      <c r="E247" s="14" t="str">
        <f>'Master Hunt List'!D240</f>
        <v>Teacup Mountain WMA</v>
      </c>
      <c r="F247" s="14" t="str">
        <f>'Master Hunt List'!E240</f>
        <v>Panhandle / Rolling Plains</v>
      </c>
      <c r="G247" s="14" t="str">
        <f>'Master Hunt List'!F240</f>
        <v>Gun Deer - Either Sex</v>
      </c>
      <c r="H247" s="14" t="str">
        <f>'Master Hunt List'!G240</f>
        <v>Yes</v>
      </c>
      <c r="I247" s="14" t="str">
        <f>'Master Hunt List'!H240</f>
        <v>Yes</v>
      </c>
      <c r="J247" s="15" t="str">
        <f>'Master Hunt List'!I240</f>
        <v>2026-09-15</v>
      </c>
      <c r="K247" s="27">
        <f>'Master Hunt List'!K240</f>
        <v>3</v>
      </c>
      <c r="L247" s="14" t="str">
        <f>'Master Hunt List'!AF240</f>
        <v/>
      </c>
      <c r="M247" s="14" t="str">
        <f>'Master Hunt List'!AH240</f>
        <v/>
      </c>
      <c r="N247" s="14" t="str">
        <f>'Master Hunt List'!AI240</f>
        <v/>
      </c>
      <c r="O247" s="61" t="str">
        <f>'Master Hunt List'!V240</f>
        <v>https://tpwd.texas.gov/huntwild/hunt/public/public_hunt_drawing/hunt-category-details.phtml?OCat=GDE</v>
      </c>
    </row>
    <row r="248" ht="15.75" customHeight="1">
      <c r="A248" s="14">
        <f>241</f>
        <v>241</v>
      </c>
      <c r="B248" s="14" t="str">
        <f>'Master Hunt List'!A241</f>
        <v>No</v>
      </c>
      <c r="C248" s="14" t="str">
        <f>'Master Hunt List'!B241</f>
        <v>A</v>
      </c>
      <c r="D248" s="14" t="str">
        <f>'Master Hunt List'!C241</f>
        <v>Whitetail Deer</v>
      </c>
      <c r="E248" s="14" t="str">
        <f>'Master Hunt List'!D241</f>
        <v>Trinity River NWR - Boars Den</v>
      </c>
      <c r="F248" s="14" t="str">
        <f>'Master Hunt List'!E241</f>
        <v>East Texas / Pineywoods</v>
      </c>
      <c r="G248" s="14" t="str">
        <f>'Master Hunt List'!F241</f>
        <v>National Refuge General Deer</v>
      </c>
      <c r="H248" s="14" t="str">
        <f>'Master Hunt List'!G241</f>
        <v>Yes</v>
      </c>
      <c r="I248" s="14" t="str">
        <f>'Master Hunt List'!H241</f>
        <v>Yes</v>
      </c>
      <c r="J248" s="15" t="str">
        <f>'Master Hunt List'!I241</f>
        <v>2026-09-15</v>
      </c>
      <c r="K248" s="27">
        <f>'Master Hunt List'!K241</f>
        <v>3</v>
      </c>
      <c r="L248" s="14" t="str">
        <f>'Master Hunt List'!AF241</f>
        <v/>
      </c>
      <c r="M248" s="14" t="str">
        <f>'Master Hunt List'!AH241</f>
        <v/>
      </c>
      <c r="N248" s="14" t="str">
        <f>'Master Hunt List'!AI241</f>
        <v/>
      </c>
      <c r="O248" s="61" t="str">
        <f>'Master Hunt List'!V241</f>
        <v>https://tpwd.texas.gov/huntwild/hunt/public/public_hunt_drawing/hunt-category-details.phtml?OCat=NGE</v>
      </c>
    </row>
    <row r="249" ht="15.75" customHeight="1">
      <c r="A249" s="14">
        <f>242</f>
        <v>242</v>
      </c>
      <c r="B249" s="14" t="str">
        <f>'Master Hunt List'!A242</f>
        <v>No</v>
      </c>
      <c r="C249" s="14" t="str">
        <f>'Master Hunt List'!B242</f>
        <v>A</v>
      </c>
      <c r="D249" s="14" t="str">
        <f>'Master Hunt List'!C242</f>
        <v>Whitetail Deer</v>
      </c>
      <c r="E249" s="14" t="str">
        <f>'Master Hunt List'!D242</f>
        <v>Trinity River NWR - Brierwood</v>
      </c>
      <c r="F249" s="14" t="str">
        <f>'Master Hunt List'!E242</f>
        <v>East Texas / Pineywoods</v>
      </c>
      <c r="G249" s="14" t="str">
        <f>'Master Hunt List'!F242</f>
        <v>National Refuge General Deer</v>
      </c>
      <c r="H249" s="14" t="str">
        <f>'Master Hunt List'!G242</f>
        <v>Yes</v>
      </c>
      <c r="I249" s="14" t="str">
        <f>'Master Hunt List'!H242</f>
        <v>Yes</v>
      </c>
      <c r="J249" s="15" t="str">
        <f>'Master Hunt List'!I242</f>
        <v>2026-09-15</v>
      </c>
      <c r="K249" s="27">
        <f>'Master Hunt List'!K242</f>
        <v>3</v>
      </c>
      <c r="L249" s="14" t="str">
        <f>'Master Hunt List'!AF242</f>
        <v/>
      </c>
      <c r="M249" s="14" t="str">
        <f>'Master Hunt List'!AH242</f>
        <v/>
      </c>
      <c r="N249" s="14" t="str">
        <f>'Master Hunt List'!AI242</f>
        <v/>
      </c>
      <c r="O249" s="61" t="str">
        <f>'Master Hunt List'!V242</f>
        <v>https://tpwd.texas.gov/huntwild/hunt/public/public_hunt_drawing/hunt-category-details.phtml?OCat=NGE</v>
      </c>
    </row>
    <row r="250" ht="15.75" customHeight="1">
      <c r="A250" s="14">
        <f>243</f>
        <v>243</v>
      </c>
      <c r="B250" s="14" t="str">
        <f>'Master Hunt List'!A243</f>
        <v>No</v>
      </c>
      <c r="C250" s="14" t="str">
        <f>'Master Hunt List'!B243</f>
        <v>A</v>
      </c>
      <c r="D250" s="14" t="str">
        <f>'Master Hunt List'!C243</f>
        <v>Whitetail Deer</v>
      </c>
      <c r="E250" s="14" t="str">
        <f>'Master Hunt List'!D243</f>
        <v>Trinity River NWR - Butler</v>
      </c>
      <c r="F250" s="14" t="str">
        <f>'Master Hunt List'!E243</f>
        <v>East Texas / Pineywoods</v>
      </c>
      <c r="G250" s="14" t="str">
        <f>'Master Hunt List'!F243</f>
        <v>National Refuge General Deer</v>
      </c>
      <c r="H250" s="14" t="str">
        <f>'Master Hunt List'!G243</f>
        <v>Yes</v>
      </c>
      <c r="I250" s="14" t="str">
        <f>'Master Hunt List'!H243</f>
        <v>Yes</v>
      </c>
      <c r="J250" s="15" t="str">
        <f>'Master Hunt List'!I243</f>
        <v>2026-09-15</v>
      </c>
      <c r="K250" s="27">
        <f>'Master Hunt List'!K243</f>
        <v>3</v>
      </c>
      <c r="L250" s="14" t="str">
        <f>'Master Hunt List'!AF243</f>
        <v/>
      </c>
      <c r="M250" s="14" t="str">
        <f>'Master Hunt List'!AH243</f>
        <v/>
      </c>
      <c r="N250" s="14" t="str">
        <f>'Master Hunt List'!AI243</f>
        <v/>
      </c>
      <c r="O250" s="61" t="str">
        <f>'Master Hunt List'!V243</f>
        <v>https://tpwd.texas.gov/huntwild/hunt/public/public_hunt_drawing/hunt-category-details.phtml?OCat=NGE</v>
      </c>
    </row>
    <row r="251" ht="15.75" customHeight="1">
      <c r="A251" s="14">
        <f>244</f>
        <v>244</v>
      </c>
      <c r="B251" s="14" t="str">
        <f>'Master Hunt List'!A244</f>
        <v>No</v>
      </c>
      <c r="C251" s="14" t="str">
        <f>'Master Hunt List'!B244</f>
        <v>A</v>
      </c>
      <c r="D251" s="14" t="str">
        <f>'Master Hunt List'!C244</f>
        <v>Whitetail Deer</v>
      </c>
      <c r="E251" s="14" t="str">
        <f>'Master Hunt List'!D244</f>
        <v>Trinity River NWR - Hirsch</v>
      </c>
      <c r="F251" s="14" t="str">
        <f>'Master Hunt List'!E244</f>
        <v>East Texas / Pineywoods</v>
      </c>
      <c r="G251" s="14" t="str">
        <f>'Master Hunt List'!F244</f>
        <v>National Refuge General Deer</v>
      </c>
      <c r="H251" s="14" t="str">
        <f>'Master Hunt List'!G244</f>
        <v>Yes</v>
      </c>
      <c r="I251" s="14" t="str">
        <f>'Master Hunt List'!H244</f>
        <v>Yes</v>
      </c>
      <c r="J251" s="15" t="str">
        <f>'Master Hunt List'!I244</f>
        <v>2026-09-15</v>
      </c>
      <c r="K251" s="27">
        <f>'Master Hunt List'!K244</f>
        <v>3</v>
      </c>
      <c r="L251" s="14" t="str">
        <f>'Master Hunt List'!AF244</f>
        <v/>
      </c>
      <c r="M251" s="14" t="str">
        <f>'Master Hunt List'!AH244</f>
        <v/>
      </c>
      <c r="N251" s="14" t="str">
        <f>'Master Hunt List'!AI244</f>
        <v/>
      </c>
      <c r="O251" s="61" t="str">
        <f>'Master Hunt List'!V244</f>
        <v>https://tpwd.texas.gov/huntwild/hunt/public/public_hunt_drawing/hunt-category-details.phtml?OCat=NGE</v>
      </c>
    </row>
    <row r="252" ht="15.75" customHeight="1">
      <c r="A252" s="14">
        <f>245</f>
        <v>245</v>
      </c>
      <c r="B252" s="14" t="str">
        <f>'Master Hunt List'!A245</f>
        <v>No</v>
      </c>
      <c r="C252" s="14" t="str">
        <f>'Master Hunt List'!B245</f>
        <v>A</v>
      </c>
      <c r="D252" s="14" t="str">
        <f>'Master Hunt List'!C245</f>
        <v>Whitetail Deer</v>
      </c>
      <c r="E252" s="14" t="str">
        <f>'Master Hunt List'!D245</f>
        <v>Trinity River NWR - Mcguire</v>
      </c>
      <c r="F252" s="14" t="str">
        <f>'Master Hunt List'!E245</f>
        <v>East Texas / Pineywoods</v>
      </c>
      <c r="G252" s="14" t="str">
        <f>'Master Hunt List'!F245</f>
        <v>National Refuge General Deer</v>
      </c>
      <c r="H252" s="14" t="str">
        <f>'Master Hunt List'!G245</f>
        <v>Yes</v>
      </c>
      <c r="I252" s="14" t="str">
        <f>'Master Hunt List'!H245</f>
        <v>Yes</v>
      </c>
      <c r="J252" s="15" t="str">
        <f>'Master Hunt List'!I245</f>
        <v>2026-09-15</v>
      </c>
      <c r="K252" s="27">
        <f>'Master Hunt List'!K245</f>
        <v>3</v>
      </c>
      <c r="L252" s="14" t="str">
        <f>'Master Hunt List'!AF245</f>
        <v/>
      </c>
      <c r="M252" s="14" t="str">
        <f>'Master Hunt List'!AH245</f>
        <v/>
      </c>
      <c r="N252" s="14" t="str">
        <f>'Master Hunt List'!AI245</f>
        <v/>
      </c>
      <c r="O252" s="61" t="str">
        <f>'Master Hunt List'!V245</f>
        <v>https://tpwd.texas.gov/huntwild/hunt/public/public_hunt_drawing/hunt-category-details.phtml?OCat=NGE</v>
      </c>
    </row>
    <row r="253" ht="15.75" customHeight="1">
      <c r="A253" s="14">
        <f>246</f>
        <v>246</v>
      </c>
      <c r="B253" s="14" t="str">
        <f>'Master Hunt List'!A246</f>
        <v>No</v>
      </c>
      <c r="C253" s="14" t="str">
        <f>'Master Hunt List'!B246</f>
        <v>A</v>
      </c>
      <c r="D253" s="14" t="str">
        <f>'Master Hunt List'!C246</f>
        <v>Whitetail Deer</v>
      </c>
      <c r="E253" s="14" t="str">
        <f>'Master Hunt List'!D246</f>
        <v>Trinity River NWR - Page</v>
      </c>
      <c r="F253" s="14" t="str">
        <f>'Master Hunt List'!E246</f>
        <v>East Texas / Pineywoods</v>
      </c>
      <c r="G253" s="14" t="str">
        <f>'Master Hunt List'!F246</f>
        <v>National Refuge General Deer</v>
      </c>
      <c r="H253" s="14" t="str">
        <f>'Master Hunt List'!G246</f>
        <v>Yes</v>
      </c>
      <c r="I253" s="14" t="str">
        <f>'Master Hunt List'!H246</f>
        <v>Yes</v>
      </c>
      <c r="J253" s="15" t="str">
        <f>'Master Hunt List'!I246</f>
        <v>2026-09-15</v>
      </c>
      <c r="K253" s="27">
        <f>'Master Hunt List'!K246</f>
        <v>3</v>
      </c>
      <c r="L253" s="14" t="str">
        <f>'Master Hunt List'!AF246</f>
        <v/>
      </c>
      <c r="M253" s="14" t="str">
        <f>'Master Hunt List'!AH246</f>
        <v/>
      </c>
      <c r="N253" s="14" t="str">
        <f>'Master Hunt List'!AI246</f>
        <v/>
      </c>
      <c r="O253" s="61" t="str">
        <f>'Master Hunt List'!V246</f>
        <v>https://tpwd.texas.gov/huntwild/hunt/public/public_hunt_drawing/hunt-category-details.phtml?OCat=NGE</v>
      </c>
    </row>
    <row r="254" ht="15.75" customHeight="1">
      <c r="A254" s="14">
        <f>247</f>
        <v>247</v>
      </c>
      <c r="B254" s="14" t="str">
        <f>'Master Hunt List'!A247</f>
        <v>No</v>
      </c>
      <c r="C254" s="14" t="str">
        <f>'Master Hunt List'!B247</f>
        <v>A</v>
      </c>
      <c r="D254" s="14" t="str">
        <f>'Master Hunt List'!C247</f>
        <v>Whitetail Deer</v>
      </c>
      <c r="E254" s="14" t="str">
        <f>'Master Hunt List'!D247</f>
        <v>Trinity River WMA</v>
      </c>
      <c r="F254" s="14" t="str">
        <f>'Master Hunt List'!E247</f>
        <v>East Texas / Pineywoods</v>
      </c>
      <c r="G254" s="14" t="str">
        <f>'Master Hunt List'!F247</f>
        <v>Gun Deer - Antlerless/Spike</v>
      </c>
      <c r="H254" s="14" t="str">
        <f>'Master Hunt List'!G247</f>
        <v>Yes</v>
      </c>
      <c r="I254" s="14" t="str">
        <f>'Master Hunt List'!H247</f>
        <v>Yes</v>
      </c>
      <c r="J254" s="15" t="str">
        <f>'Master Hunt List'!I247</f>
        <v>2026-09-15</v>
      </c>
      <c r="K254" s="27">
        <f>'Master Hunt List'!K247</f>
        <v>3</v>
      </c>
      <c r="L254" s="14" t="str">
        <f>'Master Hunt List'!AF247</f>
        <v/>
      </c>
      <c r="M254" s="14" t="str">
        <f>'Master Hunt List'!AH247</f>
        <v/>
      </c>
      <c r="N254" s="14" t="str">
        <f>'Master Hunt List'!AI247</f>
        <v/>
      </c>
      <c r="O254" s="61" t="str">
        <f>'Master Hunt List'!V247</f>
        <v>https://tpwd.texas.gov/huntwild/hunt/public/public_hunt_drawing/hunt-category-details.phtml?OCat=GDA</v>
      </c>
    </row>
    <row r="255" ht="15.75" customHeight="1">
      <c r="A255" s="14">
        <f>248</f>
        <v>248</v>
      </c>
      <c r="B255" s="14" t="str">
        <f>'Master Hunt List'!A248</f>
        <v>No</v>
      </c>
      <c r="C255" s="14" t="str">
        <f>'Master Hunt List'!B248</f>
        <v>A</v>
      </c>
      <c r="D255" s="14" t="str">
        <f>'Master Hunt List'!C248</f>
        <v>Whitetail Deer</v>
      </c>
      <c r="E255" s="14" t="str">
        <f>'Master Hunt List'!D248</f>
        <v>Village Creek SP</v>
      </c>
      <c r="F255" s="14" t="str">
        <f>'Master Hunt List'!E248</f>
        <v>East Texas / Pineywoods</v>
      </c>
      <c r="G255" s="14" t="str">
        <f>'Master Hunt List'!F248</f>
        <v>Gun Deer - Either Sex</v>
      </c>
      <c r="H255" s="14" t="str">
        <f>'Master Hunt List'!G248</f>
        <v>Yes</v>
      </c>
      <c r="I255" s="14" t="str">
        <f>'Master Hunt List'!H248</f>
        <v>Yes</v>
      </c>
      <c r="J255" s="15" t="str">
        <f>'Master Hunt List'!I248</f>
        <v>2026-09-15</v>
      </c>
      <c r="K255" s="27">
        <f>'Master Hunt List'!K248</f>
        <v>3</v>
      </c>
      <c r="L255" s="14" t="str">
        <f>'Master Hunt List'!AF248</f>
        <v/>
      </c>
      <c r="M255" s="14" t="str">
        <f>'Master Hunt List'!AH248</f>
        <v/>
      </c>
      <c r="N255" s="14" t="str">
        <f>'Master Hunt List'!AI248</f>
        <v/>
      </c>
      <c r="O255" s="61" t="str">
        <f>'Master Hunt List'!V248</f>
        <v>https://tpwd.texas.gov/huntwild/hunt/public/public_hunt_drawing/hunt-category-details.phtml?OCat=GDE</v>
      </c>
    </row>
    <row r="256" ht="15.75" customHeight="1">
      <c r="A256" s="14">
        <f>249</f>
        <v>249</v>
      </c>
      <c r="B256" s="14" t="str">
        <f>'Master Hunt List'!A249</f>
        <v>No</v>
      </c>
      <c r="C256" s="14" t="str">
        <f>'Master Hunt List'!B249</f>
        <v>A</v>
      </c>
      <c r="D256" s="14" t="str">
        <f>'Master Hunt List'!C249</f>
        <v>Whitetail Deer</v>
      </c>
      <c r="E256" s="14" t="str">
        <f>'Master Hunt List'!D249</f>
        <v>White Oak Creek WMA</v>
      </c>
      <c r="F256" s="14" t="str">
        <f>'Master Hunt List'!E249</f>
        <v>East Texas / Pineywoods</v>
      </c>
      <c r="G256" s="14" t="str">
        <f>'Master Hunt List'!F249</f>
        <v>Gun Deer - Either Sex</v>
      </c>
      <c r="H256" s="14" t="str">
        <f>'Master Hunt List'!G249</f>
        <v>Yes</v>
      </c>
      <c r="I256" s="14" t="str">
        <f>'Master Hunt List'!H249</f>
        <v>Yes</v>
      </c>
      <c r="J256" s="15" t="str">
        <f>'Master Hunt List'!I249</f>
        <v>2026-09-15</v>
      </c>
      <c r="K256" s="27">
        <f>'Master Hunt List'!K249</f>
        <v>3</v>
      </c>
      <c r="L256" s="14" t="str">
        <f>'Master Hunt List'!AF249</f>
        <v/>
      </c>
      <c r="M256" s="14" t="str">
        <f>'Master Hunt List'!AH249</f>
        <v/>
      </c>
      <c r="N256" s="14" t="str">
        <f>'Master Hunt List'!AI249</f>
        <v/>
      </c>
      <c r="O256" s="61" t="str">
        <f>'Master Hunt List'!V249</f>
        <v>https://tpwd.texas.gov/huntwild/hunt/public/public_hunt_drawing/hunt-category-details.phtml?OCat=GDE</v>
      </c>
    </row>
    <row r="257" ht="15.75" customHeight="1">
      <c r="A257" s="14">
        <f>250</f>
        <v>250</v>
      </c>
      <c r="B257" s="14" t="str">
        <f>'Master Hunt List'!A250</f>
        <v>No</v>
      </c>
      <c r="C257" s="14" t="str">
        <f>'Master Hunt List'!B250</f>
        <v>A</v>
      </c>
      <c r="D257" s="14" t="str">
        <f>'Master Hunt List'!C250</f>
        <v>Whitetail Deer</v>
      </c>
      <c r="E257" s="14" t="str">
        <f>'Master Hunt List'!D250</f>
        <v>Balcones Canyonlands NWR</v>
      </c>
      <c r="F257" s="14" t="str">
        <f>'Master Hunt List'!E250</f>
        <v>Statewide / Other</v>
      </c>
      <c r="G257" s="14" t="str">
        <f>'Master Hunt List'!F250</f>
        <v>National Refuge Youth Deer</v>
      </c>
      <c r="H257" s="14" t="str">
        <f>'Master Hunt List'!G250</f>
        <v>No</v>
      </c>
      <c r="I257" s="14" t="str">
        <f>'Master Hunt List'!H250</f>
        <v>Yes</v>
      </c>
      <c r="J257" s="15" t="str">
        <f>'Master Hunt List'!I250</f>
        <v>2026-10-01</v>
      </c>
      <c r="K257" s="27">
        <f>'Master Hunt List'!K250</f>
        <v>0</v>
      </c>
      <c r="L257" s="14" t="str">
        <f>'Master Hunt List'!AF250</f>
        <v/>
      </c>
      <c r="M257" s="14" t="str">
        <f>'Master Hunt List'!AH250</f>
        <v/>
      </c>
      <c r="N257" s="14" t="str">
        <f>'Master Hunt List'!AI250</f>
        <v/>
      </c>
      <c r="O257" s="61" t="str">
        <f>'Master Hunt List'!V250</f>
        <v>https://tpwd.texas.gov/huntwild/hunt/public/public_hunt_drawing/hunt-category-details.phtml?OCat=NYD</v>
      </c>
    </row>
    <row r="258" ht="15.75" customHeight="1">
      <c r="A258" s="14">
        <f>251</f>
        <v>251</v>
      </c>
      <c r="B258" s="14" t="str">
        <f>'Master Hunt List'!A251</f>
        <v>No</v>
      </c>
      <c r="C258" s="14" t="str">
        <f>'Master Hunt List'!B251</f>
        <v>A</v>
      </c>
      <c r="D258" s="14" t="str">
        <f>'Master Hunt List'!C251</f>
        <v>Whitetail Deer</v>
      </c>
      <c r="E258" s="14" t="str">
        <f>'Master Hunt List'!D251</f>
        <v>Buffalo Lake NWR</v>
      </c>
      <c r="F258" s="14" t="str">
        <f>'Master Hunt List'!E251</f>
        <v>Panhandle / Rolling Plains</v>
      </c>
      <c r="G258" s="14" t="str">
        <f>'Master Hunt List'!F251</f>
        <v>National Refuge Youth Deer</v>
      </c>
      <c r="H258" s="14" t="str">
        <f>'Master Hunt List'!G251</f>
        <v>No</v>
      </c>
      <c r="I258" s="14" t="str">
        <f>'Master Hunt List'!H251</f>
        <v>Yes</v>
      </c>
      <c r="J258" s="15" t="str">
        <f>'Master Hunt List'!I251</f>
        <v>2026-10-01</v>
      </c>
      <c r="K258" s="27">
        <f>'Master Hunt List'!K251</f>
        <v>0</v>
      </c>
      <c r="L258" s="14" t="str">
        <f>'Master Hunt List'!AF251</f>
        <v/>
      </c>
      <c r="M258" s="14" t="str">
        <f>'Master Hunt List'!AH251</f>
        <v/>
      </c>
      <c r="N258" s="14" t="str">
        <f>'Master Hunt List'!AI251</f>
        <v/>
      </c>
      <c r="O258" s="61" t="str">
        <f>'Master Hunt List'!V251</f>
        <v>https://tpwd.texas.gov/huntwild/hunt/public/public_hunt_drawing/hunt-category-details.phtml?OCat=NYD</v>
      </c>
    </row>
    <row r="259" ht="15.75" customHeight="1">
      <c r="A259" s="14">
        <f>252</f>
        <v>252</v>
      </c>
      <c r="B259" s="14" t="str">
        <f>'Master Hunt List'!A252</f>
        <v>No</v>
      </c>
      <c r="C259" s="14" t="str">
        <f>'Master Hunt List'!B252</f>
        <v>A</v>
      </c>
      <c r="D259" s="14" t="str">
        <f>'Master Hunt List'!C252</f>
        <v>Whitetail Deer</v>
      </c>
      <c r="E259" s="14" t="str">
        <f>'Master Hunt List'!D252</f>
        <v>Caddo Lake NWR</v>
      </c>
      <c r="F259" s="14" t="str">
        <f>'Master Hunt List'!E252</f>
        <v>East Texas / Pineywoods</v>
      </c>
      <c r="G259" s="14" t="str">
        <f>'Master Hunt List'!F252</f>
        <v>National Refuge Youth Deer</v>
      </c>
      <c r="H259" s="14" t="str">
        <f>'Master Hunt List'!G252</f>
        <v>No</v>
      </c>
      <c r="I259" s="14" t="str">
        <f>'Master Hunt List'!H252</f>
        <v>Yes</v>
      </c>
      <c r="J259" s="15" t="str">
        <f>'Master Hunt List'!I252</f>
        <v>2026-10-01</v>
      </c>
      <c r="K259" s="27">
        <f>'Master Hunt List'!K252</f>
        <v>0</v>
      </c>
      <c r="L259" s="14" t="str">
        <f>'Master Hunt List'!AF252</f>
        <v/>
      </c>
      <c r="M259" s="14" t="str">
        <f>'Master Hunt List'!AH252</f>
        <v/>
      </c>
      <c r="N259" s="14" t="str">
        <f>'Master Hunt List'!AI252</f>
        <v/>
      </c>
      <c r="O259" s="61" t="str">
        <f>'Master Hunt List'!V252</f>
        <v>https://tpwd.texas.gov/huntwild/hunt/public/public_hunt_drawing/hunt-category-details.phtml?OCat=NYD</v>
      </c>
    </row>
    <row r="260" ht="15.75" customHeight="1">
      <c r="A260" s="14">
        <f>253</f>
        <v>253</v>
      </c>
      <c r="B260" s="14" t="str">
        <f>'Master Hunt List'!A253</f>
        <v>No</v>
      </c>
      <c r="C260" s="14" t="str">
        <f>'Master Hunt List'!B253</f>
        <v>A</v>
      </c>
      <c r="D260" s="14" t="str">
        <f>'Master Hunt List'!C253</f>
        <v>Whitetail Deer</v>
      </c>
      <c r="E260" s="14" t="str">
        <f>'Master Hunt List'!D253</f>
        <v>Laguna Atascosa NWR</v>
      </c>
      <c r="F260" s="14" t="str">
        <f>'Master Hunt List'!E253</f>
        <v>South Texas / Rio Grande Valley</v>
      </c>
      <c r="G260" s="14" t="str">
        <f>'Master Hunt List'!F253</f>
        <v>National Refuge Youth Deer</v>
      </c>
      <c r="H260" s="14" t="str">
        <f>'Master Hunt List'!G253</f>
        <v>No</v>
      </c>
      <c r="I260" s="14" t="str">
        <f>'Master Hunt List'!H253</f>
        <v>Yes</v>
      </c>
      <c r="J260" s="15" t="str">
        <f>'Master Hunt List'!I253</f>
        <v>2026-10-01</v>
      </c>
      <c r="K260" s="27">
        <f>'Master Hunt List'!K253</f>
        <v>0</v>
      </c>
      <c r="L260" s="14" t="str">
        <f>'Master Hunt List'!AF253</f>
        <v/>
      </c>
      <c r="M260" s="14" t="str">
        <f>'Master Hunt List'!AH253</f>
        <v/>
      </c>
      <c r="N260" s="14" t="str">
        <f>'Master Hunt List'!AI253</f>
        <v/>
      </c>
      <c r="O260" s="61" t="str">
        <f>'Master Hunt List'!V253</f>
        <v>https://tpwd.texas.gov/huntwild/hunt/public/public_hunt_drawing/hunt-category-details.phtml?OCat=NYD</v>
      </c>
    </row>
    <row r="261" ht="15.75" customHeight="1">
      <c r="A261" s="14">
        <f>254</f>
        <v>254</v>
      </c>
      <c r="B261" s="14" t="str">
        <f>'Master Hunt List'!A254</f>
        <v>No</v>
      </c>
      <c r="C261" s="14" t="str">
        <f>'Master Hunt List'!B254</f>
        <v>A</v>
      </c>
      <c r="D261" s="14" t="str">
        <f>'Master Hunt List'!C254</f>
        <v>Whitetail Deer</v>
      </c>
      <c r="E261" s="14" t="str">
        <f>'Master Hunt List'!D254</f>
        <v>Lower Rio Grande Valley NWR - Teniente</v>
      </c>
      <c r="F261" s="14" t="str">
        <f>'Master Hunt List'!E254</f>
        <v>South Texas / Rio Grande Valley</v>
      </c>
      <c r="G261" s="14" t="str">
        <f>'Master Hunt List'!F254</f>
        <v>National Refuge Youth Deer</v>
      </c>
      <c r="H261" s="14" t="str">
        <f>'Master Hunt List'!G254</f>
        <v>No</v>
      </c>
      <c r="I261" s="14" t="str">
        <f>'Master Hunt List'!H254</f>
        <v>Yes</v>
      </c>
      <c r="J261" s="15" t="str">
        <f>'Master Hunt List'!I254</f>
        <v>2026-10-01</v>
      </c>
      <c r="K261" s="27">
        <f>'Master Hunt List'!K254</f>
        <v>0</v>
      </c>
      <c r="L261" s="14" t="str">
        <f>'Master Hunt List'!AF254</f>
        <v/>
      </c>
      <c r="M261" s="14" t="str">
        <f>'Master Hunt List'!AH254</f>
        <v/>
      </c>
      <c r="N261" s="14" t="str">
        <f>'Master Hunt List'!AI254</f>
        <v/>
      </c>
      <c r="O261" s="61" t="str">
        <f>'Master Hunt List'!V254</f>
        <v>https://tpwd.texas.gov/huntwild/hunt/public/public_hunt_drawing/hunt-category-details.phtml?OCat=NYD</v>
      </c>
    </row>
    <row r="262" ht="15.75" customHeight="1">
      <c r="A262" s="14">
        <f>255</f>
        <v>255</v>
      </c>
      <c r="B262" s="14" t="str">
        <f>'Master Hunt List'!A255</f>
        <v>No</v>
      </c>
      <c r="C262" s="14" t="str">
        <f>'Master Hunt List'!B255</f>
        <v>A</v>
      </c>
      <c r="D262" s="14" t="str">
        <f>'Master Hunt List'!C255</f>
        <v>Mule Deer</v>
      </c>
      <c r="E262" s="14" t="str">
        <f>'Master Hunt List'!D255</f>
        <v>Big Bend Ranch SP</v>
      </c>
      <c r="F262" s="14" t="str">
        <f>'Master Hunt List'!E255</f>
        <v>Trans-Pecos / West Texas</v>
      </c>
      <c r="G262" s="14" t="str">
        <f>'Master Hunt List'!F255</f>
        <v>Gun Mule Deer</v>
      </c>
      <c r="H262" s="14" t="str">
        <f>'Master Hunt List'!G255</f>
        <v>Yes</v>
      </c>
      <c r="I262" s="14" t="str">
        <f>'Master Hunt List'!H255</f>
        <v>Yes</v>
      </c>
      <c r="J262" s="15" t="str">
        <f>'Master Hunt List'!I255</f>
        <v>2026-10-01</v>
      </c>
      <c r="K262" s="27">
        <f>'Master Hunt List'!K255</f>
        <v>3</v>
      </c>
      <c r="L262" s="14" t="str">
        <f>'Master Hunt List'!AF255</f>
        <v/>
      </c>
      <c r="M262" s="14" t="str">
        <f>'Master Hunt List'!AH255</f>
        <v/>
      </c>
      <c r="N262" s="14" t="str">
        <f>'Master Hunt List'!AI255</f>
        <v/>
      </c>
      <c r="O262" s="61" t="str">
        <f>'Master Hunt List'!V255</f>
        <v>https://tpwd.texas.gov/huntwild/hunt/public/public_hunt_drawing/hunt-category-details.phtml?OCat=MDG</v>
      </c>
    </row>
    <row r="263" ht="15.75" customHeight="1">
      <c r="A263" s="14">
        <f>256</f>
        <v>256</v>
      </c>
      <c r="B263" s="14" t="str">
        <f>'Master Hunt List'!A256</f>
        <v>No</v>
      </c>
      <c r="C263" s="14" t="str">
        <f>'Master Hunt List'!B256</f>
        <v>A</v>
      </c>
      <c r="D263" s="14" t="str">
        <f>'Master Hunt List'!C256</f>
        <v>Mule Deer</v>
      </c>
      <c r="E263" s="14" t="str">
        <f>'Master Hunt List'!D256</f>
        <v>Black Gap WMA</v>
      </c>
      <c r="F263" s="14" t="str">
        <f>'Master Hunt List'!E256</f>
        <v>Trans-Pecos / West Texas</v>
      </c>
      <c r="G263" s="14" t="str">
        <f>'Master Hunt List'!F256</f>
        <v>Gun Mule Deer</v>
      </c>
      <c r="H263" s="14" t="str">
        <f>'Master Hunt List'!G256</f>
        <v>Yes</v>
      </c>
      <c r="I263" s="14" t="str">
        <f>'Master Hunt List'!H256</f>
        <v>Yes</v>
      </c>
      <c r="J263" s="15" t="str">
        <f>'Master Hunt List'!I256</f>
        <v>2026-10-01</v>
      </c>
      <c r="K263" s="27">
        <f>'Master Hunt List'!K256</f>
        <v>3</v>
      </c>
      <c r="L263" s="14" t="str">
        <f>'Master Hunt List'!AF256</f>
        <v/>
      </c>
      <c r="M263" s="14" t="str">
        <f>'Master Hunt List'!AH256</f>
        <v/>
      </c>
      <c r="N263" s="14" t="str">
        <f>'Master Hunt List'!AI256</f>
        <v/>
      </c>
      <c r="O263" s="61" t="str">
        <f>'Master Hunt List'!V256</f>
        <v>https://tpwd.texas.gov/huntwild/hunt/public/public_hunt_drawing/hunt-category-details.phtml?OCat=MDG</v>
      </c>
    </row>
    <row r="264" ht="15.75" customHeight="1">
      <c r="A264" s="14">
        <f>257</f>
        <v>257</v>
      </c>
      <c r="B264" s="14" t="str">
        <f>'Master Hunt List'!A257</f>
        <v>No</v>
      </c>
      <c r="C264" s="14" t="str">
        <f>'Master Hunt List'!B257</f>
        <v>A</v>
      </c>
      <c r="D264" s="14" t="str">
        <f>'Master Hunt List'!C257</f>
        <v>Mule Deer</v>
      </c>
      <c r="E264" s="14" t="str">
        <f>'Master Hunt List'!D257</f>
        <v>Caprock Canyons SP</v>
      </c>
      <c r="F264" s="14" t="str">
        <f>'Master Hunt List'!E257</f>
        <v>Panhandle / Rolling Plains</v>
      </c>
      <c r="G264" s="14" t="str">
        <f>'Master Hunt List'!F257</f>
        <v>Gun Mule Deer</v>
      </c>
      <c r="H264" s="14" t="str">
        <f>'Master Hunt List'!G257</f>
        <v>Yes</v>
      </c>
      <c r="I264" s="14" t="str">
        <f>'Master Hunt List'!H257</f>
        <v>Yes</v>
      </c>
      <c r="J264" s="15" t="str">
        <f>'Master Hunt List'!I257</f>
        <v>2026-10-01</v>
      </c>
      <c r="K264" s="27">
        <f>'Master Hunt List'!K257</f>
        <v>3</v>
      </c>
      <c r="L264" s="14" t="str">
        <f>'Master Hunt List'!AF257</f>
        <v/>
      </c>
      <c r="M264" s="14" t="str">
        <f>'Master Hunt List'!AH257</f>
        <v/>
      </c>
      <c r="N264" s="14" t="str">
        <f>'Master Hunt List'!AI257</f>
        <v/>
      </c>
      <c r="O264" s="61" t="str">
        <f>'Master Hunt List'!V257</f>
        <v>https://tpwd.texas.gov/huntwild/hunt/public/public_hunt_drawing/hunt-category-details.phtml?OCat=MDG</v>
      </c>
    </row>
    <row r="265" ht="15.75" customHeight="1">
      <c r="A265" s="14">
        <f>258</f>
        <v>258</v>
      </c>
      <c r="B265" s="14" t="str">
        <f>'Master Hunt List'!A258</f>
        <v>No</v>
      </c>
      <c r="C265" s="14" t="str">
        <f>'Master Hunt List'!B258</f>
        <v>A</v>
      </c>
      <c r="D265" s="14" t="str">
        <f>'Master Hunt List'!C258</f>
        <v>Mule Deer</v>
      </c>
      <c r="E265" s="14" t="str">
        <f>'Master Hunt List'!D258</f>
        <v>Elephant Mountain WMA</v>
      </c>
      <c r="F265" s="14" t="str">
        <f>'Master Hunt List'!E258</f>
        <v>Trans-Pecos / West Texas</v>
      </c>
      <c r="G265" s="14" t="str">
        <f>'Master Hunt List'!F258</f>
        <v>Gun Mule Deer</v>
      </c>
      <c r="H265" s="14" t="str">
        <f>'Master Hunt List'!G258</f>
        <v>Yes</v>
      </c>
      <c r="I265" s="14" t="str">
        <f>'Master Hunt List'!H258</f>
        <v>Yes</v>
      </c>
      <c r="J265" s="15" t="str">
        <f>'Master Hunt List'!I258</f>
        <v>2026-10-01</v>
      </c>
      <c r="K265" s="27">
        <f>'Master Hunt List'!K258</f>
        <v>3</v>
      </c>
      <c r="L265" s="14" t="str">
        <f>'Master Hunt List'!AF258</f>
        <v/>
      </c>
      <c r="M265" s="14" t="str">
        <f>'Master Hunt List'!AH258</f>
        <v/>
      </c>
      <c r="N265" s="14" t="str">
        <f>'Master Hunt List'!AI258</f>
        <v/>
      </c>
      <c r="O265" s="61" t="str">
        <f>'Master Hunt List'!V258</f>
        <v>https://tpwd.texas.gov/huntwild/hunt/public/public_hunt_drawing/hunt-category-details.phtml?OCat=MDG</v>
      </c>
    </row>
    <row r="266" ht="15.75" customHeight="1">
      <c r="A266" s="14">
        <f>259</f>
        <v>259</v>
      </c>
      <c r="B266" s="14" t="str">
        <f>'Master Hunt List'!A259</f>
        <v>No</v>
      </c>
      <c r="C266" s="14" t="str">
        <f>'Master Hunt List'!B259</f>
        <v>A</v>
      </c>
      <c r="D266" s="14" t="str">
        <f>'Master Hunt List'!C259</f>
        <v>Mule Deer</v>
      </c>
      <c r="E266" s="14" t="str">
        <f>'Master Hunt List'!D259</f>
        <v>Gene Howe WMA</v>
      </c>
      <c r="F266" s="14" t="str">
        <f>'Master Hunt List'!E259</f>
        <v>Panhandle / Rolling Plains</v>
      </c>
      <c r="G266" s="14" t="str">
        <f>'Master Hunt List'!F259</f>
        <v>Gun Mule Deer</v>
      </c>
      <c r="H266" s="14" t="str">
        <f>'Master Hunt List'!G259</f>
        <v>Yes</v>
      </c>
      <c r="I266" s="14" t="str">
        <f>'Master Hunt List'!H259</f>
        <v>Yes</v>
      </c>
      <c r="J266" s="15" t="str">
        <f>'Master Hunt List'!I259</f>
        <v>2026-10-01</v>
      </c>
      <c r="K266" s="27">
        <f>'Master Hunt List'!K259</f>
        <v>3</v>
      </c>
      <c r="L266" s="14" t="str">
        <f>'Master Hunt List'!AF259</f>
        <v/>
      </c>
      <c r="M266" s="14" t="str">
        <f>'Master Hunt List'!AH259</f>
        <v/>
      </c>
      <c r="N266" s="14" t="str">
        <f>'Master Hunt List'!AI259</f>
        <v/>
      </c>
      <c r="O266" s="61" t="str">
        <f>'Master Hunt List'!V259</f>
        <v>https://tpwd.texas.gov/huntwild/hunt/public/public_hunt_drawing/hunt-category-details.phtml?OCat=MDG</v>
      </c>
    </row>
    <row r="267" ht="15.75" customHeight="1">
      <c r="A267" s="14">
        <f>260</f>
        <v>260</v>
      </c>
      <c r="B267" s="14" t="str">
        <f>'Master Hunt List'!A260</f>
        <v>No</v>
      </c>
      <c r="C267" s="14" t="str">
        <f>'Master Hunt List'!B260</f>
        <v>A</v>
      </c>
      <c r="D267" s="14" t="str">
        <f>'Master Hunt List'!C260</f>
        <v>Mule Deer</v>
      </c>
      <c r="E267" s="14" t="str">
        <f>'Master Hunt List'!D260</f>
        <v>Matador WMA</v>
      </c>
      <c r="F267" s="14" t="str">
        <f>'Master Hunt List'!E260</f>
        <v>Panhandle / Rolling Plains</v>
      </c>
      <c r="G267" s="14" t="str">
        <f>'Master Hunt List'!F260</f>
        <v>Gun Mule Deer</v>
      </c>
      <c r="H267" s="14" t="str">
        <f>'Master Hunt List'!G260</f>
        <v>Yes</v>
      </c>
      <c r="I267" s="14" t="str">
        <f>'Master Hunt List'!H260</f>
        <v>Yes</v>
      </c>
      <c r="J267" s="15" t="str">
        <f>'Master Hunt List'!I260</f>
        <v>2026-10-01</v>
      </c>
      <c r="K267" s="27">
        <f>'Master Hunt List'!K260</f>
        <v>3</v>
      </c>
      <c r="L267" s="14" t="str">
        <f>'Master Hunt List'!AF260</f>
        <v/>
      </c>
      <c r="M267" s="14" t="str">
        <f>'Master Hunt List'!AH260</f>
        <v/>
      </c>
      <c r="N267" s="14" t="str">
        <f>'Master Hunt List'!AI260</f>
        <v/>
      </c>
      <c r="O267" s="61" t="str">
        <f>'Master Hunt List'!V260</f>
        <v>https://tpwd.texas.gov/huntwild/hunt/public/public_hunt_drawing/hunt-category-details.phtml?OCat=MDG</v>
      </c>
    </row>
    <row r="268" ht="15.75" customHeight="1">
      <c r="A268" s="14">
        <f>261</f>
        <v>261</v>
      </c>
      <c r="B268" s="14" t="str">
        <f>'Master Hunt List'!A261</f>
        <v>No</v>
      </c>
      <c r="C268" s="14" t="str">
        <f>'Master Hunt List'!B261</f>
        <v>A</v>
      </c>
      <c r="D268" s="14" t="str">
        <f>'Master Hunt List'!C261</f>
        <v>Mule Deer</v>
      </c>
      <c r="E268" s="14" t="str">
        <f>'Master Hunt List'!D261</f>
        <v>Sierra Diablo WMA</v>
      </c>
      <c r="F268" s="14" t="str">
        <f>'Master Hunt List'!E261</f>
        <v>Trans-Pecos / West Texas</v>
      </c>
      <c r="G268" s="14" t="str">
        <f>'Master Hunt List'!F261</f>
        <v>Gun Mule Deer</v>
      </c>
      <c r="H268" s="14" t="str">
        <f>'Master Hunt List'!G261</f>
        <v>Yes</v>
      </c>
      <c r="I268" s="14" t="str">
        <f>'Master Hunt List'!H261</f>
        <v>Yes</v>
      </c>
      <c r="J268" s="15" t="str">
        <f>'Master Hunt List'!I261</f>
        <v>2026-10-01</v>
      </c>
      <c r="K268" s="27">
        <f>'Master Hunt List'!K261</f>
        <v>3</v>
      </c>
      <c r="L268" s="14" t="str">
        <f>'Master Hunt List'!AF261</f>
        <v/>
      </c>
      <c r="M268" s="14" t="str">
        <f>'Master Hunt List'!AH261</f>
        <v/>
      </c>
      <c r="N268" s="14" t="str">
        <f>'Master Hunt List'!AI261</f>
        <v/>
      </c>
      <c r="O268" s="61" t="str">
        <f>'Master Hunt List'!V261</f>
        <v>https://tpwd.texas.gov/huntwild/hunt/public/public_hunt_drawing/hunt-category-details.phtml?OCat=MDG</v>
      </c>
    </row>
    <row r="269" ht="15.75" customHeight="1">
      <c r="A269" s="14">
        <f>262</f>
        <v>262</v>
      </c>
      <c r="B269" s="14" t="str">
        <f>'Master Hunt List'!A262</f>
        <v>No</v>
      </c>
      <c r="C269" s="14" t="str">
        <f>'Master Hunt List'!B262</f>
        <v>A</v>
      </c>
      <c r="D269" s="14" t="str">
        <f>'Master Hunt List'!C262</f>
        <v>Mule Deer</v>
      </c>
      <c r="E269" s="14" t="str">
        <f>'Master Hunt List'!D262</f>
        <v>Yoakum Dunes WMA</v>
      </c>
      <c r="F269" s="14" t="str">
        <f>'Master Hunt List'!E262</f>
        <v>Panhandle / Rolling Plains</v>
      </c>
      <c r="G269" s="14" t="str">
        <f>'Master Hunt List'!F262</f>
        <v>Gun Mule Deer</v>
      </c>
      <c r="H269" s="14" t="str">
        <f>'Master Hunt List'!G262</f>
        <v>Yes</v>
      </c>
      <c r="I269" s="14" t="str">
        <f>'Master Hunt List'!H262</f>
        <v>Yes</v>
      </c>
      <c r="J269" s="15" t="str">
        <f>'Master Hunt List'!I262</f>
        <v>2026-10-01</v>
      </c>
      <c r="K269" s="27">
        <f>'Master Hunt List'!K262</f>
        <v>3</v>
      </c>
      <c r="L269" s="14" t="str">
        <f>'Master Hunt List'!AF262</f>
        <v/>
      </c>
      <c r="M269" s="14" t="str">
        <f>'Master Hunt List'!AH262</f>
        <v/>
      </c>
      <c r="N269" s="14" t="str">
        <f>'Master Hunt List'!AI262</f>
        <v/>
      </c>
      <c r="O269" s="61" t="str">
        <f>'Master Hunt List'!V262</f>
        <v>https://tpwd.texas.gov/huntwild/hunt/public/public_hunt_drawing/hunt-category-details.phtml?OCat=MDG</v>
      </c>
    </row>
    <row r="270" ht="15.75" customHeight="1">
      <c r="A270" s="14">
        <f>263</f>
        <v>263</v>
      </c>
      <c r="B270" s="14" t="str">
        <f>'Master Hunt List'!A263</f>
        <v>No</v>
      </c>
      <c r="C270" s="14" t="str">
        <f>'Master Hunt List'!B263</f>
        <v>A</v>
      </c>
      <c r="D270" s="14" t="str">
        <f>'Master Hunt List'!C263</f>
        <v>Whitetail Deer</v>
      </c>
      <c r="E270" s="14" t="str">
        <f>'Master Hunt List'!D263</f>
        <v>Neches River NWR - Dead Water Unit</v>
      </c>
      <c r="F270" s="14" t="str">
        <f>'Master Hunt List'!E263</f>
        <v>East Texas / Pineywoods</v>
      </c>
      <c r="G270" s="14" t="str">
        <f>'Master Hunt List'!F263</f>
        <v>National Refuge Deer Antlerless/Spike</v>
      </c>
      <c r="H270" s="14" t="str">
        <f>'Master Hunt List'!G263</f>
        <v>Yes</v>
      </c>
      <c r="I270" s="14" t="str">
        <f>'Master Hunt List'!H263</f>
        <v>Yes</v>
      </c>
      <c r="J270" s="15" t="str">
        <f>'Master Hunt List'!I263</f>
        <v>2026-10-01</v>
      </c>
      <c r="K270" s="27">
        <f>'Master Hunt List'!K263</f>
        <v>3</v>
      </c>
      <c r="L270" s="14" t="str">
        <f>'Master Hunt List'!AF263</f>
        <v/>
      </c>
      <c r="M270" s="14" t="str">
        <f>'Master Hunt List'!AH263</f>
        <v/>
      </c>
      <c r="N270" s="14" t="str">
        <f>'Master Hunt List'!AI263</f>
        <v/>
      </c>
      <c r="O270" s="61" t="str">
        <f>'Master Hunt List'!V263</f>
        <v>https://tpwd.texas.gov/huntwild/hunt/public/public_hunt_drawing/hunt-category-details.phtml?OCat=NGA</v>
      </c>
    </row>
    <row r="271" ht="15.75" customHeight="1">
      <c r="A271" s="14">
        <f>264</f>
        <v>264</v>
      </c>
      <c r="B271" s="14" t="str">
        <f>'Master Hunt List'!A264</f>
        <v>No</v>
      </c>
      <c r="C271" s="14" t="str">
        <f>'Master Hunt List'!B264</f>
        <v>A</v>
      </c>
      <c r="D271" s="14" t="str">
        <f>'Master Hunt List'!C264</f>
        <v>Whitetail Deer</v>
      </c>
      <c r="E271" s="14" t="str">
        <f>'Master Hunt List'!D264</f>
        <v>Neches River NWR - Rocky Point Unit</v>
      </c>
      <c r="F271" s="14" t="str">
        <f>'Master Hunt List'!E264</f>
        <v>East Texas / Pineywoods</v>
      </c>
      <c r="G271" s="14" t="str">
        <f>'Master Hunt List'!F264</f>
        <v>National Refuge Deer Antlerless/Spike</v>
      </c>
      <c r="H271" s="14" t="str">
        <f>'Master Hunt List'!G264</f>
        <v>Yes</v>
      </c>
      <c r="I271" s="14" t="str">
        <f>'Master Hunt List'!H264</f>
        <v>Yes</v>
      </c>
      <c r="J271" s="15" t="str">
        <f>'Master Hunt List'!I264</f>
        <v>2026-10-01</v>
      </c>
      <c r="K271" s="27">
        <f>'Master Hunt List'!K264</f>
        <v>3</v>
      </c>
      <c r="L271" s="14" t="str">
        <f>'Master Hunt List'!AF264</f>
        <v/>
      </c>
      <c r="M271" s="14" t="str">
        <f>'Master Hunt List'!AH264</f>
        <v/>
      </c>
      <c r="N271" s="14" t="str">
        <f>'Master Hunt List'!AI264</f>
        <v/>
      </c>
      <c r="O271" s="61" t="str">
        <f>'Master Hunt List'!V264</f>
        <v>https://tpwd.texas.gov/huntwild/hunt/public/public_hunt_drawing/hunt-category-details.phtml?OCat=NGA</v>
      </c>
    </row>
    <row r="272" ht="15.75" customHeight="1">
      <c r="A272" s="14">
        <f>265</f>
        <v>265</v>
      </c>
      <c r="B272" s="14" t="str">
        <f>'Master Hunt List'!A265</f>
        <v>No</v>
      </c>
      <c r="C272" s="14" t="str">
        <f>'Master Hunt List'!B265</f>
        <v>A</v>
      </c>
      <c r="D272" s="14" t="str">
        <f>'Master Hunt List'!C265</f>
        <v>Whitetail Deer</v>
      </c>
      <c r="E272" s="14" t="str">
        <f>'Master Hunt List'!D265</f>
        <v>Neches River NWR - Sandy Bluff Unit</v>
      </c>
      <c r="F272" s="14" t="str">
        <f>'Master Hunt List'!E265</f>
        <v>East Texas / Pineywoods</v>
      </c>
      <c r="G272" s="14" t="str">
        <f>'Master Hunt List'!F265</f>
        <v>National Refuge Deer Antlerless/Spike</v>
      </c>
      <c r="H272" s="14" t="str">
        <f>'Master Hunt List'!G265</f>
        <v>Yes</v>
      </c>
      <c r="I272" s="14" t="str">
        <f>'Master Hunt List'!H265</f>
        <v>Yes</v>
      </c>
      <c r="J272" s="15" t="str">
        <f>'Master Hunt List'!I265</f>
        <v>2026-10-01</v>
      </c>
      <c r="K272" s="27">
        <f>'Master Hunt List'!K265</f>
        <v>3</v>
      </c>
      <c r="L272" s="14" t="str">
        <f>'Master Hunt List'!AF265</f>
        <v/>
      </c>
      <c r="M272" s="14" t="str">
        <f>'Master Hunt List'!AH265</f>
        <v/>
      </c>
      <c r="N272" s="14" t="str">
        <f>'Master Hunt List'!AI265</f>
        <v/>
      </c>
      <c r="O272" s="61" t="str">
        <f>'Master Hunt List'!V265</f>
        <v>https://tpwd.texas.gov/huntwild/hunt/public/public_hunt_drawing/hunt-category-details.phtml?OCat=NGA</v>
      </c>
    </row>
    <row r="273" ht="15.75" customHeight="1">
      <c r="A273" s="14">
        <f>266</f>
        <v>266</v>
      </c>
      <c r="B273" s="14" t="str">
        <f>'Master Hunt List'!A266</f>
        <v>No</v>
      </c>
      <c r="C273" s="14" t="str">
        <f>'Master Hunt List'!B266</f>
        <v>A</v>
      </c>
      <c r="D273" s="14" t="str">
        <f>'Master Hunt List'!C266</f>
        <v>Whitetail Deer</v>
      </c>
      <c r="E273" s="14" t="str">
        <f>'Master Hunt List'!D266</f>
        <v>Neches River NWR - Walnut Branch Unit</v>
      </c>
      <c r="F273" s="14" t="str">
        <f>'Master Hunt List'!E266</f>
        <v>East Texas / Pineywoods</v>
      </c>
      <c r="G273" s="14" t="str">
        <f>'Master Hunt List'!F266</f>
        <v>National Refuge Deer Antlerless/Spike</v>
      </c>
      <c r="H273" s="14" t="str">
        <f>'Master Hunt List'!G266</f>
        <v>Yes</v>
      </c>
      <c r="I273" s="14" t="str">
        <f>'Master Hunt List'!H266</f>
        <v>Yes</v>
      </c>
      <c r="J273" s="15" t="str">
        <f>'Master Hunt List'!I266</f>
        <v>2026-10-01</v>
      </c>
      <c r="K273" s="27">
        <f>'Master Hunt List'!K266</f>
        <v>3</v>
      </c>
      <c r="L273" s="14" t="str">
        <f>'Master Hunt List'!AF266</f>
        <v/>
      </c>
      <c r="M273" s="14" t="str">
        <f>'Master Hunt List'!AH266</f>
        <v/>
      </c>
      <c r="N273" s="14" t="str">
        <f>'Master Hunt List'!AI266</f>
        <v/>
      </c>
      <c r="O273" s="61" t="str">
        <f>'Master Hunt List'!V266</f>
        <v>https://tpwd.texas.gov/huntwild/hunt/public/public_hunt_drawing/hunt-category-details.phtml?OCat=NGA</v>
      </c>
    </row>
    <row r="274" ht="15.75" customHeight="1">
      <c r="A274" s="14">
        <f>267</f>
        <v>267</v>
      </c>
      <c r="B274" s="14" t="str">
        <f>'Master Hunt List'!A267</f>
        <v>No</v>
      </c>
      <c r="C274" s="14" t="str">
        <f>'Master Hunt List'!B267</f>
        <v>A</v>
      </c>
      <c r="D274" s="14" t="str">
        <f>'Master Hunt List'!C267</f>
        <v>Whitetail Deer</v>
      </c>
      <c r="E274" s="14" t="str">
        <f>'Master Hunt List'!D267</f>
        <v>Trinity River NWR - Boars Den</v>
      </c>
      <c r="F274" s="14" t="str">
        <f>'Master Hunt List'!E267</f>
        <v>East Texas / Pineywoods</v>
      </c>
      <c r="G274" s="14" t="str">
        <f>'Master Hunt List'!F267</f>
        <v>National Refuge Muzzleloader Deer</v>
      </c>
      <c r="H274" s="14" t="str">
        <f>'Master Hunt List'!G267</f>
        <v>Yes</v>
      </c>
      <c r="I274" s="14" t="str">
        <f>'Master Hunt List'!H267</f>
        <v>Yes</v>
      </c>
      <c r="J274" s="15" t="str">
        <f>'Master Hunt List'!I267</f>
        <v>2026-10-15</v>
      </c>
      <c r="K274" s="27">
        <f>'Master Hunt List'!K267</f>
        <v>3</v>
      </c>
      <c r="L274" s="14" t="str">
        <f>'Master Hunt List'!AF267</f>
        <v/>
      </c>
      <c r="M274" s="14" t="str">
        <f>'Master Hunt List'!AH267</f>
        <v/>
      </c>
      <c r="N274" s="14" t="str">
        <f>'Master Hunt List'!AI267</f>
        <v/>
      </c>
      <c r="O274" s="61" t="str">
        <f>'Master Hunt List'!V267</f>
        <v>https://tpwd.texas.gov/huntwild/hunt/public/public_hunt_drawing/hunt-category-details.phtml?OCat=NMD</v>
      </c>
    </row>
    <row r="275" ht="15.75" customHeight="1">
      <c r="A275" s="14">
        <f>268</f>
        <v>268</v>
      </c>
      <c r="B275" s="14" t="str">
        <f>'Master Hunt List'!A268</f>
        <v>No</v>
      </c>
      <c r="C275" s="14" t="str">
        <f>'Master Hunt List'!B268</f>
        <v>A</v>
      </c>
      <c r="D275" s="14" t="str">
        <f>'Master Hunt List'!C268</f>
        <v>Whitetail Deer</v>
      </c>
      <c r="E275" s="14" t="str">
        <f>'Master Hunt List'!D268</f>
        <v>Trinity River NWR - Brierwood</v>
      </c>
      <c r="F275" s="14" t="str">
        <f>'Master Hunt List'!E268</f>
        <v>East Texas / Pineywoods</v>
      </c>
      <c r="G275" s="14" t="str">
        <f>'Master Hunt List'!F268</f>
        <v>National Refuge Muzzleloader Deer</v>
      </c>
      <c r="H275" s="14" t="str">
        <f>'Master Hunt List'!G268</f>
        <v>Yes</v>
      </c>
      <c r="I275" s="14" t="str">
        <f>'Master Hunt List'!H268</f>
        <v>Yes</v>
      </c>
      <c r="J275" s="15" t="str">
        <f>'Master Hunt List'!I268</f>
        <v>2026-10-15</v>
      </c>
      <c r="K275" s="27">
        <f>'Master Hunt List'!K268</f>
        <v>3</v>
      </c>
      <c r="L275" s="14" t="str">
        <f>'Master Hunt List'!AF268</f>
        <v/>
      </c>
      <c r="M275" s="14" t="str">
        <f>'Master Hunt List'!AH268</f>
        <v/>
      </c>
      <c r="N275" s="14" t="str">
        <f>'Master Hunt List'!AI268</f>
        <v/>
      </c>
      <c r="O275" s="61" t="str">
        <f>'Master Hunt List'!V268</f>
        <v>https://tpwd.texas.gov/huntwild/hunt/public/public_hunt_drawing/hunt-category-details.phtml?OCat=NMD</v>
      </c>
    </row>
    <row r="276" ht="15.75" customHeight="1">
      <c r="A276" s="14">
        <f>269</f>
        <v>269</v>
      </c>
      <c r="B276" s="14" t="str">
        <f>'Master Hunt List'!A269</f>
        <v>No</v>
      </c>
      <c r="C276" s="14" t="str">
        <f>'Master Hunt List'!B269</f>
        <v>A</v>
      </c>
      <c r="D276" s="14" t="str">
        <f>'Master Hunt List'!C269</f>
        <v>Whitetail Deer</v>
      </c>
      <c r="E276" s="14" t="str">
        <f>'Master Hunt List'!D269</f>
        <v>Trinity River NWR - Butler</v>
      </c>
      <c r="F276" s="14" t="str">
        <f>'Master Hunt List'!E269</f>
        <v>East Texas / Pineywoods</v>
      </c>
      <c r="G276" s="14" t="str">
        <f>'Master Hunt List'!F269</f>
        <v>National Refuge Muzzleloader Deer</v>
      </c>
      <c r="H276" s="14" t="str">
        <f>'Master Hunt List'!G269</f>
        <v>Yes</v>
      </c>
      <c r="I276" s="14" t="str">
        <f>'Master Hunt List'!H269</f>
        <v>Yes</v>
      </c>
      <c r="J276" s="15" t="str">
        <f>'Master Hunt List'!I269</f>
        <v>2026-10-15</v>
      </c>
      <c r="K276" s="27">
        <f>'Master Hunt List'!K269</f>
        <v>3</v>
      </c>
      <c r="L276" s="14" t="str">
        <f>'Master Hunt List'!AF269</f>
        <v/>
      </c>
      <c r="M276" s="14" t="str">
        <f>'Master Hunt List'!AH269</f>
        <v/>
      </c>
      <c r="N276" s="14" t="str">
        <f>'Master Hunt List'!AI269</f>
        <v/>
      </c>
      <c r="O276" s="61" t="str">
        <f>'Master Hunt List'!V269</f>
        <v>https://tpwd.texas.gov/huntwild/hunt/public/public_hunt_drawing/hunt-category-details.phtml?OCat=NMD</v>
      </c>
    </row>
    <row r="277" ht="15.75" customHeight="1">
      <c r="A277" s="14">
        <f>270</f>
        <v>270</v>
      </c>
      <c r="B277" s="14" t="str">
        <f>'Master Hunt List'!A270</f>
        <v>No</v>
      </c>
      <c r="C277" s="14" t="str">
        <f>'Master Hunt List'!B270</f>
        <v>A</v>
      </c>
      <c r="D277" s="14" t="str">
        <f>'Master Hunt List'!C270</f>
        <v>Whitetail Deer</v>
      </c>
      <c r="E277" s="14" t="str">
        <f>'Master Hunt List'!D270</f>
        <v>Trinity River NWR - Hirsch</v>
      </c>
      <c r="F277" s="14" t="str">
        <f>'Master Hunt List'!E270</f>
        <v>East Texas / Pineywoods</v>
      </c>
      <c r="G277" s="14" t="str">
        <f>'Master Hunt List'!F270</f>
        <v>National Refuge Muzzleloader Deer</v>
      </c>
      <c r="H277" s="14" t="str">
        <f>'Master Hunt List'!G270</f>
        <v>Yes</v>
      </c>
      <c r="I277" s="14" t="str">
        <f>'Master Hunt List'!H270</f>
        <v>Yes</v>
      </c>
      <c r="J277" s="15" t="str">
        <f>'Master Hunt List'!I270</f>
        <v>2026-10-15</v>
      </c>
      <c r="K277" s="27">
        <f>'Master Hunt List'!K270</f>
        <v>3</v>
      </c>
      <c r="L277" s="14" t="str">
        <f>'Master Hunt List'!AF270</f>
        <v/>
      </c>
      <c r="M277" s="14" t="str">
        <f>'Master Hunt List'!AH270</f>
        <v/>
      </c>
      <c r="N277" s="14" t="str">
        <f>'Master Hunt List'!AI270</f>
        <v/>
      </c>
      <c r="O277" s="61" t="str">
        <f>'Master Hunt List'!V270</f>
        <v>https://tpwd.texas.gov/huntwild/hunt/public/public_hunt_drawing/hunt-category-details.phtml?OCat=NMD</v>
      </c>
    </row>
    <row r="278" ht="15.75" customHeight="1">
      <c r="A278" s="14">
        <f>271</f>
        <v>271</v>
      </c>
      <c r="B278" s="14" t="str">
        <f>'Master Hunt List'!A271</f>
        <v>No</v>
      </c>
      <c r="C278" s="14" t="str">
        <f>'Master Hunt List'!B271</f>
        <v>A</v>
      </c>
      <c r="D278" s="14" t="str">
        <f>'Master Hunt List'!C271</f>
        <v>Whitetail Deer</v>
      </c>
      <c r="E278" s="14" t="str">
        <f>'Master Hunt List'!D271</f>
        <v>Trinity River NWR - Mcguire</v>
      </c>
      <c r="F278" s="14" t="str">
        <f>'Master Hunt List'!E271</f>
        <v>East Texas / Pineywoods</v>
      </c>
      <c r="G278" s="14" t="str">
        <f>'Master Hunt List'!F271</f>
        <v>National Refuge Muzzleloader Deer</v>
      </c>
      <c r="H278" s="14" t="str">
        <f>'Master Hunt List'!G271</f>
        <v>Yes</v>
      </c>
      <c r="I278" s="14" t="str">
        <f>'Master Hunt List'!H271</f>
        <v>Yes</v>
      </c>
      <c r="J278" s="15" t="str">
        <f>'Master Hunt List'!I271</f>
        <v>2026-10-15</v>
      </c>
      <c r="K278" s="27">
        <f>'Master Hunt List'!K271</f>
        <v>3</v>
      </c>
      <c r="L278" s="14" t="str">
        <f>'Master Hunt List'!AF271</f>
        <v/>
      </c>
      <c r="M278" s="14" t="str">
        <f>'Master Hunt List'!AH271</f>
        <v/>
      </c>
      <c r="N278" s="14" t="str">
        <f>'Master Hunt List'!AI271</f>
        <v/>
      </c>
      <c r="O278" s="61" t="str">
        <f>'Master Hunt List'!V271</f>
        <v>https://tpwd.texas.gov/huntwild/hunt/public/public_hunt_drawing/hunt-category-details.phtml?OCat=NMD</v>
      </c>
    </row>
    <row r="279" ht="15.75" customHeight="1">
      <c r="A279" s="14">
        <f>272</f>
        <v>272</v>
      </c>
      <c r="B279" s="14" t="str">
        <f>'Master Hunt List'!A272</f>
        <v>No</v>
      </c>
      <c r="C279" s="14" t="str">
        <f>'Master Hunt List'!B272</f>
        <v>A</v>
      </c>
      <c r="D279" s="14" t="str">
        <f>'Master Hunt List'!C272</f>
        <v>Whitetail Deer</v>
      </c>
      <c r="E279" s="14" t="str">
        <f>'Master Hunt List'!D272</f>
        <v>Trinity River NWR - Page</v>
      </c>
      <c r="F279" s="14" t="str">
        <f>'Master Hunt List'!E272</f>
        <v>East Texas / Pineywoods</v>
      </c>
      <c r="G279" s="14" t="str">
        <f>'Master Hunt List'!F272</f>
        <v>National Refuge Muzzleloader Deer</v>
      </c>
      <c r="H279" s="14" t="str">
        <f>'Master Hunt List'!G272</f>
        <v>Yes</v>
      </c>
      <c r="I279" s="14" t="str">
        <f>'Master Hunt List'!H272</f>
        <v>Yes</v>
      </c>
      <c r="J279" s="15" t="str">
        <f>'Master Hunt List'!I272</f>
        <v>2026-10-15</v>
      </c>
      <c r="K279" s="27">
        <f>'Master Hunt List'!K272</f>
        <v>3</v>
      </c>
      <c r="L279" s="14" t="str">
        <f>'Master Hunt List'!AF272</f>
        <v/>
      </c>
      <c r="M279" s="14" t="str">
        <f>'Master Hunt List'!AH272</f>
        <v/>
      </c>
      <c r="N279" s="14" t="str">
        <f>'Master Hunt List'!AI272</f>
        <v/>
      </c>
      <c r="O279" s="61" t="str">
        <f>'Master Hunt List'!V272</f>
        <v>https://tpwd.texas.gov/huntwild/hunt/public/public_hunt_drawing/hunt-category-details.phtml?OCat=NMD</v>
      </c>
    </row>
    <row r="280" ht="15.75" customHeight="1">
      <c r="A280" s="14">
        <f>273</f>
        <v>273</v>
      </c>
      <c r="B280" s="14" t="str">
        <f>'Master Hunt List'!A273</f>
        <v>No</v>
      </c>
      <c r="C280" s="14" t="str">
        <f>'Master Hunt List'!B273</f>
        <v>A</v>
      </c>
      <c r="D280" s="14" t="str">
        <f>'Master Hunt List'!C273</f>
        <v>Feral Hog</v>
      </c>
      <c r="E280" s="14" t="str">
        <f>'Master Hunt List'!D273</f>
        <v>Gene Howe WMA</v>
      </c>
      <c r="F280" s="14" t="str">
        <f>'Master Hunt List'!E273</f>
        <v>Panhandle/Rolling Plains</v>
      </c>
      <c r="G280" s="14" t="str">
        <f>'Master Hunt List'!F273</f>
        <v>Feral Hog</v>
      </c>
      <c r="H280" s="14" t="str">
        <f>'Master Hunt List'!G273</f>
        <v>Yes</v>
      </c>
      <c r="I280" s="14" t="str">
        <f>'Master Hunt List'!H273</f>
        <v>Yes</v>
      </c>
      <c r="J280" s="15" t="str">
        <f>'Master Hunt List'!I273</f>
        <v>2026-11-01</v>
      </c>
      <c r="K280" s="27">
        <f>'Master Hunt List'!K273</f>
        <v>3</v>
      </c>
      <c r="L280" s="14" t="str">
        <f>'Master Hunt List'!AF273</f>
        <v/>
      </c>
      <c r="M280" s="14" t="str">
        <f>'Master Hunt List'!AH273</f>
        <v/>
      </c>
      <c r="N280" s="14" t="str">
        <f>'Master Hunt List'!AI273</f>
        <v/>
      </c>
      <c r="O280" s="61" t="str">
        <f>'Master Hunt List'!V273</f>
        <v>https://tpwd.texas.gov/huntwild/hunt/public/public_hunt_drawing/hunt-category-details.phtml?OCat=GFH</v>
      </c>
    </row>
    <row r="281" ht="15.75" customHeight="1">
      <c r="A281" s="14">
        <f>274</f>
        <v>274</v>
      </c>
      <c r="B281" s="14" t="str">
        <f>'Master Hunt List'!A274</f>
        <v>No</v>
      </c>
      <c r="C281" s="14" t="str">
        <f>'Master Hunt List'!B274</f>
        <v>A</v>
      </c>
      <c r="D281" s="14" t="str">
        <f>'Master Hunt List'!C274</f>
        <v>Turkey</v>
      </c>
      <c r="E281" s="14" t="str">
        <f>'Master Hunt List'!D274</f>
        <v>Gene Howe WMA</v>
      </c>
      <c r="F281" s="14" t="str">
        <f>'Master Hunt List'!E274</f>
        <v>Panhandle/Rolling Plains</v>
      </c>
      <c r="G281" s="14" t="str">
        <f>'Master Hunt List'!F274</f>
        <v>Spring Turkey / Youth Spring Turkey</v>
      </c>
      <c r="H281" s="14" t="str">
        <f>'Master Hunt List'!G274</f>
        <v>Yes</v>
      </c>
      <c r="I281" s="14" t="str">
        <f>'Master Hunt List'!H274</f>
        <v>Yes</v>
      </c>
      <c r="J281" s="15" t="str">
        <f>'Master Hunt List'!I274</f>
        <v>2027-01-15</v>
      </c>
      <c r="K281" s="27">
        <f>'Master Hunt List'!K274</f>
        <v>3</v>
      </c>
      <c r="L281" s="14" t="str">
        <f>'Master Hunt List'!AF274</f>
        <v/>
      </c>
      <c r="M281" s="14" t="str">
        <f>'Master Hunt List'!AH274</f>
        <v/>
      </c>
      <c r="N281" s="14" t="str">
        <f>'Master Hunt List'!AI274</f>
        <v/>
      </c>
      <c r="O281" s="61" t="str">
        <f>'Master Hunt List'!V274</f>
        <v>https://tpwd.texas.gov/huntwild/hunt/public/public_hunt_drawing/hunt-area-details.phtml?OArea=GE</v>
      </c>
    </row>
    <row r="282" ht="15.75" customHeight="1">
      <c r="A282" s="14">
        <f>275</f>
        <v>275</v>
      </c>
      <c r="B282" s="14" t="str">
        <f>'Master Hunt List'!A275</f>
        <v>No</v>
      </c>
      <c r="C282" s="14" t="str">
        <f>'Master Hunt List'!B275</f>
        <v>A</v>
      </c>
      <c r="D282" s="14" t="str">
        <f>'Master Hunt List'!C275</f>
        <v>Feral Hog</v>
      </c>
      <c r="E282" s="14" t="str">
        <f>'Master Hunt List'!D275</f>
        <v>Matador WMA</v>
      </c>
      <c r="F282" s="14" t="str">
        <f>'Master Hunt List'!E275</f>
        <v>Rolling Plains</v>
      </c>
      <c r="G282" s="14" t="str">
        <f>'Master Hunt List'!F275</f>
        <v>Youth Only Feral Hog</v>
      </c>
      <c r="H282" s="14" t="str">
        <f>'Master Hunt List'!G275</f>
        <v>No</v>
      </c>
      <c r="I282" s="14" t="str">
        <f>'Master Hunt List'!H275</f>
        <v>Yes</v>
      </c>
      <c r="J282" s="15" t="str">
        <f>'Master Hunt List'!I275</f>
        <v>2026-11-01</v>
      </c>
      <c r="K282" s="27">
        <f>'Master Hunt List'!K275</f>
        <v>0</v>
      </c>
      <c r="L282" s="14" t="str">
        <f>'Master Hunt List'!AF275</f>
        <v/>
      </c>
      <c r="M282" s="14" t="str">
        <f>'Master Hunt List'!AH275</f>
        <v/>
      </c>
      <c r="N282" s="14" t="str">
        <f>'Master Hunt List'!AI275</f>
        <v/>
      </c>
      <c r="O282" s="61" t="str">
        <f>'Master Hunt List'!V275</f>
        <v>https://tpwd.texas.gov/huntwild/hunt/public/public_hunt_drawing/hunt-category-details.phtml?OCat=YFH</v>
      </c>
    </row>
    <row r="283" ht="15.75" customHeight="1">
      <c r="A283" s="14">
        <f>276</f>
        <v>276</v>
      </c>
      <c r="B283" s="14" t="str">
        <f>'Master Hunt List'!A276</f>
        <v>No</v>
      </c>
      <c r="C283" s="14" t="str">
        <f>'Master Hunt List'!B276</f>
        <v>A</v>
      </c>
      <c r="D283" s="14" t="str">
        <f>'Master Hunt List'!C276</f>
        <v>Feral Hog</v>
      </c>
      <c r="E283" s="14" t="str">
        <f>'Master Hunt List'!D276</f>
        <v>Matador WMA</v>
      </c>
      <c r="F283" s="14" t="str">
        <f>'Master Hunt List'!E276</f>
        <v>Rolling Plains</v>
      </c>
      <c r="G283" s="14" t="str">
        <f>'Master Hunt List'!F276</f>
        <v>Feral Hog</v>
      </c>
      <c r="H283" s="14" t="str">
        <f>'Master Hunt List'!G276</f>
        <v>Yes</v>
      </c>
      <c r="I283" s="14" t="str">
        <f>'Master Hunt List'!H276</f>
        <v>Yes</v>
      </c>
      <c r="J283" s="15" t="str">
        <f>'Master Hunt List'!I276</f>
        <v>2026-11-01</v>
      </c>
      <c r="K283" s="27">
        <f>'Master Hunt List'!K276</f>
        <v>3</v>
      </c>
      <c r="L283" s="14" t="str">
        <f>'Master Hunt List'!AF276</f>
        <v/>
      </c>
      <c r="M283" s="14" t="str">
        <f>'Master Hunt List'!AH276</f>
        <v/>
      </c>
      <c r="N283" s="14" t="str">
        <f>'Master Hunt List'!AI276</f>
        <v/>
      </c>
      <c r="O283" s="61" t="str">
        <f>'Master Hunt List'!V276</f>
        <v>https://tpwd.texas.gov/huntwild/hunt/public/public_hunt_drawing/hunt-category-details.phtml?OCat=GFH</v>
      </c>
    </row>
    <row r="284" ht="15.75" customHeight="1">
      <c r="A284" s="14">
        <f>277</f>
        <v>277</v>
      </c>
      <c r="B284" s="14" t="str">
        <f>'Master Hunt List'!A277</f>
        <v>No</v>
      </c>
      <c r="C284" s="14" t="str">
        <f>'Master Hunt List'!B277</f>
        <v>A</v>
      </c>
      <c r="D284" s="14" t="str">
        <f>'Master Hunt List'!C277</f>
        <v>Turkey</v>
      </c>
      <c r="E284" s="14" t="str">
        <f>'Master Hunt List'!D277</f>
        <v>Matador WMA</v>
      </c>
      <c r="F284" s="14" t="str">
        <f>'Master Hunt List'!E277</f>
        <v>Rolling Plains</v>
      </c>
      <c r="G284" s="14" t="str">
        <f>'Master Hunt List'!F277</f>
        <v>Spring Turkey / Youth Spring Turkey</v>
      </c>
      <c r="H284" s="14" t="str">
        <f>'Master Hunt List'!G277</f>
        <v>Yes</v>
      </c>
      <c r="I284" s="14" t="str">
        <f>'Master Hunt List'!H277</f>
        <v>Yes</v>
      </c>
      <c r="J284" s="15" t="str">
        <f>'Master Hunt List'!I277</f>
        <v>2027-01-15</v>
      </c>
      <c r="K284" s="27">
        <f>'Master Hunt List'!K277</f>
        <v>3</v>
      </c>
      <c r="L284" s="14" t="str">
        <f>'Master Hunt List'!AF277</f>
        <v/>
      </c>
      <c r="M284" s="14" t="str">
        <f>'Master Hunt List'!AH277</f>
        <v/>
      </c>
      <c r="N284" s="14" t="str">
        <f>'Master Hunt List'!AI277</f>
        <v/>
      </c>
      <c r="O284" s="61" t="str">
        <f>'Master Hunt List'!V277</f>
        <v>https://tpwd.texas.gov/huntwild/hunt/public/public_hunt_drawing/hunt-area-details.phtml?OArea=MA</v>
      </c>
    </row>
    <row r="285" ht="15.75" customHeight="1">
      <c r="A285" s="14">
        <f>278</f>
        <v>278</v>
      </c>
      <c r="B285" s="14" t="str">
        <f>'Master Hunt List'!A278</f>
        <v>No</v>
      </c>
      <c r="C285" s="14" t="str">
        <f>'Master Hunt List'!B278</f>
        <v>A</v>
      </c>
      <c r="D285" s="14" t="str">
        <f>'Master Hunt List'!C278</f>
        <v>Feral Hog</v>
      </c>
      <c r="E285" s="14" t="str">
        <f>'Master Hunt List'!D278</f>
        <v>Teacup Mountain WMA</v>
      </c>
      <c r="F285" s="14" t="str">
        <f>'Master Hunt List'!E278</f>
        <v>Rolling Plains</v>
      </c>
      <c r="G285" s="14" t="str">
        <f>'Master Hunt List'!F278</f>
        <v>Youth Only Feral Hog</v>
      </c>
      <c r="H285" s="14" t="str">
        <f>'Master Hunt List'!G278</f>
        <v>No</v>
      </c>
      <c r="I285" s="14" t="str">
        <f>'Master Hunt List'!H278</f>
        <v>Yes</v>
      </c>
      <c r="J285" s="15" t="str">
        <f>'Master Hunt List'!I278</f>
        <v>2026-11-01</v>
      </c>
      <c r="K285" s="27">
        <f>'Master Hunt List'!K278</f>
        <v>0</v>
      </c>
      <c r="L285" s="14" t="str">
        <f>'Master Hunt List'!AF278</f>
        <v/>
      </c>
      <c r="M285" s="14" t="str">
        <f>'Master Hunt List'!AH278</f>
        <v/>
      </c>
      <c r="N285" s="14" t="str">
        <f>'Master Hunt List'!AI278</f>
        <v/>
      </c>
      <c r="O285" s="61" t="str">
        <f>'Master Hunt List'!V278</f>
        <v>https://tpwd.texas.gov/huntwild/hunt/public/public_hunt_drawing/hunt-category-details.phtml?OCat=YFH</v>
      </c>
    </row>
    <row r="286" ht="15.75" customHeight="1">
      <c r="A286" s="14">
        <f>279</f>
        <v>279</v>
      </c>
      <c r="B286" s="14" t="str">
        <f>'Master Hunt List'!A279</f>
        <v>No</v>
      </c>
      <c r="C286" s="14" t="str">
        <f>'Master Hunt List'!B279</f>
        <v>A</v>
      </c>
      <c r="D286" s="14" t="str">
        <f>'Master Hunt List'!C279</f>
        <v>Feral Hog</v>
      </c>
      <c r="E286" s="14" t="str">
        <f>'Master Hunt List'!D279</f>
        <v>Teacup Mountain WMA</v>
      </c>
      <c r="F286" s="14" t="str">
        <f>'Master Hunt List'!E279</f>
        <v>Rolling Plains</v>
      </c>
      <c r="G286" s="14" t="str">
        <f>'Master Hunt List'!F279</f>
        <v>Feral Hog</v>
      </c>
      <c r="H286" s="14" t="str">
        <f>'Master Hunt List'!G279</f>
        <v>Yes</v>
      </c>
      <c r="I286" s="14" t="str">
        <f>'Master Hunt List'!H279</f>
        <v>Yes</v>
      </c>
      <c r="J286" s="15" t="str">
        <f>'Master Hunt List'!I279</f>
        <v>2026-11-01</v>
      </c>
      <c r="K286" s="27">
        <f>'Master Hunt List'!K279</f>
        <v>3</v>
      </c>
      <c r="L286" s="14" t="str">
        <f>'Master Hunt List'!AF279</f>
        <v/>
      </c>
      <c r="M286" s="14" t="str">
        <f>'Master Hunt List'!AH279</f>
        <v/>
      </c>
      <c r="N286" s="14" t="str">
        <f>'Master Hunt List'!AI279</f>
        <v/>
      </c>
      <c r="O286" s="61" t="str">
        <f>'Master Hunt List'!V279</f>
        <v>https://tpwd.texas.gov/huntwild/hunt/public/public_hunt_drawing/hunt-category-details.phtml?OCat=GFH</v>
      </c>
    </row>
    <row r="287" ht="15.75" customHeight="1">
      <c r="A287" s="14">
        <f>280</f>
        <v>280</v>
      </c>
      <c r="B287" s="14" t="str">
        <f>'Master Hunt List'!A280</f>
        <v>No</v>
      </c>
      <c r="C287" s="14" t="str">
        <f>'Master Hunt List'!B280</f>
        <v>A</v>
      </c>
      <c r="D287" s="14" t="str">
        <f>'Master Hunt List'!C280</f>
        <v>Turkey</v>
      </c>
      <c r="E287" s="14" t="str">
        <f>'Master Hunt List'!D280</f>
        <v>Teacup Mountain WMA</v>
      </c>
      <c r="F287" s="14" t="str">
        <f>'Master Hunt List'!E280</f>
        <v>Rolling Plains</v>
      </c>
      <c r="G287" s="14" t="str">
        <f>'Master Hunt List'!F280</f>
        <v>E-Postcard Turkey</v>
      </c>
      <c r="H287" s="14" t="str">
        <f>'Master Hunt List'!G280</f>
        <v>Yes</v>
      </c>
      <c r="I287" s="14" t="str">
        <f>'Master Hunt List'!H280</f>
        <v>Yes</v>
      </c>
      <c r="J287" s="15" t="str">
        <f>'Master Hunt List'!I280</f>
        <v>2026-08-15</v>
      </c>
      <c r="K287" s="27">
        <f>'Master Hunt List'!K280</f>
        <v>0</v>
      </c>
      <c r="L287" s="14" t="str">
        <f>'Master Hunt List'!AF280</f>
        <v/>
      </c>
      <c r="M287" s="14" t="str">
        <f>'Master Hunt List'!AH280</f>
        <v/>
      </c>
      <c r="N287" s="14" t="str">
        <f>'Master Hunt List'!AI280</f>
        <v/>
      </c>
      <c r="O287" s="61" t="str">
        <f>'Master Hunt List'!V280</f>
        <v>https://tpwd.texas.gov/huntwild/hunt/public/public_hunt_drawing/hunt-area-details.phtml?OArea=TE</v>
      </c>
    </row>
    <row r="288" ht="15.75" customHeight="1">
      <c r="A288" s="14">
        <f>281</f>
        <v>281</v>
      </c>
      <c r="B288" s="14" t="str">
        <f>'Master Hunt List'!A281</f>
        <v>No</v>
      </c>
      <c r="C288" s="14" t="str">
        <f>'Master Hunt List'!B281</f>
        <v>B</v>
      </c>
      <c r="D288" s="14" t="str">
        <f>'Master Hunt List'!C281</f>
        <v>Waterfowl/Upland</v>
      </c>
      <c r="E288" s="14" t="str">
        <f>'Master Hunt List'!D281</f>
        <v>Copper Breaks SP</v>
      </c>
      <c r="F288" s="14" t="str">
        <f>'Master Hunt List'!E281</f>
        <v>Rolling Plains</v>
      </c>
      <c r="G288" s="14" t="str">
        <f>'Master Hunt List'!F281</f>
        <v>E-Postcard Waterfowl</v>
      </c>
      <c r="H288" s="14" t="str">
        <f>'Master Hunt List'!G281</f>
        <v>Yes</v>
      </c>
      <c r="I288" s="14" t="str">
        <f>'Master Hunt List'!H281</f>
        <v>Yes</v>
      </c>
      <c r="J288" s="15" t="str">
        <f>'Master Hunt List'!I281</f>
        <v>2026-08-15</v>
      </c>
      <c r="K288" s="27">
        <f>'Master Hunt List'!K281</f>
        <v>0</v>
      </c>
      <c r="L288" s="14" t="str">
        <f>'Master Hunt List'!AF281</f>
        <v/>
      </c>
      <c r="M288" s="14" t="str">
        <f>'Master Hunt List'!AH281</f>
        <v/>
      </c>
      <c r="N288" s="14" t="str">
        <f>'Master Hunt List'!AI281</f>
        <v/>
      </c>
      <c r="O288" s="61" t="str">
        <f>'Master Hunt List'!V281</f>
        <v>https://tpwd.texas.gov/huntwild/hunt/public/public_hunt_drawing/hunt-area-details.phtml?OArea=CO</v>
      </c>
    </row>
    <row r="289" ht="15.75" customHeight="1">
      <c r="A289" s="14">
        <f>282</f>
        <v>282</v>
      </c>
      <c r="B289" s="14" t="str">
        <f>'Master Hunt List'!A282</f>
        <v>No</v>
      </c>
      <c r="C289" s="14" t="str">
        <f>'Master Hunt List'!B282</f>
        <v>A</v>
      </c>
      <c r="D289" s="14" t="str">
        <f>'Master Hunt List'!C282</f>
        <v>Waterfowl/Upland</v>
      </c>
      <c r="E289" s="14" t="str">
        <f>'Master Hunt List'!D282</f>
        <v>Dimmitt Playa WMA</v>
      </c>
      <c r="F289" s="14" t="str">
        <f>'Master Hunt List'!E282</f>
        <v>Panhandle</v>
      </c>
      <c r="G289" s="14" t="str">
        <f>'Master Hunt List'!F282</f>
        <v>E-Postcard Waterfowl / Waterfowl-Pheasant</v>
      </c>
      <c r="H289" s="14" t="str">
        <f>'Master Hunt List'!G282</f>
        <v>Yes</v>
      </c>
      <c r="I289" s="14" t="str">
        <f>'Master Hunt List'!H282</f>
        <v>Yes</v>
      </c>
      <c r="J289" s="15" t="str">
        <f>'Master Hunt List'!I282</f>
        <v>2026-08-15</v>
      </c>
      <c r="K289" s="27">
        <f>'Master Hunt List'!K282</f>
        <v>0</v>
      </c>
      <c r="L289" s="14" t="str">
        <f>'Master Hunt List'!AF282</f>
        <v/>
      </c>
      <c r="M289" s="14" t="str">
        <f>'Master Hunt List'!AH282</f>
        <v/>
      </c>
      <c r="N289" s="14" t="str">
        <f>'Master Hunt List'!AI282</f>
        <v/>
      </c>
      <c r="O289" s="61" t="str">
        <f>'Master Hunt List'!V282</f>
        <v>https://tpwd.texas.gov/huntwild/hunt/public/public_hunt_drawing/hunt-area-details.phtml?OArea=DP</v>
      </c>
    </row>
    <row r="290" ht="15.75" customHeight="1">
      <c r="A290" s="14">
        <f>283</f>
        <v>283</v>
      </c>
      <c r="B290" s="14" t="str">
        <f>'Master Hunt List'!A283</f>
        <v>No</v>
      </c>
      <c r="C290" s="14" t="str">
        <f>'Master Hunt List'!B283</f>
        <v>B</v>
      </c>
      <c r="D290" s="14" t="str">
        <f>'Master Hunt List'!C283</f>
        <v>Waterfowl/Upland</v>
      </c>
      <c r="E290" s="14" t="str">
        <f>'Master Hunt List'!D283</f>
        <v>Taylor Lakes WMA</v>
      </c>
      <c r="F290" s="14" t="str">
        <f>'Master Hunt List'!E283</f>
        <v>Panhandle</v>
      </c>
      <c r="G290" s="14" t="str">
        <f>'Master Hunt List'!F283</f>
        <v>E-Postcard Waterfowl / Youth-Adult Waterfowl</v>
      </c>
      <c r="H290" s="14" t="str">
        <f>'Master Hunt List'!G283</f>
        <v>Yes</v>
      </c>
      <c r="I290" s="14" t="str">
        <f>'Master Hunt List'!H283</f>
        <v>Yes</v>
      </c>
      <c r="J290" s="15" t="str">
        <f>'Master Hunt List'!I283</f>
        <v>2026-08-15</v>
      </c>
      <c r="K290" s="27">
        <f>'Master Hunt List'!K283</f>
        <v>0</v>
      </c>
      <c r="L290" s="14" t="str">
        <f>'Master Hunt List'!AF283</f>
        <v/>
      </c>
      <c r="M290" s="14" t="str">
        <f>'Master Hunt List'!AH283</f>
        <v/>
      </c>
      <c r="N290" s="14" t="str">
        <f>'Master Hunt List'!AI283</f>
        <v/>
      </c>
      <c r="O290" s="61" t="str">
        <f>'Master Hunt List'!V283</f>
        <v>https://tpwd.texas.gov/huntwild/hunt/public/public_hunt_drawing/hunt-area-details.phtml?OArea=TL</v>
      </c>
    </row>
    <row r="291" ht="15.75" customHeight="1">
      <c r="A291" s="14">
        <f>284</f>
        <v>284</v>
      </c>
      <c r="B291" s="14" t="str">
        <f>'Master Hunt List'!A284</f>
        <v>No</v>
      </c>
      <c r="C291" s="14" t="str">
        <f>'Master Hunt List'!B284</f>
        <v>B</v>
      </c>
      <c r="D291" s="14" t="str">
        <f>'Master Hunt List'!C284</f>
        <v>Turkey</v>
      </c>
      <c r="E291" s="14" t="str">
        <f>'Master Hunt List'!D284</f>
        <v>Taylor Lakes WMA</v>
      </c>
      <c r="F291" s="14" t="str">
        <f>'Master Hunt List'!E284</f>
        <v>Panhandle</v>
      </c>
      <c r="G291" s="14" t="str">
        <f>'Master Hunt List'!F284</f>
        <v>Youth Spring Turkey</v>
      </c>
      <c r="H291" s="14" t="str">
        <f>'Master Hunt List'!G284</f>
        <v>No</v>
      </c>
      <c r="I291" s="14" t="str">
        <f>'Master Hunt List'!H284</f>
        <v>Yes</v>
      </c>
      <c r="J291" s="15" t="str">
        <f>'Master Hunt List'!I284</f>
        <v>2027-01-15</v>
      </c>
      <c r="K291" s="27">
        <f>'Master Hunt List'!K284</f>
        <v>0</v>
      </c>
      <c r="L291" s="14" t="str">
        <f>'Master Hunt List'!AF284</f>
        <v/>
      </c>
      <c r="M291" s="14" t="str">
        <f>'Master Hunt List'!AH284</f>
        <v/>
      </c>
      <c r="N291" s="14" t="str">
        <f>'Master Hunt List'!AI284</f>
        <v/>
      </c>
      <c r="O291" s="61" t="str">
        <f>'Master Hunt List'!V284</f>
        <v>https://tpwd.texas.gov/huntwild/hunt/public/public_hunt_drawing/hunt-area-details.phtml?OArea=TL</v>
      </c>
    </row>
    <row r="292" ht="15.75" customHeight="1">
      <c r="A292" s="14">
        <f>285</f>
        <v>285</v>
      </c>
      <c r="B292" s="14" t="str">
        <f>'Master Hunt List'!A285</f>
        <v>No</v>
      </c>
      <c r="C292" s="14" t="str">
        <f>'Master Hunt List'!B285</f>
        <v>B</v>
      </c>
      <c r="D292" s="14" t="str">
        <f>'Master Hunt List'!C285</f>
        <v>Waterfowl/Upland</v>
      </c>
      <c r="E292" s="14" t="str">
        <f>'Master Hunt List'!D285</f>
        <v>Muleshoe NWR</v>
      </c>
      <c r="F292" s="14" t="str">
        <f>'Master Hunt List'!E285</f>
        <v>Panhandle</v>
      </c>
      <c r="G292" s="14" t="str">
        <f>'Master Hunt List'!F285</f>
        <v>National Refuge Upland Game</v>
      </c>
      <c r="H292" s="14" t="str">
        <f>'Master Hunt List'!G285</f>
        <v>Yes</v>
      </c>
      <c r="I292" s="14" t="str">
        <f>'Master Hunt List'!H285</f>
        <v>Yes</v>
      </c>
      <c r="J292" s="15" t="str">
        <f>'Master Hunt List'!I285</f>
        <v>2026-09-01</v>
      </c>
      <c r="K292" s="27">
        <f>'Master Hunt List'!K285</f>
        <v>3</v>
      </c>
      <c r="L292" s="14" t="str">
        <f>'Master Hunt List'!AF285</f>
        <v/>
      </c>
      <c r="M292" s="14" t="str">
        <f>'Master Hunt List'!AH285</f>
        <v/>
      </c>
      <c r="N292" s="14" t="str">
        <f>'Master Hunt List'!AI285</f>
        <v/>
      </c>
      <c r="O292" s="61" t="str">
        <f>'Master Hunt List'!V285</f>
        <v>https://tpwd.texas.gov/huntwild/hunt/public/public_hunt_drawing/hunt-area-details.phtml?OArea=UN</v>
      </c>
    </row>
    <row r="293" ht="15.75" customHeight="1">
      <c r="A293" s="14">
        <f>286</f>
        <v>286</v>
      </c>
      <c r="B293" s="14" t="str">
        <f>'Master Hunt List'!A286</f>
        <v>No</v>
      </c>
      <c r="C293" s="14" t="str">
        <f>'Master Hunt List'!B286</f>
        <v>A</v>
      </c>
      <c r="D293" s="14" t="str">
        <f>'Master Hunt List'!C286</f>
        <v>Pronghorn</v>
      </c>
      <c r="E293" s="14" t="str">
        <f>'Master Hunt List'!D286</f>
        <v>Rita Blanca National Grasslands</v>
      </c>
      <c r="F293" s="14" t="str">
        <f>'Master Hunt List'!E286</f>
        <v>Panhandle</v>
      </c>
      <c r="G293" s="14" t="str">
        <f>'Master Hunt List'!F286</f>
        <v>Pronghorn</v>
      </c>
      <c r="H293" s="14" t="str">
        <f>'Master Hunt List'!G286</f>
        <v>Yes</v>
      </c>
      <c r="I293" s="14" t="str">
        <f>'Master Hunt List'!H286</f>
        <v>No</v>
      </c>
      <c r="J293" s="15" t="str">
        <f>'Master Hunt List'!I286</f>
        <v>2026-08-15</v>
      </c>
      <c r="K293" s="27">
        <f>'Master Hunt List'!K286</f>
        <v>3</v>
      </c>
      <c r="L293" s="14" t="str">
        <f>'Master Hunt List'!AF286</f>
        <v/>
      </c>
      <c r="M293" s="14" t="str">
        <f>'Master Hunt List'!AH286</f>
        <v/>
      </c>
      <c r="N293" s="14" t="str">
        <f>'Master Hunt List'!AI286</f>
        <v/>
      </c>
      <c r="O293" s="61" t="str">
        <f>'Master Hunt List'!V286</f>
        <v>https://tpwd.texas.gov/huntwild/hunt/public/public_hunt_drawing/hunt-area-details.phtml?OArea=RB</v>
      </c>
    </row>
    <row r="294" ht="15.75" customHeight="1">
      <c r="A294" s="14">
        <f>287</f>
        <v>287</v>
      </c>
      <c r="B294" s="14" t="str">
        <f>'Master Hunt List'!A287</f>
        <v>No</v>
      </c>
      <c r="C294" s="14" t="str">
        <f>'Master Hunt List'!B287</f>
        <v>A</v>
      </c>
      <c r="D294" s="14" t="str">
        <f>'Master Hunt List'!C287</f>
        <v>Pronghorn</v>
      </c>
      <c r="E294" s="14" t="str">
        <f>'Master Hunt List'!D287</f>
        <v>Canadian River Complex</v>
      </c>
      <c r="F294" s="14" t="str">
        <f>'Master Hunt List'!E287</f>
        <v>Panhandle</v>
      </c>
      <c r="G294" s="14" t="str">
        <f>'Master Hunt List'!F287</f>
        <v>Private Lands Pronghorn</v>
      </c>
      <c r="H294" s="14" t="str">
        <f>'Master Hunt List'!G287</f>
        <v>Yes</v>
      </c>
      <c r="I294" s="14" t="str">
        <f>'Master Hunt List'!H287</f>
        <v>No</v>
      </c>
      <c r="J294" s="15" t="str">
        <f>'Master Hunt List'!I287</f>
        <v>2026-08-15</v>
      </c>
      <c r="K294" s="27">
        <f>'Master Hunt List'!K287</f>
        <v>10</v>
      </c>
      <c r="L294" s="14" t="str">
        <f>'Master Hunt List'!AF287</f>
        <v/>
      </c>
      <c r="M294" s="14" t="str">
        <f>'Master Hunt List'!AH287</f>
        <v/>
      </c>
      <c r="N294" s="14" t="str">
        <f>'Master Hunt List'!AI287</f>
        <v/>
      </c>
      <c r="O294" s="61" t="str">
        <f>'Master Hunt List'!V287</f>
        <v>https://tpwd.texas.gov/huntwild/hunt/public/public_hunt_drawing/hunt-area-details.phtml?OArea=CI</v>
      </c>
    </row>
    <row r="295" ht="15.75" customHeight="1">
      <c r="A295" s="14">
        <f>288</f>
        <v>288</v>
      </c>
      <c r="B295" s="14" t="str">
        <f>'Master Hunt List'!A288</f>
        <v>No</v>
      </c>
      <c r="C295" s="14" t="str">
        <f>'Master Hunt List'!B288</f>
        <v>A</v>
      </c>
      <c r="D295" s="14" t="str">
        <f>'Master Hunt List'!C288</f>
        <v>Pronghorn</v>
      </c>
      <c r="E295" s="14" t="str">
        <f>'Master Hunt List'!D288</f>
        <v>Lipscomb/Hemphill County Ranch</v>
      </c>
      <c r="F295" s="14" t="str">
        <f>'Master Hunt List'!E288</f>
        <v>Panhandle</v>
      </c>
      <c r="G295" s="14" t="str">
        <f>'Master Hunt List'!F288</f>
        <v>Private Lands Pronghorn</v>
      </c>
      <c r="H295" s="14" t="str">
        <f>'Master Hunt List'!G288</f>
        <v>Yes</v>
      </c>
      <c r="I295" s="14" t="str">
        <f>'Master Hunt List'!H288</f>
        <v>No</v>
      </c>
      <c r="J295" s="15" t="str">
        <f>'Master Hunt List'!I288</f>
        <v>2026-08-15</v>
      </c>
      <c r="K295" s="27">
        <f>'Master Hunt List'!K288</f>
        <v>10</v>
      </c>
      <c r="L295" s="14" t="str">
        <f>'Master Hunt List'!AF288</f>
        <v/>
      </c>
      <c r="M295" s="14" t="str">
        <f>'Master Hunt List'!AH288</f>
        <v/>
      </c>
      <c r="N295" s="14" t="str">
        <f>'Master Hunt List'!AI288</f>
        <v/>
      </c>
      <c r="O295" s="61" t="str">
        <f>'Master Hunt List'!V288</f>
        <v>https://tpwd.texas.gov/huntwild/hunt/public/public_hunt_drawing/hunt-area-details.phtml?OArea=ZI</v>
      </c>
    </row>
    <row r="296" ht="15.75" customHeight="1">
      <c r="A296" s="14">
        <f>289</f>
        <v>289</v>
      </c>
      <c r="B296" s="14" t="str">
        <f>'Master Hunt List'!A289</f>
        <v>No</v>
      </c>
      <c r="C296" s="14" t="str">
        <f>'Master Hunt List'!B289</f>
        <v>B</v>
      </c>
      <c r="D296" s="14" t="str">
        <f>'Master Hunt List'!C289</f>
        <v>Waterfowl/Upland</v>
      </c>
      <c r="E296" s="14" t="str">
        <f>'Master Hunt List'!D289</f>
        <v>Lipscomb County Ranch</v>
      </c>
      <c r="F296" s="14" t="str">
        <f>'Master Hunt List'!E289</f>
        <v>Panhandle</v>
      </c>
      <c r="G296" s="14" t="str">
        <f>'Master Hunt List'!F289</f>
        <v>Private Lands Quail</v>
      </c>
      <c r="H296" s="14" t="str">
        <f>'Master Hunt List'!G289</f>
        <v>Yes</v>
      </c>
      <c r="I296" s="14" t="str">
        <f>'Master Hunt List'!H289</f>
        <v>Yes</v>
      </c>
      <c r="J296" s="15" t="str">
        <f>'Master Hunt List'!I289</f>
        <v>2026-10-01</v>
      </c>
      <c r="K296" s="27">
        <f>'Master Hunt List'!K289</f>
        <v>10</v>
      </c>
      <c r="L296" s="14" t="str">
        <f>'Master Hunt List'!AF289</f>
        <v/>
      </c>
      <c r="M296" s="14" t="str">
        <f>'Master Hunt List'!AH289</f>
        <v/>
      </c>
      <c r="N296" s="14" t="str">
        <f>'Master Hunt List'!AI289</f>
        <v/>
      </c>
      <c r="O296" s="61" t="str">
        <f>'Master Hunt List'!V289</f>
        <v>https://tpwd.texas.gov/huntwild/hunt/public/public_hunt_drawing/hunt-area-details.phtml?OArea=XV</v>
      </c>
    </row>
    <row r="297" ht="15.75" customHeight="1">
      <c r="A297" s="14">
        <f>290</f>
        <v>290</v>
      </c>
      <c r="B297" s="14" t="str">
        <f>'Master Hunt List'!A290</f>
        <v>No</v>
      </c>
      <c r="C297" s="14" t="str">
        <f>'Master Hunt List'!B290</f>
        <v>B</v>
      </c>
      <c r="D297" s="14" t="str">
        <f>'Master Hunt List'!C290</f>
        <v>Feral Hog</v>
      </c>
      <c r="E297" s="14" t="str">
        <f>'Master Hunt List'!D290</f>
        <v>Cooper WMA</v>
      </c>
      <c r="F297" s="14" t="str">
        <f>'Master Hunt List'!E290</f>
        <v>DFW/North Texas</v>
      </c>
      <c r="G297" s="14" t="str">
        <f>'Master Hunt List'!F290</f>
        <v>Feral Hog / E-Postcard Hog if offered</v>
      </c>
      <c r="H297" s="14" t="str">
        <f>'Master Hunt List'!G290</f>
        <v>Yes</v>
      </c>
      <c r="I297" s="14" t="str">
        <f>'Master Hunt List'!H290</f>
        <v>Yes</v>
      </c>
      <c r="J297" s="15" t="str">
        <f>'Master Hunt List'!I290</f>
        <v>2026-11-01</v>
      </c>
      <c r="K297" s="27">
        <f>'Master Hunt List'!K290</f>
        <v>3</v>
      </c>
      <c r="L297" s="14" t="str">
        <f>'Master Hunt List'!AF290</f>
        <v/>
      </c>
      <c r="M297" s="14" t="str">
        <f>'Master Hunt List'!AH290</f>
        <v/>
      </c>
      <c r="N297" s="14" t="str">
        <f>'Master Hunt List'!AI290</f>
        <v/>
      </c>
      <c r="O297" s="61" t="str">
        <f>'Master Hunt List'!V290</f>
        <v>https://tpwd.texas.gov/huntwild/hunt/public/public_hunt_drawing/hunt-area-details.phtml?OArea=CP</v>
      </c>
    </row>
    <row r="298" ht="15.75" customHeight="1">
      <c r="A298" s="14">
        <f>291</f>
        <v>291</v>
      </c>
      <c r="B298" s="14" t="str">
        <f>'Master Hunt List'!A291</f>
        <v>No</v>
      </c>
      <c r="C298" s="14" t="str">
        <f>'Master Hunt List'!B291</f>
        <v>B</v>
      </c>
      <c r="D298" s="14" t="str">
        <f>'Master Hunt List'!C291</f>
        <v>Waterfowl/Upland</v>
      </c>
      <c r="E298" s="14" t="str">
        <f>'Master Hunt List'!D291</f>
        <v>Lake Tawakoni WMA</v>
      </c>
      <c r="F298" s="14" t="str">
        <f>'Master Hunt List'!E291</f>
        <v>DFW/North Texas</v>
      </c>
      <c r="G298" s="14" t="str">
        <f>'Master Hunt List'!F291</f>
        <v>Waterfowl</v>
      </c>
      <c r="H298" s="14" t="str">
        <f>'Master Hunt List'!G291</f>
        <v>Yes</v>
      </c>
      <c r="I298" s="14" t="str">
        <f>'Master Hunt List'!H291</f>
        <v>Yes</v>
      </c>
      <c r="J298" s="15" t="str">
        <f>'Master Hunt List'!I291</f>
        <v>2026-08-15</v>
      </c>
      <c r="K298" s="27">
        <f>'Master Hunt List'!K291</f>
        <v>0</v>
      </c>
      <c r="L298" s="14" t="str">
        <f>'Master Hunt List'!AF291</f>
        <v/>
      </c>
      <c r="M298" s="14" t="str">
        <f>'Master Hunt List'!AH291</f>
        <v/>
      </c>
      <c r="N298" s="14" t="str">
        <f>'Master Hunt List'!AI291</f>
        <v/>
      </c>
      <c r="O298" s="61" t="str">
        <f>'Master Hunt List'!V291</f>
        <v>https://tpwd.texas.gov/huntwild/hunt/public/public_hunt_drawing/hunt-area-details.phtml?OArea=LW</v>
      </c>
    </row>
    <row r="299" ht="15.75" customHeight="1">
      <c r="A299" s="14">
        <f>292</f>
        <v>292</v>
      </c>
      <c r="B299" s="14" t="str">
        <f>'Master Hunt List'!A292</f>
        <v>No</v>
      </c>
      <c r="C299" s="14" t="str">
        <f>'Master Hunt List'!B292</f>
        <v>C</v>
      </c>
      <c r="D299" s="14" t="str">
        <f>'Master Hunt List'!C292</f>
        <v>Feral Hog</v>
      </c>
      <c r="E299" s="14" t="str">
        <f>'Master Hunt List'!D292</f>
        <v>Gus Engeling WMA</v>
      </c>
      <c r="F299" s="14" t="str">
        <f>'Master Hunt List'!E292</f>
        <v>East TX Stretch</v>
      </c>
      <c r="G299" s="14" t="str">
        <f>'Master Hunt List'!F292</f>
        <v>Feral Hog / Deer</v>
      </c>
      <c r="H299" s="14" t="str">
        <f>'Master Hunt List'!G292</f>
        <v>Yes</v>
      </c>
      <c r="I299" s="14" t="str">
        <f>'Master Hunt List'!H292</f>
        <v>Yes</v>
      </c>
      <c r="J299" s="15" t="str">
        <f>'Master Hunt List'!I292</f>
        <v>2026-09-15</v>
      </c>
      <c r="K299" s="27">
        <f>'Master Hunt List'!K292</f>
        <v>3</v>
      </c>
      <c r="L299" s="14" t="str">
        <f>'Master Hunt List'!AF292</f>
        <v/>
      </c>
      <c r="M299" s="14" t="str">
        <f>'Master Hunt List'!AH292</f>
        <v/>
      </c>
      <c r="N299" s="14" t="str">
        <f>'Master Hunt List'!AI292</f>
        <v/>
      </c>
      <c r="O299" s="61" t="str">
        <f>'Master Hunt List'!V292</f>
        <v>https://tpwd.texas.gov/huntwild/hunt/public/public_hunt_drawing/hunt-area-details.phtml?OArea=GU</v>
      </c>
    </row>
    <row r="300" ht="15.75" customHeight="1">
      <c r="A300" s="14">
        <f>293</f>
        <v>293</v>
      </c>
      <c r="B300" s="14" t="str">
        <f>'Master Hunt List'!A293</f>
        <v>No</v>
      </c>
      <c r="C300" s="14" t="str">
        <f>'Master Hunt List'!B293</f>
        <v>C</v>
      </c>
      <c r="D300" s="14" t="str">
        <f>'Master Hunt List'!C293</f>
        <v>Feral Hog</v>
      </c>
      <c r="E300" s="14" t="str">
        <f>'Master Hunt List'!D293</f>
        <v>Fort Boggy SP</v>
      </c>
      <c r="F300" s="14" t="str">
        <f>'Master Hunt List'!E293</f>
        <v>East TX Stretch</v>
      </c>
      <c r="G300" s="14" t="str">
        <f>'Master Hunt List'!F293</f>
        <v>Feral Hog</v>
      </c>
      <c r="H300" s="14" t="str">
        <f>'Master Hunt List'!G293</f>
        <v>Yes</v>
      </c>
      <c r="I300" s="14" t="str">
        <f>'Master Hunt List'!H293</f>
        <v>Yes</v>
      </c>
      <c r="J300" s="15" t="str">
        <f>'Master Hunt List'!I293</f>
        <v>2026-11-01</v>
      </c>
      <c r="K300" s="27">
        <f>'Master Hunt List'!K293</f>
        <v>3</v>
      </c>
      <c r="L300" s="14" t="str">
        <f>'Master Hunt List'!AF293</f>
        <v/>
      </c>
      <c r="M300" s="14" t="str">
        <f>'Master Hunt List'!AH293</f>
        <v/>
      </c>
      <c r="N300" s="14" t="str">
        <f>'Master Hunt List'!AI293</f>
        <v/>
      </c>
      <c r="O300" s="61" t="str">
        <f>'Master Hunt List'!V293</f>
        <v>https://tpwd.texas.gov/huntwild/hunt/public/public_hunt_drawing/hunt-category-details.phtml?OCat=GFH</v>
      </c>
    </row>
    <row r="301" ht="15.75" customHeight="1">
      <c r="A301" s="14">
        <f>294</f>
        <v>294</v>
      </c>
      <c r="B301" s="14" t="str">
        <f>'Master Hunt List'!A294</f>
        <v>No</v>
      </c>
      <c r="C301" s="14" t="str">
        <f>'Master Hunt List'!B294</f>
        <v>C</v>
      </c>
      <c r="D301" s="14" t="str">
        <f>'Master Hunt List'!C294</f>
        <v>Feral Hog</v>
      </c>
      <c r="E301" s="14" t="str">
        <f>'Master Hunt List'!D294</f>
        <v>Justin Hurst WMA</v>
      </c>
      <c r="F301" s="14" t="str">
        <f>'Master Hunt List'!E294</f>
        <v>Far Stretch</v>
      </c>
      <c r="G301" s="14" t="str">
        <f>'Master Hunt List'!F294</f>
        <v>Youth Only Feral Hog</v>
      </c>
      <c r="H301" s="14" t="str">
        <f>'Master Hunt List'!G294</f>
        <v>No</v>
      </c>
      <c r="I301" s="14" t="str">
        <f>'Master Hunt List'!H294</f>
        <v>Yes</v>
      </c>
      <c r="J301" s="15" t="str">
        <f>'Master Hunt List'!I294</f>
        <v>2026-11-01</v>
      </c>
      <c r="K301" s="27">
        <f>'Master Hunt List'!K294</f>
        <v>0</v>
      </c>
      <c r="L301" s="14" t="str">
        <f>'Master Hunt List'!AF294</f>
        <v/>
      </c>
      <c r="M301" s="14" t="str">
        <f>'Master Hunt List'!AH294</f>
        <v/>
      </c>
      <c r="N301" s="14" t="str">
        <f>'Master Hunt List'!AI294</f>
        <v/>
      </c>
      <c r="O301" s="61" t="str">
        <f>'Master Hunt List'!V294</f>
        <v>https://tpwd.texas.gov/huntwild/hunt/public/public_hunt_drawing/hunt-category-details.phtml?OCat=YFH</v>
      </c>
    </row>
    <row r="302" ht="15.75" customHeight="1">
      <c r="A302" s="14">
        <f>295</f>
        <v>295</v>
      </c>
      <c r="B302" s="14" t="str">
        <f>'Master Hunt List'!A295</f>
        <v>No</v>
      </c>
      <c r="C302" s="14" t="str">
        <f>'Master Hunt List'!B295</f>
        <v>C</v>
      </c>
      <c r="D302" s="14" t="str">
        <f>'Master Hunt List'!C295</f>
        <v>Exotics</v>
      </c>
      <c r="E302" s="14" t="str">
        <f>'Master Hunt List'!D295</f>
        <v>Guided Exotic Packages</v>
      </c>
      <c r="F302" s="14" t="str">
        <f>'Master Hunt List'!E295</f>
        <v>Statewide/Dream</v>
      </c>
      <c r="G302" s="14" t="str">
        <f>'Master Hunt List'!F295</f>
        <v>Guided Exotic / Gemsbok / Oryx</v>
      </c>
      <c r="H302" s="14" t="str">
        <f>'Master Hunt List'!G295</f>
        <v>Yes</v>
      </c>
      <c r="I302" s="14" t="str">
        <f>'Master Hunt List'!H295</f>
        <v>Maybe</v>
      </c>
      <c r="J302" s="15" t="str">
        <f>'Master Hunt List'!I295</f>
        <v>Varies</v>
      </c>
      <c r="K302" s="27">
        <f>'Master Hunt List'!K295</f>
        <v>10</v>
      </c>
      <c r="L302" s="14" t="str">
        <f>'Master Hunt List'!AF295</f>
        <v/>
      </c>
      <c r="M302" s="14" t="str">
        <f>'Master Hunt List'!AH295</f>
        <v/>
      </c>
      <c r="N302" s="14" t="str">
        <f>'Master Hunt List'!AI295</f>
        <v/>
      </c>
      <c r="O302" s="61" t="str">
        <f>'Master Hunt List'!V295</f>
        <v>https://tpwd.texas.gov/huntwild/hunt/public/public_hunt_drawing/hunt-categories.phtml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conditionalFormatting sqref="A5:A57">
    <cfRule type="expression" dxfId="12" priority="1">
      <formula>$A5="Due Soon"</formula>
    </cfRule>
  </conditionalFormatting>
  <conditionalFormatting sqref="A5:A57">
    <cfRule type="expression" dxfId="13" priority="2">
      <formula>$A5="Past Due"</formula>
    </cfRule>
  </conditionalFormatting>
  <conditionalFormatting sqref="A5:A57">
    <cfRule type="expression" dxfId="6" priority="3">
      <formula>$A5="Applied"</formula>
    </cfRule>
  </conditionalFormatting>
  <conditionalFormatting sqref="H5:H57">
    <cfRule type="expression" dxfId="14" priority="4">
      <formula>$H5="Yes"</formula>
    </cfRule>
  </conditionalFormatting>
  <conditionalFormatting sqref="I5:I57">
    <cfRule type="expression" dxfId="6" priority="5">
      <formula>$I5="Drawn"</formula>
    </cfRule>
  </conditionalFormatting>
  <conditionalFormatting sqref="I5:I57">
    <cfRule type="expression" dxfId="7" priority="6">
      <formula>$I5="Not Drawn"</formula>
    </cfRule>
  </conditionalFormatting>
  <conditionalFormatting sqref="B9:B302">
    <cfRule type="expression" dxfId="4" priority="7">
      <formula>B9="Yes"</formula>
    </cfRule>
  </conditionalFormatting>
  <conditionalFormatting sqref="J9:J302">
    <cfRule type="expression" dxfId="8" priority="8">
      <formula>AND($B9="No",$J9&gt;=TODAY(),$J9&lt;=TODAY()+14)</formula>
    </cfRule>
  </conditionalFormatting>
  <conditionalFormatting sqref="J9:J302">
    <cfRule type="expression" dxfId="9" priority="9">
      <formula>AND($B9="No",$J9&lt;TODAY())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2.0"/>
    <col customWidth="1" min="3" max="3" width="52.0"/>
    <col customWidth="1" min="4" max="8" width="16.0"/>
    <col customWidth="1" min="9" max="26" width="8.63"/>
  </cols>
  <sheetData>
    <row r="1" ht="33.75" customHeight="1">
      <c r="A1" s="39" t="s">
        <v>760</v>
      </c>
    </row>
    <row r="3">
      <c r="A3" s="40" t="s">
        <v>761</v>
      </c>
    </row>
    <row r="6" ht="21.75" customHeight="1">
      <c r="A6" s="41" t="s">
        <v>762</v>
      </c>
    </row>
    <row r="7">
      <c r="A7" s="42" t="s">
        <v>763</v>
      </c>
      <c r="B7" s="44" t="s">
        <v>764</v>
      </c>
      <c r="C7" s="14" t="s">
        <v>765</v>
      </c>
    </row>
    <row r="8">
      <c r="A8" s="42" t="s">
        <v>766</v>
      </c>
      <c r="B8" s="44" t="s">
        <v>767</v>
      </c>
      <c r="C8" s="14" t="s">
        <v>768</v>
      </c>
    </row>
    <row r="9">
      <c r="A9" s="42" t="s">
        <v>769</v>
      </c>
      <c r="B9" s="44" t="s">
        <v>770</v>
      </c>
      <c r="C9" s="14" t="s">
        <v>771</v>
      </c>
    </row>
    <row r="10">
      <c r="A10" s="42" t="s">
        <v>772</v>
      </c>
      <c r="B10" s="44" t="s">
        <v>773</v>
      </c>
      <c r="C10" s="14" t="s">
        <v>774</v>
      </c>
    </row>
    <row r="11">
      <c r="A11" s="42" t="s">
        <v>775</v>
      </c>
      <c r="B11" s="44" t="s">
        <v>776</v>
      </c>
      <c r="C11" s="14" t="s">
        <v>777</v>
      </c>
    </row>
    <row r="12">
      <c r="A12" s="42" t="s">
        <v>778</v>
      </c>
      <c r="B12" s="44" t="s">
        <v>779</v>
      </c>
      <c r="C12" s="14" t="s">
        <v>780</v>
      </c>
    </row>
    <row r="14" ht="21.75" customHeight="1">
      <c r="A14" s="41" t="s">
        <v>781</v>
      </c>
    </row>
    <row r="15">
      <c r="A15" s="50" t="s">
        <v>783</v>
      </c>
      <c r="B15" s="14" t="s">
        <v>784</v>
      </c>
      <c r="C15" s="14"/>
      <c r="D15" s="14"/>
      <c r="E15" s="14"/>
      <c r="F15" s="14"/>
      <c r="G15" s="14"/>
      <c r="H15" s="14"/>
    </row>
    <row r="16">
      <c r="A16" s="50" t="s">
        <v>785</v>
      </c>
      <c r="B16" s="14" t="s">
        <v>787</v>
      </c>
      <c r="C16" s="14"/>
      <c r="D16" s="14"/>
      <c r="E16" s="14"/>
      <c r="F16" s="14"/>
      <c r="G16" s="14"/>
      <c r="H16" s="14"/>
    </row>
    <row r="17">
      <c r="A17" s="50" t="s">
        <v>788</v>
      </c>
      <c r="B17" s="14" t="s">
        <v>790</v>
      </c>
      <c r="C17" s="14"/>
      <c r="D17" s="14"/>
      <c r="E17" s="14"/>
      <c r="F17" s="14"/>
      <c r="G17" s="14"/>
      <c r="H17" s="14"/>
    </row>
    <row r="18">
      <c r="A18" s="50" t="s">
        <v>792</v>
      </c>
      <c r="B18" s="14" t="s">
        <v>793</v>
      </c>
      <c r="C18" s="14"/>
      <c r="D18" s="14"/>
      <c r="E18" s="14"/>
      <c r="F18" s="14"/>
      <c r="G18" s="14"/>
      <c r="H18" s="14"/>
    </row>
    <row r="19">
      <c r="A19" s="50" t="s">
        <v>794</v>
      </c>
      <c r="B19" s="14" t="s">
        <v>795</v>
      </c>
      <c r="C19" s="14"/>
      <c r="D19" s="14"/>
      <c r="E19" s="14"/>
      <c r="F19" s="14"/>
      <c r="G19" s="14"/>
      <c r="H19" s="14"/>
    </row>
    <row r="21" ht="21.75" customHeight="1">
      <c r="A21" s="41" t="s">
        <v>796</v>
      </c>
    </row>
    <row r="22" ht="15.75" customHeight="1">
      <c r="A22" s="54" t="s">
        <v>797</v>
      </c>
    </row>
    <row r="23" ht="15.75" customHeight="1"/>
    <row r="24" ht="15.75" customHeight="1">
      <c r="A24" s="2" t="s">
        <v>798</v>
      </c>
      <c r="B24" s="2"/>
      <c r="C24" s="2"/>
    </row>
    <row r="25" ht="15.75" customHeight="1">
      <c r="A25" s="14" t="s">
        <v>73</v>
      </c>
      <c r="B25" s="14" t="s">
        <v>799</v>
      </c>
      <c r="C25" s="14" t="s">
        <v>800</v>
      </c>
    </row>
    <row r="26" ht="15.75" customHeight="1">
      <c r="A26" s="14" t="s">
        <v>801</v>
      </c>
      <c r="B26" s="14" t="s">
        <v>802</v>
      </c>
      <c r="C26" s="14" t="s">
        <v>803</v>
      </c>
    </row>
    <row r="27" ht="15.75" customHeight="1">
      <c r="A27" s="14" t="s">
        <v>50</v>
      </c>
      <c r="B27" s="14" t="s">
        <v>804</v>
      </c>
      <c r="C27" s="14" t="s">
        <v>805</v>
      </c>
    </row>
    <row r="28" ht="15.75" customHeight="1">
      <c r="A28" s="14" t="s">
        <v>806</v>
      </c>
      <c r="B28" s="14" t="s">
        <v>807</v>
      </c>
      <c r="C28" s="14" t="s">
        <v>808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3:H4"/>
    <mergeCell ref="A6:H6"/>
    <mergeCell ref="A14:H14"/>
    <mergeCell ref="A21:H21"/>
    <mergeCell ref="A22:H2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15.0"/>
    <col customWidth="1" min="4" max="4" width="45.0"/>
    <col customWidth="1" min="5" max="10" width="15.0"/>
    <col customWidth="1" min="11" max="26" width="8.63"/>
  </cols>
  <sheetData>
    <row r="1" ht="33.75" customHeight="1">
      <c r="A1" s="39" t="s">
        <v>809</v>
      </c>
    </row>
    <row r="3" ht="21.75" customHeight="1">
      <c r="A3" s="41" t="s">
        <v>810</v>
      </c>
    </row>
    <row r="4">
      <c r="A4" s="59" t="s">
        <v>4</v>
      </c>
      <c r="B4" s="59" t="s">
        <v>811</v>
      </c>
      <c r="D4" s="59" t="s">
        <v>4</v>
      </c>
      <c r="E4" s="59" t="s">
        <v>811</v>
      </c>
    </row>
    <row r="5">
      <c r="A5" s="60" t="s">
        <v>812</v>
      </c>
      <c r="B5" s="60">
        <f>COUNTIFS('State Points'!$F$4:$F$200,2026,'State Points'!$G$4:$G$200,"Buy point")</f>
        <v>6</v>
      </c>
      <c r="D5" s="60" t="s">
        <v>813</v>
      </c>
      <c r="E5" s="60">
        <f>COUNTIFS('Annual Strategy'!$A$4:$A$100,2026)</f>
        <v>9</v>
      </c>
    </row>
    <row r="6">
      <c r="A6" s="60" t="s">
        <v>814</v>
      </c>
      <c r="B6" s="60">
        <f>COUNTA('State Points'!$A$4:$A$200)</f>
        <v>9</v>
      </c>
      <c r="D6" s="60" t="s">
        <v>815</v>
      </c>
      <c r="E6" s="60">
        <f>COUNTIFS('State Applications'!$A$4:$A$500,2026,'State Applications'!$L$4:$L$500,"Submitted")</f>
        <v>0</v>
      </c>
    </row>
    <row r="7">
      <c r="A7" s="60" t="s">
        <v>816</v>
      </c>
      <c r="B7" s="60">
        <f>COUNTA('Dream Hunts'!$A$4:$A$100)</f>
        <v>3</v>
      </c>
      <c r="D7" s="60" t="s">
        <v>817</v>
      </c>
      <c r="E7" s="60">
        <f>COUNTIFS('State Applications'!$A$4:$A$500,2026,'State Applications'!$E$4:$E$500,"Point purchase",'State Applications'!$L$4:$L$500,"Submitted")</f>
        <v>0</v>
      </c>
    </row>
    <row r="8">
      <c r="A8" s="60" t="s">
        <v>818</v>
      </c>
      <c r="B8" s="62">
        <f>SUM('Dream Hunt Fund'!$D$4:$D$100)</f>
        <v>0</v>
      </c>
      <c r="D8" s="60" t="s">
        <v>819</v>
      </c>
      <c r="E8" s="62">
        <f>SUMIFS('Annual Strategy'!$K$4:$K$100,'Annual Strategy'!$A$4:$A$100,2026)</f>
        <v>350</v>
      </c>
    </row>
    <row r="9">
      <c r="A9" s="60" t="s">
        <v>822</v>
      </c>
      <c r="B9" s="60">
        <f>COUNTA('Hunt Journal'!$A$4:$A$500)</f>
        <v>0</v>
      </c>
      <c r="D9" s="60" t="s">
        <v>829</v>
      </c>
      <c r="E9" s="62">
        <f>SUMIFS('Annual Strategy'!$L$4:$L$100,'Annual Strategy'!$A$4:$A$100,2026)</f>
        <v>0</v>
      </c>
    </row>
    <row r="10">
      <c r="A10" s="60" t="s">
        <v>834</v>
      </c>
      <c r="B10" s="60">
        <f>COUNTA('State Applications'!$A$4:$A$500)</f>
        <v>0</v>
      </c>
      <c r="D10" s="60" t="s">
        <v>835</v>
      </c>
      <c r="E10" s="60">
        <f>SUMIFS('Annual Strategy'!$J$4:$J$100,'Annual Strategy'!$A$4:$A$100,2026)</f>
        <v>6</v>
      </c>
    </row>
    <row r="13" ht="21.75" customHeight="1">
      <c r="A13" s="41" t="s">
        <v>841</v>
      </c>
    </row>
    <row r="14">
      <c r="A14" s="59" t="s">
        <v>842</v>
      </c>
      <c r="B14" s="59" t="s">
        <v>843</v>
      </c>
      <c r="C14" s="59" t="s">
        <v>749</v>
      </c>
      <c r="D14" s="59" t="s">
        <v>16</v>
      </c>
    </row>
    <row r="15">
      <c r="A15" s="14" t="s">
        <v>848</v>
      </c>
      <c r="B15" s="14" t="s">
        <v>849</v>
      </c>
      <c r="C15" s="14" t="s">
        <v>851</v>
      </c>
      <c r="D15" s="14" t="s">
        <v>853</v>
      </c>
    </row>
    <row r="16">
      <c r="A16" s="14" t="s">
        <v>855</v>
      </c>
      <c r="B16" s="14" t="s">
        <v>857</v>
      </c>
      <c r="C16" s="14" t="s">
        <v>844</v>
      </c>
      <c r="D16" s="14" t="s">
        <v>860</v>
      </c>
    </row>
    <row r="17">
      <c r="A17" s="14" t="s">
        <v>862</v>
      </c>
      <c r="B17" s="14" t="s">
        <v>864</v>
      </c>
      <c r="C17" s="14" t="s">
        <v>844</v>
      </c>
      <c r="D17" s="14" t="s">
        <v>867</v>
      </c>
    </row>
    <row r="18">
      <c r="A18" s="14" t="s">
        <v>868</v>
      </c>
      <c r="B18" s="14" t="s">
        <v>869</v>
      </c>
      <c r="C18" s="14" t="s">
        <v>718</v>
      </c>
      <c r="D18" s="14" t="s">
        <v>870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D3:J3"/>
    <mergeCell ref="A13:J1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4.0"/>
    <col customWidth="1" min="6" max="6" width="28.0"/>
    <col customWidth="1" min="7" max="14" width="14.0"/>
    <col customWidth="1" min="15" max="16" width="32.0"/>
    <col customWidth="1" min="17" max="26" width="8.63"/>
  </cols>
  <sheetData>
    <row r="1" ht="33.75" customHeight="1">
      <c r="A1" s="39" t="s">
        <v>820</v>
      </c>
    </row>
    <row r="3">
      <c r="A3" s="59" t="s">
        <v>569</v>
      </c>
      <c r="B3" s="59" t="s">
        <v>5</v>
      </c>
      <c r="C3" s="59" t="s">
        <v>821</v>
      </c>
      <c r="D3" s="59" t="s">
        <v>502</v>
      </c>
      <c r="E3" s="59" t="s">
        <v>823</v>
      </c>
      <c r="F3" s="59" t="s">
        <v>824</v>
      </c>
      <c r="G3" s="59" t="s">
        <v>825</v>
      </c>
      <c r="H3" s="59" t="s">
        <v>826</v>
      </c>
      <c r="I3" s="59" t="s">
        <v>827</v>
      </c>
      <c r="J3" s="59" t="s">
        <v>828</v>
      </c>
      <c r="K3" s="59" t="s">
        <v>830</v>
      </c>
      <c r="L3" s="59" t="s">
        <v>831</v>
      </c>
      <c r="M3" s="59" t="s">
        <v>749</v>
      </c>
      <c r="N3" s="59" t="s">
        <v>832</v>
      </c>
      <c r="O3" s="59" t="s">
        <v>833</v>
      </c>
      <c r="P3" s="59" t="s">
        <v>16</v>
      </c>
    </row>
    <row r="4">
      <c r="A4" s="63">
        <v>2026.0</v>
      </c>
      <c r="B4" s="14" t="s">
        <v>121</v>
      </c>
      <c r="C4" s="14" t="s">
        <v>783</v>
      </c>
      <c r="D4" s="14" t="s">
        <v>836</v>
      </c>
      <c r="E4" s="14" t="s">
        <v>837</v>
      </c>
      <c r="F4" s="14" t="s">
        <v>838</v>
      </c>
      <c r="G4" s="14" t="s">
        <v>839</v>
      </c>
      <c r="H4" s="14" t="s">
        <v>840</v>
      </c>
      <c r="I4" s="14" t="s">
        <v>717</v>
      </c>
      <c r="J4" s="14">
        <v>6.0</v>
      </c>
      <c r="K4" s="64">
        <v>350.0</v>
      </c>
      <c r="L4" s="64"/>
      <c r="M4" s="14" t="s">
        <v>844</v>
      </c>
      <c r="N4" s="14" t="s">
        <v>845</v>
      </c>
      <c r="O4" s="14" t="s">
        <v>846</v>
      </c>
      <c r="P4" s="14" t="s">
        <v>847</v>
      </c>
    </row>
    <row r="5">
      <c r="A5" s="63">
        <v>2026.0</v>
      </c>
      <c r="B5" s="14" t="s">
        <v>850</v>
      </c>
      <c r="C5" s="14" t="s">
        <v>785</v>
      </c>
      <c r="D5" s="14" t="s">
        <v>852</v>
      </c>
      <c r="E5" s="14" t="s">
        <v>21</v>
      </c>
      <c r="F5" s="14" t="s">
        <v>854</v>
      </c>
      <c r="G5" s="14" t="s">
        <v>856</v>
      </c>
      <c r="H5" s="14" t="s">
        <v>858</v>
      </c>
      <c r="I5" s="14" t="s">
        <v>859</v>
      </c>
      <c r="J5" s="14">
        <v>0.0</v>
      </c>
      <c r="K5" s="64"/>
      <c r="L5" s="64"/>
      <c r="M5" s="14" t="s">
        <v>861</v>
      </c>
      <c r="N5" s="14" t="s">
        <v>863</v>
      </c>
      <c r="O5" s="14" t="s">
        <v>865</v>
      </c>
      <c r="P5" s="14" t="s">
        <v>866</v>
      </c>
    </row>
    <row r="6">
      <c r="A6" s="63">
        <v>2026.0</v>
      </c>
      <c r="B6" s="14" t="s">
        <v>850</v>
      </c>
      <c r="C6" s="14" t="s">
        <v>785</v>
      </c>
      <c r="D6" s="14" t="s">
        <v>852</v>
      </c>
      <c r="E6" s="14" t="s">
        <v>22</v>
      </c>
      <c r="F6" s="14" t="s">
        <v>854</v>
      </c>
      <c r="G6" s="14" t="s">
        <v>856</v>
      </c>
      <c r="H6" s="14" t="s">
        <v>858</v>
      </c>
      <c r="I6" s="14" t="s">
        <v>859</v>
      </c>
      <c r="J6" s="14">
        <v>0.0</v>
      </c>
      <c r="K6" s="64"/>
      <c r="L6" s="64"/>
      <c r="M6" s="14" t="s">
        <v>861</v>
      </c>
      <c r="N6" s="14" t="s">
        <v>863</v>
      </c>
      <c r="O6" s="14" t="s">
        <v>865</v>
      </c>
      <c r="P6" s="14" t="s">
        <v>866</v>
      </c>
    </row>
    <row r="7">
      <c r="A7" s="63">
        <v>2026.0</v>
      </c>
      <c r="B7" s="14" t="s">
        <v>850</v>
      </c>
      <c r="C7" s="14" t="s">
        <v>785</v>
      </c>
      <c r="D7" s="14" t="s">
        <v>836</v>
      </c>
      <c r="E7" s="14" t="s">
        <v>21</v>
      </c>
      <c r="F7" s="14" t="s">
        <v>854</v>
      </c>
      <c r="G7" s="14" t="s">
        <v>856</v>
      </c>
      <c r="H7" s="14" t="s">
        <v>858</v>
      </c>
      <c r="I7" s="14" t="s">
        <v>859</v>
      </c>
      <c r="J7" s="14">
        <v>0.0</v>
      </c>
      <c r="K7" s="64"/>
      <c r="L7" s="64"/>
      <c r="M7" s="14" t="s">
        <v>861</v>
      </c>
      <c r="N7" s="14" t="s">
        <v>863</v>
      </c>
      <c r="O7" s="14" t="s">
        <v>865</v>
      </c>
      <c r="P7" s="14" t="s">
        <v>866</v>
      </c>
    </row>
    <row r="8">
      <c r="A8" s="63">
        <v>2026.0</v>
      </c>
      <c r="B8" s="14" t="s">
        <v>850</v>
      </c>
      <c r="C8" s="14" t="s">
        <v>785</v>
      </c>
      <c r="D8" s="14" t="s">
        <v>836</v>
      </c>
      <c r="E8" s="14" t="s">
        <v>22</v>
      </c>
      <c r="F8" s="14" t="s">
        <v>854</v>
      </c>
      <c r="G8" s="14" t="s">
        <v>856</v>
      </c>
      <c r="H8" s="14" t="s">
        <v>858</v>
      </c>
      <c r="I8" s="14" t="s">
        <v>859</v>
      </c>
      <c r="J8" s="14">
        <v>0.0</v>
      </c>
      <c r="K8" s="64"/>
      <c r="L8" s="64"/>
      <c r="M8" s="14" t="s">
        <v>861</v>
      </c>
      <c r="N8" s="14" t="s">
        <v>863</v>
      </c>
      <c r="O8" s="14" t="s">
        <v>865</v>
      </c>
      <c r="P8" s="14" t="s">
        <v>866</v>
      </c>
    </row>
    <row r="9">
      <c r="A9" s="63">
        <v>2026.0</v>
      </c>
      <c r="B9" s="14" t="s">
        <v>850</v>
      </c>
      <c r="C9" s="14" t="s">
        <v>785</v>
      </c>
      <c r="D9" s="14" t="s">
        <v>871</v>
      </c>
      <c r="E9" s="14" t="s">
        <v>21</v>
      </c>
      <c r="F9" s="14" t="s">
        <v>854</v>
      </c>
      <c r="G9" s="14" t="s">
        <v>856</v>
      </c>
      <c r="H9" s="14" t="s">
        <v>858</v>
      </c>
      <c r="I9" s="14" t="s">
        <v>859</v>
      </c>
      <c r="J9" s="14">
        <v>0.0</v>
      </c>
      <c r="K9" s="64"/>
      <c r="L9" s="64"/>
      <c r="M9" s="14" t="s">
        <v>861</v>
      </c>
      <c r="N9" s="14" t="s">
        <v>863</v>
      </c>
      <c r="O9" s="14" t="s">
        <v>865</v>
      </c>
      <c r="P9" s="14" t="s">
        <v>866</v>
      </c>
    </row>
    <row r="10">
      <c r="A10" s="63">
        <v>2026.0</v>
      </c>
      <c r="B10" s="14" t="s">
        <v>850</v>
      </c>
      <c r="C10" s="14" t="s">
        <v>785</v>
      </c>
      <c r="D10" s="14" t="s">
        <v>871</v>
      </c>
      <c r="E10" s="14" t="s">
        <v>22</v>
      </c>
      <c r="F10" s="14" t="s">
        <v>854</v>
      </c>
      <c r="G10" s="14" t="s">
        <v>856</v>
      </c>
      <c r="H10" s="14" t="s">
        <v>858</v>
      </c>
      <c r="I10" s="14" t="s">
        <v>859</v>
      </c>
      <c r="J10" s="14">
        <v>0.0</v>
      </c>
      <c r="K10" s="64"/>
      <c r="L10" s="64"/>
      <c r="M10" s="14" t="s">
        <v>861</v>
      </c>
      <c r="N10" s="14" t="s">
        <v>863</v>
      </c>
      <c r="O10" s="14" t="s">
        <v>865</v>
      </c>
      <c r="P10" s="14" t="s">
        <v>866</v>
      </c>
    </row>
    <row r="11">
      <c r="A11" s="63">
        <v>2026.0</v>
      </c>
      <c r="B11" s="14" t="s">
        <v>872</v>
      </c>
      <c r="C11" s="14" t="s">
        <v>788</v>
      </c>
      <c r="D11" s="14" t="s">
        <v>873</v>
      </c>
      <c r="E11" s="14" t="s">
        <v>837</v>
      </c>
      <c r="F11" s="14" t="s">
        <v>874</v>
      </c>
      <c r="G11" s="14" t="s">
        <v>875</v>
      </c>
      <c r="H11" s="14" t="s">
        <v>872</v>
      </c>
      <c r="I11" s="14" t="s">
        <v>876</v>
      </c>
      <c r="J11" s="14">
        <v>0.0</v>
      </c>
      <c r="K11" s="64">
        <v>0.0</v>
      </c>
      <c r="L11" s="64"/>
      <c r="M11" s="14" t="s">
        <v>877</v>
      </c>
      <c r="N11" s="14" t="s">
        <v>863</v>
      </c>
      <c r="O11" s="14" t="s">
        <v>878</v>
      </c>
      <c r="P11" s="14" t="s">
        <v>879</v>
      </c>
    </row>
    <row r="12">
      <c r="A12" s="63">
        <v>2026.0</v>
      </c>
      <c r="B12" s="14" t="s">
        <v>872</v>
      </c>
      <c r="C12" s="14" t="s">
        <v>792</v>
      </c>
      <c r="D12" s="14" t="s">
        <v>873</v>
      </c>
      <c r="E12" s="14" t="s">
        <v>837</v>
      </c>
      <c r="F12" s="14" t="s">
        <v>880</v>
      </c>
      <c r="G12" s="14" t="s">
        <v>839</v>
      </c>
      <c r="H12" s="14" t="s">
        <v>872</v>
      </c>
      <c r="I12" s="14" t="s">
        <v>876</v>
      </c>
      <c r="J12" s="14">
        <v>0.0</v>
      </c>
      <c r="K12" s="64">
        <v>0.0</v>
      </c>
      <c r="L12" s="64"/>
      <c r="M12" s="14" t="s">
        <v>877</v>
      </c>
      <c r="N12" s="14" t="s">
        <v>863</v>
      </c>
      <c r="O12" s="14" t="s">
        <v>881</v>
      </c>
      <c r="P12" s="14" t="s">
        <v>882</v>
      </c>
    </row>
    <row r="13">
      <c r="A13" s="63">
        <v>2032.0</v>
      </c>
      <c r="B13" s="14" t="s">
        <v>718</v>
      </c>
      <c r="C13" s="14" t="s">
        <v>794</v>
      </c>
      <c r="D13" s="14" t="s">
        <v>883</v>
      </c>
      <c r="E13" s="14" t="s">
        <v>837</v>
      </c>
      <c r="F13" s="14" t="s">
        <v>884</v>
      </c>
      <c r="G13" s="14" t="s">
        <v>885</v>
      </c>
      <c r="H13" s="14" t="s">
        <v>886</v>
      </c>
      <c r="I13" s="14" t="s">
        <v>887</v>
      </c>
      <c r="J13" s="14">
        <v>12.0</v>
      </c>
      <c r="K13" s="64">
        <v>18000.0</v>
      </c>
      <c r="L13" s="64"/>
      <c r="M13" s="14" t="s">
        <v>718</v>
      </c>
      <c r="N13" s="14" t="s">
        <v>863</v>
      </c>
      <c r="O13" s="14" t="s">
        <v>888</v>
      </c>
      <c r="P13" s="14" t="s">
        <v>889</v>
      </c>
    </row>
    <row r="14">
      <c r="A14" s="63"/>
      <c r="B14" s="14"/>
      <c r="C14" s="14"/>
      <c r="D14" s="14"/>
      <c r="E14" s="14"/>
      <c r="F14" s="14"/>
      <c r="G14" s="14"/>
      <c r="H14" s="14"/>
      <c r="I14" s="14"/>
      <c r="J14" s="14"/>
      <c r="K14" s="64"/>
      <c r="L14" s="64"/>
      <c r="M14" s="14"/>
      <c r="N14" s="14"/>
      <c r="O14" s="14"/>
      <c r="P14" s="14"/>
    </row>
    <row r="15">
      <c r="A15" s="63"/>
      <c r="B15" s="14"/>
      <c r="C15" s="14"/>
      <c r="D15" s="14"/>
      <c r="E15" s="14"/>
      <c r="F15" s="14"/>
      <c r="G15" s="14"/>
      <c r="H15" s="14"/>
      <c r="I15" s="14"/>
      <c r="J15" s="14"/>
      <c r="K15" s="64"/>
      <c r="L15" s="64"/>
      <c r="M15" s="14"/>
      <c r="N15" s="14"/>
      <c r="O15" s="14"/>
      <c r="P15" s="14"/>
    </row>
    <row r="16">
      <c r="A16" s="63"/>
      <c r="B16" s="14"/>
      <c r="C16" s="14"/>
      <c r="D16" s="14"/>
      <c r="E16" s="14"/>
      <c r="F16" s="14"/>
      <c r="G16" s="14"/>
      <c r="H16" s="14"/>
      <c r="I16" s="14"/>
      <c r="J16" s="14"/>
      <c r="K16" s="64"/>
      <c r="L16" s="64"/>
      <c r="M16" s="14"/>
      <c r="N16" s="14"/>
      <c r="O16" s="14"/>
      <c r="P16" s="14"/>
    </row>
    <row r="17">
      <c r="A17" s="63"/>
      <c r="B17" s="14"/>
      <c r="C17" s="14"/>
      <c r="D17" s="14"/>
      <c r="E17" s="14"/>
      <c r="F17" s="14"/>
      <c r="G17" s="14"/>
      <c r="H17" s="14"/>
      <c r="I17" s="14"/>
      <c r="J17" s="14"/>
      <c r="K17" s="64"/>
      <c r="L17" s="64"/>
      <c r="M17" s="14"/>
      <c r="N17" s="14"/>
      <c r="O17" s="14"/>
      <c r="P17" s="14"/>
    </row>
    <row r="18">
      <c r="A18" s="63"/>
      <c r="B18" s="14"/>
      <c r="C18" s="14"/>
      <c r="D18" s="14"/>
      <c r="E18" s="14"/>
      <c r="F18" s="14"/>
      <c r="G18" s="14"/>
      <c r="H18" s="14"/>
      <c r="I18" s="14"/>
      <c r="J18" s="14"/>
      <c r="K18" s="64"/>
      <c r="L18" s="64"/>
      <c r="M18" s="14"/>
      <c r="N18" s="14"/>
      <c r="O18" s="14"/>
      <c r="P18" s="14"/>
    </row>
    <row r="19">
      <c r="A19" s="63"/>
      <c r="B19" s="14"/>
      <c r="C19" s="14"/>
      <c r="D19" s="14"/>
      <c r="E19" s="14"/>
      <c r="F19" s="14"/>
      <c r="G19" s="14"/>
      <c r="H19" s="14"/>
      <c r="I19" s="14"/>
      <c r="J19" s="14"/>
      <c r="K19" s="64"/>
      <c r="L19" s="64"/>
      <c r="M19" s="14"/>
      <c r="N19" s="14"/>
      <c r="O19" s="14"/>
      <c r="P19" s="14"/>
    </row>
    <row r="20">
      <c r="A20" s="63"/>
      <c r="B20" s="14"/>
      <c r="C20" s="14"/>
      <c r="D20" s="14"/>
      <c r="E20" s="14"/>
      <c r="F20" s="14"/>
      <c r="G20" s="14"/>
      <c r="H20" s="14"/>
      <c r="I20" s="14"/>
      <c r="J20" s="14"/>
      <c r="K20" s="64"/>
      <c r="L20" s="64"/>
      <c r="M20" s="14"/>
      <c r="N20" s="14"/>
      <c r="O20" s="14"/>
      <c r="P20" s="14"/>
    </row>
    <row r="21" ht="15.75" customHeight="1">
      <c r="A21" s="63"/>
      <c r="B21" s="14"/>
      <c r="C21" s="14"/>
      <c r="D21" s="14"/>
      <c r="E21" s="14"/>
      <c r="F21" s="14"/>
      <c r="G21" s="14"/>
      <c r="H21" s="14"/>
      <c r="I21" s="14"/>
      <c r="J21" s="14"/>
      <c r="K21" s="64"/>
      <c r="L21" s="64"/>
      <c r="M21" s="14"/>
      <c r="N21" s="14"/>
      <c r="O21" s="14"/>
      <c r="P21" s="14"/>
    </row>
    <row r="22" ht="15.75" customHeight="1">
      <c r="A22" s="63"/>
      <c r="B22" s="14"/>
      <c r="C22" s="14"/>
      <c r="D22" s="14"/>
      <c r="E22" s="14"/>
      <c r="F22" s="14"/>
      <c r="G22" s="14"/>
      <c r="H22" s="14"/>
      <c r="I22" s="14"/>
      <c r="J22" s="14"/>
      <c r="K22" s="64"/>
      <c r="L22" s="64"/>
      <c r="M22" s="14"/>
      <c r="N22" s="14"/>
      <c r="O22" s="14"/>
      <c r="P22" s="14"/>
    </row>
    <row r="23" ht="15.75" customHeight="1">
      <c r="A23" s="63"/>
      <c r="B23" s="14"/>
      <c r="C23" s="14"/>
      <c r="D23" s="14"/>
      <c r="E23" s="14"/>
      <c r="F23" s="14"/>
      <c r="G23" s="14"/>
      <c r="H23" s="14"/>
      <c r="I23" s="14"/>
      <c r="J23" s="14"/>
      <c r="K23" s="64"/>
      <c r="L23" s="64"/>
      <c r="M23" s="14"/>
      <c r="N23" s="14"/>
      <c r="O23" s="14"/>
      <c r="P23" s="14"/>
    </row>
    <row r="24" ht="15.75" customHeight="1">
      <c r="A24" s="63"/>
      <c r="B24" s="14"/>
      <c r="C24" s="14"/>
      <c r="D24" s="14"/>
      <c r="E24" s="14"/>
      <c r="F24" s="14"/>
      <c r="G24" s="14"/>
      <c r="H24" s="14"/>
      <c r="I24" s="14"/>
      <c r="J24" s="14"/>
      <c r="K24" s="64"/>
      <c r="L24" s="64"/>
      <c r="M24" s="14"/>
      <c r="N24" s="14"/>
      <c r="O24" s="14"/>
      <c r="P24" s="14"/>
    </row>
    <row r="25" ht="15.75" customHeight="1">
      <c r="A25" s="63"/>
      <c r="B25" s="14"/>
      <c r="C25" s="14"/>
      <c r="D25" s="14"/>
      <c r="E25" s="14"/>
      <c r="F25" s="14"/>
      <c r="G25" s="14"/>
      <c r="H25" s="14"/>
      <c r="I25" s="14"/>
      <c r="J25" s="14"/>
      <c r="K25" s="64"/>
      <c r="L25" s="64"/>
      <c r="M25" s="14"/>
      <c r="N25" s="14"/>
      <c r="O25" s="14"/>
      <c r="P25" s="14"/>
    </row>
    <row r="26" ht="15.75" customHeight="1">
      <c r="A26" s="63"/>
      <c r="B26" s="14"/>
      <c r="C26" s="14"/>
      <c r="D26" s="14"/>
      <c r="E26" s="14"/>
      <c r="F26" s="14"/>
      <c r="G26" s="14"/>
      <c r="H26" s="14"/>
      <c r="I26" s="14"/>
      <c r="J26" s="14"/>
      <c r="K26" s="64"/>
      <c r="L26" s="64"/>
      <c r="M26" s="14"/>
      <c r="N26" s="14"/>
      <c r="O26" s="14"/>
      <c r="P26" s="14"/>
    </row>
    <row r="27" ht="15.75" customHeight="1">
      <c r="A27" s="63"/>
      <c r="B27" s="14"/>
      <c r="C27" s="14"/>
      <c r="D27" s="14"/>
      <c r="E27" s="14"/>
      <c r="F27" s="14"/>
      <c r="G27" s="14"/>
      <c r="H27" s="14"/>
      <c r="I27" s="14"/>
      <c r="J27" s="14"/>
      <c r="K27" s="64"/>
      <c r="L27" s="64"/>
      <c r="M27" s="14"/>
      <c r="N27" s="14"/>
      <c r="O27" s="14"/>
      <c r="P27" s="14"/>
    </row>
    <row r="28" ht="15.75" customHeight="1">
      <c r="A28" s="63"/>
      <c r="B28" s="14"/>
      <c r="C28" s="14"/>
      <c r="D28" s="14"/>
      <c r="E28" s="14"/>
      <c r="F28" s="14"/>
      <c r="G28" s="14"/>
      <c r="H28" s="14"/>
      <c r="I28" s="14"/>
      <c r="J28" s="14"/>
      <c r="K28" s="64"/>
      <c r="L28" s="64"/>
      <c r="M28" s="14"/>
      <c r="N28" s="14"/>
      <c r="O28" s="14"/>
      <c r="P28" s="14"/>
    </row>
    <row r="29" ht="15.75" customHeight="1">
      <c r="A29" s="63"/>
      <c r="B29" s="14"/>
      <c r="C29" s="14"/>
      <c r="D29" s="14"/>
      <c r="E29" s="14"/>
      <c r="F29" s="14"/>
      <c r="G29" s="14"/>
      <c r="H29" s="14"/>
      <c r="I29" s="14"/>
      <c r="J29" s="14"/>
      <c r="K29" s="64"/>
      <c r="L29" s="64"/>
      <c r="M29" s="14"/>
      <c r="N29" s="14"/>
      <c r="O29" s="14"/>
      <c r="P29" s="14"/>
    </row>
    <row r="30" ht="15.75" customHeight="1">
      <c r="A30" s="63"/>
      <c r="B30" s="14"/>
      <c r="C30" s="14"/>
      <c r="D30" s="14"/>
      <c r="E30" s="14"/>
      <c r="F30" s="14"/>
      <c r="G30" s="14"/>
      <c r="H30" s="14"/>
      <c r="I30" s="14"/>
      <c r="J30" s="14"/>
      <c r="K30" s="64"/>
      <c r="L30" s="64"/>
      <c r="M30" s="14"/>
      <c r="N30" s="14"/>
      <c r="O30" s="14"/>
      <c r="P30" s="14"/>
    </row>
    <row r="31" ht="15.75" customHeight="1">
      <c r="A31" s="63"/>
      <c r="B31" s="14"/>
      <c r="C31" s="14"/>
      <c r="D31" s="14"/>
      <c r="E31" s="14"/>
      <c r="F31" s="14"/>
      <c r="G31" s="14"/>
      <c r="H31" s="14"/>
      <c r="I31" s="14"/>
      <c r="J31" s="14"/>
      <c r="K31" s="64"/>
      <c r="L31" s="64"/>
      <c r="M31" s="14"/>
      <c r="N31" s="14"/>
      <c r="O31" s="14"/>
      <c r="P31" s="14"/>
    </row>
    <row r="32" ht="15.75" customHeight="1">
      <c r="A32" s="63"/>
      <c r="B32" s="14"/>
      <c r="C32" s="14"/>
      <c r="D32" s="14"/>
      <c r="E32" s="14"/>
      <c r="F32" s="14"/>
      <c r="G32" s="14"/>
      <c r="H32" s="14"/>
      <c r="I32" s="14"/>
      <c r="J32" s="14"/>
      <c r="K32" s="64"/>
      <c r="L32" s="64"/>
      <c r="M32" s="14"/>
      <c r="N32" s="14"/>
      <c r="O32" s="14"/>
      <c r="P32" s="14"/>
    </row>
    <row r="33" ht="15.75" customHeight="1">
      <c r="A33" s="63"/>
      <c r="B33" s="14"/>
      <c r="C33" s="14"/>
      <c r="D33" s="14"/>
      <c r="E33" s="14"/>
      <c r="F33" s="14"/>
      <c r="G33" s="14"/>
      <c r="H33" s="14"/>
      <c r="I33" s="14"/>
      <c r="J33" s="14"/>
      <c r="K33" s="64"/>
      <c r="L33" s="64"/>
      <c r="M33" s="14"/>
      <c r="N33" s="14"/>
      <c r="O33" s="14"/>
      <c r="P33" s="14"/>
    </row>
    <row r="34" ht="15.75" customHeight="1">
      <c r="A34" s="63"/>
      <c r="B34" s="14"/>
      <c r="C34" s="14"/>
      <c r="D34" s="14"/>
      <c r="E34" s="14"/>
      <c r="F34" s="14"/>
      <c r="G34" s="14"/>
      <c r="H34" s="14"/>
      <c r="I34" s="14"/>
      <c r="J34" s="14"/>
      <c r="K34" s="64"/>
      <c r="L34" s="64"/>
      <c r="M34" s="14"/>
      <c r="N34" s="14"/>
      <c r="O34" s="14"/>
      <c r="P34" s="14"/>
    </row>
    <row r="35" ht="15.75" customHeight="1">
      <c r="A35" s="63"/>
      <c r="B35" s="14"/>
      <c r="C35" s="14"/>
      <c r="D35" s="14"/>
      <c r="E35" s="14"/>
      <c r="F35" s="14"/>
      <c r="G35" s="14"/>
      <c r="H35" s="14"/>
      <c r="I35" s="14"/>
      <c r="J35" s="14"/>
      <c r="K35" s="64"/>
      <c r="L35" s="64"/>
      <c r="M35" s="14"/>
      <c r="N35" s="14"/>
      <c r="O35" s="14"/>
      <c r="P35" s="14"/>
    </row>
    <row r="36" ht="15.75" customHeight="1">
      <c r="A36" s="63"/>
      <c r="B36" s="14"/>
      <c r="C36" s="14"/>
      <c r="D36" s="14"/>
      <c r="E36" s="14"/>
      <c r="F36" s="14"/>
      <c r="G36" s="14"/>
      <c r="H36" s="14"/>
      <c r="I36" s="14"/>
      <c r="J36" s="14"/>
      <c r="K36" s="64"/>
      <c r="L36" s="64"/>
      <c r="M36" s="14"/>
      <c r="N36" s="14"/>
      <c r="O36" s="14"/>
      <c r="P36" s="14"/>
    </row>
    <row r="37" ht="15.75" customHeight="1">
      <c r="A37" s="63"/>
      <c r="B37" s="14"/>
      <c r="C37" s="14"/>
      <c r="D37" s="14"/>
      <c r="E37" s="14"/>
      <c r="F37" s="14"/>
      <c r="G37" s="14"/>
      <c r="H37" s="14"/>
      <c r="I37" s="14"/>
      <c r="J37" s="14"/>
      <c r="K37" s="64"/>
      <c r="L37" s="64"/>
      <c r="M37" s="14"/>
      <c r="N37" s="14"/>
      <c r="O37" s="14"/>
      <c r="P37" s="14"/>
    </row>
    <row r="38" ht="15.75" customHeight="1">
      <c r="A38" s="63"/>
      <c r="B38" s="14"/>
      <c r="C38" s="14"/>
      <c r="D38" s="14"/>
      <c r="E38" s="14"/>
      <c r="F38" s="14"/>
      <c r="G38" s="14"/>
      <c r="H38" s="14"/>
      <c r="I38" s="14"/>
      <c r="J38" s="14"/>
      <c r="K38" s="64"/>
      <c r="L38" s="64"/>
      <c r="M38" s="14"/>
      <c r="N38" s="14"/>
      <c r="O38" s="14"/>
      <c r="P38" s="14"/>
    </row>
    <row r="39" ht="15.75" customHeight="1">
      <c r="A39" s="63"/>
      <c r="B39" s="14"/>
      <c r="C39" s="14"/>
      <c r="D39" s="14"/>
      <c r="E39" s="14"/>
      <c r="F39" s="14"/>
      <c r="G39" s="14"/>
      <c r="H39" s="14"/>
      <c r="I39" s="14"/>
      <c r="J39" s="14"/>
      <c r="K39" s="64"/>
      <c r="L39" s="64"/>
      <c r="M39" s="14"/>
      <c r="N39" s="14"/>
      <c r="O39" s="14"/>
      <c r="P39" s="14"/>
    </row>
    <row r="40" ht="15.75" customHeight="1">
      <c r="A40" s="63"/>
      <c r="B40" s="14"/>
      <c r="C40" s="14"/>
      <c r="D40" s="14"/>
      <c r="E40" s="14"/>
      <c r="F40" s="14"/>
      <c r="G40" s="14"/>
      <c r="H40" s="14"/>
      <c r="I40" s="14"/>
      <c r="J40" s="14"/>
      <c r="K40" s="64"/>
      <c r="L40" s="64"/>
      <c r="M40" s="14"/>
      <c r="N40" s="14"/>
      <c r="O40" s="14"/>
      <c r="P40" s="14"/>
    </row>
    <row r="41" ht="15.75" customHeight="1">
      <c r="A41" s="63"/>
      <c r="B41" s="14"/>
      <c r="C41" s="14"/>
      <c r="D41" s="14"/>
      <c r="E41" s="14"/>
      <c r="F41" s="14"/>
      <c r="G41" s="14"/>
      <c r="H41" s="14"/>
      <c r="I41" s="14"/>
      <c r="J41" s="14"/>
      <c r="K41" s="64"/>
      <c r="L41" s="64"/>
      <c r="M41" s="14"/>
      <c r="N41" s="14"/>
      <c r="O41" s="14"/>
      <c r="P41" s="14"/>
    </row>
    <row r="42" ht="15.75" customHeight="1">
      <c r="A42" s="63"/>
      <c r="B42" s="14"/>
      <c r="C42" s="14"/>
      <c r="D42" s="14"/>
      <c r="E42" s="14"/>
      <c r="F42" s="14"/>
      <c r="G42" s="14"/>
      <c r="H42" s="14"/>
      <c r="I42" s="14"/>
      <c r="J42" s="14"/>
      <c r="K42" s="64"/>
      <c r="L42" s="64"/>
      <c r="M42" s="14"/>
      <c r="N42" s="14"/>
      <c r="O42" s="14"/>
      <c r="P42" s="14"/>
    </row>
    <row r="43" ht="15.75" customHeight="1">
      <c r="A43" s="63"/>
      <c r="B43" s="14"/>
      <c r="C43" s="14"/>
      <c r="D43" s="14"/>
      <c r="E43" s="14"/>
      <c r="F43" s="14"/>
      <c r="G43" s="14"/>
      <c r="H43" s="14"/>
      <c r="I43" s="14"/>
      <c r="J43" s="14"/>
      <c r="K43" s="64"/>
      <c r="L43" s="64"/>
      <c r="M43" s="14"/>
      <c r="N43" s="14"/>
      <c r="O43" s="14"/>
      <c r="P43" s="14"/>
    </row>
    <row r="44" ht="15.75" customHeight="1">
      <c r="A44" s="63"/>
      <c r="B44" s="14"/>
      <c r="C44" s="14"/>
      <c r="D44" s="14"/>
      <c r="E44" s="14"/>
      <c r="F44" s="14"/>
      <c r="G44" s="14"/>
      <c r="H44" s="14"/>
      <c r="I44" s="14"/>
      <c r="J44" s="14"/>
      <c r="K44" s="64"/>
      <c r="L44" s="64"/>
      <c r="M44" s="14"/>
      <c r="N44" s="14"/>
      <c r="O44" s="14"/>
      <c r="P44" s="14"/>
    </row>
    <row r="45" ht="15.75" customHeight="1">
      <c r="A45" s="63"/>
      <c r="B45" s="14"/>
      <c r="C45" s="14"/>
      <c r="D45" s="14"/>
      <c r="E45" s="14"/>
      <c r="F45" s="14"/>
      <c r="G45" s="14"/>
      <c r="H45" s="14"/>
      <c r="I45" s="14"/>
      <c r="J45" s="14"/>
      <c r="K45" s="64"/>
      <c r="L45" s="64"/>
      <c r="M45" s="14"/>
      <c r="N45" s="14"/>
      <c r="O45" s="14"/>
      <c r="P45" s="14"/>
    </row>
    <row r="46" ht="15.75" customHeight="1">
      <c r="A46" s="63"/>
      <c r="B46" s="14"/>
      <c r="C46" s="14"/>
      <c r="D46" s="14"/>
      <c r="E46" s="14"/>
      <c r="F46" s="14"/>
      <c r="G46" s="14"/>
      <c r="H46" s="14"/>
      <c r="I46" s="14"/>
      <c r="J46" s="14"/>
      <c r="K46" s="64"/>
      <c r="L46" s="64"/>
      <c r="M46" s="14"/>
      <c r="N46" s="14"/>
      <c r="O46" s="14"/>
      <c r="P46" s="14"/>
    </row>
    <row r="47" ht="15.75" customHeight="1">
      <c r="A47" s="63"/>
      <c r="B47" s="14"/>
      <c r="C47" s="14"/>
      <c r="D47" s="14"/>
      <c r="E47" s="14"/>
      <c r="F47" s="14"/>
      <c r="G47" s="14"/>
      <c r="H47" s="14"/>
      <c r="I47" s="14"/>
      <c r="J47" s="14"/>
      <c r="K47" s="64"/>
      <c r="L47" s="64"/>
      <c r="M47" s="14"/>
      <c r="N47" s="14"/>
      <c r="O47" s="14"/>
      <c r="P47" s="14"/>
    </row>
    <row r="48" ht="15.75" customHeight="1">
      <c r="A48" s="63"/>
      <c r="B48" s="14"/>
      <c r="C48" s="14"/>
      <c r="D48" s="14"/>
      <c r="E48" s="14"/>
      <c r="F48" s="14"/>
      <c r="G48" s="14"/>
      <c r="H48" s="14"/>
      <c r="I48" s="14"/>
      <c r="J48" s="14"/>
      <c r="K48" s="64"/>
      <c r="L48" s="64"/>
      <c r="M48" s="14"/>
      <c r="N48" s="14"/>
      <c r="O48" s="14"/>
      <c r="P48" s="14"/>
    </row>
    <row r="49" ht="15.75" customHeight="1">
      <c r="A49" s="63"/>
      <c r="B49" s="14"/>
      <c r="C49" s="14"/>
      <c r="D49" s="14"/>
      <c r="E49" s="14"/>
      <c r="F49" s="14"/>
      <c r="G49" s="14"/>
      <c r="H49" s="14"/>
      <c r="I49" s="14"/>
      <c r="J49" s="14"/>
      <c r="K49" s="64"/>
      <c r="L49" s="64"/>
      <c r="M49" s="14"/>
      <c r="N49" s="14"/>
      <c r="O49" s="14"/>
      <c r="P49" s="14"/>
    </row>
    <row r="50" ht="15.75" customHeight="1">
      <c r="A50" s="63"/>
      <c r="B50" s="14"/>
      <c r="C50" s="14"/>
      <c r="D50" s="14"/>
      <c r="E50" s="14"/>
      <c r="F50" s="14"/>
      <c r="G50" s="14"/>
      <c r="H50" s="14"/>
      <c r="I50" s="14"/>
      <c r="J50" s="14"/>
      <c r="K50" s="64"/>
      <c r="L50" s="64"/>
      <c r="M50" s="14"/>
      <c r="N50" s="14"/>
      <c r="O50" s="14"/>
      <c r="P50" s="14"/>
    </row>
    <row r="51" ht="15.75" customHeight="1">
      <c r="A51" s="63"/>
      <c r="B51" s="14"/>
      <c r="C51" s="14"/>
      <c r="D51" s="14"/>
      <c r="E51" s="14"/>
      <c r="F51" s="14"/>
      <c r="G51" s="14"/>
      <c r="H51" s="14"/>
      <c r="I51" s="14"/>
      <c r="J51" s="14"/>
      <c r="K51" s="64"/>
      <c r="L51" s="64"/>
      <c r="M51" s="14"/>
      <c r="N51" s="14"/>
      <c r="O51" s="14"/>
      <c r="P51" s="14"/>
    </row>
    <row r="52" ht="15.75" customHeight="1">
      <c r="A52" s="63"/>
      <c r="B52" s="14"/>
      <c r="C52" s="14"/>
      <c r="D52" s="14"/>
      <c r="E52" s="14"/>
      <c r="F52" s="14"/>
      <c r="G52" s="14"/>
      <c r="H52" s="14"/>
      <c r="I52" s="14"/>
      <c r="J52" s="14"/>
      <c r="K52" s="64"/>
      <c r="L52" s="64"/>
      <c r="M52" s="14"/>
      <c r="N52" s="14"/>
      <c r="O52" s="14"/>
      <c r="P52" s="14"/>
    </row>
    <row r="53" ht="15.75" customHeight="1">
      <c r="A53" s="63"/>
      <c r="B53" s="14"/>
      <c r="C53" s="14"/>
      <c r="D53" s="14"/>
      <c r="E53" s="14"/>
      <c r="F53" s="14"/>
      <c r="G53" s="14"/>
      <c r="H53" s="14"/>
      <c r="I53" s="14"/>
      <c r="J53" s="14"/>
      <c r="K53" s="64"/>
      <c r="L53" s="64"/>
      <c r="M53" s="14"/>
      <c r="N53" s="14"/>
      <c r="O53" s="14"/>
      <c r="P53" s="14"/>
    </row>
    <row r="54" ht="15.75" customHeight="1">
      <c r="A54" s="63"/>
      <c r="B54" s="14"/>
      <c r="C54" s="14"/>
      <c r="D54" s="14"/>
      <c r="E54" s="14"/>
      <c r="F54" s="14"/>
      <c r="G54" s="14"/>
      <c r="H54" s="14"/>
      <c r="I54" s="14"/>
      <c r="J54" s="14"/>
      <c r="K54" s="64"/>
      <c r="L54" s="64"/>
      <c r="M54" s="14"/>
      <c r="N54" s="14"/>
      <c r="O54" s="14"/>
      <c r="P54" s="14"/>
    </row>
    <row r="55" ht="15.75" customHeight="1">
      <c r="A55" s="63"/>
      <c r="B55" s="14"/>
      <c r="C55" s="14"/>
      <c r="D55" s="14"/>
      <c r="E55" s="14"/>
      <c r="F55" s="14"/>
      <c r="G55" s="14"/>
      <c r="H55" s="14"/>
      <c r="I55" s="14"/>
      <c r="J55" s="14"/>
      <c r="K55" s="64"/>
      <c r="L55" s="64"/>
      <c r="M55" s="14"/>
      <c r="N55" s="14"/>
      <c r="O55" s="14"/>
      <c r="P55" s="14"/>
    </row>
    <row r="56" ht="15.75" customHeight="1">
      <c r="A56" s="63"/>
      <c r="B56" s="14"/>
      <c r="C56" s="14"/>
      <c r="D56" s="14"/>
      <c r="E56" s="14"/>
      <c r="F56" s="14"/>
      <c r="G56" s="14"/>
      <c r="H56" s="14"/>
      <c r="I56" s="14"/>
      <c r="J56" s="14"/>
      <c r="K56" s="64"/>
      <c r="L56" s="64"/>
      <c r="M56" s="14"/>
      <c r="N56" s="14"/>
      <c r="O56" s="14"/>
      <c r="P56" s="14"/>
    </row>
    <row r="57" ht="15.75" customHeight="1">
      <c r="A57" s="63"/>
      <c r="B57" s="14"/>
      <c r="C57" s="14"/>
      <c r="D57" s="14"/>
      <c r="E57" s="14"/>
      <c r="F57" s="14"/>
      <c r="G57" s="14"/>
      <c r="H57" s="14"/>
      <c r="I57" s="14"/>
      <c r="J57" s="14"/>
      <c r="K57" s="64"/>
      <c r="L57" s="64"/>
      <c r="M57" s="14"/>
      <c r="N57" s="14"/>
      <c r="O57" s="14"/>
      <c r="P57" s="14"/>
    </row>
    <row r="58" ht="15.75" customHeight="1">
      <c r="A58" s="63"/>
      <c r="B58" s="14"/>
      <c r="C58" s="14"/>
      <c r="D58" s="14"/>
      <c r="E58" s="14"/>
      <c r="F58" s="14"/>
      <c r="G58" s="14"/>
      <c r="H58" s="14"/>
      <c r="I58" s="14"/>
      <c r="J58" s="14"/>
      <c r="K58" s="64"/>
      <c r="L58" s="64"/>
      <c r="M58" s="14"/>
      <c r="N58" s="14"/>
      <c r="O58" s="14"/>
      <c r="P58" s="14"/>
    </row>
    <row r="59" ht="15.75" customHeight="1">
      <c r="A59" s="63"/>
      <c r="B59" s="14"/>
      <c r="C59" s="14"/>
      <c r="D59" s="14"/>
      <c r="E59" s="14"/>
      <c r="F59" s="14"/>
      <c r="G59" s="14"/>
      <c r="H59" s="14"/>
      <c r="I59" s="14"/>
      <c r="J59" s="14"/>
      <c r="K59" s="64"/>
      <c r="L59" s="64"/>
      <c r="M59" s="14"/>
      <c r="N59" s="14"/>
      <c r="O59" s="14"/>
      <c r="P59" s="14"/>
    </row>
    <row r="60" ht="15.75" customHeight="1">
      <c r="A60" s="63"/>
      <c r="B60" s="14"/>
      <c r="C60" s="14"/>
      <c r="D60" s="14"/>
      <c r="E60" s="14"/>
      <c r="F60" s="14"/>
      <c r="G60" s="14"/>
      <c r="H60" s="14"/>
      <c r="I60" s="14"/>
      <c r="J60" s="14"/>
      <c r="K60" s="64"/>
      <c r="L60" s="64"/>
      <c r="M60" s="14"/>
      <c r="N60" s="14"/>
      <c r="O60" s="14"/>
      <c r="P60" s="14"/>
    </row>
    <row r="61" ht="15.75" customHeight="1">
      <c r="A61" s="63"/>
      <c r="B61" s="14"/>
      <c r="C61" s="14"/>
      <c r="D61" s="14"/>
      <c r="E61" s="14"/>
      <c r="F61" s="14"/>
      <c r="G61" s="14"/>
      <c r="H61" s="14"/>
      <c r="I61" s="14"/>
      <c r="J61" s="14"/>
      <c r="K61" s="64"/>
      <c r="L61" s="64"/>
      <c r="M61" s="14"/>
      <c r="N61" s="14"/>
      <c r="O61" s="14"/>
      <c r="P61" s="14"/>
    </row>
    <row r="62" ht="15.75" customHeight="1">
      <c r="A62" s="63"/>
      <c r="B62" s="14"/>
      <c r="C62" s="14"/>
      <c r="D62" s="14"/>
      <c r="E62" s="14"/>
      <c r="F62" s="14"/>
      <c r="G62" s="14"/>
      <c r="H62" s="14"/>
      <c r="I62" s="14"/>
      <c r="J62" s="14"/>
      <c r="K62" s="64"/>
      <c r="L62" s="64"/>
      <c r="M62" s="14"/>
      <c r="N62" s="14"/>
      <c r="O62" s="14"/>
      <c r="P62" s="14"/>
    </row>
    <row r="63" ht="15.75" customHeight="1">
      <c r="A63" s="63"/>
      <c r="B63" s="14"/>
      <c r="C63" s="14"/>
      <c r="D63" s="14"/>
      <c r="E63" s="14"/>
      <c r="F63" s="14"/>
      <c r="G63" s="14"/>
      <c r="H63" s="14"/>
      <c r="I63" s="14"/>
      <c r="J63" s="14"/>
      <c r="K63" s="64"/>
      <c r="L63" s="64"/>
      <c r="M63" s="14"/>
      <c r="N63" s="14"/>
      <c r="O63" s="14"/>
      <c r="P63" s="14"/>
    </row>
    <row r="64" ht="15.75" customHeight="1">
      <c r="A64" s="63"/>
      <c r="B64" s="14"/>
      <c r="C64" s="14"/>
      <c r="D64" s="14"/>
      <c r="E64" s="14"/>
      <c r="F64" s="14"/>
      <c r="G64" s="14"/>
      <c r="H64" s="14"/>
      <c r="I64" s="14"/>
      <c r="J64" s="14"/>
      <c r="K64" s="64"/>
      <c r="L64" s="64"/>
      <c r="M64" s="14"/>
      <c r="N64" s="14"/>
      <c r="O64" s="14"/>
      <c r="P64" s="14"/>
    </row>
    <row r="65" ht="15.75" customHeight="1">
      <c r="A65" s="63"/>
      <c r="B65" s="14"/>
      <c r="C65" s="14"/>
      <c r="D65" s="14"/>
      <c r="E65" s="14"/>
      <c r="F65" s="14"/>
      <c r="G65" s="14"/>
      <c r="H65" s="14"/>
      <c r="I65" s="14"/>
      <c r="J65" s="14"/>
      <c r="K65" s="64"/>
      <c r="L65" s="64"/>
      <c r="M65" s="14"/>
      <c r="N65" s="14"/>
      <c r="O65" s="14"/>
      <c r="P65" s="14"/>
    </row>
    <row r="66" ht="15.75" customHeight="1">
      <c r="A66" s="63"/>
      <c r="B66" s="14"/>
      <c r="C66" s="14"/>
      <c r="D66" s="14"/>
      <c r="E66" s="14"/>
      <c r="F66" s="14"/>
      <c r="G66" s="14"/>
      <c r="H66" s="14"/>
      <c r="I66" s="14"/>
      <c r="J66" s="14"/>
      <c r="K66" s="64"/>
      <c r="L66" s="64"/>
      <c r="M66" s="14"/>
      <c r="N66" s="14"/>
      <c r="O66" s="14"/>
      <c r="P66" s="14"/>
    </row>
    <row r="67" ht="15.75" customHeight="1">
      <c r="A67" s="63"/>
      <c r="B67" s="14"/>
      <c r="C67" s="14"/>
      <c r="D67" s="14"/>
      <c r="E67" s="14"/>
      <c r="F67" s="14"/>
      <c r="G67" s="14"/>
      <c r="H67" s="14"/>
      <c r="I67" s="14"/>
      <c r="J67" s="14"/>
      <c r="K67" s="64"/>
      <c r="L67" s="64"/>
      <c r="M67" s="14"/>
      <c r="N67" s="14"/>
      <c r="O67" s="14"/>
      <c r="P67" s="14"/>
    </row>
    <row r="68" ht="15.75" customHeight="1">
      <c r="A68" s="63"/>
      <c r="B68" s="14"/>
      <c r="C68" s="14"/>
      <c r="D68" s="14"/>
      <c r="E68" s="14"/>
      <c r="F68" s="14"/>
      <c r="G68" s="14"/>
      <c r="H68" s="14"/>
      <c r="I68" s="14"/>
      <c r="J68" s="14"/>
      <c r="K68" s="64"/>
      <c r="L68" s="64"/>
      <c r="M68" s="14"/>
      <c r="N68" s="14"/>
      <c r="O68" s="14"/>
      <c r="P68" s="14"/>
    </row>
    <row r="69" ht="15.75" customHeight="1">
      <c r="A69" s="63"/>
      <c r="B69" s="14"/>
      <c r="C69" s="14"/>
      <c r="D69" s="14"/>
      <c r="E69" s="14"/>
      <c r="F69" s="14"/>
      <c r="G69" s="14"/>
      <c r="H69" s="14"/>
      <c r="I69" s="14"/>
      <c r="J69" s="14"/>
      <c r="K69" s="64"/>
      <c r="L69" s="64"/>
      <c r="M69" s="14"/>
      <c r="N69" s="14"/>
      <c r="O69" s="14"/>
      <c r="P69" s="14"/>
    </row>
    <row r="70" ht="15.75" customHeight="1">
      <c r="A70" s="63"/>
      <c r="B70" s="14"/>
      <c r="C70" s="14"/>
      <c r="D70" s="14"/>
      <c r="E70" s="14"/>
      <c r="F70" s="14"/>
      <c r="G70" s="14"/>
      <c r="H70" s="14"/>
      <c r="I70" s="14"/>
      <c r="J70" s="14"/>
      <c r="K70" s="64"/>
      <c r="L70" s="64"/>
      <c r="M70" s="14"/>
      <c r="N70" s="14"/>
      <c r="O70" s="14"/>
      <c r="P70" s="14"/>
    </row>
    <row r="71" ht="15.75" customHeight="1">
      <c r="A71" s="63"/>
      <c r="B71" s="14"/>
      <c r="C71" s="14"/>
      <c r="D71" s="14"/>
      <c r="E71" s="14"/>
      <c r="F71" s="14"/>
      <c r="G71" s="14"/>
      <c r="H71" s="14"/>
      <c r="I71" s="14"/>
      <c r="J71" s="14"/>
      <c r="K71" s="64"/>
      <c r="L71" s="64"/>
      <c r="M71" s="14"/>
      <c r="N71" s="14"/>
      <c r="O71" s="14"/>
      <c r="P71" s="14"/>
    </row>
    <row r="72" ht="15.75" customHeight="1">
      <c r="A72" s="63"/>
      <c r="B72" s="14"/>
      <c r="C72" s="14"/>
      <c r="D72" s="14"/>
      <c r="E72" s="14"/>
      <c r="F72" s="14"/>
      <c r="G72" s="14"/>
      <c r="H72" s="14"/>
      <c r="I72" s="14"/>
      <c r="J72" s="14"/>
      <c r="K72" s="64"/>
      <c r="L72" s="64"/>
      <c r="M72" s="14"/>
      <c r="N72" s="14"/>
      <c r="O72" s="14"/>
      <c r="P72" s="14"/>
    </row>
    <row r="73" ht="15.75" customHeight="1">
      <c r="A73" s="63"/>
      <c r="B73" s="14"/>
      <c r="C73" s="14"/>
      <c r="D73" s="14"/>
      <c r="E73" s="14"/>
      <c r="F73" s="14"/>
      <c r="G73" s="14"/>
      <c r="H73" s="14"/>
      <c r="I73" s="14"/>
      <c r="J73" s="14"/>
      <c r="K73" s="64"/>
      <c r="L73" s="64"/>
      <c r="M73" s="14"/>
      <c r="N73" s="14"/>
      <c r="O73" s="14"/>
      <c r="P73" s="14"/>
    </row>
    <row r="74" ht="15.75" customHeight="1">
      <c r="A74" s="63"/>
      <c r="B74" s="14"/>
      <c r="C74" s="14"/>
      <c r="D74" s="14"/>
      <c r="E74" s="14"/>
      <c r="F74" s="14"/>
      <c r="G74" s="14"/>
      <c r="H74" s="14"/>
      <c r="I74" s="14"/>
      <c r="J74" s="14"/>
      <c r="K74" s="64"/>
      <c r="L74" s="64"/>
      <c r="M74" s="14"/>
      <c r="N74" s="14"/>
      <c r="O74" s="14"/>
      <c r="P74" s="14"/>
    </row>
    <row r="75" ht="15.75" customHeight="1">
      <c r="A75" s="63"/>
      <c r="B75" s="14"/>
      <c r="C75" s="14"/>
      <c r="D75" s="14"/>
      <c r="E75" s="14"/>
      <c r="F75" s="14"/>
      <c r="G75" s="14"/>
      <c r="H75" s="14"/>
      <c r="I75" s="14"/>
      <c r="J75" s="14"/>
      <c r="K75" s="64"/>
      <c r="L75" s="64"/>
      <c r="M75" s="14"/>
      <c r="N75" s="14"/>
      <c r="O75" s="14"/>
      <c r="P75" s="14"/>
    </row>
    <row r="76" ht="15.75" customHeight="1">
      <c r="A76" s="63"/>
      <c r="B76" s="14"/>
      <c r="C76" s="14"/>
      <c r="D76" s="14"/>
      <c r="E76" s="14"/>
      <c r="F76" s="14"/>
      <c r="G76" s="14"/>
      <c r="H76" s="14"/>
      <c r="I76" s="14"/>
      <c r="J76" s="14"/>
      <c r="K76" s="64"/>
      <c r="L76" s="64"/>
      <c r="M76" s="14"/>
      <c r="N76" s="14"/>
      <c r="O76" s="14"/>
      <c r="P76" s="14"/>
    </row>
    <row r="77" ht="15.75" customHeight="1">
      <c r="A77" s="63"/>
      <c r="B77" s="14"/>
      <c r="C77" s="14"/>
      <c r="D77" s="14"/>
      <c r="E77" s="14"/>
      <c r="F77" s="14"/>
      <c r="G77" s="14"/>
      <c r="H77" s="14"/>
      <c r="I77" s="14"/>
      <c r="J77" s="14"/>
      <c r="K77" s="64"/>
      <c r="L77" s="64"/>
      <c r="M77" s="14"/>
      <c r="N77" s="14"/>
      <c r="O77" s="14"/>
      <c r="P77" s="14"/>
    </row>
    <row r="78" ht="15.75" customHeight="1">
      <c r="A78" s="63"/>
      <c r="B78" s="14"/>
      <c r="C78" s="14"/>
      <c r="D78" s="14"/>
      <c r="E78" s="14"/>
      <c r="F78" s="14"/>
      <c r="G78" s="14"/>
      <c r="H78" s="14"/>
      <c r="I78" s="14"/>
      <c r="J78" s="14"/>
      <c r="K78" s="64"/>
      <c r="L78" s="64"/>
      <c r="M78" s="14"/>
      <c r="N78" s="14"/>
      <c r="O78" s="14"/>
      <c r="P78" s="14"/>
    </row>
    <row r="79" ht="15.75" customHeight="1">
      <c r="A79" s="63"/>
      <c r="B79" s="14"/>
      <c r="C79" s="14"/>
      <c r="D79" s="14"/>
      <c r="E79" s="14"/>
      <c r="F79" s="14"/>
      <c r="G79" s="14"/>
      <c r="H79" s="14"/>
      <c r="I79" s="14"/>
      <c r="J79" s="14"/>
      <c r="K79" s="64"/>
      <c r="L79" s="64"/>
      <c r="M79" s="14"/>
      <c r="N79" s="14"/>
      <c r="O79" s="14"/>
      <c r="P79" s="14"/>
    </row>
    <row r="80" ht="15.75" customHeight="1">
      <c r="A80" s="63"/>
      <c r="B80" s="14"/>
      <c r="C80" s="14"/>
      <c r="D80" s="14"/>
      <c r="E80" s="14"/>
      <c r="F80" s="14"/>
      <c r="G80" s="14"/>
      <c r="H80" s="14"/>
      <c r="I80" s="14"/>
      <c r="J80" s="14"/>
      <c r="K80" s="64"/>
      <c r="L80" s="64"/>
      <c r="M80" s="14"/>
      <c r="N80" s="14"/>
      <c r="O80" s="14"/>
      <c r="P80" s="14"/>
    </row>
    <row r="81" ht="15.75" customHeight="1">
      <c r="A81" s="63"/>
      <c r="B81" s="14"/>
      <c r="C81" s="14"/>
      <c r="D81" s="14"/>
      <c r="E81" s="14"/>
      <c r="F81" s="14"/>
      <c r="G81" s="14"/>
      <c r="H81" s="14"/>
      <c r="I81" s="14"/>
      <c r="J81" s="14"/>
      <c r="K81" s="64"/>
      <c r="L81" s="64"/>
      <c r="M81" s="14"/>
      <c r="N81" s="14"/>
      <c r="O81" s="14"/>
      <c r="P81" s="14"/>
    </row>
    <row r="82" ht="15.75" customHeight="1">
      <c r="A82" s="63"/>
      <c r="B82" s="14"/>
      <c r="C82" s="14"/>
      <c r="D82" s="14"/>
      <c r="E82" s="14"/>
      <c r="F82" s="14"/>
      <c r="G82" s="14"/>
      <c r="H82" s="14"/>
      <c r="I82" s="14"/>
      <c r="J82" s="14"/>
      <c r="K82" s="64"/>
      <c r="L82" s="64"/>
      <c r="M82" s="14"/>
      <c r="N82" s="14"/>
      <c r="O82" s="14"/>
      <c r="P82" s="14"/>
    </row>
    <row r="83" ht="15.75" customHeight="1">
      <c r="A83" s="63"/>
      <c r="B83" s="14"/>
      <c r="C83" s="14"/>
      <c r="D83" s="14"/>
      <c r="E83" s="14"/>
      <c r="F83" s="14"/>
      <c r="G83" s="14"/>
      <c r="H83" s="14"/>
      <c r="I83" s="14"/>
      <c r="J83" s="14"/>
      <c r="K83" s="64"/>
      <c r="L83" s="64"/>
      <c r="M83" s="14"/>
      <c r="N83" s="14"/>
      <c r="O83" s="14"/>
      <c r="P83" s="14"/>
    </row>
    <row r="84" ht="15.75" customHeight="1">
      <c r="A84" s="63"/>
      <c r="B84" s="14"/>
      <c r="C84" s="14"/>
      <c r="D84" s="14"/>
      <c r="E84" s="14"/>
      <c r="F84" s="14"/>
      <c r="G84" s="14"/>
      <c r="H84" s="14"/>
      <c r="I84" s="14"/>
      <c r="J84" s="14"/>
      <c r="K84" s="64"/>
      <c r="L84" s="64"/>
      <c r="M84" s="14"/>
      <c r="N84" s="14"/>
      <c r="O84" s="14"/>
      <c r="P84" s="14"/>
    </row>
    <row r="85" ht="15.75" customHeight="1">
      <c r="A85" s="63"/>
      <c r="B85" s="14"/>
      <c r="C85" s="14"/>
      <c r="D85" s="14"/>
      <c r="E85" s="14"/>
      <c r="F85" s="14"/>
      <c r="G85" s="14"/>
      <c r="H85" s="14"/>
      <c r="I85" s="14"/>
      <c r="J85" s="14"/>
      <c r="K85" s="64"/>
      <c r="L85" s="64"/>
      <c r="M85" s="14"/>
      <c r="N85" s="14"/>
      <c r="O85" s="14"/>
      <c r="P85" s="14"/>
    </row>
    <row r="86" ht="15.75" customHeight="1">
      <c r="A86" s="63"/>
      <c r="B86" s="14"/>
      <c r="C86" s="14"/>
      <c r="D86" s="14"/>
      <c r="E86" s="14"/>
      <c r="F86" s="14"/>
      <c r="G86" s="14"/>
      <c r="H86" s="14"/>
      <c r="I86" s="14"/>
      <c r="J86" s="14"/>
      <c r="K86" s="64"/>
      <c r="L86" s="64"/>
      <c r="M86" s="14"/>
      <c r="N86" s="14"/>
      <c r="O86" s="14"/>
      <c r="P86" s="14"/>
    </row>
    <row r="87" ht="15.75" customHeight="1">
      <c r="A87" s="63"/>
      <c r="B87" s="14"/>
      <c r="C87" s="14"/>
      <c r="D87" s="14"/>
      <c r="E87" s="14"/>
      <c r="F87" s="14"/>
      <c r="G87" s="14"/>
      <c r="H87" s="14"/>
      <c r="I87" s="14"/>
      <c r="J87" s="14"/>
      <c r="K87" s="64"/>
      <c r="L87" s="64"/>
      <c r="M87" s="14"/>
      <c r="N87" s="14"/>
      <c r="O87" s="14"/>
      <c r="P87" s="14"/>
    </row>
    <row r="88" ht="15.75" customHeight="1">
      <c r="A88" s="63"/>
      <c r="B88" s="14"/>
      <c r="C88" s="14"/>
      <c r="D88" s="14"/>
      <c r="E88" s="14"/>
      <c r="F88" s="14"/>
      <c r="G88" s="14"/>
      <c r="H88" s="14"/>
      <c r="I88" s="14"/>
      <c r="J88" s="14"/>
      <c r="K88" s="64"/>
      <c r="L88" s="64"/>
      <c r="M88" s="14"/>
      <c r="N88" s="14"/>
      <c r="O88" s="14"/>
      <c r="P88" s="14"/>
    </row>
    <row r="89" ht="15.75" customHeight="1">
      <c r="A89" s="63"/>
      <c r="B89" s="14"/>
      <c r="C89" s="14"/>
      <c r="D89" s="14"/>
      <c r="E89" s="14"/>
      <c r="F89" s="14"/>
      <c r="G89" s="14"/>
      <c r="H89" s="14"/>
      <c r="I89" s="14"/>
      <c r="J89" s="14"/>
      <c r="K89" s="64"/>
      <c r="L89" s="64"/>
      <c r="M89" s="14"/>
      <c r="N89" s="14"/>
      <c r="O89" s="14"/>
      <c r="P89" s="14"/>
    </row>
    <row r="90" ht="15.75" customHeight="1">
      <c r="A90" s="63"/>
      <c r="B90" s="14"/>
      <c r="C90" s="14"/>
      <c r="D90" s="14"/>
      <c r="E90" s="14"/>
      <c r="F90" s="14"/>
      <c r="G90" s="14"/>
      <c r="H90" s="14"/>
      <c r="I90" s="14"/>
      <c r="J90" s="14"/>
      <c r="K90" s="64"/>
      <c r="L90" s="64"/>
      <c r="M90" s="14"/>
      <c r="N90" s="14"/>
      <c r="O90" s="14"/>
      <c r="P90" s="14"/>
    </row>
    <row r="91" ht="15.75" customHeight="1">
      <c r="A91" s="63"/>
      <c r="B91" s="14"/>
      <c r="C91" s="14"/>
      <c r="D91" s="14"/>
      <c r="E91" s="14"/>
      <c r="F91" s="14"/>
      <c r="G91" s="14"/>
      <c r="H91" s="14"/>
      <c r="I91" s="14"/>
      <c r="J91" s="14"/>
      <c r="K91" s="64"/>
      <c r="L91" s="64"/>
      <c r="M91" s="14"/>
      <c r="N91" s="14"/>
      <c r="O91" s="14"/>
      <c r="P91" s="14"/>
    </row>
    <row r="92" ht="15.75" customHeight="1">
      <c r="A92" s="63"/>
      <c r="B92" s="14"/>
      <c r="C92" s="14"/>
      <c r="D92" s="14"/>
      <c r="E92" s="14"/>
      <c r="F92" s="14"/>
      <c r="G92" s="14"/>
      <c r="H92" s="14"/>
      <c r="I92" s="14"/>
      <c r="J92" s="14"/>
      <c r="K92" s="64"/>
      <c r="L92" s="64"/>
      <c r="M92" s="14"/>
      <c r="N92" s="14"/>
      <c r="O92" s="14"/>
      <c r="P92" s="14"/>
    </row>
    <row r="93" ht="15.75" customHeight="1">
      <c r="A93" s="63"/>
      <c r="B93" s="14"/>
      <c r="C93" s="14"/>
      <c r="D93" s="14"/>
      <c r="E93" s="14"/>
      <c r="F93" s="14"/>
      <c r="G93" s="14"/>
      <c r="H93" s="14"/>
      <c r="I93" s="14"/>
      <c r="J93" s="14"/>
      <c r="K93" s="64"/>
      <c r="L93" s="64"/>
      <c r="M93" s="14"/>
      <c r="N93" s="14"/>
      <c r="O93" s="14"/>
      <c r="P93" s="14"/>
    </row>
    <row r="94" ht="15.75" customHeight="1">
      <c r="A94" s="63"/>
      <c r="B94" s="14"/>
      <c r="C94" s="14"/>
      <c r="D94" s="14"/>
      <c r="E94" s="14"/>
      <c r="F94" s="14"/>
      <c r="G94" s="14"/>
      <c r="H94" s="14"/>
      <c r="I94" s="14"/>
      <c r="J94" s="14"/>
      <c r="K94" s="64"/>
      <c r="L94" s="64"/>
      <c r="M94" s="14"/>
      <c r="N94" s="14"/>
      <c r="O94" s="14"/>
      <c r="P94" s="14"/>
    </row>
    <row r="95" ht="15.75" customHeight="1">
      <c r="A95" s="63"/>
      <c r="B95" s="14"/>
      <c r="C95" s="14"/>
      <c r="D95" s="14"/>
      <c r="E95" s="14"/>
      <c r="F95" s="14"/>
      <c r="G95" s="14"/>
      <c r="H95" s="14"/>
      <c r="I95" s="14"/>
      <c r="J95" s="14"/>
      <c r="K95" s="64"/>
      <c r="L95" s="64"/>
      <c r="M95" s="14"/>
      <c r="N95" s="14"/>
      <c r="O95" s="14"/>
      <c r="P95" s="14"/>
    </row>
    <row r="96" ht="15.75" customHeight="1">
      <c r="A96" s="63"/>
      <c r="B96" s="14"/>
      <c r="C96" s="14"/>
      <c r="D96" s="14"/>
      <c r="E96" s="14"/>
      <c r="F96" s="14"/>
      <c r="G96" s="14"/>
      <c r="H96" s="14"/>
      <c r="I96" s="14"/>
      <c r="J96" s="14"/>
      <c r="K96" s="64"/>
      <c r="L96" s="64"/>
      <c r="M96" s="14"/>
      <c r="N96" s="14"/>
      <c r="O96" s="14"/>
      <c r="P96" s="14"/>
    </row>
    <row r="97" ht="15.75" customHeight="1">
      <c r="A97" s="63"/>
      <c r="B97" s="14"/>
      <c r="C97" s="14"/>
      <c r="D97" s="14"/>
      <c r="E97" s="14"/>
      <c r="F97" s="14"/>
      <c r="G97" s="14"/>
      <c r="H97" s="14"/>
      <c r="I97" s="14"/>
      <c r="J97" s="14"/>
      <c r="K97" s="64"/>
      <c r="L97" s="64"/>
      <c r="M97" s="14"/>
      <c r="N97" s="14"/>
      <c r="O97" s="14"/>
      <c r="P97" s="14"/>
    </row>
    <row r="98" ht="15.75" customHeight="1">
      <c r="A98" s="63"/>
      <c r="B98" s="14"/>
      <c r="C98" s="14"/>
      <c r="D98" s="14"/>
      <c r="E98" s="14"/>
      <c r="F98" s="14"/>
      <c r="G98" s="14"/>
      <c r="H98" s="14"/>
      <c r="I98" s="14"/>
      <c r="J98" s="14"/>
      <c r="K98" s="64"/>
      <c r="L98" s="64"/>
      <c r="M98" s="14"/>
      <c r="N98" s="14"/>
      <c r="O98" s="14"/>
      <c r="P98" s="14"/>
    </row>
    <row r="99" ht="15.75" customHeight="1">
      <c r="A99" s="63"/>
      <c r="B99" s="14"/>
      <c r="C99" s="14"/>
      <c r="D99" s="14"/>
      <c r="E99" s="14"/>
      <c r="F99" s="14"/>
      <c r="G99" s="14"/>
      <c r="H99" s="14"/>
      <c r="I99" s="14"/>
      <c r="J99" s="14"/>
      <c r="K99" s="64"/>
      <c r="L99" s="64"/>
      <c r="M99" s="14"/>
      <c r="N99" s="14"/>
      <c r="O99" s="14"/>
      <c r="P99" s="14"/>
    </row>
    <row r="100" ht="15.75" customHeight="1">
      <c r="A100" s="63"/>
      <c r="B100" s="14"/>
      <c r="C100" s="14"/>
      <c r="D100" s="14"/>
      <c r="E100" s="14"/>
      <c r="F100" s="14"/>
      <c r="G100" s="14"/>
      <c r="H100" s="14"/>
      <c r="I100" s="14"/>
      <c r="J100" s="14"/>
      <c r="K100" s="64"/>
      <c r="L100" s="64"/>
      <c r="M100" s="14"/>
      <c r="N100" s="14"/>
      <c r="O100" s="14"/>
      <c r="P100" s="14"/>
    </row>
    <row r="101" ht="15.75" customHeight="1">
      <c r="A101" s="63"/>
      <c r="B101" s="14"/>
      <c r="C101" s="14"/>
      <c r="D101" s="14"/>
      <c r="E101" s="14"/>
      <c r="F101" s="14"/>
      <c r="G101" s="14"/>
      <c r="H101" s="14"/>
      <c r="I101" s="14"/>
      <c r="J101" s="14"/>
      <c r="K101" s="64"/>
      <c r="L101" s="64"/>
      <c r="M101" s="14"/>
      <c r="N101" s="14"/>
      <c r="O101" s="14"/>
      <c r="P101" s="14"/>
    </row>
    <row r="102" ht="15.75" customHeight="1">
      <c r="A102" s="63"/>
      <c r="B102" s="14"/>
      <c r="C102" s="14"/>
      <c r="D102" s="14"/>
      <c r="E102" s="14"/>
      <c r="F102" s="14"/>
      <c r="G102" s="14"/>
      <c r="H102" s="14"/>
      <c r="I102" s="14"/>
      <c r="J102" s="14"/>
      <c r="K102" s="64"/>
      <c r="L102" s="64"/>
      <c r="M102" s="14"/>
      <c r="N102" s="14"/>
      <c r="O102" s="14"/>
      <c r="P102" s="14"/>
    </row>
    <row r="103" ht="15.75" customHeight="1">
      <c r="A103" s="63"/>
      <c r="B103" s="14"/>
      <c r="C103" s="14"/>
      <c r="D103" s="14"/>
      <c r="E103" s="14"/>
      <c r="F103" s="14"/>
      <c r="G103" s="14"/>
      <c r="H103" s="14"/>
      <c r="I103" s="14"/>
      <c r="J103" s="14"/>
      <c r="K103" s="64"/>
      <c r="L103" s="64"/>
      <c r="M103" s="14"/>
      <c r="N103" s="14"/>
      <c r="O103" s="14"/>
      <c r="P103" s="14"/>
    </row>
    <row r="104" ht="15.75" customHeight="1">
      <c r="A104" s="63"/>
      <c r="B104" s="14"/>
      <c r="C104" s="14"/>
      <c r="D104" s="14"/>
      <c r="E104" s="14"/>
      <c r="F104" s="14"/>
      <c r="G104" s="14"/>
      <c r="H104" s="14"/>
      <c r="I104" s="14"/>
      <c r="J104" s="14"/>
      <c r="K104" s="64"/>
      <c r="L104" s="64"/>
      <c r="M104" s="14"/>
      <c r="N104" s="14"/>
      <c r="O104" s="14"/>
      <c r="P104" s="14"/>
    </row>
    <row r="105" ht="15.75" customHeight="1">
      <c r="A105" s="63"/>
      <c r="B105" s="14"/>
      <c r="C105" s="14"/>
      <c r="D105" s="14"/>
      <c r="E105" s="14"/>
      <c r="F105" s="14"/>
      <c r="G105" s="14"/>
      <c r="H105" s="14"/>
      <c r="I105" s="14"/>
      <c r="J105" s="14"/>
      <c r="K105" s="64"/>
      <c r="L105" s="64"/>
      <c r="M105" s="14"/>
      <c r="N105" s="14"/>
      <c r="O105" s="14"/>
      <c r="P105" s="14"/>
    </row>
    <row r="106" ht="15.75" customHeight="1">
      <c r="A106" s="63"/>
      <c r="B106" s="14"/>
      <c r="C106" s="14"/>
      <c r="D106" s="14"/>
      <c r="E106" s="14"/>
      <c r="F106" s="14"/>
      <c r="G106" s="14"/>
      <c r="H106" s="14"/>
      <c r="I106" s="14"/>
      <c r="J106" s="14"/>
      <c r="K106" s="64"/>
      <c r="L106" s="64"/>
      <c r="M106" s="14"/>
      <c r="N106" s="14"/>
      <c r="O106" s="14"/>
      <c r="P106" s="14"/>
    </row>
    <row r="107" ht="15.75" customHeight="1">
      <c r="A107" s="63"/>
      <c r="B107" s="14"/>
      <c r="C107" s="14"/>
      <c r="D107" s="14"/>
      <c r="E107" s="14"/>
      <c r="F107" s="14"/>
      <c r="G107" s="14"/>
      <c r="H107" s="14"/>
      <c r="I107" s="14"/>
      <c r="J107" s="14"/>
      <c r="K107" s="64"/>
      <c r="L107" s="64"/>
      <c r="M107" s="14"/>
      <c r="N107" s="14"/>
      <c r="O107" s="14"/>
      <c r="P107" s="14"/>
    </row>
    <row r="108" ht="15.75" customHeight="1">
      <c r="A108" s="63"/>
      <c r="B108" s="14"/>
      <c r="C108" s="14"/>
      <c r="D108" s="14"/>
      <c r="E108" s="14"/>
      <c r="F108" s="14"/>
      <c r="G108" s="14"/>
      <c r="H108" s="14"/>
      <c r="I108" s="14"/>
      <c r="J108" s="14"/>
      <c r="K108" s="64"/>
      <c r="L108" s="64"/>
      <c r="M108" s="14"/>
      <c r="N108" s="14"/>
      <c r="O108" s="14"/>
      <c r="P108" s="14"/>
    </row>
    <row r="109" ht="15.75" customHeight="1">
      <c r="A109" s="63"/>
      <c r="B109" s="14"/>
      <c r="C109" s="14"/>
      <c r="D109" s="14"/>
      <c r="E109" s="14"/>
      <c r="F109" s="14"/>
      <c r="G109" s="14"/>
      <c r="H109" s="14"/>
      <c r="I109" s="14"/>
      <c r="J109" s="14"/>
      <c r="K109" s="64"/>
      <c r="L109" s="64"/>
      <c r="M109" s="14"/>
      <c r="N109" s="14"/>
      <c r="O109" s="14"/>
      <c r="P109" s="14"/>
    </row>
    <row r="110" ht="15.75" customHeight="1">
      <c r="A110" s="63"/>
      <c r="B110" s="14"/>
      <c r="C110" s="14"/>
      <c r="D110" s="14"/>
      <c r="E110" s="14"/>
      <c r="F110" s="14"/>
      <c r="G110" s="14"/>
      <c r="H110" s="14"/>
      <c r="I110" s="14"/>
      <c r="J110" s="14"/>
      <c r="K110" s="64"/>
      <c r="L110" s="64"/>
      <c r="M110" s="14"/>
      <c r="N110" s="14"/>
      <c r="O110" s="14"/>
      <c r="P110" s="14"/>
    </row>
    <row r="111" ht="15.75" customHeight="1">
      <c r="A111" s="63"/>
      <c r="B111" s="14"/>
      <c r="C111" s="14"/>
      <c r="D111" s="14"/>
      <c r="E111" s="14"/>
      <c r="F111" s="14"/>
      <c r="G111" s="14"/>
      <c r="H111" s="14"/>
      <c r="I111" s="14"/>
      <c r="J111" s="14"/>
      <c r="K111" s="64"/>
      <c r="L111" s="64"/>
      <c r="M111" s="14"/>
      <c r="N111" s="14"/>
      <c r="O111" s="14"/>
      <c r="P111" s="14"/>
    </row>
    <row r="112" ht="15.75" customHeight="1">
      <c r="A112" s="63"/>
      <c r="B112" s="14"/>
      <c r="C112" s="14"/>
      <c r="D112" s="14"/>
      <c r="E112" s="14"/>
      <c r="F112" s="14"/>
      <c r="G112" s="14"/>
      <c r="H112" s="14"/>
      <c r="I112" s="14"/>
      <c r="J112" s="14"/>
      <c r="K112" s="64"/>
      <c r="L112" s="64"/>
      <c r="M112" s="14"/>
      <c r="N112" s="14"/>
      <c r="O112" s="14"/>
      <c r="P112" s="14"/>
    </row>
    <row r="113" ht="15.75" customHeight="1">
      <c r="A113" s="63"/>
      <c r="B113" s="14"/>
      <c r="C113" s="14"/>
      <c r="D113" s="14"/>
      <c r="E113" s="14"/>
      <c r="F113" s="14"/>
      <c r="G113" s="14"/>
      <c r="H113" s="14"/>
      <c r="I113" s="14"/>
      <c r="J113" s="14"/>
      <c r="K113" s="64"/>
      <c r="L113" s="64"/>
      <c r="M113" s="14"/>
      <c r="N113" s="14"/>
      <c r="O113" s="14"/>
      <c r="P113" s="14"/>
    </row>
    <row r="114" ht="15.75" customHeight="1">
      <c r="A114" s="63"/>
      <c r="B114" s="14"/>
      <c r="C114" s="14"/>
      <c r="D114" s="14"/>
      <c r="E114" s="14"/>
      <c r="F114" s="14"/>
      <c r="G114" s="14"/>
      <c r="H114" s="14"/>
      <c r="I114" s="14"/>
      <c r="J114" s="14"/>
      <c r="K114" s="64"/>
      <c r="L114" s="64"/>
      <c r="M114" s="14"/>
      <c r="N114" s="14"/>
      <c r="O114" s="14"/>
      <c r="P114" s="14"/>
    </row>
    <row r="115" ht="15.75" customHeight="1">
      <c r="A115" s="63"/>
      <c r="B115" s="14"/>
      <c r="C115" s="14"/>
      <c r="D115" s="14"/>
      <c r="E115" s="14"/>
      <c r="F115" s="14"/>
      <c r="G115" s="14"/>
      <c r="H115" s="14"/>
      <c r="I115" s="14"/>
      <c r="J115" s="14"/>
      <c r="K115" s="64"/>
      <c r="L115" s="64"/>
      <c r="M115" s="14"/>
      <c r="N115" s="14"/>
      <c r="O115" s="14"/>
      <c r="P115" s="14"/>
    </row>
    <row r="116" ht="15.75" customHeight="1">
      <c r="A116" s="63"/>
      <c r="B116" s="14"/>
      <c r="C116" s="14"/>
      <c r="D116" s="14"/>
      <c r="E116" s="14"/>
      <c r="F116" s="14"/>
      <c r="G116" s="14"/>
      <c r="H116" s="14"/>
      <c r="I116" s="14"/>
      <c r="J116" s="14"/>
      <c r="K116" s="64"/>
      <c r="L116" s="64"/>
      <c r="M116" s="14"/>
      <c r="N116" s="14"/>
      <c r="O116" s="14"/>
      <c r="P116" s="14"/>
    </row>
    <row r="117" ht="15.75" customHeight="1">
      <c r="A117" s="63"/>
      <c r="B117" s="14"/>
      <c r="C117" s="14"/>
      <c r="D117" s="14"/>
      <c r="E117" s="14"/>
      <c r="F117" s="14"/>
      <c r="G117" s="14"/>
      <c r="H117" s="14"/>
      <c r="I117" s="14"/>
      <c r="J117" s="14"/>
      <c r="K117" s="64"/>
      <c r="L117" s="64"/>
      <c r="M117" s="14"/>
      <c r="N117" s="14"/>
      <c r="O117" s="14"/>
      <c r="P117" s="14"/>
    </row>
    <row r="118" ht="15.75" customHeight="1">
      <c r="A118" s="63"/>
      <c r="B118" s="14"/>
      <c r="C118" s="14"/>
      <c r="D118" s="14"/>
      <c r="E118" s="14"/>
      <c r="F118" s="14"/>
      <c r="G118" s="14"/>
      <c r="H118" s="14"/>
      <c r="I118" s="14"/>
      <c r="J118" s="14"/>
      <c r="K118" s="64"/>
      <c r="L118" s="64"/>
      <c r="M118" s="14"/>
      <c r="N118" s="14"/>
      <c r="O118" s="14"/>
      <c r="P118" s="14"/>
    </row>
    <row r="119" ht="15.75" customHeight="1">
      <c r="A119" s="63"/>
      <c r="B119" s="14"/>
      <c r="C119" s="14"/>
      <c r="D119" s="14"/>
      <c r="E119" s="14"/>
      <c r="F119" s="14"/>
      <c r="G119" s="14"/>
      <c r="H119" s="14"/>
      <c r="I119" s="14"/>
      <c r="J119" s="14"/>
      <c r="K119" s="64"/>
      <c r="L119" s="64"/>
      <c r="M119" s="14"/>
      <c r="N119" s="14"/>
      <c r="O119" s="14"/>
      <c r="P119" s="14"/>
    </row>
    <row r="120" ht="15.75" customHeight="1">
      <c r="A120" s="63"/>
      <c r="B120" s="14"/>
      <c r="C120" s="14"/>
      <c r="D120" s="14"/>
      <c r="E120" s="14"/>
      <c r="F120" s="14"/>
      <c r="G120" s="14"/>
      <c r="H120" s="14"/>
      <c r="I120" s="14"/>
      <c r="J120" s="14"/>
      <c r="K120" s="64"/>
      <c r="L120" s="64"/>
      <c r="M120" s="14"/>
      <c r="N120" s="14"/>
      <c r="O120" s="14"/>
      <c r="P120" s="14"/>
    </row>
    <row r="121" ht="15.75" customHeight="1">
      <c r="A121" s="63"/>
      <c r="B121" s="14"/>
      <c r="C121" s="14"/>
      <c r="D121" s="14"/>
      <c r="E121" s="14"/>
      <c r="F121" s="14"/>
      <c r="G121" s="14"/>
      <c r="H121" s="14"/>
      <c r="I121" s="14"/>
      <c r="J121" s="14"/>
      <c r="K121" s="64"/>
      <c r="L121" s="64"/>
      <c r="M121" s="14"/>
      <c r="N121" s="14"/>
      <c r="O121" s="14"/>
      <c r="P121" s="14"/>
    </row>
    <row r="122" ht="15.75" customHeight="1">
      <c r="A122" s="63"/>
      <c r="B122" s="14"/>
      <c r="C122" s="14"/>
      <c r="D122" s="14"/>
      <c r="E122" s="14"/>
      <c r="F122" s="14"/>
      <c r="G122" s="14"/>
      <c r="H122" s="14"/>
      <c r="I122" s="14"/>
      <c r="J122" s="14"/>
      <c r="K122" s="64"/>
      <c r="L122" s="64"/>
      <c r="M122" s="14"/>
      <c r="N122" s="14"/>
      <c r="O122" s="14"/>
      <c r="P122" s="14"/>
    </row>
    <row r="123" ht="15.75" customHeight="1">
      <c r="A123" s="63"/>
      <c r="B123" s="14"/>
      <c r="C123" s="14"/>
      <c r="D123" s="14"/>
      <c r="E123" s="14"/>
      <c r="F123" s="14"/>
      <c r="G123" s="14"/>
      <c r="H123" s="14"/>
      <c r="I123" s="14"/>
      <c r="J123" s="14"/>
      <c r="K123" s="64"/>
      <c r="L123" s="64"/>
      <c r="M123" s="14"/>
      <c r="N123" s="14"/>
      <c r="O123" s="14"/>
      <c r="P123" s="14"/>
    </row>
    <row r="124" ht="15.75" customHeight="1">
      <c r="A124" s="63"/>
      <c r="B124" s="14"/>
      <c r="C124" s="14"/>
      <c r="D124" s="14"/>
      <c r="E124" s="14"/>
      <c r="F124" s="14"/>
      <c r="G124" s="14"/>
      <c r="H124" s="14"/>
      <c r="I124" s="14"/>
      <c r="J124" s="14"/>
      <c r="K124" s="64"/>
      <c r="L124" s="64"/>
      <c r="M124" s="14"/>
      <c r="N124" s="14"/>
      <c r="O124" s="14"/>
      <c r="P124" s="14"/>
    </row>
    <row r="125" ht="15.75" customHeight="1">
      <c r="A125" s="63"/>
      <c r="B125" s="14"/>
      <c r="C125" s="14"/>
      <c r="D125" s="14"/>
      <c r="E125" s="14"/>
      <c r="F125" s="14"/>
      <c r="G125" s="14"/>
      <c r="H125" s="14"/>
      <c r="I125" s="14"/>
      <c r="J125" s="14"/>
      <c r="K125" s="64"/>
      <c r="L125" s="64"/>
      <c r="M125" s="14"/>
      <c r="N125" s="14"/>
      <c r="O125" s="14"/>
      <c r="P125" s="14"/>
    </row>
    <row r="126" ht="15.75" customHeight="1">
      <c r="A126" s="63"/>
      <c r="B126" s="14"/>
      <c r="C126" s="14"/>
      <c r="D126" s="14"/>
      <c r="E126" s="14"/>
      <c r="F126" s="14"/>
      <c r="G126" s="14"/>
      <c r="H126" s="14"/>
      <c r="I126" s="14"/>
      <c r="J126" s="14"/>
      <c r="K126" s="64"/>
      <c r="L126" s="64"/>
      <c r="M126" s="14"/>
      <c r="N126" s="14"/>
      <c r="O126" s="14"/>
      <c r="P126" s="14"/>
    </row>
    <row r="127" ht="15.75" customHeight="1">
      <c r="A127" s="63"/>
      <c r="B127" s="14"/>
      <c r="C127" s="14"/>
      <c r="D127" s="14"/>
      <c r="E127" s="14"/>
      <c r="F127" s="14"/>
      <c r="G127" s="14"/>
      <c r="H127" s="14"/>
      <c r="I127" s="14"/>
      <c r="J127" s="14"/>
      <c r="K127" s="64"/>
      <c r="L127" s="64"/>
      <c r="M127" s="14"/>
      <c r="N127" s="14"/>
      <c r="O127" s="14"/>
      <c r="P127" s="14"/>
    </row>
    <row r="128" ht="15.75" customHeight="1">
      <c r="A128" s="63"/>
      <c r="B128" s="14"/>
      <c r="C128" s="14"/>
      <c r="D128" s="14"/>
      <c r="E128" s="14"/>
      <c r="F128" s="14"/>
      <c r="G128" s="14"/>
      <c r="H128" s="14"/>
      <c r="I128" s="14"/>
      <c r="J128" s="14"/>
      <c r="K128" s="64"/>
      <c r="L128" s="64"/>
      <c r="M128" s="14"/>
      <c r="N128" s="14"/>
      <c r="O128" s="14"/>
      <c r="P128" s="14"/>
    </row>
    <row r="129" ht="15.75" customHeight="1">
      <c r="A129" s="63"/>
      <c r="B129" s="14"/>
      <c r="C129" s="14"/>
      <c r="D129" s="14"/>
      <c r="E129" s="14"/>
      <c r="F129" s="14"/>
      <c r="G129" s="14"/>
      <c r="H129" s="14"/>
      <c r="I129" s="14"/>
      <c r="J129" s="14"/>
      <c r="K129" s="64"/>
      <c r="L129" s="64"/>
      <c r="M129" s="14"/>
      <c r="N129" s="14"/>
      <c r="O129" s="14"/>
      <c r="P129" s="14"/>
    </row>
    <row r="130" ht="15.75" customHeight="1">
      <c r="A130" s="63"/>
      <c r="B130" s="14"/>
      <c r="C130" s="14"/>
      <c r="D130" s="14"/>
      <c r="E130" s="14"/>
      <c r="F130" s="14"/>
      <c r="G130" s="14"/>
      <c r="H130" s="14"/>
      <c r="I130" s="14"/>
      <c r="J130" s="14"/>
      <c r="K130" s="64"/>
      <c r="L130" s="64"/>
      <c r="M130" s="14"/>
      <c r="N130" s="14"/>
      <c r="O130" s="14"/>
      <c r="P130" s="14"/>
    </row>
    <row r="131" ht="15.75" customHeight="1">
      <c r="A131" s="63"/>
      <c r="B131" s="14"/>
      <c r="C131" s="14"/>
      <c r="D131" s="14"/>
      <c r="E131" s="14"/>
      <c r="F131" s="14"/>
      <c r="G131" s="14"/>
      <c r="H131" s="14"/>
      <c r="I131" s="14"/>
      <c r="J131" s="14"/>
      <c r="K131" s="64"/>
      <c r="L131" s="64"/>
      <c r="M131" s="14"/>
      <c r="N131" s="14"/>
      <c r="O131" s="14"/>
      <c r="P131" s="14"/>
    </row>
    <row r="132" ht="15.75" customHeight="1">
      <c r="A132" s="63"/>
      <c r="B132" s="14"/>
      <c r="C132" s="14"/>
      <c r="D132" s="14"/>
      <c r="E132" s="14"/>
      <c r="F132" s="14"/>
      <c r="G132" s="14"/>
      <c r="H132" s="14"/>
      <c r="I132" s="14"/>
      <c r="J132" s="14"/>
      <c r="K132" s="64"/>
      <c r="L132" s="64"/>
      <c r="M132" s="14"/>
      <c r="N132" s="14"/>
      <c r="O132" s="14"/>
      <c r="P132" s="14"/>
    </row>
    <row r="133" ht="15.75" customHeight="1">
      <c r="A133" s="63"/>
      <c r="B133" s="14"/>
      <c r="C133" s="14"/>
      <c r="D133" s="14"/>
      <c r="E133" s="14"/>
      <c r="F133" s="14"/>
      <c r="G133" s="14"/>
      <c r="H133" s="14"/>
      <c r="I133" s="14"/>
      <c r="J133" s="14"/>
      <c r="K133" s="64"/>
      <c r="L133" s="64"/>
      <c r="M133" s="14"/>
      <c r="N133" s="14"/>
      <c r="O133" s="14"/>
      <c r="P133" s="14"/>
    </row>
    <row r="134" ht="15.75" customHeight="1">
      <c r="A134" s="63"/>
      <c r="B134" s="14"/>
      <c r="C134" s="14"/>
      <c r="D134" s="14"/>
      <c r="E134" s="14"/>
      <c r="F134" s="14"/>
      <c r="G134" s="14"/>
      <c r="H134" s="14"/>
      <c r="I134" s="14"/>
      <c r="J134" s="14"/>
      <c r="K134" s="64"/>
      <c r="L134" s="64"/>
      <c r="M134" s="14"/>
      <c r="N134" s="14"/>
      <c r="O134" s="14"/>
      <c r="P134" s="14"/>
    </row>
    <row r="135" ht="15.75" customHeight="1">
      <c r="A135" s="63"/>
      <c r="B135" s="14"/>
      <c r="C135" s="14"/>
      <c r="D135" s="14"/>
      <c r="E135" s="14"/>
      <c r="F135" s="14"/>
      <c r="G135" s="14"/>
      <c r="H135" s="14"/>
      <c r="I135" s="14"/>
      <c r="J135" s="14"/>
      <c r="K135" s="64"/>
      <c r="L135" s="64"/>
      <c r="M135" s="14"/>
      <c r="N135" s="14"/>
      <c r="O135" s="14"/>
      <c r="P135" s="14"/>
    </row>
    <row r="136" ht="15.75" customHeight="1">
      <c r="A136" s="63"/>
      <c r="B136" s="14"/>
      <c r="C136" s="14"/>
      <c r="D136" s="14"/>
      <c r="E136" s="14"/>
      <c r="F136" s="14"/>
      <c r="G136" s="14"/>
      <c r="H136" s="14"/>
      <c r="I136" s="14"/>
      <c r="J136" s="14"/>
      <c r="K136" s="64"/>
      <c r="L136" s="64"/>
      <c r="M136" s="14"/>
      <c r="N136" s="14"/>
      <c r="O136" s="14"/>
      <c r="P136" s="14"/>
    </row>
    <row r="137" ht="15.75" customHeight="1">
      <c r="A137" s="63"/>
      <c r="B137" s="14"/>
      <c r="C137" s="14"/>
      <c r="D137" s="14"/>
      <c r="E137" s="14"/>
      <c r="F137" s="14"/>
      <c r="G137" s="14"/>
      <c r="H137" s="14"/>
      <c r="I137" s="14"/>
      <c r="J137" s="14"/>
      <c r="K137" s="64"/>
      <c r="L137" s="64"/>
      <c r="M137" s="14"/>
      <c r="N137" s="14"/>
      <c r="O137" s="14"/>
      <c r="P137" s="14"/>
    </row>
    <row r="138" ht="15.75" customHeight="1">
      <c r="A138" s="63"/>
      <c r="B138" s="14"/>
      <c r="C138" s="14"/>
      <c r="D138" s="14"/>
      <c r="E138" s="14"/>
      <c r="F138" s="14"/>
      <c r="G138" s="14"/>
      <c r="H138" s="14"/>
      <c r="I138" s="14"/>
      <c r="J138" s="14"/>
      <c r="K138" s="64"/>
      <c r="L138" s="64"/>
      <c r="M138" s="14"/>
      <c r="N138" s="14"/>
      <c r="O138" s="14"/>
      <c r="P138" s="14"/>
    </row>
    <row r="139" ht="15.75" customHeight="1">
      <c r="A139" s="63"/>
      <c r="B139" s="14"/>
      <c r="C139" s="14"/>
      <c r="D139" s="14"/>
      <c r="E139" s="14"/>
      <c r="F139" s="14"/>
      <c r="G139" s="14"/>
      <c r="H139" s="14"/>
      <c r="I139" s="14"/>
      <c r="J139" s="14"/>
      <c r="K139" s="64"/>
      <c r="L139" s="64"/>
      <c r="M139" s="14"/>
      <c r="N139" s="14"/>
      <c r="O139" s="14"/>
      <c r="P139" s="14"/>
    </row>
    <row r="140" ht="15.75" customHeight="1">
      <c r="A140" s="63"/>
      <c r="B140" s="14"/>
      <c r="C140" s="14"/>
      <c r="D140" s="14"/>
      <c r="E140" s="14"/>
      <c r="F140" s="14"/>
      <c r="G140" s="14"/>
      <c r="H140" s="14"/>
      <c r="I140" s="14"/>
      <c r="J140" s="14"/>
      <c r="K140" s="64"/>
      <c r="L140" s="64"/>
      <c r="M140" s="14"/>
      <c r="N140" s="14"/>
      <c r="O140" s="14"/>
      <c r="P140" s="14"/>
    </row>
    <row r="141" ht="15.75" customHeight="1">
      <c r="A141" s="63"/>
      <c r="B141" s="14"/>
      <c r="C141" s="14"/>
      <c r="D141" s="14"/>
      <c r="E141" s="14"/>
      <c r="F141" s="14"/>
      <c r="G141" s="14"/>
      <c r="H141" s="14"/>
      <c r="I141" s="14"/>
      <c r="J141" s="14"/>
      <c r="K141" s="64"/>
      <c r="L141" s="64"/>
      <c r="M141" s="14"/>
      <c r="N141" s="14"/>
      <c r="O141" s="14"/>
      <c r="P141" s="14"/>
    </row>
    <row r="142" ht="15.75" customHeight="1">
      <c r="A142" s="63"/>
      <c r="B142" s="14"/>
      <c r="C142" s="14"/>
      <c r="D142" s="14"/>
      <c r="E142" s="14"/>
      <c r="F142" s="14"/>
      <c r="G142" s="14"/>
      <c r="H142" s="14"/>
      <c r="I142" s="14"/>
      <c r="J142" s="14"/>
      <c r="K142" s="64"/>
      <c r="L142" s="64"/>
      <c r="M142" s="14"/>
      <c r="N142" s="14"/>
      <c r="O142" s="14"/>
      <c r="P142" s="14"/>
    </row>
    <row r="143" ht="15.75" customHeight="1">
      <c r="A143" s="63"/>
      <c r="B143" s="14"/>
      <c r="C143" s="14"/>
      <c r="D143" s="14"/>
      <c r="E143" s="14"/>
      <c r="F143" s="14"/>
      <c r="G143" s="14"/>
      <c r="H143" s="14"/>
      <c r="I143" s="14"/>
      <c r="J143" s="14"/>
      <c r="K143" s="64"/>
      <c r="L143" s="64"/>
      <c r="M143" s="14"/>
      <c r="N143" s="14"/>
      <c r="O143" s="14"/>
      <c r="P143" s="14"/>
    </row>
    <row r="144" ht="15.75" customHeight="1">
      <c r="A144" s="63"/>
      <c r="B144" s="14"/>
      <c r="C144" s="14"/>
      <c r="D144" s="14"/>
      <c r="E144" s="14"/>
      <c r="F144" s="14"/>
      <c r="G144" s="14"/>
      <c r="H144" s="14"/>
      <c r="I144" s="14"/>
      <c r="J144" s="14"/>
      <c r="K144" s="64"/>
      <c r="L144" s="64"/>
      <c r="M144" s="14"/>
      <c r="N144" s="14"/>
      <c r="O144" s="14"/>
      <c r="P144" s="14"/>
    </row>
    <row r="145" ht="15.75" customHeight="1">
      <c r="A145" s="63"/>
      <c r="B145" s="14"/>
      <c r="C145" s="14"/>
      <c r="D145" s="14"/>
      <c r="E145" s="14"/>
      <c r="F145" s="14"/>
      <c r="G145" s="14"/>
      <c r="H145" s="14"/>
      <c r="I145" s="14"/>
      <c r="J145" s="14"/>
      <c r="K145" s="64"/>
      <c r="L145" s="64"/>
      <c r="M145" s="14"/>
      <c r="N145" s="14"/>
      <c r="O145" s="14"/>
      <c r="P145" s="14"/>
    </row>
    <row r="146" ht="15.75" customHeight="1">
      <c r="A146" s="63"/>
      <c r="B146" s="14"/>
      <c r="C146" s="14"/>
      <c r="D146" s="14"/>
      <c r="E146" s="14"/>
      <c r="F146" s="14"/>
      <c r="G146" s="14"/>
      <c r="H146" s="14"/>
      <c r="I146" s="14"/>
      <c r="J146" s="14"/>
      <c r="K146" s="64"/>
      <c r="L146" s="64"/>
      <c r="M146" s="14"/>
      <c r="N146" s="14"/>
      <c r="O146" s="14"/>
      <c r="P146" s="14"/>
    </row>
    <row r="147" ht="15.75" customHeight="1">
      <c r="A147" s="63"/>
      <c r="B147" s="14"/>
      <c r="C147" s="14"/>
      <c r="D147" s="14"/>
      <c r="E147" s="14"/>
      <c r="F147" s="14"/>
      <c r="G147" s="14"/>
      <c r="H147" s="14"/>
      <c r="I147" s="14"/>
      <c r="J147" s="14"/>
      <c r="K147" s="64"/>
      <c r="L147" s="64"/>
      <c r="M147" s="14"/>
      <c r="N147" s="14"/>
      <c r="O147" s="14"/>
      <c r="P147" s="14"/>
    </row>
    <row r="148" ht="15.75" customHeight="1">
      <c r="A148" s="63"/>
      <c r="B148" s="14"/>
      <c r="C148" s="14"/>
      <c r="D148" s="14"/>
      <c r="E148" s="14"/>
      <c r="F148" s="14"/>
      <c r="G148" s="14"/>
      <c r="H148" s="14"/>
      <c r="I148" s="14"/>
      <c r="J148" s="14"/>
      <c r="K148" s="64"/>
      <c r="L148" s="64"/>
      <c r="M148" s="14"/>
      <c r="N148" s="14"/>
      <c r="O148" s="14"/>
      <c r="P148" s="14"/>
    </row>
    <row r="149" ht="15.75" customHeight="1">
      <c r="A149" s="63"/>
      <c r="B149" s="14"/>
      <c r="C149" s="14"/>
      <c r="D149" s="14"/>
      <c r="E149" s="14"/>
      <c r="F149" s="14"/>
      <c r="G149" s="14"/>
      <c r="H149" s="14"/>
      <c r="I149" s="14"/>
      <c r="J149" s="14"/>
      <c r="K149" s="64"/>
      <c r="L149" s="64"/>
      <c r="M149" s="14"/>
      <c r="N149" s="14"/>
      <c r="O149" s="14"/>
      <c r="P149" s="14"/>
    </row>
    <row r="150" ht="15.75" customHeight="1">
      <c r="A150" s="63"/>
      <c r="B150" s="14"/>
      <c r="C150" s="14"/>
      <c r="D150" s="14"/>
      <c r="E150" s="14"/>
      <c r="F150" s="14"/>
      <c r="G150" s="14"/>
      <c r="H150" s="14"/>
      <c r="I150" s="14"/>
      <c r="J150" s="14"/>
      <c r="K150" s="64"/>
      <c r="L150" s="64"/>
      <c r="M150" s="14"/>
      <c r="N150" s="14"/>
      <c r="O150" s="14"/>
      <c r="P150" s="14"/>
    </row>
    <row r="151" ht="15.75" customHeight="1">
      <c r="A151" s="63"/>
      <c r="B151" s="14"/>
      <c r="C151" s="14"/>
      <c r="D151" s="14"/>
      <c r="E151" s="14"/>
      <c r="F151" s="14"/>
      <c r="G151" s="14"/>
      <c r="H151" s="14"/>
      <c r="I151" s="14"/>
      <c r="J151" s="14"/>
      <c r="K151" s="64"/>
      <c r="L151" s="64"/>
      <c r="M151" s="14"/>
      <c r="N151" s="14"/>
      <c r="O151" s="14"/>
      <c r="P151" s="14"/>
    </row>
    <row r="152" ht="15.75" customHeight="1">
      <c r="A152" s="63"/>
      <c r="B152" s="14"/>
      <c r="C152" s="14"/>
      <c r="D152" s="14"/>
      <c r="E152" s="14"/>
      <c r="F152" s="14"/>
      <c r="G152" s="14"/>
      <c r="H152" s="14"/>
      <c r="I152" s="14"/>
      <c r="J152" s="14"/>
      <c r="K152" s="64"/>
      <c r="L152" s="64"/>
      <c r="M152" s="14"/>
      <c r="N152" s="14"/>
      <c r="O152" s="14"/>
      <c r="P152" s="14"/>
    </row>
    <row r="153" ht="15.75" customHeight="1">
      <c r="A153" s="63"/>
      <c r="B153" s="14"/>
      <c r="C153" s="14"/>
      <c r="D153" s="14"/>
      <c r="E153" s="14"/>
      <c r="F153" s="14"/>
      <c r="G153" s="14"/>
      <c r="H153" s="14"/>
      <c r="I153" s="14"/>
      <c r="J153" s="14"/>
      <c r="K153" s="64"/>
      <c r="L153" s="64"/>
      <c r="M153" s="14"/>
      <c r="N153" s="14"/>
      <c r="O153" s="14"/>
      <c r="P153" s="14"/>
    </row>
    <row r="154" ht="15.75" customHeight="1">
      <c r="A154" s="63"/>
      <c r="B154" s="14"/>
      <c r="C154" s="14"/>
      <c r="D154" s="14"/>
      <c r="E154" s="14"/>
      <c r="F154" s="14"/>
      <c r="G154" s="14"/>
      <c r="H154" s="14"/>
      <c r="I154" s="14"/>
      <c r="J154" s="14"/>
      <c r="K154" s="64"/>
      <c r="L154" s="64"/>
      <c r="M154" s="14"/>
      <c r="N154" s="14"/>
      <c r="O154" s="14"/>
      <c r="P154" s="14"/>
    </row>
    <row r="155" ht="15.75" customHeight="1">
      <c r="A155" s="63"/>
      <c r="B155" s="14"/>
      <c r="C155" s="14"/>
      <c r="D155" s="14"/>
      <c r="E155" s="14"/>
      <c r="F155" s="14"/>
      <c r="G155" s="14"/>
      <c r="H155" s="14"/>
      <c r="I155" s="14"/>
      <c r="J155" s="14"/>
      <c r="K155" s="64"/>
      <c r="L155" s="64"/>
      <c r="M155" s="14"/>
      <c r="N155" s="14"/>
      <c r="O155" s="14"/>
      <c r="P155" s="14"/>
    </row>
    <row r="156" ht="15.75" customHeight="1">
      <c r="A156" s="63"/>
      <c r="B156" s="14"/>
      <c r="C156" s="14"/>
      <c r="D156" s="14"/>
      <c r="E156" s="14"/>
      <c r="F156" s="14"/>
      <c r="G156" s="14"/>
      <c r="H156" s="14"/>
      <c r="I156" s="14"/>
      <c r="J156" s="14"/>
      <c r="K156" s="64"/>
      <c r="L156" s="64"/>
      <c r="M156" s="14"/>
      <c r="N156" s="14"/>
      <c r="O156" s="14"/>
      <c r="P156" s="14"/>
    </row>
    <row r="157" ht="15.75" customHeight="1">
      <c r="A157" s="63"/>
      <c r="B157" s="14"/>
      <c r="C157" s="14"/>
      <c r="D157" s="14"/>
      <c r="E157" s="14"/>
      <c r="F157" s="14"/>
      <c r="G157" s="14"/>
      <c r="H157" s="14"/>
      <c r="I157" s="14"/>
      <c r="J157" s="14"/>
      <c r="K157" s="64"/>
      <c r="L157" s="64"/>
      <c r="M157" s="14"/>
      <c r="N157" s="14"/>
      <c r="O157" s="14"/>
      <c r="P157" s="14"/>
    </row>
    <row r="158" ht="15.75" customHeight="1">
      <c r="A158" s="63"/>
      <c r="B158" s="14"/>
      <c r="C158" s="14"/>
      <c r="D158" s="14"/>
      <c r="E158" s="14"/>
      <c r="F158" s="14"/>
      <c r="G158" s="14"/>
      <c r="H158" s="14"/>
      <c r="I158" s="14"/>
      <c r="J158" s="14"/>
      <c r="K158" s="64"/>
      <c r="L158" s="64"/>
      <c r="M158" s="14"/>
      <c r="N158" s="14"/>
      <c r="O158" s="14"/>
      <c r="P158" s="14"/>
    </row>
    <row r="159" ht="15.75" customHeight="1">
      <c r="A159" s="63"/>
      <c r="B159" s="14"/>
      <c r="C159" s="14"/>
      <c r="D159" s="14"/>
      <c r="E159" s="14"/>
      <c r="F159" s="14"/>
      <c r="G159" s="14"/>
      <c r="H159" s="14"/>
      <c r="I159" s="14"/>
      <c r="J159" s="14"/>
      <c r="K159" s="64"/>
      <c r="L159" s="64"/>
      <c r="M159" s="14"/>
      <c r="N159" s="14"/>
      <c r="O159" s="14"/>
      <c r="P159" s="14"/>
    </row>
    <row r="160" ht="15.75" customHeight="1">
      <c r="A160" s="63"/>
      <c r="B160" s="14"/>
      <c r="C160" s="14"/>
      <c r="D160" s="14"/>
      <c r="E160" s="14"/>
      <c r="F160" s="14"/>
      <c r="G160" s="14"/>
      <c r="H160" s="14"/>
      <c r="I160" s="14"/>
      <c r="J160" s="14"/>
      <c r="K160" s="64"/>
      <c r="L160" s="64"/>
      <c r="M160" s="14"/>
      <c r="N160" s="14"/>
      <c r="O160" s="14"/>
      <c r="P160" s="14"/>
    </row>
    <row r="161" ht="15.75" customHeight="1">
      <c r="A161" s="63"/>
      <c r="B161" s="14"/>
      <c r="C161" s="14"/>
      <c r="D161" s="14"/>
      <c r="E161" s="14"/>
      <c r="F161" s="14"/>
      <c r="G161" s="14"/>
      <c r="H161" s="14"/>
      <c r="I161" s="14"/>
      <c r="J161" s="14"/>
      <c r="K161" s="64"/>
      <c r="L161" s="64"/>
      <c r="M161" s="14"/>
      <c r="N161" s="14"/>
      <c r="O161" s="14"/>
      <c r="P161" s="14"/>
    </row>
    <row r="162" ht="15.75" customHeight="1">
      <c r="A162" s="63"/>
      <c r="B162" s="14"/>
      <c r="C162" s="14"/>
      <c r="D162" s="14"/>
      <c r="E162" s="14"/>
      <c r="F162" s="14"/>
      <c r="G162" s="14"/>
      <c r="H162" s="14"/>
      <c r="I162" s="14"/>
      <c r="J162" s="14"/>
      <c r="K162" s="64"/>
      <c r="L162" s="64"/>
      <c r="M162" s="14"/>
      <c r="N162" s="14"/>
      <c r="O162" s="14"/>
      <c r="P162" s="14"/>
    </row>
    <row r="163" ht="15.75" customHeight="1">
      <c r="A163" s="63"/>
      <c r="B163" s="14"/>
      <c r="C163" s="14"/>
      <c r="D163" s="14"/>
      <c r="E163" s="14"/>
      <c r="F163" s="14"/>
      <c r="G163" s="14"/>
      <c r="H163" s="14"/>
      <c r="I163" s="14"/>
      <c r="J163" s="14"/>
      <c r="K163" s="64"/>
      <c r="L163" s="64"/>
      <c r="M163" s="14"/>
      <c r="N163" s="14"/>
      <c r="O163" s="14"/>
      <c r="P163" s="14"/>
    </row>
    <row r="164" ht="15.75" customHeight="1">
      <c r="A164" s="63"/>
      <c r="B164" s="14"/>
      <c r="C164" s="14"/>
      <c r="D164" s="14"/>
      <c r="E164" s="14"/>
      <c r="F164" s="14"/>
      <c r="G164" s="14"/>
      <c r="H164" s="14"/>
      <c r="I164" s="14"/>
      <c r="J164" s="14"/>
      <c r="K164" s="64"/>
      <c r="L164" s="64"/>
      <c r="M164" s="14"/>
      <c r="N164" s="14"/>
      <c r="O164" s="14"/>
      <c r="P164" s="14"/>
    </row>
    <row r="165" ht="15.75" customHeight="1">
      <c r="A165" s="63"/>
      <c r="B165" s="14"/>
      <c r="C165" s="14"/>
      <c r="D165" s="14"/>
      <c r="E165" s="14"/>
      <c r="F165" s="14"/>
      <c r="G165" s="14"/>
      <c r="H165" s="14"/>
      <c r="I165" s="14"/>
      <c r="J165" s="14"/>
      <c r="K165" s="64"/>
      <c r="L165" s="64"/>
      <c r="M165" s="14"/>
      <c r="N165" s="14"/>
      <c r="O165" s="14"/>
      <c r="P165" s="14"/>
    </row>
    <row r="166" ht="15.75" customHeight="1">
      <c r="A166" s="63"/>
      <c r="B166" s="14"/>
      <c r="C166" s="14"/>
      <c r="D166" s="14"/>
      <c r="E166" s="14"/>
      <c r="F166" s="14"/>
      <c r="G166" s="14"/>
      <c r="H166" s="14"/>
      <c r="I166" s="14"/>
      <c r="J166" s="14"/>
      <c r="K166" s="64"/>
      <c r="L166" s="64"/>
      <c r="M166" s="14"/>
      <c r="N166" s="14"/>
      <c r="O166" s="14"/>
      <c r="P166" s="14"/>
    </row>
    <row r="167" ht="15.75" customHeight="1">
      <c r="A167" s="63"/>
      <c r="B167" s="14"/>
      <c r="C167" s="14"/>
      <c r="D167" s="14"/>
      <c r="E167" s="14"/>
      <c r="F167" s="14"/>
      <c r="G167" s="14"/>
      <c r="H167" s="14"/>
      <c r="I167" s="14"/>
      <c r="J167" s="14"/>
      <c r="K167" s="64"/>
      <c r="L167" s="64"/>
      <c r="M167" s="14"/>
      <c r="N167" s="14"/>
      <c r="O167" s="14"/>
      <c r="P167" s="14"/>
    </row>
    <row r="168" ht="15.75" customHeight="1">
      <c r="A168" s="63"/>
      <c r="B168" s="14"/>
      <c r="C168" s="14"/>
      <c r="D168" s="14"/>
      <c r="E168" s="14"/>
      <c r="F168" s="14"/>
      <c r="G168" s="14"/>
      <c r="H168" s="14"/>
      <c r="I168" s="14"/>
      <c r="J168" s="14"/>
      <c r="K168" s="64"/>
      <c r="L168" s="64"/>
      <c r="M168" s="14"/>
      <c r="N168" s="14"/>
      <c r="O168" s="14"/>
      <c r="P168" s="14"/>
    </row>
    <row r="169" ht="15.75" customHeight="1">
      <c r="A169" s="63"/>
      <c r="B169" s="14"/>
      <c r="C169" s="14"/>
      <c r="D169" s="14"/>
      <c r="E169" s="14"/>
      <c r="F169" s="14"/>
      <c r="G169" s="14"/>
      <c r="H169" s="14"/>
      <c r="I169" s="14"/>
      <c r="J169" s="14"/>
      <c r="K169" s="64"/>
      <c r="L169" s="64"/>
      <c r="M169" s="14"/>
      <c r="N169" s="14"/>
      <c r="O169" s="14"/>
      <c r="P169" s="14"/>
    </row>
    <row r="170" ht="15.75" customHeight="1">
      <c r="A170" s="63"/>
      <c r="B170" s="14"/>
      <c r="C170" s="14"/>
      <c r="D170" s="14"/>
      <c r="E170" s="14"/>
      <c r="F170" s="14"/>
      <c r="G170" s="14"/>
      <c r="H170" s="14"/>
      <c r="I170" s="14"/>
      <c r="J170" s="14"/>
      <c r="K170" s="64"/>
      <c r="L170" s="64"/>
      <c r="M170" s="14"/>
      <c r="N170" s="14"/>
      <c r="O170" s="14"/>
      <c r="P170" s="14"/>
    </row>
    <row r="171" ht="15.75" customHeight="1">
      <c r="A171" s="63"/>
      <c r="B171" s="14"/>
      <c r="C171" s="14"/>
      <c r="D171" s="14"/>
      <c r="E171" s="14"/>
      <c r="F171" s="14"/>
      <c r="G171" s="14"/>
      <c r="H171" s="14"/>
      <c r="I171" s="14"/>
      <c r="J171" s="14"/>
      <c r="K171" s="64"/>
      <c r="L171" s="64"/>
      <c r="M171" s="14"/>
      <c r="N171" s="14"/>
      <c r="O171" s="14"/>
      <c r="P171" s="14"/>
    </row>
    <row r="172" ht="15.75" customHeight="1">
      <c r="A172" s="63"/>
      <c r="B172" s="14"/>
      <c r="C172" s="14"/>
      <c r="D172" s="14"/>
      <c r="E172" s="14"/>
      <c r="F172" s="14"/>
      <c r="G172" s="14"/>
      <c r="H172" s="14"/>
      <c r="I172" s="14"/>
      <c r="J172" s="14"/>
      <c r="K172" s="64"/>
      <c r="L172" s="64"/>
      <c r="M172" s="14"/>
      <c r="N172" s="14"/>
      <c r="O172" s="14"/>
      <c r="P172" s="14"/>
    </row>
    <row r="173" ht="15.75" customHeight="1">
      <c r="A173" s="63"/>
      <c r="B173" s="14"/>
      <c r="C173" s="14"/>
      <c r="D173" s="14"/>
      <c r="E173" s="14"/>
      <c r="F173" s="14"/>
      <c r="G173" s="14"/>
      <c r="H173" s="14"/>
      <c r="I173" s="14"/>
      <c r="J173" s="14"/>
      <c r="K173" s="64"/>
      <c r="L173" s="64"/>
      <c r="M173" s="14"/>
      <c r="N173" s="14"/>
      <c r="O173" s="14"/>
      <c r="P173" s="14"/>
    </row>
    <row r="174" ht="15.75" customHeight="1">
      <c r="A174" s="63"/>
      <c r="B174" s="14"/>
      <c r="C174" s="14"/>
      <c r="D174" s="14"/>
      <c r="E174" s="14"/>
      <c r="F174" s="14"/>
      <c r="G174" s="14"/>
      <c r="H174" s="14"/>
      <c r="I174" s="14"/>
      <c r="J174" s="14"/>
      <c r="K174" s="64"/>
      <c r="L174" s="64"/>
      <c r="M174" s="14"/>
      <c r="N174" s="14"/>
      <c r="O174" s="14"/>
      <c r="P174" s="14"/>
    </row>
    <row r="175" ht="15.75" customHeight="1">
      <c r="A175" s="63"/>
      <c r="B175" s="14"/>
      <c r="C175" s="14"/>
      <c r="D175" s="14"/>
      <c r="E175" s="14"/>
      <c r="F175" s="14"/>
      <c r="G175" s="14"/>
      <c r="H175" s="14"/>
      <c r="I175" s="14"/>
      <c r="J175" s="14"/>
      <c r="K175" s="64"/>
      <c r="L175" s="64"/>
      <c r="M175" s="14"/>
      <c r="N175" s="14"/>
      <c r="O175" s="14"/>
      <c r="P175" s="14"/>
    </row>
    <row r="176" ht="15.75" customHeight="1">
      <c r="A176" s="63"/>
      <c r="B176" s="14"/>
      <c r="C176" s="14"/>
      <c r="D176" s="14"/>
      <c r="E176" s="14"/>
      <c r="F176" s="14"/>
      <c r="G176" s="14"/>
      <c r="H176" s="14"/>
      <c r="I176" s="14"/>
      <c r="J176" s="14"/>
      <c r="K176" s="64"/>
      <c r="L176" s="64"/>
      <c r="M176" s="14"/>
      <c r="N176" s="14"/>
      <c r="O176" s="14"/>
      <c r="P176" s="14"/>
    </row>
    <row r="177" ht="15.75" customHeight="1">
      <c r="A177" s="63"/>
      <c r="B177" s="14"/>
      <c r="C177" s="14"/>
      <c r="D177" s="14"/>
      <c r="E177" s="14"/>
      <c r="F177" s="14"/>
      <c r="G177" s="14"/>
      <c r="H177" s="14"/>
      <c r="I177" s="14"/>
      <c r="J177" s="14"/>
      <c r="K177" s="64"/>
      <c r="L177" s="64"/>
      <c r="M177" s="14"/>
      <c r="N177" s="14"/>
      <c r="O177" s="14"/>
      <c r="P177" s="14"/>
    </row>
    <row r="178" ht="15.75" customHeight="1">
      <c r="A178" s="63"/>
      <c r="B178" s="14"/>
      <c r="C178" s="14"/>
      <c r="D178" s="14"/>
      <c r="E178" s="14"/>
      <c r="F178" s="14"/>
      <c r="G178" s="14"/>
      <c r="H178" s="14"/>
      <c r="I178" s="14"/>
      <c r="J178" s="14"/>
      <c r="K178" s="64"/>
      <c r="L178" s="64"/>
      <c r="M178" s="14"/>
      <c r="N178" s="14"/>
      <c r="O178" s="14"/>
      <c r="P178" s="14"/>
    </row>
    <row r="179" ht="15.75" customHeight="1">
      <c r="A179" s="63"/>
      <c r="B179" s="14"/>
      <c r="C179" s="14"/>
      <c r="D179" s="14"/>
      <c r="E179" s="14"/>
      <c r="F179" s="14"/>
      <c r="G179" s="14"/>
      <c r="H179" s="14"/>
      <c r="I179" s="14"/>
      <c r="J179" s="14"/>
      <c r="K179" s="64"/>
      <c r="L179" s="64"/>
      <c r="M179" s="14"/>
      <c r="N179" s="14"/>
      <c r="O179" s="14"/>
      <c r="P179" s="14"/>
    </row>
    <row r="180" ht="15.75" customHeight="1">
      <c r="A180" s="63"/>
      <c r="B180" s="14"/>
      <c r="C180" s="14"/>
      <c r="D180" s="14"/>
      <c r="E180" s="14"/>
      <c r="F180" s="14"/>
      <c r="G180" s="14"/>
      <c r="H180" s="14"/>
      <c r="I180" s="14"/>
      <c r="J180" s="14"/>
      <c r="K180" s="64"/>
      <c r="L180" s="64"/>
      <c r="M180" s="14"/>
      <c r="N180" s="14"/>
      <c r="O180" s="14"/>
      <c r="P180" s="14"/>
    </row>
    <row r="181" ht="15.75" customHeight="1">
      <c r="A181" s="63"/>
      <c r="B181" s="14"/>
      <c r="C181" s="14"/>
      <c r="D181" s="14"/>
      <c r="E181" s="14"/>
      <c r="F181" s="14"/>
      <c r="G181" s="14"/>
      <c r="H181" s="14"/>
      <c r="I181" s="14"/>
      <c r="J181" s="14"/>
      <c r="K181" s="64"/>
      <c r="L181" s="64"/>
      <c r="M181" s="14"/>
      <c r="N181" s="14"/>
      <c r="O181" s="14"/>
      <c r="P181" s="14"/>
    </row>
    <row r="182" ht="15.75" customHeight="1">
      <c r="A182" s="63"/>
      <c r="B182" s="14"/>
      <c r="C182" s="14"/>
      <c r="D182" s="14"/>
      <c r="E182" s="14"/>
      <c r="F182" s="14"/>
      <c r="G182" s="14"/>
      <c r="H182" s="14"/>
      <c r="I182" s="14"/>
      <c r="J182" s="14"/>
      <c r="K182" s="64"/>
      <c r="L182" s="64"/>
      <c r="M182" s="14"/>
      <c r="N182" s="14"/>
      <c r="O182" s="14"/>
      <c r="P182" s="14"/>
    </row>
    <row r="183" ht="15.75" customHeight="1">
      <c r="A183" s="63"/>
      <c r="B183" s="14"/>
      <c r="C183" s="14"/>
      <c r="D183" s="14"/>
      <c r="E183" s="14"/>
      <c r="F183" s="14"/>
      <c r="G183" s="14"/>
      <c r="H183" s="14"/>
      <c r="I183" s="14"/>
      <c r="J183" s="14"/>
      <c r="K183" s="64"/>
      <c r="L183" s="64"/>
      <c r="M183" s="14"/>
      <c r="N183" s="14"/>
      <c r="O183" s="14"/>
      <c r="P183" s="14"/>
    </row>
    <row r="184" ht="15.75" customHeight="1">
      <c r="A184" s="63"/>
      <c r="B184" s="14"/>
      <c r="C184" s="14"/>
      <c r="D184" s="14"/>
      <c r="E184" s="14"/>
      <c r="F184" s="14"/>
      <c r="G184" s="14"/>
      <c r="H184" s="14"/>
      <c r="I184" s="14"/>
      <c r="J184" s="14"/>
      <c r="K184" s="64"/>
      <c r="L184" s="64"/>
      <c r="M184" s="14"/>
      <c r="N184" s="14"/>
      <c r="O184" s="14"/>
      <c r="P184" s="14"/>
    </row>
    <row r="185" ht="15.75" customHeight="1">
      <c r="A185" s="63"/>
      <c r="B185" s="14"/>
      <c r="C185" s="14"/>
      <c r="D185" s="14"/>
      <c r="E185" s="14"/>
      <c r="F185" s="14"/>
      <c r="G185" s="14"/>
      <c r="H185" s="14"/>
      <c r="I185" s="14"/>
      <c r="J185" s="14"/>
      <c r="K185" s="64"/>
      <c r="L185" s="64"/>
      <c r="M185" s="14"/>
      <c r="N185" s="14"/>
      <c r="O185" s="14"/>
      <c r="P185" s="14"/>
    </row>
    <row r="186" ht="15.75" customHeight="1">
      <c r="A186" s="63"/>
      <c r="B186" s="14"/>
      <c r="C186" s="14"/>
      <c r="D186" s="14"/>
      <c r="E186" s="14"/>
      <c r="F186" s="14"/>
      <c r="G186" s="14"/>
      <c r="H186" s="14"/>
      <c r="I186" s="14"/>
      <c r="J186" s="14"/>
      <c r="K186" s="64"/>
      <c r="L186" s="64"/>
      <c r="M186" s="14"/>
      <c r="N186" s="14"/>
      <c r="O186" s="14"/>
      <c r="P186" s="14"/>
    </row>
    <row r="187" ht="15.75" customHeight="1">
      <c r="A187" s="63"/>
      <c r="B187" s="14"/>
      <c r="C187" s="14"/>
      <c r="D187" s="14"/>
      <c r="E187" s="14"/>
      <c r="F187" s="14"/>
      <c r="G187" s="14"/>
      <c r="H187" s="14"/>
      <c r="I187" s="14"/>
      <c r="J187" s="14"/>
      <c r="K187" s="64"/>
      <c r="L187" s="64"/>
      <c r="M187" s="14"/>
      <c r="N187" s="14"/>
      <c r="O187" s="14"/>
      <c r="P187" s="14"/>
    </row>
    <row r="188" ht="15.75" customHeight="1">
      <c r="A188" s="63"/>
      <c r="B188" s="14"/>
      <c r="C188" s="14"/>
      <c r="D188" s="14"/>
      <c r="E188" s="14"/>
      <c r="F188" s="14"/>
      <c r="G188" s="14"/>
      <c r="H188" s="14"/>
      <c r="I188" s="14"/>
      <c r="J188" s="14"/>
      <c r="K188" s="64"/>
      <c r="L188" s="64"/>
      <c r="M188" s="14"/>
      <c r="N188" s="14"/>
      <c r="O188" s="14"/>
      <c r="P188" s="14"/>
    </row>
    <row r="189" ht="15.75" customHeight="1">
      <c r="A189" s="63"/>
      <c r="B189" s="14"/>
      <c r="C189" s="14"/>
      <c r="D189" s="14"/>
      <c r="E189" s="14"/>
      <c r="F189" s="14"/>
      <c r="G189" s="14"/>
      <c r="H189" s="14"/>
      <c r="I189" s="14"/>
      <c r="J189" s="14"/>
      <c r="K189" s="64"/>
      <c r="L189" s="64"/>
      <c r="M189" s="14"/>
      <c r="N189" s="14"/>
      <c r="O189" s="14"/>
      <c r="P189" s="14"/>
    </row>
    <row r="190" ht="15.75" customHeight="1">
      <c r="A190" s="63"/>
      <c r="B190" s="14"/>
      <c r="C190" s="14"/>
      <c r="D190" s="14"/>
      <c r="E190" s="14"/>
      <c r="F190" s="14"/>
      <c r="G190" s="14"/>
      <c r="H190" s="14"/>
      <c r="I190" s="14"/>
      <c r="J190" s="14"/>
      <c r="K190" s="64"/>
      <c r="L190" s="64"/>
      <c r="M190" s="14"/>
      <c r="N190" s="14"/>
      <c r="O190" s="14"/>
      <c r="P190" s="14"/>
    </row>
    <row r="191" ht="15.75" customHeight="1">
      <c r="A191" s="63"/>
      <c r="B191" s="14"/>
      <c r="C191" s="14"/>
      <c r="D191" s="14"/>
      <c r="E191" s="14"/>
      <c r="F191" s="14"/>
      <c r="G191" s="14"/>
      <c r="H191" s="14"/>
      <c r="I191" s="14"/>
      <c r="J191" s="14"/>
      <c r="K191" s="64"/>
      <c r="L191" s="64"/>
      <c r="M191" s="14"/>
      <c r="N191" s="14"/>
      <c r="O191" s="14"/>
      <c r="P191" s="14"/>
    </row>
    <row r="192" ht="15.75" customHeight="1">
      <c r="A192" s="63"/>
      <c r="B192" s="14"/>
      <c r="C192" s="14"/>
      <c r="D192" s="14"/>
      <c r="E192" s="14"/>
      <c r="F192" s="14"/>
      <c r="G192" s="14"/>
      <c r="H192" s="14"/>
      <c r="I192" s="14"/>
      <c r="J192" s="14"/>
      <c r="K192" s="64"/>
      <c r="L192" s="64"/>
      <c r="M192" s="14"/>
      <c r="N192" s="14"/>
      <c r="O192" s="14"/>
      <c r="P192" s="14"/>
    </row>
    <row r="193" ht="15.75" customHeight="1">
      <c r="A193" s="63"/>
      <c r="B193" s="14"/>
      <c r="C193" s="14"/>
      <c r="D193" s="14"/>
      <c r="E193" s="14"/>
      <c r="F193" s="14"/>
      <c r="G193" s="14"/>
      <c r="H193" s="14"/>
      <c r="I193" s="14"/>
      <c r="J193" s="14"/>
      <c r="K193" s="64"/>
      <c r="L193" s="64"/>
      <c r="M193" s="14"/>
      <c r="N193" s="14"/>
      <c r="O193" s="14"/>
      <c r="P193" s="14"/>
    </row>
    <row r="194" ht="15.75" customHeight="1">
      <c r="A194" s="63"/>
      <c r="B194" s="14"/>
      <c r="C194" s="14"/>
      <c r="D194" s="14"/>
      <c r="E194" s="14"/>
      <c r="F194" s="14"/>
      <c r="G194" s="14"/>
      <c r="H194" s="14"/>
      <c r="I194" s="14"/>
      <c r="J194" s="14"/>
      <c r="K194" s="64"/>
      <c r="L194" s="64"/>
      <c r="M194" s="14"/>
      <c r="N194" s="14"/>
      <c r="O194" s="14"/>
      <c r="P194" s="14"/>
    </row>
    <row r="195" ht="15.75" customHeight="1">
      <c r="A195" s="63"/>
      <c r="B195" s="14"/>
      <c r="C195" s="14"/>
      <c r="D195" s="14"/>
      <c r="E195" s="14"/>
      <c r="F195" s="14"/>
      <c r="G195" s="14"/>
      <c r="H195" s="14"/>
      <c r="I195" s="14"/>
      <c r="J195" s="14"/>
      <c r="K195" s="64"/>
      <c r="L195" s="64"/>
      <c r="M195" s="14"/>
      <c r="N195" s="14"/>
      <c r="O195" s="14"/>
      <c r="P195" s="14"/>
    </row>
    <row r="196" ht="15.75" customHeight="1">
      <c r="A196" s="63"/>
      <c r="B196" s="14"/>
      <c r="C196" s="14"/>
      <c r="D196" s="14"/>
      <c r="E196" s="14"/>
      <c r="F196" s="14"/>
      <c r="G196" s="14"/>
      <c r="H196" s="14"/>
      <c r="I196" s="14"/>
      <c r="J196" s="14"/>
      <c r="K196" s="64"/>
      <c r="L196" s="64"/>
      <c r="M196" s="14"/>
      <c r="N196" s="14"/>
      <c r="O196" s="14"/>
      <c r="P196" s="14"/>
    </row>
    <row r="197" ht="15.75" customHeight="1">
      <c r="A197" s="63"/>
      <c r="B197" s="14"/>
      <c r="C197" s="14"/>
      <c r="D197" s="14"/>
      <c r="E197" s="14"/>
      <c r="F197" s="14"/>
      <c r="G197" s="14"/>
      <c r="H197" s="14"/>
      <c r="I197" s="14"/>
      <c r="J197" s="14"/>
      <c r="K197" s="64"/>
      <c r="L197" s="64"/>
      <c r="M197" s="14"/>
      <c r="N197" s="14"/>
      <c r="O197" s="14"/>
      <c r="P197" s="14"/>
    </row>
    <row r="198" ht="15.75" customHeight="1">
      <c r="A198" s="63"/>
      <c r="B198" s="14"/>
      <c r="C198" s="14"/>
      <c r="D198" s="14"/>
      <c r="E198" s="14"/>
      <c r="F198" s="14"/>
      <c r="G198" s="14"/>
      <c r="H198" s="14"/>
      <c r="I198" s="14"/>
      <c r="J198" s="14"/>
      <c r="K198" s="64"/>
      <c r="L198" s="64"/>
      <c r="M198" s="14"/>
      <c r="N198" s="14"/>
      <c r="O198" s="14"/>
      <c r="P198" s="14"/>
    </row>
    <row r="199" ht="15.75" customHeight="1">
      <c r="A199" s="63"/>
      <c r="B199" s="14"/>
      <c r="C199" s="14"/>
      <c r="D199" s="14"/>
      <c r="E199" s="14"/>
      <c r="F199" s="14"/>
      <c r="G199" s="14"/>
      <c r="H199" s="14"/>
      <c r="I199" s="14"/>
      <c r="J199" s="14"/>
      <c r="K199" s="64"/>
      <c r="L199" s="64"/>
      <c r="M199" s="14"/>
      <c r="N199" s="14"/>
      <c r="O199" s="14"/>
      <c r="P199" s="14"/>
    </row>
    <row r="200" ht="15.75" customHeight="1">
      <c r="A200" s="63"/>
      <c r="B200" s="14"/>
      <c r="C200" s="14"/>
      <c r="D200" s="14"/>
      <c r="E200" s="14"/>
      <c r="F200" s="14"/>
      <c r="G200" s="14"/>
      <c r="H200" s="14"/>
      <c r="I200" s="14"/>
      <c r="J200" s="14"/>
      <c r="K200" s="64"/>
      <c r="L200" s="64"/>
      <c r="M200" s="14"/>
      <c r="N200" s="14"/>
      <c r="O200" s="14"/>
      <c r="P200" s="1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dataValidations>
    <dataValidation type="list" allowBlank="1" sqref="B4:B200">
      <formula1>"Core,Build,Research,Opportunity,Dream"</formula1>
    </dataValidation>
    <dataValidation type="list" allowBlank="1" sqref="M4:M200">
      <formula1>"Planning,Planned,Researching,Submitted,Drawn,Not Drawn,Completed,Deferred"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5.0"/>
    <col customWidth="1" min="8" max="8" width="24.0"/>
    <col customWidth="1" min="9" max="9" width="15.0"/>
    <col customWidth="1" min="10" max="11" width="34.0"/>
    <col customWidth="1" min="12" max="26" width="8.63"/>
  </cols>
  <sheetData>
    <row r="1" ht="33.75" customHeight="1">
      <c r="A1" s="39" t="s">
        <v>890</v>
      </c>
    </row>
    <row r="3">
      <c r="A3" s="59" t="s">
        <v>821</v>
      </c>
      <c r="B3" s="59" t="s">
        <v>823</v>
      </c>
      <c r="C3" s="59" t="s">
        <v>502</v>
      </c>
      <c r="D3" s="59" t="s">
        <v>891</v>
      </c>
      <c r="E3" s="59" t="s">
        <v>892</v>
      </c>
      <c r="F3" s="59" t="s">
        <v>893</v>
      </c>
      <c r="G3" s="59" t="s">
        <v>894</v>
      </c>
      <c r="H3" s="59" t="s">
        <v>895</v>
      </c>
      <c r="I3" s="59" t="s">
        <v>896</v>
      </c>
      <c r="J3" s="59" t="s">
        <v>897</v>
      </c>
      <c r="K3" s="59" t="s">
        <v>898</v>
      </c>
    </row>
    <row r="4">
      <c r="A4" s="14" t="s">
        <v>785</v>
      </c>
      <c r="B4" s="14" t="s">
        <v>21</v>
      </c>
      <c r="C4" s="14" t="s">
        <v>852</v>
      </c>
      <c r="D4" s="14" t="s">
        <v>899</v>
      </c>
      <c r="E4" s="16">
        <v>4.0</v>
      </c>
      <c r="F4" s="63">
        <v>2026.0</v>
      </c>
      <c r="G4" s="14" t="s">
        <v>900</v>
      </c>
      <c r="H4" s="14" t="s">
        <v>901</v>
      </c>
      <c r="I4" s="15">
        <v>46213.0</v>
      </c>
      <c r="J4" s="14" t="s">
        <v>902</v>
      </c>
      <c r="K4" s="14" t="s">
        <v>903</v>
      </c>
    </row>
    <row r="5">
      <c r="A5" s="14" t="s">
        <v>785</v>
      </c>
      <c r="B5" s="14" t="s">
        <v>22</v>
      </c>
      <c r="C5" s="14" t="s">
        <v>852</v>
      </c>
      <c r="D5" s="14" t="s">
        <v>899</v>
      </c>
      <c r="E5" s="16">
        <v>4.0</v>
      </c>
      <c r="F5" s="63">
        <v>2026.0</v>
      </c>
      <c r="G5" s="14" t="s">
        <v>900</v>
      </c>
      <c r="H5" s="14" t="s">
        <v>901</v>
      </c>
      <c r="I5" s="15">
        <v>46213.0</v>
      </c>
      <c r="J5" s="14" t="s">
        <v>902</v>
      </c>
      <c r="K5" s="14" t="s">
        <v>903</v>
      </c>
    </row>
    <row r="6">
      <c r="A6" s="14" t="s">
        <v>785</v>
      </c>
      <c r="B6" s="14" t="s">
        <v>21</v>
      </c>
      <c r="C6" s="14" t="s">
        <v>836</v>
      </c>
      <c r="D6" s="14" t="s">
        <v>899</v>
      </c>
      <c r="E6" s="16">
        <v>4.0</v>
      </c>
      <c r="F6" s="63">
        <v>2026.0</v>
      </c>
      <c r="G6" s="14" t="s">
        <v>900</v>
      </c>
      <c r="H6" s="14" t="s">
        <v>901</v>
      </c>
      <c r="I6" s="15">
        <v>46213.0</v>
      </c>
      <c r="J6" s="14" t="s">
        <v>902</v>
      </c>
      <c r="K6" s="14" t="s">
        <v>903</v>
      </c>
    </row>
    <row r="7">
      <c r="A7" s="14" t="s">
        <v>785</v>
      </c>
      <c r="B7" s="14" t="s">
        <v>22</v>
      </c>
      <c r="C7" s="14" t="s">
        <v>836</v>
      </c>
      <c r="D7" s="14" t="s">
        <v>899</v>
      </c>
      <c r="E7" s="16">
        <v>4.0</v>
      </c>
      <c r="F7" s="63">
        <v>2026.0</v>
      </c>
      <c r="G7" s="14" t="s">
        <v>900</v>
      </c>
      <c r="H7" s="14" t="s">
        <v>901</v>
      </c>
      <c r="I7" s="15">
        <v>46213.0</v>
      </c>
      <c r="J7" s="14" t="s">
        <v>902</v>
      </c>
      <c r="K7" s="14" t="s">
        <v>903</v>
      </c>
    </row>
    <row r="8">
      <c r="A8" s="14" t="s">
        <v>785</v>
      </c>
      <c r="B8" s="14" t="s">
        <v>21</v>
      </c>
      <c r="C8" s="14" t="s">
        <v>871</v>
      </c>
      <c r="D8" s="14" t="s">
        <v>899</v>
      </c>
      <c r="E8" s="16">
        <v>4.0</v>
      </c>
      <c r="F8" s="63">
        <v>2026.0</v>
      </c>
      <c r="G8" s="14" t="s">
        <v>900</v>
      </c>
      <c r="H8" s="14" t="s">
        <v>901</v>
      </c>
      <c r="I8" s="15">
        <v>46213.0</v>
      </c>
      <c r="J8" s="14" t="s">
        <v>902</v>
      </c>
      <c r="K8" s="14" t="s">
        <v>903</v>
      </c>
    </row>
    <row r="9">
      <c r="A9" s="14" t="s">
        <v>785</v>
      </c>
      <c r="B9" s="14" t="s">
        <v>22</v>
      </c>
      <c r="C9" s="14" t="s">
        <v>871</v>
      </c>
      <c r="D9" s="14" t="s">
        <v>899</v>
      </c>
      <c r="E9" s="16">
        <v>4.0</v>
      </c>
      <c r="F9" s="63">
        <v>2026.0</v>
      </c>
      <c r="G9" s="14" t="s">
        <v>900</v>
      </c>
      <c r="H9" s="14" t="s">
        <v>901</v>
      </c>
      <c r="I9" s="15">
        <v>46213.0</v>
      </c>
      <c r="J9" s="14" t="s">
        <v>902</v>
      </c>
      <c r="K9" s="14" t="s">
        <v>903</v>
      </c>
    </row>
    <row r="10">
      <c r="A10" s="14" t="s">
        <v>788</v>
      </c>
      <c r="B10" s="14" t="s">
        <v>21</v>
      </c>
      <c r="C10" s="14" t="s">
        <v>873</v>
      </c>
      <c r="D10" s="14" t="s">
        <v>904</v>
      </c>
      <c r="E10" s="16">
        <v>0.0</v>
      </c>
      <c r="F10" s="63">
        <v>2026.0</v>
      </c>
      <c r="G10" s="14" t="s">
        <v>905</v>
      </c>
      <c r="H10" s="14" t="s">
        <v>906</v>
      </c>
      <c r="I10" s="15">
        <v>46213.0</v>
      </c>
      <c r="J10" s="14" t="s">
        <v>907</v>
      </c>
      <c r="K10" s="14" t="s">
        <v>908</v>
      </c>
    </row>
    <row r="11">
      <c r="A11" s="14" t="s">
        <v>788</v>
      </c>
      <c r="B11" s="14" t="s">
        <v>22</v>
      </c>
      <c r="C11" s="14" t="s">
        <v>873</v>
      </c>
      <c r="D11" s="14" t="s">
        <v>904</v>
      </c>
      <c r="E11" s="16">
        <v>0.0</v>
      </c>
      <c r="F11" s="63">
        <v>2026.0</v>
      </c>
      <c r="G11" s="14" t="s">
        <v>905</v>
      </c>
      <c r="H11" s="14" t="s">
        <v>906</v>
      </c>
      <c r="I11" s="15">
        <v>46213.0</v>
      </c>
      <c r="J11" s="14" t="s">
        <v>907</v>
      </c>
      <c r="K11" s="14" t="s">
        <v>909</v>
      </c>
    </row>
    <row r="12">
      <c r="A12" s="14" t="s">
        <v>792</v>
      </c>
      <c r="B12" s="14" t="s">
        <v>837</v>
      </c>
      <c r="C12" s="14" t="s">
        <v>873</v>
      </c>
      <c r="D12" s="14" t="s">
        <v>910</v>
      </c>
      <c r="E12" s="16">
        <v>0.0</v>
      </c>
      <c r="F12" s="63">
        <v>2026.0</v>
      </c>
      <c r="G12" s="14" t="s">
        <v>911</v>
      </c>
      <c r="H12" s="14" t="s">
        <v>912</v>
      </c>
      <c r="I12" s="15">
        <v>46213.0</v>
      </c>
      <c r="J12" s="14" t="s">
        <v>913</v>
      </c>
      <c r="K12" s="14" t="s">
        <v>914</v>
      </c>
    </row>
    <row r="13">
      <c r="A13" s="14"/>
      <c r="B13" s="14"/>
      <c r="C13" s="14"/>
      <c r="D13" s="14"/>
      <c r="E13" s="16"/>
      <c r="F13" s="63"/>
      <c r="G13" s="14"/>
      <c r="H13" s="14"/>
      <c r="I13" s="15"/>
      <c r="J13" s="14"/>
      <c r="K13" s="14"/>
    </row>
    <row r="14">
      <c r="A14" s="14"/>
      <c r="B14" s="14"/>
      <c r="C14" s="14"/>
      <c r="D14" s="14"/>
      <c r="E14" s="16"/>
      <c r="F14" s="63"/>
      <c r="G14" s="14"/>
      <c r="H14" s="14"/>
      <c r="I14" s="15"/>
      <c r="J14" s="14"/>
      <c r="K14" s="14"/>
    </row>
    <row r="15">
      <c r="A15" s="14"/>
      <c r="B15" s="14"/>
      <c r="C15" s="14"/>
      <c r="D15" s="14"/>
      <c r="E15" s="16"/>
      <c r="F15" s="63"/>
      <c r="G15" s="14"/>
      <c r="H15" s="14"/>
      <c r="I15" s="15"/>
      <c r="J15" s="14"/>
      <c r="K15" s="14"/>
    </row>
    <row r="16">
      <c r="A16" s="14"/>
      <c r="B16" s="14"/>
      <c r="C16" s="14"/>
      <c r="D16" s="14"/>
      <c r="E16" s="16"/>
      <c r="F16" s="63"/>
      <c r="G16" s="14"/>
      <c r="H16" s="14"/>
      <c r="I16" s="15"/>
      <c r="J16" s="14"/>
      <c r="K16" s="14"/>
    </row>
    <row r="17">
      <c r="A17" s="14"/>
      <c r="B17" s="14"/>
      <c r="C17" s="14"/>
      <c r="D17" s="14"/>
      <c r="E17" s="16"/>
      <c r="F17" s="63"/>
      <c r="G17" s="14"/>
      <c r="H17" s="14"/>
      <c r="I17" s="15"/>
      <c r="J17" s="14"/>
      <c r="K17" s="14"/>
    </row>
    <row r="18">
      <c r="A18" s="14"/>
      <c r="B18" s="14"/>
      <c r="C18" s="14"/>
      <c r="D18" s="14"/>
      <c r="E18" s="16"/>
      <c r="F18" s="63"/>
      <c r="G18" s="14"/>
      <c r="H18" s="14"/>
      <c r="I18" s="15"/>
      <c r="J18" s="14"/>
      <c r="K18" s="14"/>
    </row>
    <row r="19">
      <c r="A19" s="14"/>
      <c r="B19" s="14"/>
      <c r="C19" s="14"/>
      <c r="D19" s="14"/>
      <c r="E19" s="16"/>
      <c r="F19" s="63"/>
      <c r="G19" s="14"/>
      <c r="H19" s="14"/>
      <c r="I19" s="15"/>
      <c r="J19" s="14"/>
      <c r="K19" s="14"/>
    </row>
    <row r="20">
      <c r="A20" s="14"/>
      <c r="B20" s="14"/>
      <c r="C20" s="14"/>
      <c r="D20" s="14"/>
      <c r="E20" s="16"/>
      <c r="F20" s="63"/>
      <c r="G20" s="14"/>
      <c r="H20" s="14"/>
      <c r="I20" s="15"/>
      <c r="J20" s="14"/>
      <c r="K20" s="14"/>
    </row>
    <row r="21" ht="15.75" customHeight="1">
      <c r="A21" s="14"/>
      <c r="B21" s="14"/>
      <c r="C21" s="14"/>
      <c r="D21" s="14"/>
      <c r="E21" s="16"/>
      <c r="F21" s="63"/>
      <c r="G21" s="14"/>
      <c r="H21" s="14"/>
      <c r="I21" s="15"/>
      <c r="J21" s="14"/>
      <c r="K21" s="14"/>
    </row>
    <row r="22" ht="15.75" customHeight="1">
      <c r="A22" s="14"/>
      <c r="B22" s="14"/>
      <c r="C22" s="14"/>
      <c r="D22" s="14"/>
      <c r="E22" s="16"/>
      <c r="F22" s="63"/>
      <c r="G22" s="14"/>
      <c r="H22" s="14"/>
      <c r="I22" s="15"/>
      <c r="J22" s="14"/>
      <c r="K22" s="14"/>
    </row>
    <row r="23" ht="15.75" customHeight="1">
      <c r="A23" s="14"/>
      <c r="B23" s="14"/>
      <c r="C23" s="14"/>
      <c r="D23" s="14"/>
      <c r="E23" s="16"/>
      <c r="F23" s="63"/>
      <c r="G23" s="14"/>
      <c r="H23" s="14"/>
      <c r="I23" s="15"/>
      <c r="J23" s="14"/>
      <c r="K23" s="14"/>
    </row>
    <row r="24" ht="15.75" customHeight="1">
      <c r="A24" s="14"/>
      <c r="B24" s="14"/>
      <c r="C24" s="14"/>
      <c r="D24" s="14"/>
      <c r="E24" s="16"/>
      <c r="F24" s="63"/>
      <c r="G24" s="14"/>
      <c r="H24" s="14"/>
      <c r="I24" s="15"/>
      <c r="J24" s="14"/>
      <c r="K24" s="14"/>
    </row>
    <row r="25" ht="15.75" customHeight="1">
      <c r="A25" s="14"/>
      <c r="B25" s="14"/>
      <c r="C25" s="14"/>
      <c r="D25" s="14"/>
      <c r="E25" s="16"/>
      <c r="F25" s="63"/>
      <c r="G25" s="14"/>
      <c r="H25" s="14"/>
      <c r="I25" s="15"/>
      <c r="J25" s="14"/>
      <c r="K25" s="14"/>
    </row>
    <row r="26" ht="15.75" customHeight="1">
      <c r="A26" s="14"/>
      <c r="B26" s="14"/>
      <c r="C26" s="14"/>
      <c r="D26" s="14"/>
      <c r="E26" s="16"/>
      <c r="F26" s="63"/>
      <c r="G26" s="14"/>
      <c r="H26" s="14"/>
      <c r="I26" s="15"/>
      <c r="J26" s="14"/>
      <c r="K26" s="14"/>
    </row>
    <row r="27" ht="15.75" customHeight="1">
      <c r="A27" s="14"/>
      <c r="B27" s="14"/>
      <c r="C27" s="14"/>
      <c r="D27" s="14"/>
      <c r="E27" s="16"/>
      <c r="F27" s="63"/>
      <c r="G27" s="14"/>
      <c r="H27" s="14"/>
      <c r="I27" s="15"/>
      <c r="J27" s="14"/>
      <c r="K27" s="14"/>
    </row>
    <row r="28" ht="15.75" customHeight="1">
      <c r="A28" s="14"/>
      <c r="B28" s="14"/>
      <c r="C28" s="14"/>
      <c r="D28" s="14"/>
      <c r="E28" s="16"/>
      <c r="F28" s="63"/>
      <c r="G28" s="14"/>
      <c r="H28" s="14"/>
      <c r="I28" s="15"/>
      <c r="J28" s="14"/>
      <c r="K28" s="14"/>
    </row>
    <row r="29" ht="15.75" customHeight="1">
      <c r="A29" s="14"/>
      <c r="B29" s="14"/>
      <c r="C29" s="14"/>
      <c r="D29" s="14"/>
      <c r="E29" s="16"/>
      <c r="F29" s="63"/>
      <c r="G29" s="14"/>
      <c r="H29" s="14"/>
      <c r="I29" s="15"/>
      <c r="J29" s="14"/>
      <c r="K29" s="14"/>
    </row>
    <row r="30" ht="15.75" customHeight="1">
      <c r="A30" s="14"/>
      <c r="B30" s="14"/>
      <c r="C30" s="14"/>
      <c r="D30" s="14"/>
      <c r="E30" s="16"/>
      <c r="F30" s="63"/>
      <c r="G30" s="14"/>
      <c r="H30" s="14"/>
      <c r="I30" s="15"/>
      <c r="J30" s="14"/>
      <c r="K30" s="14"/>
    </row>
    <row r="31" ht="15.75" customHeight="1">
      <c r="A31" s="14"/>
      <c r="B31" s="14"/>
      <c r="C31" s="14"/>
      <c r="D31" s="14"/>
      <c r="E31" s="16"/>
      <c r="F31" s="63"/>
      <c r="G31" s="14"/>
      <c r="H31" s="14"/>
      <c r="I31" s="15"/>
      <c r="J31" s="14"/>
      <c r="K31" s="14"/>
    </row>
    <row r="32" ht="15.75" customHeight="1">
      <c r="A32" s="14"/>
      <c r="B32" s="14"/>
      <c r="C32" s="14"/>
      <c r="D32" s="14"/>
      <c r="E32" s="16"/>
      <c r="F32" s="63"/>
      <c r="G32" s="14"/>
      <c r="H32" s="14"/>
      <c r="I32" s="15"/>
      <c r="J32" s="14"/>
      <c r="K32" s="14"/>
    </row>
    <row r="33" ht="15.75" customHeight="1">
      <c r="A33" s="14"/>
      <c r="B33" s="14"/>
      <c r="C33" s="14"/>
      <c r="D33" s="14"/>
      <c r="E33" s="16"/>
      <c r="F33" s="63"/>
      <c r="G33" s="14"/>
      <c r="H33" s="14"/>
      <c r="I33" s="15"/>
      <c r="J33" s="14"/>
      <c r="K33" s="14"/>
    </row>
    <row r="34" ht="15.75" customHeight="1">
      <c r="A34" s="14"/>
      <c r="B34" s="14"/>
      <c r="C34" s="14"/>
      <c r="D34" s="14"/>
      <c r="E34" s="16"/>
      <c r="F34" s="63"/>
      <c r="G34" s="14"/>
      <c r="H34" s="14"/>
      <c r="I34" s="15"/>
      <c r="J34" s="14"/>
      <c r="K34" s="14"/>
    </row>
    <row r="35" ht="15.75" customHeight="1">
      <c r="A35" s="14"/>
      <c r="B35" s="14"/>
      <c r="C35" s="14"/>
      <c r="D35" s="14"/>
      <c r="E35" s="16"/>
      <c r="F35" s="63"/>
      <c r="G35" s="14"/>
      <c r="H35" s="14"/>
      <c r="I35" s="15"/>
      <c r="J35" s="14"/>
      <c r="K35" s="14"/>
    </row>
    <row r="36" ht="15.75" customHeight="1">
      <c r="A36" s="14"/>
      <c r="B36" s="14"/>
      <c r="C36" s="14"/>
      <c r="D36" s="14"/>
      <c r="E36" s="16"/>
      <c r="F36" s="63"/>
      <c r="G36" s="14"/>
      <c r="H36" s="14"/>
      <c r="I36" s="15"/>
      <c r="J36" s="14"/>
      <c r="K36" s="14"/>
    </row>
    <row r="37" ht="15.75" customHeight="1">
      <c r="A37" s="14"/>
      <c r="B37" s="14"/>
      <c r="C37" s="14"/>
      <c r="D37" s="14"/>
      <c r="E37" s="16"/>
      <c r="F37" s="63"/>
      <c r="G37" s="14"/>
      <c r="H37" s="14"/>
      <c r="I37" s="15"/>
      <c r="J37" s="14"/>
      <c r="K37" s="14"/>
    </row>
    <row r="38" ht="15.75" customHeight="1">
      <c r="A38" s="14"/>
      <c r="B38" s="14"/>
      <c r="C38" s="14"/>
      <c r="D38" s="14"/>
      <c r="E38" s="16"/>
      <c r="F38" s="63"/>
      <c r="G38" s="14"/>
      <c r="H38" s="14"/>
      <c r="I38" s="15"/>
      <c r="J38" s="14"/>
      <c r="K38" s="14"/>
    </row>
    <row r="39" ht="15.75" customHeight="1">
      <c r="A39" s="14"/>
      <c r="B39" s="14"/>
      <c r="C39" s="14"/>
      <c r="D39" s="14"/>
      <c r="E39" s="16"/>
      <c r="F39" s="63"/>
      <c r="G39" s="14"/>
      <c r="H39" s="14"/>
      <c r="I39" s="15"/>
      <c r="J39" s="14"/>
      <c r="K39" s="14"/>
    </row>
    <row r="40" ht="15.75" customHeight="1">
      <c r="A40" s="14"/>
      <c r="B40" s="14"/>
      <c r="C40" s="14"/>
      <c r="D40" s="14"/>
      <c r="E40" s="16"/>
      <c r="F40" s="63"/>
      <c r="G40" s="14"/>
      <c r="H40" s="14"/>
      <c r="I40" s="15"/>
      <c r="J40" s="14"/>
      <c r="K40" s="14"/>
    </row>
    <row r="41" ht="15.75" customHeight="1">
      <c r="A41" s="14"/>
      <c r="B41" s="14"/>
      <c r="C41" s="14"/>
      <c r="D41" s="14"/>
      <c r="E41" s="16"/>
      <c r="F41" s="63"/>
      <c r="G41" s="14"/>
      <c r="H41" s="14"/>
      <c r="I41" s="15"/>
      <c r="J41" s="14"/>
      <c r="K41" s="14"/>
    </row>
    <row r="42" ht="15.75" customHeight="1">
      <c r="A42" s="14"/>
      <c r="B42" s="14"/>
      <c r="C42" s="14"/>
      <c r="D42" s="14"/>
      <c r="E42" s="16"/>
      <c r="F42" s="63"/>
      <c r="G42" s="14"/>
      <c r="H42" s="14"/>
      <c r="I42" s="15"/>
      <c r="J42" s="14"/>
      <c r="K42" s="14"/>
    </row>
    <row r="43" ht="15.75" customHeight="1">
      <c r="A43" s="14"/>
      <c r="B43" s="14"/>
      <c r="C43" s="14"/>
      <c r="D43" s="14"/>
      <c r="E43" s="16"/>
      <c r="F43" s="63"/>
      <c r="G43" s="14"/>
      <c r="H43" s="14"/>
      <c r="I43" s="15"/>
      <c r="J43" s="14"/>
      <c r="K43" s="14"/>
    </row>
    <row r="44" ht="15.75" customHeight="1">
      <c r="A44" s="14"/>
      <c r="B44" s="14"/>
      <c r="C44" s="14"/>
      <c r="D44" s="14"/>
      <c r="E44" s="16"/>
      <c r="F44" s="63"/>
      <c r="G44" s="14"/>
      <c r="H44" s="14"/>
      <c r="I44" s="15"/>
      <c r="J44" s="14"/>
      <c r="K44" s="14"/>
    </row>
    <row r="45" ht="15.75" customHeight="1">
      <c r="A45" s="14"/>
      <c r="B45" s="14"/>
      <c r="C45" s="14"/>
      <c r="D45" s="14"/>
      <c r="E45" s="16"/>
      <c r="F45" s="63"/>
      <c r="G45" s="14"/>
      <c r="H45" s="14"/>
      <c r="I45" s="15"/>
      <c r="J45" s="14"/>
      <c r="K45" s="14"/>
    </row>
    <row r="46" ht="15.75" customHeight="1">
      <c r="A46" s="14"/>
      <c r="B46" s="14"/>
      <c r="C46" s="14"/>
      <c r="D46" s="14"/>
      <c r="E46" s="16"/>
      <c r="F46" s="63"/>
      <c r="G46" s="14"/>
      <c r="H46" s="14"/>
      <c r="I46" s="15"/>
      <c r="J46" s="14"/>
      <c r="K46" s="14"/>
    </row>
    <row r="47" ht="15.75" customHeight="1">
      <c r="A47" s="14"/>
      <c r="B47" s="14"/>
      <c r="C47" s="14"/>
      <c r="D47" s="14"/>
      <c r="E47" s="16"/>
      <c r="F47" s="63"/>
      <c r="G47" s="14"/>
      <c r="H47" s="14"/>
      <c r="I47" s="15"/>
      <c r="J47" s="14"/>
      <c r="K47" s="14"/>
    </row>
    <row r="48" ht="15.75" customHeight="1">
      <c r="A48" s="14"/>
      <c r="B48" s="14"/>
      <c r="C48" s="14"/>
      <c r="D48" s="14"/>
      <c r="E48" s="16"/>
      <c r="F48" s="63"/>
      <c r="G48" s="14"/>
      <c r="H48" s="14"/>
      <c r="I48" s="15"/>
      <c r="J48" s="14"/>
      <c r="K48" s="14"/>
    </row>
    <row r="49" ht="15.75" customHeight="1">
      <c r="A49" s="14"/>
      <c r="B49" s="14"/>
      <c r="C49" s="14"/>
      <c r="D49" s="14"/>
      <c r="E49" s="16"/>
      <c r="F49" s="63"/>
      <c r="G49" s="14"/>
      <c r="H49" s="14"/>
      <c r="I49" s="15"/>
      <c r="J49" s="14"/>
      <c r="K49" s="14"/>
    </row>
    <row r="50" ht="15.75" customHeight="1">
      <c r="A50" s="14"/>
      <c r="B50" s="14"/>
      <c r="C50" s="14"/>
      <c r="D50" s="14"/>
      <c r="E50" s="16"/>
      <c r="F50" s="63"/>
      <c r="G50" s="14"/>
      <c r="H50" s="14"/>
      <c r="I50" s="15"/>
      <c r="J50" s="14"/>
      <c r="K50" s="14"/>
    </row>
    <row r="51" ht="15.75" customHeight="1">
      <c r="A51" s="14"/>
      <c r="B51" s="14"/>
      <c r="C51" s="14"/>
      <c r="D51" s="14"/>
      <c r="E51" s="16"/>
      <c r="F51" s="63"/>
      <c r="G51" s="14"/>
      <c r="H51" s="14"/>
      <c r="I51" s="15"/>
      <c r="J51" s="14"/>
      <c r="K51" s="14"/>
    </row>
    <row r="52" ht="15.75" customHeight="1">
      <c r="A52" s="14"/>
      <c r="B52" s="14"/>
      <c r="C52" s="14"/>
      <c r="D52" s="14"/>
      <c r="E52" s="16"/>
      <c r="F52" s="63"/>
      <c r="G52" s="14"/>
      <c r="H52" s="14"/>
      <c r="I52" s="15"/>
      <c r="J52" s="14"/>
      <c r="K52" s="14"/>
    </row>
    <row r="53" ht="15.75" customHeight="1">
      <c r="A53" s="14"/>
      <c r="B53" s="14"/>
      <c r="C53" s="14"/>
      <c r="D53" s="14"/>
      <c r="E53" s="16"/>
      <c r="F53" s="63"/>
      <c r="G53" s="14"/>
      <c r="H53" s="14"/>
      <c r="I53" s="15"/>
      <c r="J53" s="14"/>
      <c r="K53" s="14"/>
    </row>
    <row r="54" ht="15.75" customHeight="1">
      <c r="A54" s="14"/>
      <c r="B54" s="14"/>
      <c r="C54" s="14"/>
      <c r="D54" s="14"/>
      <c r="E54" s="16"/>
      <c r="F54" s="63"/>
      <c r="G54" s="14"/>
      <c r="H54" s="14"/>
      <c r="I54" s="15"/>
      <c r="J54" s="14"/>
      <c r="K54" s="14"/>
    </row>
    <row r="55" ht="15.75" customHeight="1">
      <c r="A55" s="14"/>
      <c r="B55" s="14"/>
      <c r="C55" s="14"/>
      <c r="D55" s="14"/>
      <c r="E55" s="16"/>
      <c r="F55" s="63"/>
      <c r="G55" s="14"/>
      <c r="H55" s="14"/>
      <c r="I55" s="15"/>
      <c r="J55" s="14"/>
      <c r="K55" s="14"/>
    </row>
    <row r="56" ht="15.75" customHeight="1">
      <c r="A56" s="14"/>
      <c r="B56" s="14"/>
      <c r="C56" s="14"/>
      <c r="D56" s="14"/>
      <c r="E56" s="16"/>
      <c r="F56" s="63"/>
      <c r="G56" s="14"/>
      <c r="H56" s="14"/>
      <c r="I56" s="15"/>
      <c r="J56" s="14"/>
      <c r="K56" s="14"/>
    </row>
    <row r="57" ht="15.75" customHeight="1">
      <c r="A57" s="14"/>
      <c r="B57" s="14"/>
      <c r="C57" s="14"/>
      <c r="D57" s="14"/>
      <c r="E57" s="16"/>
      <c r="F57" s="63"/>
      <c r="G57" s="14"/>
      <c r="H57" s="14"/>
      <c r="I57" s="15"/>
      <c r="J57" s="14"/>
      <c r="K57" s="14"/>
    </row>
    <row r="58" ht="15.75" customHeight="1">
      <c r="A58" s="14"/>
      <c r="B58" s="14"/>
      <c r="C58" s="14"/>
      <c r="D58" s="14"/>
      <c r="E58" s="16"/>
      <c r="F58" s="63"/>
      <c r="G58" s="14"/>
      <c r="H58" s="14"/>
      <c r="I58" s="15"/>
      <c r="J58" s="14"/>
      <c r="K58" s="14"/>
    </row>
    <row r="59" ht="15.75" customHeight="1">
      <c r="A59" s="14"/>
      <c r="B59" s="14"/>
      <c r="C59" s="14"/>
      <c r="D59" s="14"/>
      <c r="E59" s="16"/>
      <c r="F59" s="63"/>
      <c r="G59" s="14"/>
      <c r="H59" s="14"/>
      <c r="I59" s="15"/>
      <c r="J59" s="14"/>
      <c r="K59" s="14"/>
    </row>
    <row r="60" ht="15.75" customHeight="1">
      <c r="A60" s="14"/>
      <c r="B60" s="14"/>
      <c r="C60" s="14"/>
      <c r="D60" s="14"/>
      <c r="E60" s="16"/>
      <c r="F60" s="63"/>
      <c r="G60" s="14"/>
      <c r="H60" s="14"/>
      <c r="I60" s="15"/>
      <c r="J60" s="14"/>
      <c r="K60" s="14"/>
    </row>
    <row r="61" ht="15.75" customHeight="1">
      <c r="A61" s="14"/>
      <c r="B61" s="14"/>
      <c r="C61" s="14"/>
      <c r="D61" s="14"/>
      <c r="E61" s="16"/>
      <c r="F61" s="63"/>
      <c r="G61" s="14"/>
      <c r="H61" s="14"/>
      <c r="I61" s="15"/>
      <c r="J61" s="14"/>
      <c r="K61" s="14"/>
    </row>
    <row r="62" ht="15.75" customHeight="1">
      <c r="A62" s="14"/>
      <c r="B62" s="14"/>
      <c r="C62" s="14"/>
      <c r="D62" s="14"/>
      <c r="E62" s="16"/>
      <c r="F62" s="63"/>
      <c r="G62" s="14"/>
      <c r="H62" s="14"/>
      <c r="I62" s="15"/>
      <c r="J62" s="14"/>
      <c r="K62" s="14"/>
    </row>
    <row r="63" ht="15.75" customHeight="1">
      <c r="A63" s="14"/>
      <c r="B63" s="14"/>
      <c r="C63" s="14"/>
      <c r="D63" s="14"/>
      <c r="E63" s="16"/>
      <c r="F63" s="63"/>
      <c r="G63" s="14"/>
      <c r="H63" s="14"/>
      <c r="I63" s="15"/>
      <c r="J63" s="14"/>
      <c r="K63" s="14"/>
    </row>
    <row r="64" ht="15.75" customHeight="1">
      <c r="A64" s="14"/>
      <c r="B64" s="14"/>
      <c r="C64" s="14"/>
      <c r="D64" s="14"/>
      <c r="E64" s="16"/>
      <c r="F64" s="63"/>
      <c r="G64" s="14"/>
      <c r="H64" s="14"/>
      <c r="I64" s="15"/>
      <c r="J64" s="14"/>
      <c r="K64" s="14"/>
    </row>
    <row r="65" ht="15.75" customHeight="1">
      <c r="A65" s="14"/>
      <c r="B65" s="14"/>
      <c r="C65" s="14"/>
      <c r="D65" s="14"/>
      <c r="E65" s="16"/>
      <c r="F65" s="63"/>
      <c r="G65" s="14"/>
      <c r="H65" s="14"/>
      <c r="I65" s="15"/>
      <c r="J65" s="14"/>
      <c r="K65" s="14"/>
    </row>
    <row r="66" ht="15.75" customHeight="1">
      <c r="A66" s="14"/>
      <c r="B66" s="14"/>
      <c r="C66" s="14"/>
      <c r="D66" s="14"/>
      <c r="E66" s="16"/>
      <c r="F66" s="63"/>
      <c r="G66" s="14"/>
      <c r="H66" s="14"/>
      <c r="I66" s="15"/>
      <c r="J66" s="14"/>
      <c r="K66" s="14"/>
    </row>
    <row r="67" ht="15.75" customHeight="1">
      <c r="A67" s="14"/>
      <c r="B67" s="14"/>
      <c r="C67" s="14"/>
      <c r="D67" s="14"/>
      <c r="E67" s="16"/>
      <c r="F67" s="63"/>
      <c r="G67" s="14"/>
      <c r="H67" s="14"/>
      <c r="I67" s="15"/>
      <c r="J67" s="14"/>
      <c r="K67" s="14"/>
    </row>
    <row r="68" ht="15.75" customHeight="1">
      <c r="A68" s="14"/>
      <c r="B68" s="14"/>
      <c r="C68" s="14"/>
      <c r="D68" s="14"/>
      <c r="E68" s="16"/>
      <c r="F68" s="63"/>
      <c r="G68" s="14"/>
      <c r="H68" s="14"/>
      <c r="I68" s="15"/>
      <c r="J68" s="14"/>
      <c r="K68" s="14"/>
    </row>
    <row r="69" ht="15.75" customHeight="1">
      <c r="A69" s="14"/>
      <c r="B69" s="14"/>
      <c r="C69" s="14"/>
      <c r="D69" s="14"/>
      <c r="E69" s="16"/>
      <c r="F69" s="63"/>
      <c r="G69" s="14"/>
      <c r="H69" s="14"/>
      <c r="I69" s="15"/>
      <c r="J69" s="14"/>
      <c r="K69" s="14"/>
    </row>
    <row r="70" ht="15.75" customHeight="1">
      <c r="A70" s="14"/>
      <c r="B70" s="14"/>
      <c r="C70" s="14"/>
      <c r="D70" s="14"/>
      <c r="E70" s="16"/>
      <c r="F70" s="63"/>
      <c r="G70" s="14"/>
      <c r="H70" s="14"/>
      <c r="I70" s="15"/>
      <c r="J70" s="14"/>
      <c r="K70" s="14"/>
    </row>
    <row r="71" ht="15.75" customHeight="1">
      <c r="A71" s="14"/>
      <c r="B71" s="14"/>
      <c r="C71" s="14"/>
      <c r="D71" s="14"/>
      <c r="E71" s="16"/>
      <c r="F71" s="63"/>
      <c r="G71" s="14"/>
      <c r="H71" s="14"/>
      <c r="I71" s="15"/>
      <c r="J71" s="14"/>
      <c r="K71" s="14"/>
    </row>
    <row r="72" ht="15.75" customHeight="1">
      <c r="A72" s="14"/>
      <c r="B72" s="14"/>
      <c r="C72" s="14"/>
      <c r="D72" s="14"/>
      <c r="E72" s="16"/>
      <c r="F72" s="63"/>
      <c r="G72" s="14"/>
      <c r="H72" s="14"/>
      <c r="I72" s="15"/>
      <c r="J72" s="14"/>
      <c r="K72" s="14"/>
    </row>
    <row r="73" ht="15.75" customHeight="1">
      <c r="A73" s="14"/>
      <c r="B73" s="14"/>
      <c r="C73" s="14"/>
      <c r="D73" s="14"/>
      <c r="E73" s="16"/>
      <c r="F73" s="63"/>
      <c r="G73" s="14"/>
      <c r="H73" s="14"/>
      <c r="I73" s="15"/>
      <c r="J73" s="14"/>
      <c r="K73" s="14"/>
    </row>
    <row r="74" ht="15.75" customHeight="1">
      <c r="A74" s="14"/>
      <c r="B74" s="14"/>
      <c r="C74" s="14"/>
      <c r="D74" s="14"/>
      <c r="E74" s="16"/>
      <c r="F74" s="63"/>
      <c r="G74" s="14"/>
      <c r="H74" s="14"/>
      <c r="I74" s="15"/>
      <c r="J74" s="14"/>
      <c r="K74" s="14"/>
    </row>
    <row r="75" ht="15.75" customHeight="1">
      <c r="A75" s="14"/>
      <c r="B75" s="14"/>
      <c r="C75" s="14"/>
      <c r="D75" s="14"/>
      <c r="E75" s="16"/>
      <c r="F75" s="63"/>
      <c r="G75" s="14"/>
      <c r="H75" s="14"/>
      <c r="I75" s="15"/>
      <c r="J75" s="14"/>
      <c r="K75" s="14"/>
    </row>
    <row r="76" ht="15.75" customHeight="1">
      <c r="A76" s="14"/>
      <c r="B76" s="14"/>
      <c r="C76" s="14"/>
      <c r="D76" s="14"/>
      <c r="E76" s="16"/>
      <c r="F76" s="63"/>
      <c r="G76" s="14"/>
      <c r="H76" s="14"/>
      <c r="I76" s="15"/>
      <c r="J76" s="14"/>
      <c r="K76" s="14"/>
    </row>
    <row r="77" ht="15.75" customHeight="1">
      <c r="A77" s="14"/>
      <c r="B77" s="14"/>
      <c r="C77" s="14"/>
      <c r="D77" s="14"/>
      <c r="E77" s="16"/>
      <c r="F77" s="63"/>
      <c r="G77" s="14"/>
      <c r="H77" s="14"/>
      <c r="I77" s="15"/>
      <c r="J77" s="14"/>
      <c r="K77" s="14"/>
    </row>
    <row r="78" ht="15.75" customHeight="1">
      <c r="A78" s="14"/>
      <c r="B78" s="14"/>
      <c r="C78" s="14"/>
      <c r="D78" s="14"/>
      <c r="E78" s="16"/>
      <c r="F78" s="63"/>
      <c r="G78" s="14"/>
      <c r="H78" s="14"/>
      <c r="I78" s="15"/>
      <c r="J78" s="14"/>
      <c r="K78" s="14"/>
    </row>
    <row r="79" ht="15.75" customHeight="1">
      <c r="A79" s="14"/>
      <c r="B79" s="14"/>
      <c r="C79" s="14"/>
      <c r="D79" s="14"/>
      <c r="E79" s="16"/>
      <c r="F79" s="63"/>
      <c r="G79" s="14"/>
      <c r="H79" s="14"/>
      <c r="I79" s="15"/>
      <c r="J79" s="14"/>
      <c r="K79" s="14"/>
    </row>
    <row r="80" ht="15.75" customHeight="1">
      <c r="A80" s="14"/>
      <c r="B80" s="14"/>
      <c r="C80" s="14"/>
      <c r="D80" s="14"/>
      <c r="E80" s="16"/>
      <c r="F80" s="63"/>
      <c r="G80" s="14"/>
      <c r="H80" s="14"/>
      <c r="I80" s="15"/>
      <c r="J80" s="14"/>
      <c r="K80" s="14"/>
    </row>
    <row r="81" ht="15.75" customHeight="1">
      <c r="A81" s="14"/>
      <c r="B81" s="14"/>
      <c r="C81" s="14"/>
      <c r="D81" s="14"/>
      <c r="E81" s="16"/>
      <c r="F81" s="63"/>
      <c r="G81" s="14"/>
      <c r="H81" s="14"/>
      <c r="I81" s="15"/>
      <c r="J81" s="14"/>
      <c r="K81" s="14"/>
    </row>
    <row r="82" ht="15.75" customHeight="1">
      <c r="A82" s="14"/>
      <c r="B82" s="14"/>
      <c r="C82" s="14"/>
      <c r="D82" s="14"/>
      <c r="E82" s="16"/>
      <c r="F82" s="63"/>
      <c r="G82" s="14"/>
      <c r="H82" s="14"/>
      <c r="I82" s="15"/>
      <c r="J82" s="14"/>
      <c r="K82" s="14"/>
    </row>
    <row r="83" ht="15.75" customHeight="1">
      <c r="A83" s="14"/>
      <c r="B83" s="14"/>
      <c r="C83" s="14"/>
      <c r="D83" s="14"/>
      <c r="E83" s="16"/>
      <c r="F83" s="63"/>
      <c r="G83" s="14"/>
      <c r="H83" s="14"/>
      <c r="I83" s="15"/>
      <c r="J83" s="14"/>
      <c r="K83" s="14"/>
    </row>
    <row r="84" ht="15.75" customHeight="1">
      <c r="A84" s="14"/>
      <c r="B84" s="14"/>
      <c r="C84" s="14"/>
      <c r="D84" s="14"/>
      <c r="E84" s="16"/>
      <c r="F84" s="63"/>
      <c r="G84" s="14"/>
      <c r="H84" s="14"/>
      <c r="I84" s="15"/>
      <c r="J84" s="14"/>
      <c r="K84" s="14"/>
    </row>
    <row r="85" ht="15.75" customHeight="1">
      <c r="A85" s="14"/>
      <c r="B85" s="14"/>
      <c r="C85" s="14"/>
      <c r="D85" s="14"/>
      <c r="E85" s="16"/>
      <c r="F85" s="63"/>
      <c r="G85" s="14"/>
      <c r="H85" s="14"/>
      <c r="I85" s="15"/>
      <c r="J85" s="14"/>
      <c r="K85" s="14"/>
    </row>
    <row r="86" ht="15.75" customHeight="1">
      <c r="A86" s="14"/>
      <c r="B86" s="14"/>
      <c r="C86" s="14"/>
      <c r="D86" s="14"/>
      <c r="E86" s="16"/>
      <c r="F86" s="63"/>
      <c r="G86" s="14"/>
      <c r="H86" s="14"/>
      <c r="I86" s="15"/>
      <c r="J86" s="14"/>
      <c r="K86" s="14"/>
    </row>
    <row r="87" ht="15.75" customHeight="1">
      <c r="A87" s="14"/>
      <c r="B87" s="14"/>
      <c r="C87" s="14"/>
      <c r="D87" s="14"/>
      <c r="E87" s="16"/>
      <c r="F87" s="63"/>
      <c r="G87" s="14"/>
      <c r="H87" s="14"/>
      <c r="I87" s="15"/>
      <c r="J87" s="14"/>
      <c r="K87" s="14"/>
    </row>
    <row r="88" ht="15.75" customHeight="1">
      <c r="A88" s="14"/>
      <c r="B88" s="14"/>
      <c r="C88" s="14"/>
      <c r="D88" s="14"/>
      <c r="E88" s="16"/>
      <c r="F88" s="63"/>
      <c r="G88" s="14"/>
      <c r="H88" s="14"/>
      <c r="I88" s="15"/>
      <c r="J88" s="14"/>
      <c r="K88" s="14"/>
    </row>
    <row r="89" ht="15.75" customHeight="1">
      <c r="A89" s="14"/>
      <c r="B89" s="14"/>
      <c r="C89" s="14"/>
      <c r="D89" s="14"/>
      <c r="E89" s="16"/>
      <c r="F89" s="63"/>
      <c r="G89" s="14"/>
      <c r="H89" s="14"/>
      <c r="I89" s="15"/>
      <c r="J89" s="14"/>
      <c r="K89" s="14"/>
    </row>
    <row r="90" ht="15.75" customHeight="1">
      <c r="A90" s="14"/>
      <c r="B90" s="14"/>
      <c r="C90" s="14"/>
      <c r="D90" s="14"/>
      <c r="E90" s="16"/>
      <c r="F90" s="63"/>
      <c r="G90" s="14"/>
      <c r="H90" s="14"/>
      <c r="I90" s="15"/>
      <c r="J90" s="14"/>
      <c r="K90" s="14"/>
    </row>
    <row r="91" ht="15.75" customHeight="1">
      <c r="A91" s="14"/>
      <c r="B91" s="14"/>
      <c r="C91" s="14"/>
      <c r="D91" s="14"/>
      <c r="E91" s="16"/>
      <c r="F91" s="63"/>
      <c r="G91" s="14"/>
      <c r="H91" s="14"/>
      <c r="I91" s="15"/>
      <c r="J91" s="14"/>
      <c r="K91" s="14"/>
    </row>
    <row r="92" ht="15.75" customHeight="1">
      <c r="A92" s="14"/>
      <c r="B92" s="14"/>
      <c r="C92" s="14"/>
      <c r="D92" s="14"/>
      <c r="E92" s="16"/>
      <c r="F92" s="63"/>
      <c r="G92" s="14"/>
      <c r="H92" s="14"/>
      <c r="I92" s="15"/>
      <c r="J92" s="14"/>
      <c r="K92" s="14"/>
    </row>
    <row r="93" ht="15.75" customHeight="1">
      <c r="A93" s="14"/>
      <c r="B93" s="14"/>
      <c r="C93" s="14"/>
      <c r="D93" s="14"/>
      <c r="E93" s="16"/>
      <c r="F93" s="63"/>
      <c r="G93" s="14"/>
      <c r="H93" s="14"/>
      <c r="I93" s="15"/>
      <c r="J93" s="14"/>
      <c r="K93" s="14"/>
    </row>
    <row r="94" ht="15.75" customHeight="1">
      <c r="A94" s="14"/>
      <c r="B94" s="14"/>
      <c r="C94" s="14"/>
      <c r="D94" s="14"/>
      <c r="E94" s="16"/>
      <c r="F94" s="63"/>
      <c r="G94" s="14"/>
      <c r="H94" s="14"/>
      <c r="I94" s="15"/>
      <c r="J94" s="14"/>
      <c r="K94" s="14"/>
    </row>
    <row r="95" ht="15.75" customHeight="1">
      <c r="A95" s="14"/>
      <c r="B95" s="14"/>
      <c r="C95" s="14"/>
      <c r="D95" s="14"/>
      <c r="E95" s="16"/>
      <c r="F95" s="63"/>
      <c r="G95" s="14"/>
      <c r="H95" s="14"/>
      <c r="I95" s="15"/>
      <c r="J95" s="14"/>
      <c r="K95" s="14"/>
    </row>
    <row r="96" ht="15.75" customHeight="1">
      <c r="A96" s="14"/>
      <c r="B96" s="14"/>
      <c r="C96" s="14"/>
      <c r="D96" s="14"/>
      <c r="E96" s="16"/>
      <c r="F96" s="63"/>
      <c r="G96" s="14"/>
      <c r="H96" s="14"/>
      <c r="I96" s="15"/>
      <c r="J96" s="14"/>
      <c r="K96" s="14"/>
    </row>
    <row r="97" ht="15.75" customHeight="1">
      <c r="A97" s="14"/>
      <c r="B97" s="14"/>
      <c r="C97" s="14"/>
      <c r="D97" s="14"/>
      <c r="E97" s="16"/>
      <c r="F97" s="63"/>
      <c r="G97" s="14"/>
      <c r="H97" s="14"/>
      <c r="I97" s="15"/>
      <c r="J97" s="14"/>
      <c r="K97" s="14"/>
    </row>
    <row r="98" ht="15.75" customHeight="1">
      <c r="A98" s="14"/>
      <c r="B98" s="14"/>
      <c r="C98" s="14"/>
      <c r="D98" s="14"/>
      <c r="E98" s="16"/>
      <c r="F98" s="63"/>
      <c r="G98" s="14"/>
      <c r="H98" s="14"/>
      <c r="I98" s="15"/>
      <c r="J98" s="14"/>
      <c r="K98" s="14"/>
    </row>
    <row r="99" ht="15.75" customHeight="1">
      <c r="A99" s="14"/>
      <c r="B99" s="14"/>
      <c r="C99" s="14"/>
      <c r="D99" s="14"/>
      <c r="E99" s="16"/>
      <c r="F99" s="63"/>
      <c r="G99" s="14"/>
      <c r="H99" s="14"/>
      <c r="I99" s="15"/>
      <c r="J99" s="14"/>
      <c r="K99" s="14"/>
    </row>
    <row r="100" ht="15.75" customHeight="1">
      <c r="A100" s="14"/>
      <c r="B100" s="14"/>
      <c r="C100" s="14"/>
      <c r="D100" s="14"/>
      <c r="E100" s="16"/>
      <c r="F100" s="63"/>
      <c r="G100" s="14"/>
      <c r="H100" s="14"/>
      <c r="I100" s="15"/>
      <c r="J100" s="14"/>
      <c r="K100" s="14"/>
    </row>
    <row r="101" ht="15.75" customHeight="1">
      <c r="A101" s="14"/>
      <c r="B101" s="14"/>
      <c r="C101" s="14"/>
      <c r="D101" s="14"/>
      <c r="E101" s="16"/>
      <c r="F101" s="63"/>
      <c r="G101" s="14"/>
      <c r="H101" s="14"/>
      <c r="I101" s="15"/>
      <c r="J101" s="14"/>
      <c r="K101" s="14"/>
    </row>
    <row r="102" ht="15.75" customHeight="1">
      <c r="A102" s="14"/>
      <c r="B102" s="14"/>
      <c r="C102" s="14"/>
      <c r="D102" s="14"/>
      <c r="E102" s="16"/>
      <c r="F102" s="63"/>
      <c r="G102" s="14"/>
      <c r="H102" s="14"/>
      <c r="I102" s="15"/>
      <c r="J102" s="14"/>
      <c r="K102" s="14"/>
    </row>
    <row r="103" ht="15.75" customHeight="1">
      <c r="A103" s="14"/>
      <c r="B103" s="14"/>
      <c r="C103" s="14"/>
      <c r="D103" s="14"/>
      <c r="E103" s="16"/>
      <c r="F103" s="63"/>
      <c r="G103" s="14"/>
      <c r="H103" s="14"/>
      <c r="I103" s="15"/>
      <c r="J103" s="14"/>
      <c r="K103" s="14"/>
    </row>
    <row r="104" ht="15.75" customHeight="1">
      <c r="A104" s="14"/>
      <c r="B104" s="14"/>
      <c r="C104" s="14"/>
      <c r="D104" s="14"/>
      <c r="E104" s="16"/>
      <c r="F104" s="63"/>
      <c r="G104" s="14"/>
      <c r="H104" s="14"/>
      <c r="I104" s="15"/>
      <c r="J104" s="14"/>
      <c r="K104" s="14"/>
    </row>
    <row r="105" ht="15.75" customHeight="1">
      <c r="A105" s="14"/>
      <c r="B105" s="14"/>
      <c r="C105" s="14"/>
      <c r="D105" s="14"/>
      <c r="E105" s="16"/>
      <c r="F105" s="63"/>
      <c r="G105" s="14"/>
      <c r="H105" s="14"/>
      <c r="I105" s="15"/>
      <c r="J105" s="14"/>
      <c r="K105" s="14"/>
    </row>
    <row r="106" ht="15.75" customHeight="1">
      <c r="A106" s="14"/>
      <c r="B106" s="14"/>
      <c r="C106" s="14"/>
      <c r="D106" s="14"/>
      <c r="E106" s="16"/>
      <c r="F106" s="63"/>
      <c r="G106" s="14"/>
      <c r="H106" s="14"/>
      <c r="I106" s="15"/>
      <c r="J106" s="14"/>
      <c r="K106" s="14"/>
    </row>
    <row r="107" ht="15.75" customHeight="1">
      <c r="A107" s="14"/>
      <c r="B107" s="14"/>
      <c r="C107" s="14"/>
      <c r="D107" s="14"/>
      <c r="E107" s="16"/>
      <c r="F107" s="63"/>
      <c r="G107" s="14"/>
      <c r="H107" s="14"/>
      <c r="I107" s="15"/>
      <c r="J107" s="14"/>
      <c r="K107" s="14"/>
    </row>
    <row r="108" ht="15.75" customHeight="1">
      <c r="A108" s="14"/>
      <c r="B108" s="14"/>
      <c r="C108" s="14"/>
      <c r="D108" s="14"/>
      <c r="E108" s="16"/>
      <c r="F108" s="63"/>
      <c r="G108" s="14"/>
      <c r="H108" s="14"/>
      <c r="I108" s="15"/>
      <c r="J108" s="14"/>
      <c r="K108" s="14"/>
    </row>
    <row r="109" ht="15.75" customHeight="1">
      <c r="A109" s="14"/>
      <c r="B109" s="14"/>
      <c r="C109" s="14"/>
      <c r="D109" s="14"/>
      <c r="E109" s="16"/>
      <c r="F109" s="63"/>
      <c r="G109" s="14"/>
      <c r="H109" s="14"/>
      <c r="I109" s="15"/>
      <c r="J109" s="14"/>
      <c r="K109" s="14"/>
    </row>
    <row r="110" ht="15.75" customHeight="1">
      <c r="A110" s="14"/>
      <c r="B110" s="14"/>
      <c r="C110" s="14"/>
      <c r="D110" s="14"/>
      <c r="E110" s="16"/>
      <c r="F110" s="63"/>
      <c r="G110" s="14"/>
      <c r="H110" s="14"/>
      <c r="I110" s="15"/>
      <c r="J110" s="14"/>
      <c r="K110" s="14"/>
    </row>
    <row r="111" ht="15.75" customHeight="1">
      <c r="A111" s="14"/>
      <c r="B111" s="14"/>
      <c r="C111" s="14"/>
      <c r="D111" s="14"/>
      <c r="E111" s="16"/>
      <c r="F111" s="63"/>
      <c r="G111" s="14"/>
      <c r="H111" s="14"/>
      <c r="I111" s="15"/>
      <c r="J111" s="14"/>
      <c r="K111" s="14"/>
    </row>
    <row r="112" ht="15.75" customHeight="1">
      <c r="A112" s="14"/>
      <c r="B112" s="14"/>
      <c r="C112" s="14"/>
      <c r="D112" s="14"/>
      <c r="E112" s="16"/>
      <c r="F112" s="63"/>
      <c r="G112" s="14"/>
      <c r="H112" s="14"/>
      <c r="I112" s="15"/>
      <c r="J112" s="14"/>
      <c r="K112" s="14"/>
    </row>
    <row r="113" ht="15.75" customHeight="1">
      <c r="A113" s="14"/>
      <c r="B113" s="14"/>
      <c r="C113" s="14"/>
      <c r="D113" s="14"/>
      <c r="E113" s="16"/>
      <c r="F113" s="63"/>
      <c r="G113" s="14"/>
      <c r="H113" s="14"/>
      <c r="I113" s="15"/>
      <c r="J113" s="14"/>
      <c r="K113" s="14"/>
    </row>
    <row r="114" ht="15.75" customHeight="1">
      <c r="A114" s="14"/>
      <c r="B114" s="14"/>
      <c r="C114" s="14"/>
      <c r="D114" s="14"/>
      <c r="E114" s="16"/>
      <c r="F114" s="63"/>
      <c r="G114" s="14"/>
      <c r="H114" s="14"/>
      <c r="I114" s="15"/>
      <c r="J114" s="14"/>
      <c r="K114" s="14"/>
    </row>
    <row r="115" ht="15.75" customHeight="1">
      <c r="A115" s="14"/>
      <c r="B115" s="14"/>
      <c r="C115" s="14"/>
      <c r="D115" s="14"/>
      <c r="E115" s="16"/>
      <c r="F115" s="63"/>
      <c r="G115" s="14"/>
      <c r="H115" s="14"/>
      <c r="I115" s="15"/>
      <c r="J115" s="14"/>
      <c r="K115" s="14"/>
    </row>
    <row r="116" ht="15.75" customHeight="1">
      <c r="A116" s="14"/>
      <c r="B116" s="14"/>
      <c r="C116" s="14"/>
      <c r="D116" s="14"/>
      <c r="E116" s="16"/>
      <c r="F116" s="63"/>
      <c r="G116" s="14"/>
      <c r="H116" s="14"/>
      <c r="I116" s="15"/>
      <c r="J116" s="14"/>
      <c r="K116" s="14"/>
    </row>
    <row r="117" ht="15.75" customHeight="1">
      <c r="A117" s="14"/>
      <c r="B117" s="14"/>
      <c r="C117" s="14"/>
      <c r="D117" s="14"/>
      <c r="E117" s="16"/>
      <c r="F117" s="63"/>
      <c r="G117" s="14"/>
      <c r="H117" s="14"/>
      <c r="I117" s="15"/>
      <c r="J117" s="14"/>
      <c r="K117" s="14"/>
    </row>
    <row r="118" ht="15.75" customHeight="1">
      <c r="A118" s="14"/>
      <c r="B118" s="14"/>
      <c r="C118" s="14"/>
      <c r="D118" s="14"/>
      <c r="E118" s="16"/>
      <c r="F118" s="63"/>
      <c r="G118" s="14"/>
      <c r="H118" s="14"/>
      <c r="I118" s="15"/>
      <c r="J118" s="14"/>
      <c r="K118" s="14"/>
    </row>
    <row r="119" ht="15.75" customHeight="1">
      <c r="A119" s="14"/>
      <c r="B119" s="14"/>
      <c r="C119" s="14"/>
      <c r="D119" s="14"/>
      <c r="E119" s="16"/>
      <c r="F119" s="63"/>
      <c r="G119" s="14"/>
      <c r="H119" s="14"/>
      <c r="I119" s="15"/>
      <c r="J119" s="14"/>
      <c r="K119" s="14"/>
    </row>
    <row r="120" ht="15.75" customHeight="1">
      <c r="A120" s="14"/>
      <c r="B120" s="14"/>
      <c r="C120" s="14"/>
      <c r="D120" s="14"/>
      <c r="E120" s="16"/>
      <c r="F120" s="63"/>
      <c r="G120" s="14"/>
      <c r="H120" s="14"/>
      <c r="I120" s="15"/>
      <c r="J120" s="14"/>
      <c r="K120" s="14"/>
    </row>
    <row r="121" ht="15.75" customHeight="1">
      <c r="A121" s="14"/>
      <c r="B121" s="14"/>
      <c r="C121" s="14"/>
      <c r="D121" s="14"/>
      <c r="E121" s="16"/>
      <c r="F121" s="63"/>
      <c r="G121" s="14"/>
      <c r="H121" s="14"/>
      <c r="I121" s="15"/>
      <c r="J121" s="14"/>
      <c r="K121" s="14"/>
    </row>
    <row r="122" ht="15.75" customHeight="1">
      <c r="A122" s="14"/>
      <c r="B122" s="14"/>
      <c r="C122" s="14"/>
      <c r="D122" s="14"/>
      <c r="E122" s="16"/>
      <c r="F122" s="63"/>
      <c r="G122" s="14"/>
      <c r="H122" s="14"/>
      <c r="I122" s="15"/>
      <c r="J122" s="14"/>
      <c r="K122" s="14"/>
    </row>
    <row r="123" ht="15.75" customHeight="1">
      <c r="A123" s="14"/>
      <c r="B123" s="14"/>
      <c r="C123" s="14"/>
      <c r="D123" s="14"/>
      <c r="E123" s="16"/>
      <c r="F123" s="63"/>
      <c r="G123" s="14"/>
      <c r="H123" s="14"/>
      <c r="I123" s="15"/>
      <c r="J123" s="14"/>
      <c r="K123" s="14"/>
    </row>
    <row r="124" ht="15.75" customHeight="1">
      <c r="A124" s="14"/>
      <c r="B124" s="14"/>
      <c r="C124" s="14"/>
      <c r="D124" s="14"/>
      <c r="E124" s="16"/>
      <c r="F124" s="63"/>
      <c r="G124" s="14"/>
      <c r="H124" s="14"/>
      <c r="I124" s="15"/>
      <c r="J124" s="14"/>
      <c r="K124" s="14"/>
    </row>
    <row r="125" ht="15.75" customHeight="1">
      <c r="A125" s="14"/>
      <c r="B125" s="14"/>
      <c r="C125" s="14"/>
      <c r="D125" s="14"/>
      <c r="E125" s="16"/>
      <c r="F125" s="63"/>
      <c r="G125" s="14"/>
      <c r="H125" s="14"/>
      <c r="I125" s="15"/>
      <c r="J125" s="14"/>
      <c r="K125" s="14"/>
    </row>
    <row r="126" ht="15.75" customHeight="1">
      <c r="A126" s="14"/>
      <c r="B126" s="14"/>
      <c r="C126" s="14"/>
      <c r="D126" s="14"/>
      <c r="E126" s="16"/>
      <c r="F126" s="63"/>
      <c r="G126" s="14"/>
      <c r="H126" s="14"/>
      <c r="I126" s="15"/>
      <c r="J126" s="14"/>
      <c r="K126" s="14"/>
    </row>
    <row r="127" ht="15.75" customHeight="1">
      <c r="A127" s="14"/>
      <c r="B127" s="14"/>
      <c r="C127" s="14"/>
      <c r="D127" s="14"/>
      <c r="E127" s="16"/>
      <c r="F127" s="63"/>
      <c r="G127" s="14"/>
      <c r="H127" s="14"/>
      <c r="I127" s="15"/>
      <c r="J127" s="14"/>
      <c r="K127" s="14"/>
    </row>
    <row r="128" ht="15.75" customHeight="1">
      <c r="A128" s="14"/>
      <c r="B128" s="14"/>
      <c r="C128" s="14"/>
      <c r="D128" s="14"/>
      <c r="E128" s="16"/>
      <c r="F128" s="63"/>
      <c r="G128" s="14"/>
      <c r="H128" s="14"/>
      <c r="I128" s="15"/>
      <c r="J128" s="14"/>
      <c r="K128" s="14"/>
    </row>
    <row r="129" ht="15.75" customHeight="1">
      <c r="A129" s="14"/>
      <c r="B129" s="14"/>
      <c r="C129" s="14"/>
      <c r="D129" s="14"/>
      <c r="E129" s="16"/>
      <c r="F129" s="63"/>
      <c r="G129" s="14"/>
      <c r="H129" s="14"/>
      <c r="I129" s="15"/>
      <c r="J129" s="14"/>
      <c r="K129" s="14"/>
    </row>
    <row r="130" ht="15.75" customHeight="1">
      <c r="A130" s="14"/>
      <c r="B130" s="14"/>
      <c r="C130" s="14"/>
      <c r="D130" s="14"/>
      <c r="E130" s="16"/>
      <c r="F130" s="63"/>
      <c r="G130" s="14"/>
      <c r="H130" s="14"/>
      <c r="I130" s="15"/>
      <c r="J130" s="14"/>
      <c r="K130" s="14"/>
    </row>
    <row r="131" ht="15.75" customHeight="1">
      <c r="A131" s="14"/>
      <c r="B131" s="14"/>
      <c r="C131" s="14"/>
      <c r="D131" s="14"/>
      <c r="E131" s="16"/>
      <c r="F131" s="63"/>
      <c r="G131" s="14"/>
      <c r="H131" s="14"/>
      <c r="I131" s="15"/>
      <c r="J131" s="14"/>
      <c r="K131" s="14"/>
    </row>
    <row r="132" ht="15.75" customHeight="1">
      <c r="A132" s="14"/>
      <c r="B132" s="14"/>
      <c r="C132" s="14"/>
      <c r="D132" s="14"/>
      <c r="E132" s="16"/>
      <c r="F132" s="63"/>
      <c r="G132" s="14"/>
      <c r="H132" s="14"/>
      <c r="I132" s="15"/>
      <c r="J132" s="14"/>
      <c r="K132" s="14"/>
    </row>
    <row r="133" ht="15.75" customHeight="1">
      <c r="A133" s="14"/>
      <c r="B133" s="14"/>
      <c r="C133" s="14"/>
      <c r="D133" s="14"/>
      <c r="E133" s="16"/>
      <c r="F133" s="63"/>
      <c r="G133" s="14"/>
      <c r="H133" s="14"/>
      <c r="I133" s="15"/>
      <c r="J133" s="14"/>
      <c r="K133" s="14"/>
    </row>
    <row r="134" ht="15.75" customHeight="1">
      <c r="A134" s="14"/>
      <c r="B134" s="14"/>
      <c r="C134" s="14"/>
      <c r="D134" s="14"/>
      <c r="E134" s="16"/>
      <c r="F134" s="63"/>
      <c r="G134" s="14"/>
      <c r="H134" s="14"/>
      <c r="I134" s="15"/>
      <c r="J134" s="14"/>
      <c r="K134" s="14"/>
    </row>
    <row r="135" ht="15.75" customHeight="1">
      <c r="A135" s="14"/>
      <c r="B135" s="14"/>
      <c r="C135" s="14"/>
      <c r="D135" s="14"/>
      <c r="E135" s="16"/>
      <c r="F135" s="63"/>
      <c r="G135" s="14"/>
      <c r="H135" s="14"/>
      <c r="I135" s="15"/>
      <c r="J135" s="14"/>
      <c r="K135" s="14"/>
    </row>
    <row r="136" ht="15.75" customHeight="1">
      <c r="A136" s="14"/>
      <c r="B136" s="14"/>
      <c r="C136" s="14"/>
      <c r="D136" s="14"/>
      <c r="E136" s="16"/>
      <c r="F136" s="63"/>
      <c r="G136" s="14"/>
      <c r="H136" s="14"/>
      <c r="I136" s="15"/>
      <c r="J136" s="14"/>
      <c r="K136" s="14"/>
    </row>
    <row r="137" ht="15.75" customHeight="1">
      <c r="A137" s="14"/>
      <c r="B137" s="14"/>
      <c r="C137" s="14"/>
      <c r="D137" s="14"/>
      <c r="E137" s="16"/>
      <c r="F137" s="63"/>
      <c r="G137" s="14"/>
      <c r="H137" s="14"/>
      <c r="I137" s="15"/>
      <c r="J137" s="14"/>
      <c r="K137" s="14"/>
    </row>
    <row r="138" ht="15.75" customHeight="1">
      <c r="A138" s="14"/>
      <c r="B138" s="14"/>
      <c r="C138" s="14"/>
      <c r="D138" s="14"/>
      <c r="E138" s="16"/>
      <c r="F138" s="63"/>
      <c r="G138" s="14"/>
      <c r="H138" s="14"/>
      <c r="I138" s="15"/>
      <c r="J138" s="14"/>
      <c r="K138" s="14"/>
    </row>
    <row r="139" ht="15.75" customHeight="1">
      <c r="A139" s="14"/>
      <c r="B139" s="14"/>
      <c r="C139" s="14"/>
      <c r="D139" s="14"/>
      <c r="E139" s="16"/>
      <c r="F139" s="63"/>
      <c r="G139" s="14"/>
      <c r="H139" s="14"/>
      <c r="I139" s="15"/>
      <c r="J139" s="14"/>
      <c r="K139" s="14"/>
    </row>
    <row r="140" ht="15.75" customHeight="1">
      <c r="A140" s="14"/>
      <c r="B140" s="14"/>
      <c r="C140" s="14"/>
      <c r="D140" s="14"/>
      <c r="E140" s="16"/>
      <c r="F140" s="63"/>
      <c r="G140" s="14"/>
      <c r="H140" s="14"/>
      <c r="I140" s="15"/>
      <c r="J140" s="14"/>
      <c r="K140" s="14"/>
    </row>
    <row r="141" ht="15.75" customHeight="1">
      <c r="A141" s="14"/>
      <c r="B141" s="14"/>
      <c r="C141" s="14"/>
      <c r="D141" s="14"/>
      <c r="E141" s="16"/>
      <c r="F141" s="63"/>
      <c r="G141" s="14"/>
      <c r="H141" s="14"/>
      <c r="I141" s="15"/>
      <c r="J141" s="14"/>
      <c r="K141" s="14"/>
    </row>
    <row r="142" ht="15.75" customHeight="1">
      <c r="A142" s="14"/>
      <c r="B142" s="14"/>
      <c r="C142" s="14"/>
      <c r="D142" s="14"/>
      <c r="E142" s="16"/>
      <c r="F142" s="63"/>
      <c r="G142" s="14"/>
      <c r="H142" s="14"/>
      <c r="I142" s="15"/>
      <c r="J142" s="14"/>
      <c r="K142" s="14"/>
    </row>
    <row r="143" ht="15.75" customHeight="1">
      <c r="A143" s="14"/>
      <c r="B143" s="14"/>
      <c r="C143" s="14"/>
      <c r="D143" s="14"/>
      <c r="E143" s="16"/>
      <c r="F143" s="63"/>
      <c r="G143" s="14"/>
      <c r="H143" s="14"/>
      <c r="I143" s="15"/>
      <c r="J143" s="14"/>
      <c r="K143" s="14"/>
    </row>
    <row r="144" ht="15.75" customHeight="1">
      <c r="A144" s="14"/>
      <c r="B144" s="14"/>
      <c r="C144" s="14"/>
      <c r="D144" s="14"/>
      <c r="E144" s="16"/>
      <c r="F144" s="63"/>
      <c r="G144" s="14"/>
      <c r="H144" s="14"/>
      <c r="I144" s="15"/>
      <c r="J144" s="14"/>
      <c r="K144" s="14"/>
    </row>
    <row r="145" ht="15.75" customHeight="1">
      <c r="A145" s="14"/>
      <c r="B145" s="14"/>
      <c r="C145" s="14"/>
      <c r="D145" s="14"/>
      <c r="E145" s="16"/>
      <c r="F145" s="63"/>
      <c r="G145" s="14"/>
      <c r="H145" s="14"/>
      <c r="I145" s="15"/>
      <c r="J145" s="14"/>
      <c r="K145" s="14"/>
    </row>
    <row r="146" ht="15.75" customHeight="1">
      <c r="A146" s="14"/>
      <c r="B146" s="14"/>
      <c r="C146" s="14"/>
      <c r="D146" s="14"/>
      <c r="E146" s="16"/>
      <c r="F146" s="63"/>
      <c r="G146" s="14"/>
      <c r="H146" s="14"/>
      <c r="I146" s="15"/>
      <c r="J146" s="14"/>
      <c r="K146" s="14"/>
    </row>
    <row r="147" ht="15.75" customHeight="1">
      <c r="A147" s="14"/>
      <c r="B147" s="14"/>
      <c r="C147" s="14"/>
      <c r="D147" s="14"/>
      <c r="E147" s="16"/>
      <c r="F147" s="63"/>
      <c r="G147" s="14"/>
      <c r="H147" s="14"/>
      <c r="I147" s="15"/>
      <c r="J147" s="14"/>
      <c r="K147" s="14"/>
    </row>
    <row r="148" ht="15.75" customHeight="1">
      <c r="A148" s="14"/>
      <c r="B148" s="14"/>
      <c r="C148" s="14"/>
      <c r="D148" s="14"/>
      <c r="E148" s="16"/>
      <c r="F148" s="63"/>
      <c r="G148" s="14"/>
      <c r="H148" s="14"/>
      <c r="I148" s="15"/>
      <c r="J148" s="14"/>
      <c r="K148" s="14"/>
    </row>
    <row r="149" ht="15.75" customHeight="1">
      <c r="A149" s="14"/>
      <c r="B149" s="14"/>
      <c r="C149" s="14"/>
      <c r="D149" s="14"/>
      <c r="E149" s="16"/>
      <c r="F149" s="63"/>
      <c r="G149" s="14"/>
      <c r="H149" s="14"/>
      <c r="I149" s="15"/>
      <c r="J149" s="14"/>
      <c r="K149" s="14"/>
    </row>
    <row r="150" ht="15.75" customHeight="1">
      <c r="A150" s="14"/>
      <c r="B150" s="14"/>
      <c r="C150" s="14"/>
      <c r="D150" s="14"/>
      <c r="E150" s="16"/>
      <c r="F150" s="63"/>
      <c r="G150" s="14"/>
      <c r="H150" s="14"/>
      <c r="I150" s="15"/>
      <c r="J150" s="14"/>
      <c r="K150" s="14"/>
    </row>
    <row r="151" ht="15.75" customHeight="1">
      <c r="A151" s="14"/>
      <c r="B151" s="14"/>
      <c r="C151" s="14"/>
      <c r="D151" s="14"/>
      <c r="E151" s="16"/>
      <c r="F151" s="63"/>
      <c r="G151" s="14"/>
      <c r="H151" s="14"/>
      <c r="I151" s="15"/>
      <c r="J151" s="14"/>
      <c r="K151" s="14"/>
    </row>
    <row r="152" ht="15.75" customHeight="1">
      <c r="A152" s="14"/>
      <c r="B152" s="14"/>
      <c r="C152" s="14"/>
      <c r="D152" s="14"/>
      <c r="E152" s="16"/>
      <c r="F152" s="63"/>
      <c r="G152" s="14"/>
      <c r="H152" s="14"/>
      <c r="I152" s="15"/>
      <c r="J152" s="14"/>
      <c r="K152" s="14"/>
    </row>
    <row r="153" ht="15.75" customHeight="1">
      <c r="A153" s="14"/>
      <c r="B153" s="14"/>
      <c r="C153" s="14"/>
      <c r="D153" s="14"/>
      <c r="E153" s="16"/>
      <c r="F153" s="63"/>
      <c r="G153" s="14"/>
      <c r="H153" s="14"/>
      <c r="I153" s="15"/>
      <c r="J153" s="14"/>
      <c r="K153" s="14"/>
    </row>
    <row r="154" ht="15.75" customHeight="1">
      <c r="A154" s="14"/>
      <c r="B154" s="14"/>
      <c r="C154" s="14"/>
      <c r="D154" s="14"/>
      <c r="E154" s="16"/>
      <c r="F154" s="63"/>
      <c r="G154" s="14"/>
      <c r="H154" s="14"/>
      <c r="I154" s="15"/>
      <c r="J154" s="14"/>
      <c r="K154" s="14"/>
    </row>
    <row r="155" ht="15.75" customHeight="1">
      <c r="A155" s="14"/>
      <c r="B155" s="14"/>
      <c r="C155" s="14"/>
      <c r="D155" s="14"/>
      <c r="E155" s="16"/>
      <c r="F155" s="63"/>
      <c r="G155" s="14"/>
      <c r="H155" s="14"/>
      <c r="I155" s="15"/>
      <c r="J155" s="14"/>
      <c r="K155" s="14"/>
    </row>
    <row r="156" ht="15.75" customHeight="1">
      <c r="A156" s="14"/>
      <c r="B156" s="14"/>
      <c r="C156" s="14"/>
      <c r="D156" s="14"/>
      <c r="E156" s="16"/>
      <c r="F156" s="63"/>
      <c r="G156" s="14"/>
      <c r="H156" s="14"/>
      <c r="I156" s="15"/>
      <c r="J156" s="14"/>
      <c r="K156" s="14"/>
    </row>
    <row r="157" ht="15.75" customHeight="1">
      <c r="A157" s="14"/>
      <c r="B157" s="14"/>
      <c r="C157" s="14"/>
      <c r="D157" s="14"/>
      <c r="E157" s="16"/>
      <c r="F157" s="63"/>
      <c r="G157" s="14"/>
      <c r="H157" s="14"/>
      <c r="I157" s="15"/>
      <c r="J157" s="14"/>
      <c r="K157" s="14"/>
    </row>
    <row r="158" ht="15.75" customHeight="1">
      <c r="A158" s="14"/>
      <c r="B158" s="14"/>
      <c r="C158" s="14"/>
      <c r="D158" s="14"/>
      <c r="E158" s="16"/>
      <c r="F158" s="63"/>
      <c r="G158" s="14"/>
      <c r="H158" s="14"/>
      <c r="I158" s="15"/>
      <c r="J158" s="14"/>
      <c r="K158" s="14"/>
    </row>
    <row r="159" ht="15.75" customHeight="1">
      <c r="A159" s="14"/>
      <c r="B159" s="14"/>
      <c r="C159" s="14"/>
      <c r="D159" s="14"/>
      <c r="E159" s="16"/>
      <c r="F159" s="63"/>
      <c r="G159" s="14"/>
      <c r="H159" s="14"/>
      <c r="I159" s="15"/>
      <c r="J159" s="14"/>
      <c r="K159" s="14"/>
    </row>
    <row r="160" ht="15.75" customHeight="1">
      <c r="A160" s="14"/>
      <c r="B160" s="14"/>
      <c r="C160" s="14"/>
      <c r="D160" s="14"/>
      <c r="E160" s="16"/>
      <c r="F160" s="63"/>
      <c r="G160" s="14"/>
      <c r="H160" s="14"/>
      <c r="I160" s="15"/>
      <c r="J160" s="14"/>
      <c r="K160" s="14"/>
    </row>
    <row r="161" ht="15.75" customHeight="1">
      <c r="A161" s="14"/>
      <c r="B161" s="14"/>
      <c r="C161" s="14"/>
      <c r="D161" s="14"/>
      <c r="E161" s="16"/>
      <c r="F161" s="63"/>
      <c r="G161" s="14"/>
      <c r="H161" s="14"/>
      <c r="I161" s="15"/>
      <c r="J161" s="14"/>
      <c r="K161" s="14"/>
    </row>
    <row r="162" ht="15.75" customHeight="1">
      <c r="A162" s="14"/>
      <c r="B162" s="14"/>
      <c r="C162" s="14"/>
      <c r="D162" s="14"/>
      <c r="E162" s="16"/>
      <c r="F162" s="63"/>
      <c r="G162" s="14"/>
      <c r="H162" s="14"/>
      <c r="I162" s="15"/>
      <c r="J162" s="14"/>
      <c r="K162" s="14"/>
    </row>
    <row r="163" ht="15.75" customHeight="1">
      <c r="A163" s="14"/>
      <c r="B163" s="14"/>
      <c r="C163" s="14"/>
      <c r="D163" s="14"/>
      <c r="E163" s="16"/>
      <c r="F163" s="63"/>
      <c r="G163" s="14"/>
      <c r="H163" s="14"/>
      <c r="I163" s="15"/>
      <c r="J163" s="14"/>
      <c r="K163" s="14"/>
    </row>
    <row r="164" ht="15.75" customHeight="1">
      <c r="A164" s="14"/>
      <c r="B164" s="14"/>
      <c r="C164" s="14"/>
      <c r="D164" s="14"/>
      <c r="E164" s="16"/>
      <c r="F164" s="63"/>
      <c r="G164" s="14"/>
      <c r="H164" s="14"/>
      <c r="I164" s="15"/>
      <c r="J164" s="14"/>
      <c r="K164" s="14"/>
    </row>
    <row r="165" ht="15.75" customHeight="1">
      <c r="A165" s="14"/>
      <c r="B165" s="14"/>
      <c r="C165" s="14"/>
      <c r="D165" s="14"/>
      <c r="E165" s="16"/>
      <c r="F165" s="63"/>
      <c r="G165" s="14"/>
      <c r="H165" s="14"/>
      <c r="I165" s="15"/>
      <c r="J165" s="14"/>
      <c r="K165" s="14"/>
    </row>
    <row r="166" ht="15.75" customHeight="1">
      <c r="A166" s="14"/>
      <c r="B166" s="14"/>
      <c r="C166" s="14"/>
      <c r="D166" s="14"/>
      <c r="E166" s="16"/>
      <c r="F166" s="63"/>
      <c r="G166" s="14"/>
      <c r="H166" s="14"/>
      <c r="I166" s="15"/>
      <c r="J166" s="14"/>
      <c r="K166" s="14"/>
    </row>
    <row r="167" ht="15.75" customHeight="1">
      <c r="A167" s="14"/>
      <c r="B167" s="14"/>
      <c r="C167" s="14"/>
      <c r="D167" s="14"/>
      <c r="E167" s="16"/>
      <c r="F167" s="63"/>
      <c r="G167" s="14"/>
      <c r="H167" s="14"/>
      <c r="I167" s="15"/>
      <c r="J167" s="14"/>
      <c r="K167" s="14"/>
    </row>
    <row r="168" ht="15.75" customHeight="1">
      <c r="A168" s="14"/>
      <c r="B168" s="14"/>
      <c r="C168" s="14"/>
      <c r="D168" s="14"/>
      <c r="E168" s="16"/>
      <c r="F168" s="63"/>
      <c r="G168" s="14"/>
      <c r="H168" s="14"/>
      <c r="I168" s="15"/>
      <c r="J168" s="14"/>
      <c r="K168" s="14"/>
    </row>
    <row r="169" ht="15.75" customHeight="1">
      <c r="A169" s="14"/>
      <c r="B169" s="14"/>
      <c r="C169" s="14"/>
      <c r="D169" s="14"/>
      <c r="E169" s="16"/>
      <c r="F169" s="63"/>
      <c r="G169" s="14"/>
      <c r="H169" s="14"/>
      <c r="I169" s="15"/>
      <c r="J169" s="14"/>
      <c r="K169" s="14"/>
    </row>
    <row r="170" ht="15.75" customHeight="1">
      <c r="A170" s="14"/>
      <c r="B170" s="14"/>
      <c r="C170" s="14"/>
      <c r="D170" s="14"/>
      <c r="E170" s="16"/>
      <c r="F170" s="63"/>
      <c r="G170" s="14"/>
      <c r="H170" s="14"/>
      <c r="I170" s="15"/>
      <c r="J170" s="14"/>
      <c r="K170" s="14"/>
    </row>
    <row r="171" ht="15.75" customHeight="1">
      <c r="A171" s="14"/>
      <c r="B171" s="14"/>
      <c r="C171" s="14"/>
      <c r="D171" s="14"/>
      <c r="E171" s="16"/>
      <c r="F171" s="63"/>
      <c r="G171" s="14"/>
      <c r="H171" s="14"/>
      <c r="I171" s="15"/>
      <c r="J171" s="14"/>
      <c r="K171" s="14"/>
    </row>
    <row r="172" ht="15.75" customHeight="1">
      <c r="A172" s="14"/>
      <c r="B172" s="14"/>
      <c r="C172" s="14"/>
      <c r="D172" s="14"/>
      <c r="E172" s="16"/>
      <c r="F172" s="63"/>
      <c r="G172" s="14"/>
      <c r="H172" s="14"/>
      <c r="I172" s="15"/>
      <c r="J172" s="14"/>
      <c r="K172" s="14"/>
    </row>
    <row r="173" ht="15.75" customHeight="1">
      <c r="A173" s="14"/>
      <c r="B173" s="14"/>
      <c r="C173" s="14"/>
      <c r="D173" s="14"/>
      <c r="E173" s="16"/>
      <c r="F173" s="63"/>
      <c r="G173" s="14"/>
      <c r="H173" s="14"/>
      <c r="I173" s="15"/>
      <c r="J173" s="14"/>
      <c r="K173" s="14"/>
    </row>
    <row r="174" ht="15.75" customHeight="1">
      <c r="A174" s="14"/>
      <c r="B174" s="14"/>
      <c r="C174" s="14"/>
      <c r="D174" s="14"/>
      <c r="E174" s="16"/>
      <c r="F174" s="63"/>
      <c r="G174" s="14"/>
      <c r="H174" s="14"/>
      <c r="I174" s="15"/>
      <c r="J174" s="14"/>
      <c r="K174" s="14"/>
    </row>
    <row r="175" ht="15.75" customHeight="1">
      <c r="A175" s="14"/>
      <c r="B175" s="14"/>
      <c r="C175" s="14"/>
      <c r="D175" s="14"/>
      <c r="E175" s="16"/>
      <c r="F175" s="63"/>
      <c r="G175" s="14"/>
      <c r="H175" s="14"/>
      <c r="I175" s="15"/>
      <c r="J175" s="14"/>
      <c r="K175" s="14"/>
    </row>
    <row r="176" ht="15.75" customHeight="1">
      <c r="A176" s="14"/>
      <c r="B176" s="14"/>
      <c r="C176" s="14"/>
      <c r="D176" s="14"/>
      <c r="E176" s="16"/>
      <c r="F176" s="63"/>
      <c r="G176" s="14"/>
      <c r="H176" s="14"/>
      <c r="I176" s="15"/>
      <c r="J176" s="14"/>
      <c r="K176" s="14"/>
    </row>
    <row r="177" ht="15.75" customHeight="1">
      <c r="A177" s="14"/>
      <c r="B177" s="14"/>
      <c r="C177" s="14"/>
      <c r="D177" s="14"/>
      <c r="E177" s="16"/>
      <c r="F177" s="63"/>
      <c r="G177" s="14"/>
      <c r="H177" s="14"/>
      <c r="I177" s="15"/>
      <c r="J177" s="14"/>
      <c r="K177" s="14"/>
    </row>
    <row r="178" ht="15.75" customHeight="1">
      <c r="A178" s="14"/>
      <c r="B178" s="14"/>
      <c r="C178" s="14"/>
      <c r="D178" s="14"/>
      <c r="E178" s="16"/>
      <c r="F178" s="63"/>
      <c r="G178" s="14"/>
      <c r="H178" s="14"/>
      <c r="I178" s="15"/>
      <c r="J178" s="14"/>
      <c r="K178" s="14"/>
    </row>
    <row r="179" ht="15.75" customHeight="1">
      <c r="A179" s="14"/>
      <c r="B179" s="14"/>
      <c r="C179" s="14"/>
      <c r="D179" s="14"/>
      <c r="E179" s="16"/>
      <c r="F179" s="63"/>
      <c r="G179" s="14"/>
      <c r="H179" s="14"/>
      <c r="I179" s="15"/>
      <c r="J179" s="14"/>
      <c r="K179" s="14"/>
    </row>
    <row r="180" ht="15.75" customHeight="1">
      <c r="A180" s="14"/>
      <c r="B180" s="14"/>
      <c r="C180" s="14"/>
      <c r="D180" s="14"/>
      <c r="E180" s="16"/>
      <c r="F180" s="63"/>
      <c r="G180" s="14"/>
      <c r="H180" s="14"/>
      <c r="I180" s="15"/>
      <c r="J180" s="14"/>
      <c r="K180" s="14"/>
    </row>
    <row r="181" ht="15.75" customHeight="1">
      <c r="A181" s="14"/>
      <c r="B181" s="14"/>
      <c r="C181" s="14"/>
      <c r="D181" s="14"/>
      <c r="E181" s="16"/>
      <c r="F181" s="63"/>
      <c r="G181" s="14"/>
      <c r="H181" s="14"/>
      <c r="I181" s="15"/>
      <c r="J181" s="14"/>
      <c r="K181" s="14"/>
    </row>
    <row r="182" ht="15.75" customHeight="1">
      <c r="A182" s="14"/>
      <c r="B182" s="14"/>
      <c r="C182" s="14"/>
      <c r="D182" s="14"/>
      <c r="E182" s="16"/>
      <c r="F182" s="63"/>
      <c r="G182" s="14"/>
      <c r="H182" s="14"/>
      <c r="I182" s="15"/>
      <c r="J182" s="14"/>
      <c r="K182" s="14"/>
    </row>
    <row r="183" ht="15.75" customHeight="1">
      <c r="A183" s="14"/>
      <c r="B183" s="14"/>
      <c r="C183" s="14"/>
      <c r="D183" s="14"/>
      <c r="E183" s="16"/>
      <c r="F183" s="63"/>
      <c r="G183" s="14"/>
      <c r="H183" s="14"/>
      <c r="I183" s="15"/>
      <c r="J183" s="14"/>
      <c r="K183" s="14"/>
    </row>
    <row r="184" ht="15.75" customHeight="1">
      <c r="A184" s="14"/>
      <c r="B184" s="14"/>
      <c r="C184" s="14"/>
      <c r="D184" s="14"/>
      <c r="E184" s="16"/>
      <c r="F184" s="63"/>
      <c r="G184" s="14"/>
      <c r="H184" s="14"/>
      <c r="I184" s="15"/>
      <c r="J184" s="14"/>
      <c r="K184" s="14"/>
    </row>
    <row r="185" ht="15.75" customHeight="1">
      <c r="A185" s="14"/>
      <c r="B185" s="14"/>
      <c r="C185" s="14"/>
      <c r="D185" s="14"/>
      <c r="E185" s="16"/>
      <c r="F185" s="63"/>
      <c r="G185" s="14"/>
      <c r="H185" s="14"/>
      <c r="I185" s="15"/>
      <c r="J185" s="14"/>
      <c r="K185" s="14"/>
    </row>
    <row r="186" ht="15.75" customHeight="1">
      <c r="A186" s="14"/>
      <c r="B186" s="14"/>
      <c r="C186" s="14"/>
      <c r="D186" s="14"/>
      <c r="E186" s="16"/>
      <c r="F186" s="63"/>
      <c r="G186" s="14"/>
      <c r="H186" s="14"/>
      <c r="I186" s="15"/>
      <c r="J186" s="14"/>
      <c r="K186" s="14"/>
    </row>
    <row r="187" ht="15.75" customHeight="1">
      <c r="A187" s="14"/>
      <c r="B187" s="14"/>
      <c r="C187" s="14"/>
      <c r="D187" s="14"/>
      <c r="E187" s="16"/>
      <c r="F187" s="63"/>
      <c r="G187" s="14"/>
      <c r="H187" s="14"/>
      <c r="I187" s="15"/>
      <c r="J187" s="14"/>
      <c r="K187" s="14"/>
    </row>
    <row r="188" ht="15.75" customHeight="1">
      <c r="A188" s="14"/>
      <c r="B188" s="14"/>
      <c r="C188" s="14"/>
      <c r="D188" s="14"/>
      <c r="E188" s="16"/>
      <c r="F188" s="63"/>
      <c r="G188" s="14"/>
      <c r="H188" s="14"/>
      <c r="I188" s="15"/>
      <c r="J188" s="14"/>
      <c r="K188" s="14"/>
    </row>
    <row r="189" ht="15.75" customHeight="1">
      <c r="A189" s="14"/>
      <c r="B189" s="14"/>
      <c r="C189" s="14"/>
      <c r="D189" s="14"/>
      <c r="E189" s="16"/>
      <c r="F189" s="63"/>
      <c r="G189" s="14"/>
      <c r="H189" s="14"/>
      <c r="I189" s="15"/>
      <c r="J189" s="14"/>
      <c r="K189" s="14"/>
    </row>
    <row r="190" ht="15.75" customHeight="1">
      <c r="A190" s="14"/>
      <c r="B190" s="14"/>
      <c r="C190" s="14"/>
      <c r="D190" s="14"/>
      <c r="E190" s="16"/>
      <c r="F190" s="63"/>
      <c r="G190" s="14"/>
      <c r="H190" s="14"/>
      <c r="I190" s="15"/>
      <c r="J190" s="14"/>
      <c r="K190" s="14"/>
    </row>
    <row r="191" ht="15.75" customHeight="1">
      <c r="A191" s="14"/>
      <c r="B191" s="14"/>
      <c r="C191" s="14"/>
      <c r="D191" s="14"/>
      <c r="E191" s="16"/>
      <c r="F191" s="63"/>
      <c r="G191" s="14"/>
      <c r="H191" s="14"/>
      <c r="I191" s="15"/>
      <c r="J191" s="14"/>
      <c r="K191" s="14"/>
    </row>
    <row r="192" ht="15.75" customHeight="1">
      <c r="A192" s="14"/>
      <c r="B192" s="14"/>
      <c r="C192" s="14"/>
      <c r="D192" s="14"/>
      <c r="E192" s="16"/>
      <c r="F192" s="63"/>
      <c r="G192" s="14"/>
      <c r="H192" s="14"/>
      <c r="I192" s="15"/>
      <c r="J192" s="14"/>
      <c r="K192" s="14"/>
    </row>
    <row r="193" ht="15.75" customHeight="1">
      <c r="A193" s="14"/>
      <c r="B193" s="14"/>
      <c r="C193" s="14"/>
      <c r="D193" s="14"/>
      <c r="E193" s="16"/>
      <c r="F193" s="63"/>
      <c r="G193" s="14"/>
      <c r="H193" s="14"/>
      <c r="I193" s="15"/>
      <c r="J193" s="14"/>
      <c r="K193" s="14"/>
    </row>
    <row r="194" ht="15.75" customHeight="1">
      <c r="A194" s="14"/>
      <c r="B194" s="14"/>
      <c r="C194" s="14"/>
      <c r="D194" s="14"/>
      <c r="E194" s="16"/>
      <c r="F194" s="63"/>
      <c r="G194" s="14"/>
      <c r="H194" s="14"/>
      <c r="I194" s="15"/>
      <c r="J194" s="14"/>
      <c r="K194" s="14"/>
    </row>
    <row r="195" ht="15.75" customHeight="1">
      <c r="A195" s="14"/>
      <c r="B195" s="14"/>
      <c r="C195" s="14"/>
      <c r="D195" s="14"/>
      <c r="E195" s="16"/>
      <c r="F195" s="63"/>
      <c r="G195" s="14"/>
      <c r="H195" s="14"/>
      <c r="I195" s="15"/>
      <c r="J195" s="14"/>
      <c r="K195" s="14"/>
    </row>
    <row r="196" ht="15.75" customHeight="1">
      <c r="A196" s="14"/>
      <c r="B196" s="14"/>
      <c r="C196" s="14"/>
      <c r="D196" s="14"/>
      <c r="E196" s="16"/>
      <c r="F196" s="63"/>
      <c r="G196" s="14"/>
      <c r="H196" s="14"/>
      <c r="I196" s="15"/>
      <c r="J196" s="14"/>
      <c r="K196" s="14"/>
    </row>
    <row r="197" ht="15.75" customHeight="1">
      <c r="A197" s="14"/>
      <c r="B197" s="14"/>
      <c r="C197" s="14"/>
      <c r="D197" s="14"/>
      <c r="E197" s="16"/>
      <c r="F197" s="63"/>
      <c r="G197" s="14"/>
      <c r="H197" s="14"/>
      <c r="I197" s="15"/>
      <c r="J197" s="14"/>
      <c r="K197" s="14"/>
    </row>
    <row r="198" ht="15.75" customHeight="1">
      <c r="A198" s="14"/>
      <c r="B198" s="14"/>
      <c r="C198" s="14"/>
      <c r="D198" s="14"/>
      <c r="E198" s="16"/>
      <c r="F198" s="63"/>
      <c r="G198" s="14"/>
      <c r="H198" s="14"/>
      <c r="I198" s="15"/>
      <c r="J198" s="14"/>
      <c r="K198" s="14"/>
    </row>
    <row r="199" ht="15.75" customHeight="1">
      <c r="A199" s="14"/>
      <c r="B199" s="14"/>
      <c r="C199" s="14"/>
      <c r="D199" s="14"/>
      <c r="E199" s="16"/>
      <c r="F199" s="63"/>
      <c r="G199" s="14"/>
      <c r="H199" s="14"/>
      <c r="I199" s="15"/>
      <c r="J199" s="14"/>
      <c r="K199" s="14"/>
    </row>
    <row r="200" ht="15.75" customHeight="1">
      <c r="A200" s="14"/>
      <c r="B200" s="14"/>
      <c r="C200" s="14"/>
      <c r="D200" s="14"/>
      <c r="E200" s="16"/>
      <c r="F200" s="63"/>
      <c r="G200" s="14"/>
      <c r="H200" s="14"/>
      <c r="I200" s="15"/>
      <c r="J200" s="14"/>
      <c r="K200" s="1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G4:G200">
      <formula1>"Buy point,Apply,Research system,Hold,Burn points,No action"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3.0"/>
    <col customWidth="1" min="6" max="6" width="28.0"/>
    <col customWidth="1" min="7" max="15" width="13.0"/>
    <col customWidth="1" min="16" max="17" width="34.0"/>
    <col customWidth="1" min="18" max="26" width="8.63"/>
  </cols>
  <sheetData>
    <row r="1" ht="33.75" customHeight="1">
      <c r="A1" s="39" t="s">
        <v>915</v>
      </c>
    </row>
    <row r="3">
      <c r="A3" s="59" t="s">
        <v>569</v>
      </c>
      <c r="B3" s="59" t="s">
        <v>821</v>
      </c>
      <c r="C3" s="59" t="s">
        <v>823</v>
      </c>
      <c r="D3" s="59" t="s">
        <v>502</v>
      </c>
      <c r="E3" s="59" t="s">
        <v>916</v>
      </c>
      <c r="F3" s="59" t="s">
        <v>917</v>
      </c>
      <c r="G3" s="59" t="s">
        <v>9</v>
      </c>
      <c r="H3" s="59" t="s">
        <v>918</v>
      </c>
      <c r="I3" s="59" t="s">
        <v>25</v>
      </c>
      <c r="J3" s="59" t="s">
        <v>919</v>
      </c>
      <c r="K3" s="59" t="s">
        <v>791</v>
      </c>
      <c r="L3" s="59" t="s">
        <v>749</v>
      </c>
      <c r="M3" s="59" t="s">
        <v>920</v>
      </c>
      <c r="N3" s="59" t="s">
        <v>921</v>
      </c>
      <c r="O3" s="59" t="s">
        <v>922</v>
      </c>
      <c r="P3" s="59" t="s">
        <v>923</v>
      </c>
      <c r="Q3" s="59" t="s">
        <v>16</v>
      </c>
    </row>
    <row r="4">
      <c r="A4" s="14"/>
      <c r="B4" s="14"/>
      <c r="C4" s="14"/>
      <c r="D4" s="14"/>
      <c r="E4" s="14"/>
      <c r="F4" s="14"/>
      <c r="G4" s="15"/>
      <c r="H4" s="15"/>
      <c r="I4" s="65"/>
      <c r="J4" s="65"/>
      <c r="K4" s="14"/>
      <c r="L4" s="14"/>
      <c r="M4" s="14"/>
      <c r="N4" s="14"/>
      <c r="O4" s="14"/>
      <c r="P4" s="14"/>
      <c r="Q4" s="14"/>
    </row>
    <row r="5">
      <c r="A5" s="14"/>
      <c r="B5" s="14"/>
      <c r="C5" s="14"/>
      <c r="D5" s="14"/>
      <c r="E5" s="14"/>
      <c r="F5" s="14"/>
      <c r="G5" s="15"/>
      <c r="H5" s="15"/>
      <c r="I5" s="65"/>
      <c r="J5" s="65"/>
      <c r="K5" s="14"/>
      <c r="L5" s="14"/>
      <c r="M5" s="14"/>
      <c r="N5" s="14"/>
      <c r="O5" s="14"/>
      <c r="P5" s="14"/>
      <c r="Q5" s="14"/>
    </row>
    <row r="6">
      <c r="A6" s="14"/>
      <c r="B6" s="14"/>
      <c r="C6" s="14"/>
      <c r="D6" s="14"/>
      <c r="E6" s="14"/>
      <c r="F6" s="14"/>
      <c r="G6" s="15"/>
      <c r="H6" s="15"/>
      <c r="I6" s="65"/>
      <c r="J6" s="65"/>
      <c r="K6" s="14"/>
      <c r="L6" s="14"/>
      <c r="M6" s="14"/>
      <c r="N6" s="14"/>
      <c r="O6" s="14"/>
      <c r="P6" s="14"/>
      <c r="Q6" s="14"/>
    </row>
    <row r="7">
      <c r="A7" s="14"/>
      <c r="B7" s="14"/>
      <c r="C7" s="14"/>
      <c r="D7" s="14"/>
      <c r="E7" s="14"/>
      <c r="F7" s="14"/>
      <c r="G7" s="15"/>
      <c r="H7" s="15"/>
      <c r="I7" s="65"/>
      <c r="J7" s="65"/>
      <c r="K7" s="14"/>
      <c r="L7" s="14"/>
      <c r="M7" s="14"/>
      <c r="N7" s="14"/>
      <c r="O7" s="14"/>
      <c r="P7" s="14"/>
      <c r="Q7" s="14"/>
    </row>
    <row r="8">
      <c r="A8" s="14"/>
      <c r="B8" s="14"/>
      <c r="C8" s="14"/>
      <c r="D8" s="14"/>
      <c r="E8" s="14"/>
      <c r="F8" s="14"/>
      <c r="G8" s="15"/>
      <c r="H8" s="15"/>
      <c r="I8" s="65"/>
      <c r="J8" s="65"/>
      <c r="K8" s="14"/>
      <c r="L8" s="14"/>
      <c r="M8" s="14"/>
      <c r="N8" s="14"/>
      <c r="O8" s="14"/>
      <c r="P8" s="14"/>
      <c r="Q8" s="14"/>
    </row>
    <row r="9">
      <c r="A9" s="14"/>
      <c r="B9" s="14"/>
      <c r="C9" s="14"/>
      <c r="D9" s="14"/>
      <c r="E9" s="14"/>
      <c r="F9" s="14"/>
      <c r="G9" s="15"/>
      <c r="H9" s="15"/>
      <c r="I9" s="65"/>
      <c r="J9" s="65"/>
      <c r="K9" s="14"/>
      <c r="L9" s="14"/>
      <c r="M9" s="14"/>
      <c r="N9" s="14"/>
      <c r="O9" s="14"/>
      <c r="P9" s="14"/>
      <c r="Q9" s="14"/>
    </row>
    <row r="10">
      <c r="A10" s="14"/>
      <c r="B10" s="14"/>
      <c r="C10" s="14"/>
      <c r="D10" s="14"/>
      <c r="E10" s="14"/>
      <c r="F10" s="14"/>
      <c r="G10" s="15"/>
      <c r="H10" s="15"/>
      <c r="I10" s="65"/>
      <c r="J10" s="65"/>
      <c r="K10" s="14"/>
      <c r="L10" s="14"/>
      <c r="M10" s="14"/>
      <c r="N10" s="14"/>
      <c r="O10" s="14"/>
      <c r="P10" s="14"/>
      <c r="Q10" s="14"/>
    </row>
    <row r="11">
      <c r="A11" s="14"/>
      <c r="B11" s="14"/>
      <c r="C11" s="14"/>
      <c r="D11" s="14"/>
      <c r="E11" s="14"/>
      <c r="F11" s="14"/>
      <c r="G11" s="15"/>
      <c r="H11" s="15"/>
      <c r="I11" s="65"/>
      <c r="J11" s="65"/>
      <c r="K11" s="14"/>
      <c r="L11" s="14"/>
      <c r="M11" s="14"/>
      <c r="N11" s="14"/>
      <c r="O11" s="14"/>
      <c r="P11" s="14"/>
      <c r="Q11" s="14"/>
    </row>
    <row r="12">
      <c r="A12" s="14"/>
      <c r="B12" s="14"/>
      <c r="C12" s="14"/>
      <c r="D12" s="14"/>
      <c r="E12" s="14"/>
      <c r="F12" s="14"/>
      <c r="G12" s="15"/>
      <c r="H12" s="15"/>
      <c r="I12" s="65"/>
      <c r="J12" s="65"/>
      <c r="K12" s="14"/>
      <c r="L12" s="14"/>
      <c r="M12" s="14"/>
      <c r="N12" s="14"/>
      <c r="O12" s="14"/>
      <c r="P12" s="14"/>
      <c r="Q12" s="14"/>
    </row>
    <row r="13">
      <c r="A13" s="14"/>
      <c r="B13" s="14"/>
      <c r="C13" s="14"/>
      <c r="D13" s="14"/>
      <c r="E13" s="14"/>
      <c r="F13" s="14"/>
      <c r="G13" s="15"/>
      <c r="H13" s="15"/>
      <c r="I13" s="65"/>
      <c r="J13" s="65"/>
      <c r="K13" s="14"/>
      <c r="L13" s="14"/>
      <c r="M13" s="14"/>
      <c r="N13" s="14"/>
      <c r="O13" s="14"/>
      <c r="P13" s="14"/>
      <c r="Q13" s="14"/>
    </row>
    <row r="14">
      <c r="A14" s="14"/>
      <c r="B14" s="14"/>
      <c r="C14" s="14"/>
      <c r="D14" s="14"/>
      <c r="E14" s="14"/>
      <c r="F14" s="14"/>
      <c r="G14" s="15"/>
      <c r="H14" s="15"/>
      <c r="I14" s="65"/>
      <c r="J14" s="65"/>
      <c r="K14" s="14"/>
      <c r="L14" s="14"/>
      <c r="M14" s="14"/>
      <c r="N14" s="14"/>
      <c r="O14" s="14"/>
      <c r="P14" s="14"/>
      <c r="Q14" s="14"/>
    </row>
    <row r="15">
      <c r="A15" s="14"/>
      <c r="B15" s="14"/>
      <c r="C15" s="14"/>
      <c r="D15" s="14"/>
      <c r="E15" s="14"/>
      <c r="F15" s="14"/>
      <c r="G15" s="15"/>
      <c r="H15" s="15"/>
      <c r="I15" s="65"/>
      <c r="J15" s="65"/>
      <c r="K15" s="14"/>
      <c r="L15" s="14"/>
      <c r="M15" s="14"/>
      <c r="N15" s="14"/>
      <c r="O15" s="14"/>
      <c r="P15" s="14"/>
      <c r="Q15" s="14"/>
    </row>
    <row r="16">
      <c r="A16" s="14"/>
      <c r="B16" s="14"/>
      <c r="C16" s="14"/>
      <c r="D16" s="14"/>
      <c r="E16" s="14"/>
      <c r="F16" s="14"/>
      <c r="G16" s="15"/>
      <c r="H16" s="15"/>
      <c r="I16" s="65"/>
      <c r="J16" s="65"/>
      <c r="K16" s="14"/>
      <c r="L16" s="14"/>
      <c r="M16" s="14"/>
      <c r="N16" s="14"/>
      <c r="O16" s="14"/>
      <c r="P16" s="14"/>
      <c r="Q16" s="14"/>
    </row>
    <row r="17">
      <c r="A17" s="14"/>
      <c r="B17" s="14"/>
      <c r="C17" s="14"/>
      <c r="D17" s="14"/>
      <c r="E17" s="14"/>
      <c r="F17" s="14"/>
      <c r="G17" s="15"/>
      <c r="H17" s="15"/>
      <c r="I17" s="65"/>
      <c r="J17" s="65"/>
      <c r="K17" s="14"/>
      <c r="L17" s="14"/>
      <c r="M17" s="14"/>
      <c r="N17" s="14"/>
      <c r="O17" s="14"/>
      <c r="P17" s="14"/>
      <c r="Q17" s="14"/>
    </row>
    <row r="18">
      <c r="A18" s="14"/>
      <c r="B18" s="14"/>
      <c r="C18" s="14"/>
      <c r="D18" s="14"/>
      <c r="E18" s="14"/>
      <c r="F18" s="14"/>
      <c r="G18" s="15"/>
      <c r="H18" s="15"/>
      <c r="I18" s="65"/>
      <c r="J18" s="65"/>
      <c r="K18" s="14"/>
      <c r="L18" s="14"/>
      <c r="M18" s="14"/>
      <c r="N18" s="14"/>
      <c r="O18" s="14"/>
      <c r="P18" s="14"/>
      <c r="Q18" s="14"/>
    </row>
    <row r="19">
      <c r="A19" s="14"/>
      <c r="B19" s="14"/>
      <c r="C19" s="14"/>
      <c r="D19" s="14"/>
      <c r="E19" s="14"/>
      <c r="F19" s="14"/>
      <c r="G19" s="15"/>
      <c r="H19" s="15"/>
      <c r="I19" s="65"/>
      <c r="J19" s="65"/>
      <c r="K19" s="14"/>
      <c r="L19" s="14"/>
      <c r="M19" s="14"/>
      <c r="N19" s="14"/>
      <c r="O19" s="14"/>
      <c r="P19" s="14"/>
      <c r="Q19" s="14"/>
    </row>
    <row r="20">
      <c r="A20" s="14"/>
      <c r="B20" s="14"/>
      <c r="C20" s="14"/>
      <c r="D20" s="14"/>
      <c r="E20" s="14"/>
      <c r="F20" s="14"/>
      <c r="G20" s="15"/>
      <c r="H20" s="15"/>
      <c r="I20" s="65"/>
      <c r="J20" s="65"/>
      <c r="K20" s="14"/>
      <c r="L20" s="14"/>
      <c r="M20" s="14"/>
      <c r="N20" s="14"/>
      <c r="O20" s="14"/>
      <c r="P20" s="14"/>
      <c r="Q20" s="14"/>
    </row>
    <row r="21" ht="15.75" customHeight="1">
      <c r="A21" s="14"/>
      <c r="B21" s="14"/>
      <c r="C21" s="14"/>
      <c r="D21" s="14"/>
      <c r="E21" s="14"/>
      <c r="F21" s="14"/>
      <c r="G21" s="15"/>
      <c r="H21" s="15"/>
      <c r="I21" s="65"/>
      <c r="J21" s="65"/>
      <c r="K21" s="14"/>
      <c r="L21" s="14"/>
      <c r="M21" s="14"/>
      <c r="N21" s="14"/>
      <c r="O21" s="14"/>
      <c r="P21" s="14"/>
      <c r="Q21" s="14"/>
    </row>
    <row r="22" ht="15.75" customHeight="1">
      <c r="A22" s="14"/>
      <c r="B22" s="14"/>
      <c r="C22" s="14"/>
      <c r="D22" s="14"/>
      <c r="E22" s="14"/>
      <c r="F22" s="14"/>
      <c r="G22" s="15"/>
      <c r="H22" s="15"/>
      <c r="I22" s="65"/>
      <c r="J22" s="65"/>
      <c r="K22" s="14"/>
      <c r="L22" s="14"/>
      <c r="M22" s="14"/>
      <c r="N22" s="14"/>
      <c r="O22" s="14"/>
      <c r="P22" s="14"/>
      <c r="Q22" s="14"/>
    </row>
    <row r="23" ht="15.75" customHeight="1">
      <c r="A23" s="14"/>
      <c r="B23" s="14"/>
      <c r="C23" s="14"/>
      <c r="D23" s="14"/>
      <c r="E23" s="14"/>
      <c r="F23" s="14"/>
      <c r="G23" s="15"/>
      <c r="H23" s="15"/>
      <c r="I23" s="65"/>
      <c r="J23" s="65"/>
      <c r="K23" s="14"/>
      <c r="L23" s="14"/>
      <c r="M23" s="14"/>
      <c r="N23" s="14"/>
      <c r="O23" s="14"/>
      <c r="P23" s="14"/>
      <c r="Q23" s="14"/>
    </row>
    <row r="24" ht="15.75" customHeight="1">
      <c r="A24" s="14"/>
      <c r="B24" s="14"/>
      <c r="C24" s="14"/>
      <c r="D24" s="14"/>
      <c r="E24" s="14"/>
      <c r="F24" s="14"/>
      <c r="G24" s="15"/>
      <c r="H24" s="15"/>
      <c r="I24" s="65"/>
      <c r="J24" s="65"/>
      <c r="K24" s="14"/>
      <c r="L24" s="14"/>
      <c r="M24" s="14"/>
      <c r="N24" s="14"/>
      <c r="O24" s="14"/>
      <c r="P24" s="14"/>
      <c r="Q24" s="14"/>
    </row>
    <row r="25" ht="15.75" customHeight="1">
      <c r="A25" s="14"/>
      <c r="B25" s="14"/>
      <c r="C25" s="14"/>
      <c r="D25" s="14"/>
      <c r="E25" s="14"/>
      <c r="F25" s="14"/>
      <c r="G25" s="15"/>
      <c r="H25" s="15"/>
      <c r="I25" s="65"/>
      <c r="J25" s="65"/>
      <c r="K25" s="14"/>
      <c r="L25" s="14"/>
      <c r="M25" s="14"/>
      <c r="N25" s="14"/>
      <c r="O25" s="14"/>
      <c r="P25" s="14"/>
      <c r="Q25" s="14"/>
    </row>
    <row r="26" ht="15.75" customHeight="1">
      <c r="A26" s="14"/>
      <c r="B26" s="14"/>
      <c r="C26" s="14"/>
      <c r="D26" s="14"/>
      <c r="E26" s="14"/>
      <c r="F26" s="14"/>
      <c r="G26" s="15"/>
      <c r="H26" s="15"/>
      <c r="I26" s="65"/>
      <c r="J26" s="65"/>
      <c r="K26" s="14"/>
      <c r="L26" s="14"/>
      <c r="M26" s="14"/>
      <c r="N26" s="14"/>
      <c r="O26" s="14"/>
      <c r="P26" s="14"/>
      <c r="Q26" s="14"/>
    </row>
    <row r="27" ht="15.75" customHeight="1">
      <c r="A27" s="14"/>
      <c r="B27" s="14"/>
      <c r="C27" s="14"/>
      <c r="D27" s="14"/>
      <c r="E27" s="14"/>
      <c r="F27" s="14"/>
      <c r="G27" s="15"/>
      <c r="H27" s="15"/>
      <c r="I27" s="65"/>
      <c r="J27" s="65"/>
      <c r="K27" s="14"/>
      <c r="L27" s="14"/>
      <c r="M27" s="14"/>
      <c r="N27" s="14"/>
      <c r="O27" s="14"/>
      <c r="P27" s="14"/>
      <c r="Q27" s="14"/>
    </row>
    <row r="28" ht="15.75" customHeight="1">
      <c r="A28" s="14"/>
      <c r="B28" s="14"/>
      <c r="C28" s="14"/>
      <c r="D28" s="14"/>
      <c r="E28" s="14"/>
      <c r="F28" s="14"/>
      <c r="G28" s="15"/>
      <c r="H28" s="15"/>
      <c r="I28" s="65"/>
      <c r="J28" s="65"/>
      <c r="K28" s="14"/>
      <c r="L28" s="14"/>
      <c r="M28" s="14"/>
      <c r="N28" s="14"/>
      <c r="O28" s="14"/>
      <c r="P28" s="14"/>
      <c r="Q28" s="14"/>
    </row>
    <row r="29" ht="15.75" customHeight="1">
      <c r="A29" s="14"/>
      <c r="B29" s="14"/>
      <c r="C29" s="14"/>
      <c r="D29" s="14"/>
      <c r="E29" s="14"/>
      <c r="F29" s="14"/>
      <c r="G29" s="15"/>
      <c r="H29" s="15"/>
      <c r="I29" s="65"/>
      <c r="J29" s="65"/>
      <c r="K29" s="14"/>
      <c r="L29" s="14"/>
      <c r="M29" s="14"/>
      <c r="N29" s="14"/>
      <c r="O29" s="14"/>
      <c r="P29" s="14"/>
      <c r="Q29" s="14"/>
    </row>
    <row r="30" ht="15.75" customHeight="1">
      <c r="A30" s="14"/>
      <c r="B30" s="14"/>
      <c r="C30" s="14"/>
      <c r="D30" s="14"/>
      <c r="E30" s="14"/>
      <c r="F30" s="14"/>
      <c r="G30" s="15"/>
      <c r="H30" s="15"/>
      <c r="I30" s="65"/>
      <c r="J30" s="65"/>
      <c r="K30" s="14"/>
      <c r="L30" s="14"/>
      <c r="M30" s="14"/>
      <c r="N30" s="14"/>
      <c r="O30" s="14"/>
      <c r="P30" s="14"/>
      <c r="Q30" s="14"/>
    </row>
    <row r="31" ht="15.75" customHeight="1">
      <c r="A31" s="14"/>
      <c r="B31" s="14"/>
      <c r="C31" s="14"/>
      <c r="D31" s="14"/>
      <c r="E31" s="14"/>
      <c r="F31" s="14"/>
      <c r="G31" s="15"/>
      <c r="H31" s="15"/>
      <c r="I31" s="65"/>
      <c r="J31" s="65"/>
      <c r="K31" s="14"/>
      <c r="L31" s="14"/>
      <c r="M31" s="14"/>
      <c r="N31" s="14"/>
      <c r="O31" s="14"/>
      <c r="P31" s="14"/>
      <c r="Q31" s="14"/>
    </row>
    <row r="32" ht="15.75" customHeight="1">
      <c r="A32" s="14"/>
      <c r="B32" s="14"/>
      <c r="C32" s="14"/>
      <c r="D32" s="14"/>
      <c r="E32" s="14"/>
      <c r="F32" s="14"/>
      <c r="G32" s="15"/>
      <c r="H32" s="15"/>
      <c r="I32" s="65"/>
      <c r="J32" s="65"/>
      <c r="K32" s="14"/>
      <c r="L32" s="14"/>
      <c r="M32" s="14"/>
      <c r="N32" s="14"/>
      <c r="O32" s="14"/>
      <c r="P32" s="14"/>
      <c r="Q32" s="14"/>
    </row>
    <row r="33" ht="15.75" customHeight="1">
      <c r="A33" s="14"/>
      <c r="B33" s="14"/>
      <c r="C33" s="14"/>
      <c r="D33" s="14"/>
      <c r="E33" s="14"/>
      <c r="F33" s="14"/>
      <c r="G33" s="15"/>
      <c r="H33" s="15"/>
      <c r="I33" s="65"/>
      <c r="J33" s="65"/>
      <c r="K33" s="14"/>
      <c r="L33" s="14"/>
      <c r="M33" s="14"/>
      <c r="N33" s="14"/>
      <c r="O33" s="14"/>
      <c r="P33" s="14"/>
      <c r="Q33" s="14"/>
    </row>
    <row r="34" ht="15.75" customHeight="1">
      <c r="A34" s="14"/>
      <c r="B34" s="14"/>
      <c r="C34" s="14"/>
      <c r="D34" s="14"/>
      <c r="E34" s="14"/>
      <c r="F34" s="14"/>
      <c r="G34" s="15"/>
      <c r="H34" s="15"/>
      <c r="I34" s="65"/>
      <c r="J34" s="65"/>
      <c r="K34" s="14"/>
      <c r="L34" s="14"/>
      <c r="M34" s="14"/>
      <c r="N34" s="14"/>
      <c r="O34" s="14"/>
      <c r="P34" s="14"/>
      <c r="Q34" s="14"/>
    </row>
    <row r="35" ht="15.75" customHeight="1">
      <c r="A35" s="14"/>
      <c r="B35" s="14"/>
      <c r="C35" s="14"/>
      <c r="D35" s="14"/>
      <c r="E35" s="14"/>
      <c r="F35" s="14"/>
      <c r="G35" s="15"/>
      <c r="H35" s="15"/>
      <c r="I35" s="65"/>
      <c r="J35" s="65"/>
      <c r="K35" s="14"/>
      <c r="L35" s="14"/>
      <c r="M35" s="14"/>
      <c r="N35" s="14"/>
      <c r="O35" s="14"/>
      <c r="P35" s="14"/>
      <c r="Q35" s="14"/>
    </row>
    <row r="36" ht="15.75" customHeight="1">
      <c r="A36" s="14"/>
      <c r="B36" s="14"/>
      <c r="C36" s="14"/>
      <c r="D36" s="14"/>
      <c r="E36" s="14"/>
      <c r="F36" s="14"/>
      <c r="G36" s="15"/>
      <c r="H36" s="15"/>
      <c r="I36" s="65"/>
      <c r="J36" s="65"/>
      <c r="K36" s="14"/>
      <c r="L36" s="14"/>
      <c r="M36" s="14"/>
      <c r="N36" s="14"/>
      <c r="O36" s="14"/>
      <c r="P36" s="14"/>
      <c r="Q36" s="14"/>
    </row>
    <row r="37" ht="15.75" customHeight="1">
      <c r="A37" s="14"/>
      <c r="B37" s="14"/>
      <c r="C37" s="14"/>
      <c r="D37" s="14"/>
      <c r="E37" s="14"/>
      <c r="F37" s="14"/>
      <c r="G37" s="15"/>
      <c r="H37" s="15"/>
      <c r="I37" s="65"/>
      <c r="J37" s="65"/>
      <c r="K37" s="14"/>
      <c r="L37" s="14"/>
      <c r="M37" s="14"/>
      <c r="N37" s="14"/>
      <c r="O37" s="14"/>
      <c r="P37" s="14"/>
      <c r="Q37" s="14"/>
    </row>
    <row r="38" ht="15.75" customHeight="1">
      <c r="A38" s="14"/>
      <c r="B38" s="14"/>
      <c r="C38" s="14"/>
      <c r="D38" s="14"/>
      <c r="E38" s="14"/>
      <c r="F38" s="14"/>
      <c r="G38" s="15"/>
      <c r="H38" s="15"/>
      <c r="I38" s="65"/>
      <c r="J38" s="65"/>
      <c r="K38" s="14"/>
      <c r="L38" s="14"/>
      <c r="M38" s="14"/>
      <c r="N38" s="14"/>
      <c r="O38" s="14"/>
      <c r="P38" s="14"/>
      <c r="Q38" s="14"/>
    </row>
    <row r="39" ht="15.75" customHeight="1">
      <c r="A39" s="14"/>
      <c r="B39" s="14"/>
      <c r="C39" s="14"/>
      <c r="D39" s="14"/>
      <c r="E39" s="14"/>
      <c r="F39" s="14"/>
      <c r="G39" s="15"/>
      <c r="H39" s="15"/>
      <c r="I39" s="65"/>
      <c r="J39" s="65"/>
      <c r="K39" s="14"/>
      <c r="L39" s="14"/>
      <c r="M39" s="14"/>
      <c r="N39" s="14"/>
      <c r="O39" s="14"/>
      <c r="P39" s="14"/>
      <c r="Q39" s="14"/>
    </row>
    <row r="40" ht="15.75" customHeight="1">
      <c r="A40" s="14"/>
      <c r="B40" s="14"/>
      <c r="C40" s="14"/>
      <c r="D40" s="14"/>
      <c r="E40" s="14"/>
      <c r="F40" s="14"/>
      <c r="G40" s="15"/>
      <c r="H40" s="15"/>
      <c r="I40" s="65"/>
      <c r="J40" s="65"/>
      <c r="K40" s="14"/>
      <c r="L40" s="14"/>
      <c r="M40" s="14"/>
      <c r="N40" s="14"/>
      <c r="O40" s="14"/>
      <c r="P40" s="14"/>
      <c r="Q40" s="14"/>
    </row>
    <row r="41" ht="15.75" customHeight="1">
      <c r="A41" s="14"/>
      <c r="B41" s="14"/>
      <c r="C41" s="14"/>
      <c r="D41" s="14"/>
      <c r="E41" s="14"/>
      <c r="F41" s="14"/>
      <c r="G41" s="15"/>
      <c r="H41" s="15"/>
      <c r="I41" s="65"/>
      <c r="J41" s="65"/>
      <c r="K41" s="14"/>
      <c r="L41" s="14"/>
      <c r="M41" s="14"/>
      <c r="N41" s="14"/>
      <c r="O41" s="14"/>
      <c r="P41" s="14"/>
      <c r="Q41" s="14"/>
    </row>
    <row r="42" ht="15.75" customHeight="1">
      <c r="A42" s="14"/>
      <c r="B42" s="14"/>
      <c r="C42" s="14"/>
      <c r="D42" s="14"/>
      <c r="E42" s="14"/>
      <c r="F42" s="14"/>
      <c r="G42" s="15"/>
      <c r="H42" s="15"/>
      <c r="I42" s="65"/>
      <c r="J42" s="65"/>
      <c r="K42" s="14"/>
      <c r="L42" s="14"/>
      <c r="M42" s="14"/>
      <c r="N42" s="14"/>
      <c r="O42" s="14"/>
      <c r="P42" s="14"/>
      <c r="Q42" s="14"/>
    </row>
    <row r="43" ht="15.75" customHeight="1">
      <c r="A43" s="14"/>
      <c r="B43" s="14"/>
      <c r="C43" s="14"/>
      <c r="D43" s="14"/>
      <c r="E43" s="14"/>
      <c r="F43" s="14"/>
      <c r="G43" s="15"/>
      <c r="H43" s="15"/>
      <c r="I43" s="65"/>
      <c r="J43" s="65"/>
      <c r="K43" s="14"/>
      <c r="L43" s="14"/>
      <c r="M43" s="14"/>
      <c r="N43" s="14"/>
      <c r="O43" s="14"/>
      <c r="P43" s="14"/>
      <c r="Q43" s="14"/>
    </row>
    <row r="44" ht="15.75" customHeight="1">
      <c r="A44" s="14"/>
      <c r="B44" s="14"/>
      <c r="C44" s="14"/>
      <c r="D44" s="14"/>
      <c r="E44" s="14"/>
      <c r="F44" s="14"/>
      <c r="G44" s="15"/>
      <c r="H44" s="15"/>
      <c r="I44" s="65"/>
      <c r="J44" s="65"/>
      <c r="K44" s="14"/>
      <c r="L44" s="14"/>
      <c r="M44" s="14"/>
      <c r="N44" s="14"/>
      <c r="O44" s="14"/>
      <c r="P44" s="14"/>
      <c r="Q44" s="14"/>
    </row>
    <row r="45" ht="15.75" customHeight="1">
      <c r="A45" s="14"/>
      <c r="B45" s="14"/>
      <c r="C45" s="14"/>
      <c r="D45" s="14"/>
      <c r="E45" s="14"/>
      <c r="F45" s="14"/>
      <c r="G45" s="15"/>
      <c r="H45" s="15"/>
      <c r="I45" s="65"/>
      <c r="J45" s="65"/>
      <c r="K45" s="14"/>
      <c r="L45" s="14"/>
      <c r="M45" s="14"/>
      <c r="N45" s="14"/>
      <c r="O45" s="14"/>
      <c r="P45" s="14"/>
      <c r="Q45" s="14"/>
    </row>
    <row r="46" ht="15.75" customHeight="1">
      <c r="A46" s="14"/>
      <c r="B46" s="14"/>
      <c r="C46" s="14"/>
      <c r="D46" s="14"/>
      <c r="E46" s="14"/>
      <c r="F46" s="14"/>
      <c r="G46" s="15"/>
      <c r="H46" s="15"/>
      <c r="I46" s="65"/>
      <c r="J46" s="65"/>
      <c r="K46" s="14"/>
      <c r="L46" s="14"/>
      <c r="M46" s="14"/>
      <c r="N46" s="14"/>
      <c r="O46" s="14"/>
      <c r="P46" s="14"/>
      <c r="Q46" s="14"/>
    </row>
    <row r="47" ht="15.75" customHeight="1">
      <c r="A47" s="14"/>
      <c r="B47" s="14"/>
      <c r="C47" s="14"/>
      <c r="D47" s="14"/>
      <c r="E47" s="14"/>
      <c r="F47" s="14"/>
      <c r="G47" s="15"/>
      <c r="H47" s="15"/>
      <c r="I47" s="65"/>
      <c r="J47" s="65"/>
      <c r="K47" s="14"/>
      <c r="L47" s="14"/>
      <c r="M47" s="14"/>
      <c r="N47" s="14"/>
      <c r="O47" s="14"/>
      <c r="P47" s="14"/>
      <c r="Q47" s="14"/>
    </row>
    <row r="48" ht="15.75" customHeight="1">
      <c r="A48" s="14"/>
      <c r="B48" s="14"/>
      <c r="C48" s="14"/>
      <c r="D48" s="14"/>
      <c r="E48" s="14"/>
      <c r="F48" s="14"/>
      <c r="G48" s="15"/>
      <c r="H48" s="15"/>
      <c r="I48" s="65"/>
      <c r="J48" s="65"/>
      <c r="K48" s="14"/>
      <c r="L48" s="14"/>
      <c r="M48" s="14"/>
      <c r="N48" s="14"/>
      <c r="O48" s="14"/>
      <c r="P48" s="14"/>
      <c r="Q48" s="14"/>
    </row>
    <row r="49" ht="15.75" customHeight="1">
      <c r="A49" s="14"/>
      <c r="B49" s="14"/>
      <c r="C49" s="14"/>
      <c r="D49" s="14"/>
      <c r="E49" s="14"/>
      <c r="F49" s="14"/>
      <c r="G49" s="15"/>
      <c r="H49" s="15"/>
      <c r="I49" s="65"/>
      <c r="J49" s="65"/>
      <c r="K49" s="14"/>
      <c r="L49" s="14"/>
      <c r="M49" s="14"/>
      <c r="N49" s="14"/>
      <c r="O49" s="14"/>
      <c r="P49" s="14"/>
      <c r="Q49" s="14"/>
    </row>
    <row r="50" ht="15.75" customHeight="1">
      <c r="A50" s="14"/>
      <c r="B50" s="14"/>
      <c r="C50" s="14"/>
      <c r="D50" s="14"/>
      <c r="E50" s="14"/>
      <c r="F50" s="14"/>
      <c r="G50" s="15"/>
      <c r="H50" s="15"/>
      <c r="I50" s="65"/>
      <c r="J50" s="65"/>
      <c r="K50" s="14"/>
      <c r="L50" s="14"/>
      <c r="M50" s="14"/>
      <c r="N50" s="14"/>
      <c r="O50" s="14"/>
      <c r="P50" s="14"/>
      <c r="Q50" s="14"/>
    </row>
    <row r="51" ht="15.75" customHeight="1">
      <c r="A51" s="14"/>
      <c r="B51" s="14"/>
      <c r="C51" s="14"/>
      <c r="D51" s="14"/>
      <c r="E51" s="14"/>
      <c r="F51" s="14"/>
      <c r="G51" s="15"/>
      <c r="H51" s="15"/>
      <c r="I51" s="65"/>
      <c r="J51" s="65"/>
      <c r="K51" s="14"/>
      <c r="L51" s="14"/>
      <c r="M51" s="14"/>
      <c r="N51" s="14"/>
      <c r="O51" s="14"/>
      <c r="P51" s="14"/>
      <c r="Q51" s="14"/>
    </row>
    <row r="52" ht="15.75" customHeight="1">
      <c r="A52" s="14"/>
      <c r="B52" s="14"/>
      <c r="C52" s="14"/>
      <c r="D52" s="14"/>
      <c r="E52" s="14"/>
      <c r="F52" s="14"/>
      <c r="G52" s="15"/>
      <c r="H52" s="15"/>
      <c r="I52" s="65"/>
      <c r="J52" s="65"/>
      <c r="K52" s="14"/>
      <c r="L52" s="14"/>
      <c r="M52" s="14"/>
      <c r="N52" s="14"/>
      <c r="O52" s="14"/>
      <c r="P52" s="14"/>
      <c r="Q52" s="14"/>
    </row>
    <row r="53" ht="15.75" customHeight="1">
      <c r="A53" s="14"/>
      <c r="B53" s="14"/>
      <c r="C53" s="14"/>
      <c r="D53" s="14"/>
      <c r="E53" s="14"/>
      <c r="F53" s="14"/>
      <c r="G53" s="15"/>
      <c r="H53" s="15"/>
      <c r="I53" s="65"/>
      <c r="J53" s="65"/>
      <c r="K53" s="14"/>
      <c r="L53" s="14"/>
      <c r="M53" s="14"/>
      <c r="N53" s="14"/>
      <c r="O53" s="14"/>
      <c r="P53" s="14"/>
      <c r="Q53" s="14"/>
    </row>
    <row r="54" ht="15.75" customHeight="1">
      <c r="A54" s="14"/>
      <c r="B54" s="14"/>
      <c r="C54" s="14"/>
      <c r="D54" s="14"/>
      <c r="E54" s="14"/>
      <c r="F54" s="14"/>
      <c r="G54" s="15"/>
      <c r="H54" s="15"/>
      <c r="I54" s="65"/>
      <c r="J54" s="65"/>
      <c r="K54" s="14"/>
      <c r="L54" s="14"/>
      <c r="M54" s="14"/>
      <c r="N54" s="14"/>
      <c r="O54" s="14"/>
      <c r="P54" s="14"/>
      <c r="Q54" s="14"/>
    </row>
    <row r="55" ht="15.75" customHeight="1">
      <c r="A55" s="14"/>
      <c r="B55" s="14"/>
      <c r="C55" s="14"/>
      <c r="D55" s="14"/>
      <c r="E55" s="14"/>
      <c r="F55" s="14"/>
      <c r="G55" s="15"/>
      <c r="H55" s="15"/>
      <c r="I55" s="65"/>
      <c r="J55" s="65"/>
      <c r="K55" s="14"/>
      <c r="L55" s="14"/>
      <c r="M55" s="14"/>
      <c r="N55" s="14"/>
      <c r="O55" s="14"/>
      <c r="P55" s="14"/>
      <c r="Q55" s="14"/>
    </row>
    <row r="56" ht="15.75" customHeight="1">
      <c r="A56" s="14"/>
      <c r="B56" s="14"/>
      <c r="C56" s="14"/>
      <c r="D56" s="14"/>
      <c r="E56" s="14"/>
      <c r="F56" s="14"/>
      <c r="G56" s="15"/>
      <c r="H56" s="15"/>
      <c r="I56" s="65"/>
      <c r="J56" s="65"/>
      <c r="K56" s="14"/>
      <c r="L56" s="14"/>
      <c r="M56" s="14"/>
      <c r="N56" s="14"/>
      <c r="O56" s="14"/>
      <c r="P56" s="14"/>
      <c r="Q56" s="14"/>
    </row>
    <row r="57" ht="15.75" customHeight="1">
      <c r="A57" s="14"/>
      <c r="B57" s="14"/>
      <c r="C57" s="14"/>
      <c r="D57" s="14"/>
      <c r="E57" s="14"/>
      <c r="F57" s="14"/>
      <c r="G57" s="15"/>
      <c r="H57" s="15"/>
      <c r="I57" s="65"/>
      <c r="J57" s="65"/>
      <c r="K57" s="14"/>
      <c r="L57" s="14"/>
      <c r="M57" s="14"/>
      <c r="N57" s="14"/>
      <c r="O57" s="14"/>
      <c r="P57" s="14"/>
      <c r="Q57" s="14"/>
    </row>
    <row r="58" ht="15.75" customHeight="1">
      <c r="A58" s="14"/>
      <c r="B58" s="14"/>
      <c r="C58" s="14"/>
      <c r="D58" s="14"/>
      <c r="E58" s="14"/>
      <c r="F58" s="14"/>
      <c r="G58" s="15"/>
      <c r="H58" s="15"/>
      <c r="I58" s="65"/>
      <c r="J58" s="65"/>
      <c r="K58" s="14"/>
      <c r="L58" s="14"/>
      <c r="M58" s="14"/>
      <c r="N58" s="14"/>
      <c r="O58" s="14"/>
      <c r="P58" s="14"/>
      <c r="Q58" s="14"/>
    </row>
    <row r="59" ht="15.75" customHeight="1">
      <c r="A59" s="14"/>
      <c r="B59" s="14"/>
      <c r="C59" s="14"/>
      <c r="D59" s="14"/>
      <c r="E59" s="14"/>
      <c r="F59" s="14"/>
      <c r="G59" s="15"/>
      <c r="H59" s="15"/>
      <c r="I59" s="65"/>
      <c r="J59" s="65"/>
      <c r="K59" s="14"/>
      <c r="L59" s="14"/>
      <c r="M59" s="14"/>
      <c r="N59" s="14"/>
      <c r="O59" s="14"/>
      <c r="P59" s="14"/>
      <c r="Q59" s="14"/>
    </row>
    <row r="60" ht="15.75" customHeight="1">
      <c r="A60" s="14"/>
      <c r="B60" s="14"/>
      <c r="C60" s="14"/>
      <c r="D60" s="14"/>
      <c r="E60" s="14"/>
      <c r="F60" s="14"/>
      <c r="G60" s="15"/>
      <c r="H60" s="15"/>
      <c r="I60" s="65"/>
      <c r="J60" s="65"/>
      <c r="K60" s="14"/>
      <c r="L60" s="14"/>
      <c r="M60" s="14"/>
      <c r="N60" s="14"/>
      <c r="O60" s="14"/>
      <c r="P60" s="14"/>
      <c r="Q60" s="14"/>
    </row>
    <row r="61" ht="15.75" customHeight="1">
      <c r="A61" s="14"/>
      <c r="B61" s="14"/>
      <c r="C61" s="14"/>
      <c r="D61" s="14"/>
      <c r="E61" s="14"/>
      <c r="F61" s="14"/>
      <c r="G61" s="15"/>
      <c r="H61" s="15"/>
      <c r="I61" s="65"/>
      <c r="J61" s="65"/>
      <c r="K61" s="14"/>
      <c r="L61" s="14"/>
      <c r="M61" s="14"/>
      <c r="N61" s="14"/>
      <c r="O61" s="14"/>
      <c r="P61" s="14"/>
      <c r="Q61" s="14"/>
    </row>
    <row r="62" ht="15.75" customHeight="1">
      <c r="A62" s="14"/>
      <c r="B62" s="14"/>
      <c r="C62" s="14"/>
      <c r="D62" s="14"/>
      <c r="E62" s="14"/>
      <c r="F62" s="14"/>
      <c r="G62" s="15"/>
      <c r="H62" s="15"/>
      <c r="I62" s="65"/>
      <c r="J62" s="65"/>
      <c r="K62" s="14"/>
      <c r="L62" s="14"/>
      <c r="M62" s="14"/>
      <c r="N62" s="14"/>
      <c r="O62" s="14"/>
      <c r="P62" s="14"/>
      <c r="Q62" s="14"/>
    </row>
    <row r="63" ht="15.75" customHeight="1">
      <c r="A63" s="14"/>
      <c r="B63" s="14"/>
      <c r="C63" s="14"/>
      <c r="D63" s="14"/>
      <c r="E63" s="14"/>
      <c r="F63" s="14"/>
      <c r="G63" s="15"/>
      <c r="H63" s="15"/>
      <c r="I63" s="65"/>
      <c r="J63" s="65"/>
      <c r="K63" s="14"/>
      <c r="L63" s="14"/>
      <c r="M63" s="14"/>
      <c r="N63" s="14"/>
      <c r="O63" s="14"/>
      <c r="P63" s="14"/>
      <c r="Q63" s="14"/>
    </row>
    <row r="64" ht="15.75" customHeight="1">
      <c r="A64" s="14"/>
      <c r="B64" s="14"/>
      <c r="C64" s="14"/>
      <c r="D64" s="14"/>
      <c r="E64" s="14"/>
      <c r="F64" s="14"/>
      <c r="G64" s="15"/>
      <c r="H64" s="15"/>
      <c r="I64" s="65"/>
      <c r="J64" s="65"/>
      <c r="K64" s="14"/>
      <c r="L64" s="14"/>
      <c r="M64" s="14"/>
      <c r="N64" s="14"/>
      <c r="O64" s="14"/>
      <c r="P64" s="14"/>
      <c r="Q64" s="14"/>
    </row>
    <row r="65" ht="15.75" customHeight="1">
      <c r="A65" s="14"/>
      <c r="B65" s="14"/>
      <c r="C65" s="14"/>
      <c r="D65" s="14"/>
      <c r="E65" s="14"/>
      <c r="F65" s="14"/>
      <c r="G65" s="15"/>
      <c r="H65" s="15"/>
      <c r="I65" s="65"/>
      <c r="J65" s="65"/>
      <c r="K65" s="14"/>
      <c r="L65" s="14"/>
      <c r="M65" s="14"/>
      <c r="N65" s="14"/>
      <c r="O65" s="14"/>
      <c r="P65" s="14"/>
      <c r="Q65" s="14"/>
    </row>
    <row r="66" ht="15.75" customHeight="1">
      <c r="A66" s="14"/>
      <c r="B66" s="14"/>
      <c r="C66" s="14"/>
      <c r="D66" s="14"/>
      <c r="E66" s="14"/>
      <c r="F66" s="14"/>
      <c r="G66" s="15"/>
      <c r="H66" s="15"/>
      <c r="I66" s="65"/>
      <c r="J66" s="65"/>
      <c r="K66" s="14"/>
      <c r="L66" s="14"/>
      <c r="M66" s="14"/>
      <c r="N66" s="14"/>
      <c r="O66" s="14"/>
      <c r="P66" s="14"/>
      <c r="Q66" s="14"/>
    </row>
    <row r="67" ht="15.75" customHeight="1">
      <c r="A67" s="14"/>
      <c r="B67" s="14"/>
      <c r="C67" s="14"/>
      <c r="D67" s="14"/>
      <c r="E67" s="14"/>
      <c r="F67" s="14"/>
      <c r="G67" s="15"/>
      <c r="H67" s="15"/>
      <c r="I67" s="65"/>
      <c r="J67" s="65"/>
      <c r="K67" s="14"/>
      <c r="L67" s="14"/>
      <c r="M67" s="14"/>
      <c r="N67" s="14"/>
      <c r="O67" s="14"/>
      <c r="P67" s="14"/>
      <c r="Q67" s="14"/>
    </row>
    <row r="68" ht="15.75" customHeight="1">
      <c r="A68" s="14"/>
      <c r="B68" s="14"/>
      <c r="C68" s="14"/>
      <c r="D68" s="14"/>
      <c r="E68" s="14"/>
      <c r="F68" s="14"/>
      <c r="G68" s="15"/>
      <c r="H68" s="15"/>
      <c r="I68" s="65"/>
      <c r="J68" s="65"/>
      <c r="K68" s="14"/>
      <c r="L68" s="14"/>
      <c r="M68" s="14"/>
      <c r="N68" s="14"/>
      <c r="O68" s="14"/>
      <c r="P68" s="14"/>
      <c r="Q68" s="14"/>
    </row>
    <row r="69" ht="15.75" customHeight="1">
      <c r="A69" s="14"/>
      <c r="B69" s="14"/>
      <c r="C69" s="14"/>
      <c r="D69" s="14"/>
      <c r="E69" s="14"/>
      <c r="F69" s="14"/>
      <c r="G69" s="15"/>
      <c r="H69" s="15"/>
      <c r="I69" s="65"/>
      <c r="J69" s="65"/>
      <c r="K69" s="14"/>
      <c r="L69" s="14"/>
      <c r="M69" s="14"/>
      <c r="N69" s="14"/>
      <c r="O69" s="14"/>
      <c r="P69" s="14"/>
      <c r="Q69" s="14"/>
    </row>
    <row r="70" ht="15.75" customHeight="1">
      <c r="A70" s="14"/>
      <c r="B70" s="14"/>
      <c r="C70" s="14"/>
      <c r="D70" s="14"/>
      <c r="E70" s="14"/>
      <c r="F70" s="14"/>
      <c r="G70" s="15"/>
      <c r="H70" s="15"/>
      <c r="I70" s="65"/>
      <c r="J70" s="65"/>
      <c r="K70" s="14"/>
      <c r="L70" s="14"/>
      <c r="M70" s="14"/>
      <c r="N70" s="14"/>
      <c r="O70" s="14"/>
      <c r="P70" s="14"/>
      <c r="Q70" s="14"/>
    </row>
    <row r="71" ht="15.75" customHeight="1">
      <c r="A71" s="14"/>
      <c r="B71" s="14"/>
      <c r="C71" s="14"/>
      <c r="D71" s="14"/>
      <c r="E71" s="14"/>
      <c r="F71" s="14"/>
      <c r="G71" s="15"/>
      <c r="H71" s="15"/>
      <c r="I71" s="65"/>
      <c r="J71" s="65"/>
      <c r="K71" s="14"/>
      <c r="L71" s="14"/>
      <c r="M71" s="14"/>
      <c r="N71" s="14"/>
      <c r="O71" s="14"/>
      <c r="P71" s="14"/>
      <c r="Q71" s="14"/>
    </row>
    <row r="72" ht="15.75" customHeight="1">
      <c r="A72" s="14"/>
      <c r="B72" s="14"/>
      <c r="C72" s="14"/>
      <c r="D72" s="14"/>
      <c r="E72" s="14"/>
      <c r="F72" s="14"/>
      <c r="G72" s="15"/>
      <c r="H72" s="15"/>
      <c r="I72" s="65"/>
      <c r="J72" s="65"/>
      <c r="K72" s="14"/>
      <c r="L72" s="14"/>
      <c r="M72" s="14"/>
      <c r="N72" s="14"/>
      <c r="O72" s="14"/>
      <c r="P72" s="14"/>
      <c r="Q72" s="14"/>
    </row>
    <row r="73" ht="15.75" customHeight="1">
      <c r="A73" s="14"/>
      <c r="B73" s="14"/>
      <c r="C73" s="14"/>
      <c r="D73" s="14"/>
      <c r="E73" s="14"/>
      <c r="F73" s="14"/>
      <c r="G73" s="15"/>
      <c r="H73" s="15"/>
      <c r="I73" s="65"/>
      <c r="J73" s="65"/>
      <c r="K73" s="14"/>
      <c r="L73" s="14"/>
      <c r="M73" s="14"/>
      <c r="N73" s="14"/>
      <c r="O73" s="14"/>
      <c r="P73" s="14"/>
      <c r="Q73" s="14"/>
    </row>
    <row r="74" ht="15.75" customHeight="1">
      <c r="A74" s="14"/>
      <c r="B74" s="14"/>
      <c r="C74" s="14"/>
      <c r="D74" s="14"/>
      <c r="E74" s="14"/>
      <c r="F74" s="14"/>
      <c r="G74" s="15"/>
      <c r="H74" s="15"/>
      <c r="I74" s="65"/>
      <c r="J74" s="65"/>
      <c r="K74" s="14"/>
      <c r="L74" s="14"/>
      <c r="M74" s="14"/>
      <c r="N74" s="14"/>
      <c r="O74" s="14"/>
      <c r="P74" s="14"/>
      <c r="Q74" s="14"/>
    </row>
    <row r="75" ht="15.75" customHeight="1">
      <c r="A75" s="14"/>
      <c r="B75" s="14"/>
      <c r="C75" s="14"/>
      <c r="D75" s="14"/>
      <c r="E75" s="14"/>
      <c r="F75" s="14"/>
      <c r="G75" s="15"/>
      <c r="H75" s="15"/>
      <c r="I75" s="65"/>
      <c r="J75" s="65"/>
      <c r="K75" s="14"/>
      <c r="L75" s="14"/>
      <c r="M75" s="14"/>
      <c r="N75" s="14"/>
      <c r="O75" s="14"/>
      <c r="P75" s="14"/>
      <c r="Q75" s="14"/>
    </row>
    <row r="76" ht="15.75" customHeight="1">
      <c r="A76" s="14"/>
      <c r="B76" s="14"/>
      <c r="C76" s="14"/>
      <c r="D76" s="14"/>
      <c r="E76" s="14"/>
      <c r="F76" s="14"/>
      <c r="G76" s="15"/>
      <c r="H76" s="15"/>
      <c r="I76" s="65"/>
      <c r="J76" s="65"/>
      <c r="K76" s="14"/>
      <c r="L76" s="14"/>
      <c r="M76" s="14"/>
      <c r="N76" s="14"/>
      <c r="O76" s="14"/>
      <c r="P76" s="14"/>
      <c r="Q76" s="14"/>
    </row>
    <row r="77" ht="15.75" customHeight="1">
      <c r="A77" s="14"/>
      <c r="B77" s="14"/>
      <c r="C77" s="14"/>
      <c r="D77" s="14"/>
      <c r="E77" s="14"/>
      <c r="F77" s="14"/>
      <c r="G77" s="15"/>
      <c r="H77" s="15"/>
      <c r="I77" s="65"/>
      <c r="J77" s="65"/>
      <c r="K77" s="14"/>
      <c r="L77" s="14"/>
      <c r="M77" s="14"/>
      <c r="N77" s="14"/>
      <c r="O77" s="14"/>
      <c r="P77" s="14"/>
      <c r="Q77" s="14"/>
    </row>
    <row r="78" ht="15.75" customHeight="1">
      <c r="A78" s="14"/>
      <c r="B78" s="14"/>
      <c r="C78" s="14"/>
      <c r="D78" s="14"/>
      <c r="E78" s="14"/>
      <c r="F78" s="14"/>
      <c r="G78" s="15"/>
      <c r="H78" s="15"/>
      <c r="I78" s="65"/>
      <c r="J78" s="65"/>
      <c r="K78" s="14"/>
      <c r="L78" s="14"/>
      <c r="M78" s="14"/>
      <c r="N78" s="14"/>
      <c r="O78" s="14"/>
      <c r="P78" s="14"/>
      <c r="Q78" s="14"/>
    </row>
    <row r="79" ht="15.75" customHeight="1">
      <c r="A79" s="14"/>
      <c r="B79" s="14"/>
      <c r="C79" s="14"/>
      <c r="D79" s="14"/>
      <c r="E79" s="14"/>
      <c r="F79" s="14"/>
      <c r="G79" s="15"/>
      <c r="H79" s="15"/>
      <c r="I79" s="65"/>
      <c r="J79" s="65"/>
      <c r="K79" s="14"/>
      <c r="L79" s="14"/>
      <c r="M79" s="14"/>
      <c r="N79" s="14"/>
      <c r="O79" s="14"/>
      <c r="P79" s="14"/>
      <c r="Q79" s="14"/>
    </row>
    <row r="80" ht="15.75" customHeight="1">
      <c r="A80" s="14"/>
      <c r="B80" s="14"/>
      <c r="C80" s="14"/>
      <c r="D80" s="14"/>
      <c r="E80" s="14"/>
      <c r="F80" s="14"/>
      <c r="G80" s="15"/>
      <c r="H80" s="15"/>
      <c r="I80" s="65"/>
      <c r="J80" s="65"/>
      <c r="K80" s="14"/>
      <c r="L80" s="14"/>
      <c r="M80" s="14"/>
      <c r="N80" s="14"/>
      <c r="O80" s="14"/>
      <c r="P80" s="14"/>
      <c r="Q80" s="14"/>
    </row>
    <row r="81" ht="15.75" customHeight="1">
      <c r="A81" s="14"/>
      <c r="B81" s="14"/>
      <c r="C81" s="14"/>
      <c r="D81" s="14"/>
      <c r="E81" s="14"/>
      <c r="F81" s="14"/>
      <c r="G81" s="15"/>
      <c r="H81" s="15"/>
      <c r="I81" s="65"/>
      <c r="J81" s="65"/>
      <c r="K81" s="14"/>
      <c r="L81" s="14"/>
      <c r="M81" s="14"/>
      <c r="N81" s="14"/>
      <c r="O81" s="14"/>
      <c r="P81" s="14"/>
      <c r="Q81" s="14"/>
    </row>
    <row r="82" ht="15.75" customHeight="1">
      <c r="A82" s="14"/>
      <c r="B82" s="14"/>
      <c r="C82" s="14"/>
      <c r="D82" s="14"/>
      <c r="E82" s="14"/>
      <c r="F82" s="14"/>
      <c r="G82" s="15"/>
      <c r="H82" s="15"/>
      <c r="I82" s="65"/>
      <c r="J82" s="65"/>
      <c r="K82" s="14"/>
      <c r="L82" s="14"/>
      <c r="M82" s="14"/>
      <c r="N82" s="14"/>
      <c r="O82" s="14"/>
      <c r="P82" s="14"/>
      <c r="Q82" s="14"/>
    </row>
    <row r="83" ht="15.75" customHeight="1">
      <c r="A83" s="14"/>
      <c r="B83" s="14"/>
      <c r="C83" s="14"/>
      <c r="D83" s="14"/>
      <c r="E83" s="14"/>
      <c r="F83" s="14"/>
      <c r="G83" s="15"/>
      <c r="H83" s="15"/>
      <c r="I83" s="65"/>
      <c r="J83" s="65"/>
      <c r="K83" s="14"/>
      <c r="L83" s="14"/>
      <c r="M83" s="14"/>
      <c r="N83" s="14"/>
      <c r="O83" s="14"/>
      <c r="P83" s="14"/>
      <c r="Q83" s="14"/>
    </row>
    <row r="84" ht="15.75" customHeight="1">
      <c r="A84" s="14"/>
      <c r="B84" s="14"/>
      <c r="C84" s="14"/>
      <c r="D84" s="14"/>
      <c r="E84" s="14"/>
      <c r="F84" s="14"/>
      <c r="G84" s="15"/>
      <c r="H84" s="15"/>
      <c r="I84" s="65"/>
      <c r="J84" s="65"/>
      <c r="K84" s="14"/>
      <c r="L84" s="14"/>
      <c r="M84" s="14"/>
      <c r="N84" s="14"/>
      <c r="O84" s="14"/>
      <c r="P84" s="14"/>
      <c r="Q84" s="14"/>
    </row>
    <row r="85" ht="15.75" customHeight="1">
      <c r="A85" s="14"/>
      <c r="B85" s="14"/>
      <c r="C85" s="14"/>
      <c r="D85" s="14"/>
      <c r="E85" s="14"/>
      <c r="F85" s="14"/>
      <c r="G85" s="15"/>
      <c r="H85" s="15"/>
      <c r="I85" s="65"/>
      <c r="J85" s="65"/>
      <c r="K85" s="14"/>
      <c r="L85" s="14"/>
      <c r="M85" s="14"/>
      <c r="N85" s="14"/>
      <c r="O85" s="14"/>
      <c r="P85" s="14"/>
      <c r="Q85" s="14"/>
    </row>
    <row r="86" ht="15.75" customHeight="1">
      <c r="A86" s="14"/>
      <c r="B86" s="14"/>
      <c r="C86" s="14"/>
      <c r="D86" s="14"/>
      <c r="E86" s="14"/>
      <c r="F86" s="14"/>
      <c r="G86" s="15"/>
      <c r="H86" s="15"/>
      <c r="I86" s="65"/>
      <c r="J86" s="65"/>
      <c r="K86" s="14"/>
      <c r="L86" s="14"/>
      <c r="M86" s="14"/>
      <c r="N86" s="14"/>
      <c r="O86" s="14"/>
      <c r="P86" s="14"/>
      <c r="Q86" s="14"/>
    </row>
    <row r="87" ht="15.75" customHeight="1">
      <c r="A87" s="14"/>
      <c r="B87" s="14"/>
      <c r="C87" s="14"/>
      <c r="D87" s="14"/>
      <c r="E87" s="14"/>
      <c r="F87" s="14"/>
      <c r="G87" s="15"/>
      <c r="H87" s="15"/>
      <c r="I87" s="65"/>
      <c r="J87" s="65"/>
      <c r="K87" s="14"/>
      <c r="L87" s="14"/>
      <c r="M87" s="14"/>
      <c r="N87" s="14"/>
      <c r="O87" s="14"/>
      <c r="P87" s="14"/>
      <c r="Q87" s="14"/>
    </row>
    <row r="88" ht="15.75" customHeight="1">
      <c r="A88" s="14"/>
      <c r="B88" s="14"/>
      <c r="C88" s="14"/>
      <c r="D88" s="14"/>
      <c r="E88" s="14"/>
      <c r="F88" s="14"/>
      <c r="G88" s="15"/>
      <c r="H88" s="15"/>
      <c r="I88" s="65"/>
      <c r="J88" s="65"/>
      <c r="K88" s="14"/>
      <c r="L88" s="14"/>
      <c r="M88" s="14"/>
      <c r="N88" s="14"/>
      <c r="O88" s="14"/>
      <c r="P88" s="14"/>
      <c r="Q88" s="14"/>
    </row>
    <row r="89" ht="15.75" customHeight="1">
      <c r="A89" s="14"/>
      <c r="B89" s="14"/>
      <c r="C89" s="14"/>
      <c r="D89" s="14"/>
      <c r="E89" s="14"/>
      <c r="F89" s="14"/>
      <c r="G89" s="15"/>
      <c r="H89" s="15"/>
      <c r="I89" s="65"/>
      <c r="J89" s="65"/>
      <c r="K89" s="14"/>
      <c r="L89" s="14"/>
      <c r="M89" s="14"/>
      <c r="N89" s="14"/>
      <c r="O89" s="14"/>
      <c r="P89" s="14"/>
      <c r="Q89" s="14"/>
    </row>
    <row r="90" ht="15.75" customHeight="1">
      <c r="A90" s="14"/>
      <c r="B90" s="14"/>
      <c r="C90" s="14"/>
      <c r="D90" s="14"/>
      <c r="E90" s="14"/>
      <c r="F90" s="14"/>
      <c r="G90" s="15"/>
      <c r="H90" s="15"/>
      <c r="I90" s="65"/>
      <c r="J90" s="65"/>
      <c r="K90" s="14"/>
      <c r="L90" s="14"/>
      <c r="M90" s="14"/>
      <c r="N90" s="14"/>
      <c r="O90" s="14"/>
      <c r="P90" s="14"/>
      <c r="Q90" s="14"/>
    </row>
    <row r="91" ht="15.75" customHeight="1">
      <c r="A91" s="14"/>
      <c r="B91" s="14"/>
      <c r="C91" s="14"/>
      <c r="D91" s="14"/>
      <c r="E91" s="14"/>
      <c r="F91" s="14"/>
      <c r="G91" s="15"/>
      <c r="H91" s="15"/>
      <c r="I91" s="65"/>
      <c r="J91" s="65"/>
      <c r="K91" s="14"/>
      <c r="L91" s="14"/>
      <c r="M91" s="14"/>
      <c r="N91" s="14"/>
      <c r="O91" s="14"/>
      <c r="P91" s="14"/>
      <c r="Q91" s="14"/>
    </row>
    <row r="92" ht="15.75" customHeight="1">
      <c r="A92" s="14"/>
      <c r="B92" s="14"/>
      <c r="C92" s="14"/>
      <c r="D92" s="14"/>
      <c r="E92" s="14"/>
      <c r="F92" s="14"/>
      <c r="G92" s="15"/>
      <c r="H92" s="15"/>
      <c r="I92" s="65"/>
      <c r="J92" s="65"/>
      <c r="K92" s="14"/>
      <c r="L92" s="14"/>
      <c r="M92" s="14"/>
      <c r="N92" s="14"/>
      <c r="O92" s="14"/>
      <c r="P92" s="14"/>
      <c r="Q92" s="14"/>
    </row>
    <row r="93" ht="15.75" customHeight="1">
      <c r="A93" s="14"/>
      <c r="B93" s="14"/>
      <c r="C93" s="14"/>
      <c r="D93" s="14"/>
      <c r="E93" s="14"/>
      <c r="F93" s="14"/>
      <c r="G93" s="15"/>
      <c r="H93" s="15"/>
      <c r="I93" s="65"/>
      <c r="J93" s="65"/>
      <c r="K93" s="14"/>
      <c r="L93" s="14"/>
      <c r="M93" s="14"/>
      <c r="N93" s="14"/>
      <c r="O93" s="14"/>
      <c r="P93" s="14"/>
      <c r="Q93" s="14"/>
    </row>
    <row r="94" ht="15.75" customHeight="1">
      <c r="A94" s="14"/>
      <c r="B94" s="14"/>
      <c r="C94" s="14"/>
      <c r="D94" s="14"/>
      <c r="E94" s="14"/>
      <c r="F94" s="14"/>
      <c r="G94" s="15"/>
      <c r="H94" s="15"/>
      <c r="I94" s="65"/>
      <c r="J94" s="65"/>
      <c r="K94" s="14"/>
      <c r="L94" s="14"/>
      <c r="M94" s="14"/>
      <c r="N94" s="14"/>
      <c r="O94" s="14"/>
      <c r="P94" s="14"/>
      <c r="Q94" s="14"/>
    </row>
    <row r="95" ht="15.75" customHeight="1">
      <c r="A95" s="14"/>
      <c r="B95" s="14"/>
      <c r="C95" s="14"/>
      <c r="D95" s="14"/>
      <c r="E95" s="14"/>
      <c r="F95" s="14"/>
      <c r="G95" s="15"/>
      <c r="H95" s="15"/>
      <c r="I95" s="65"/>
      <c r="J95" s="65"/>
      <c r="K95" s="14"/>
      <c r="L95" s="14"/>
      <c r="M95" s="14"/>
      <c r="N95" s="14"/>
      <c r="O95" s="14"/>
      <c r="P95" s="14"/>
      <c r="Q95" s="14"/>
    </row>
    <row r="96" ht="15.75" customHeight="1">
      <c r="A96" s="14"/>
      <c r="B96" s="14"/>
      <c r="C96" s="14"/>
      <c r="D96" s="14"/>
      <c r="E96" s="14"/>
      <c r="F96" s="14"/>
      <c r="G96" s="15"/>
      <c r="H96" s="15"/>
      <c r="I96" s="65"/>
      <c r="J96" s="65"/>
      <c r="K96" s="14"/>
      <c r="L96" s="14"/>
      <c r="M96" s="14"/>
      <c r="N96" s="14"/>
      <c r="O96" s="14"/>
      <c r="P96" s="14"/>
      <c r="Q96" s="14"/>
    </row>
    <row r="97" ht="15.75" customHeight="1">
      <c r="A97" s="14"/>
      <c r="B97" s="14"/>
      <c r="C97" s="14"/>
      <c r="D97" s="14"/>
      <c r="E97" s="14"/>
      <c r="F97" s="14"/>
      <c r="G97" s="15"/>
      <c r="H97" s="15"/>
      <c r="I97" s="65"/>
      <c r="J97" s="65"/>
      <c r="K97" s="14"/>
      <c r="L97" s="14"/>
      <c r="M97" s="14"/>
      <c r="N97" s="14"/>
      <c r="O97" s="14"/>
      <c r="P97" s="14"/>
      <c r="Q97" s="14"/>
    </row>
    <row r="98" ht="15.75" customHeight="1">
      <c r="A98" s="14"/>
      <c r="B98" s="14"/>
      <c r="C98" s="14"/>
      <c r="D98" s="14"/>
      <c r="E98" s="14"/>
      <c r="F98" s="14"/>
      <c r="G98" s="15"/>
      <c r="H98" s="15"/>
      <c r="I98" s="65"/>
      <c r="J98" s="65"/>
      <c r="K98" s="14"/>
      <c r="L98" s="14"/>
      <c r="M98" s="14"/>
      <c r="N98" s="14"/>
      <c r="O98" s="14"/>
      <c r="P98" s="14"/>
      <c r="Q98" s="14"/>
    </row>
    <row r="99" ht="15.75" customHeight="1">
      <c r="A99" s="14"/>
      <c r="B99" s="14"/>
      <c r="C99" s="14"/>
      <c r="D99" s="14"/>
      <c r="E99" s="14"/>
      <c r="F99" s="14"/>
      <c r="G99" s="15"/>
      <c r="H99" s="15"/>
      <c r="I99" s="65"/>
      <c r="J99" s="65"/>
      <c r="K99" s="14"/>
      <c r="L99" s="14"/>
      <c r="M99" s="14"/>
      <c r="N99" s="14"/>
      <c r="O99" s="14"/>
      <c r="P99" s="14"/>
      <c r="Q99" s="14"/>
    </row>
    <row r="100" ht="15.75" customHeight="1">
      <c r="A100" s="14"/>
      <c r="B100" s="14"/>
      <c r="C100" s="14"/>
      <c r="D100" s="14"/>
      <c r="E100" s="14"/>
      <c r="F100" s="14"/>
      <c r="G100" s="15"/>
      <c r="H100" s="15"/>
      <c r="I100" s="65"/>
      <c r="J100" s="65"/>
      <c r="K100" s="14"/>
      <c r="L100" s="14"/>
      <c r="M100" s="14"/>
      <c r="N100" s="14"/>
      <c r="O100" s="14"/>
      <c r="P100" s="14"/>
      <c r="Q100" s="14"/>
    </row>
    <row r="101" ht="15.75" customHeight="1">
      <c r="A101" s="14"/>
      <c r="B101" s="14"/>
      <c r="C101" s="14"/>
      <c r="D101" s="14"/>
      <c r="E101" s="14"/>
      <c r="F101" s="14"/>
      <c r="G101" s="15"/>
      <c r="H101" s="15"/>
      <c r="I101" s="65"/>
      <c r="J101" s="65"/>
      <c r="K101" s="14"/>
      <c r="L101" s="14"/>
      <c r="M101" s="14"/>
      <c r="N101" s="14"/>
      <c r="O101" s="14"/>
      <c r="P101" s="14"/>
      <c r="Q101" s="14"/>
    </row>
    <row r="102" ht="15.75" customHeight="1">
      <c r="A102" s="14"/>
      <c r="B102" s="14"/>
      <c r="C102" s="14"/>
      <c r="D102" s="14"/>
      <c r="E102" s="14"/>
      <c r="F102" s="14"/>
      <c r="G102" s="15"/>
      <c r="H102" s="15"/>
      <c r="I102" s="65"/>
      <c r="J102" s="65"/>
      <c r="K102" s="14"/>
      <c r="L102" s="14"/>
      <c r="M102" s="14"/>
      <c r="N102" s="14"/>
      <c r="O102" s="14"/>
      <c r="P102" s="14"/>
      <c r="Q102" s="14"/>
    </row>
    <row r="103" ht="15.75" customHeight="1">
      <c r="A103" s="14"/>
      <c r="B103" s="14"/>
      <c r="C103" s="14"/>
      <c r="D103" s="14"/>
      <c r="E103" s="14"/>
      <c r="F103" s="14"/>
      <c r="G103" s="15"/>
      <c r="H103" s="15"/>
      <c r="I103" s="65"/>
      <c r="J103" s="65"/>
      <c r="K103" s="14"/>
      <c r="L103" s="14"/>
      <c r="M103" s="14"/>
      <c r="N103" s="14"/>
      <c r="O103" s="14"/>
      <c r="P103" s="14"/>
      <c r="Q103" s="14"/>
    </row>
    <row r="104" ht="15.75" customHeight="1">
      <c r="A104" s="14"/>
      <c r="B104" s="14"/>
      <c r="C104" s="14"/>
      <c r="D104" s="14"/>
      <c r="E104" s="14"/>
      <c r="F104" s="14"/>
      <c r="G104" s="15"/>
      <c r="H104" s="15"/>
      <c r="I104" s="65"/>
      <c r="J104" s="65"/>
      <c r="K104" s="14"/>
      <c r="L104" s="14"/>
      <c r="M104" s="14"/>
      <c r="N104" s="14"/>
      <c r="O104" s="14"/>
      <c r="P104" s="14"/>
      <c r="Q104" s="14"/>
    </row>
    <row r="105" ht="15.75" customHeight="1">
      <c r="A105" s="14"/>
      <c r="B105" s="14"/>
      <c r="C105" s="14"/>
      <c r="D105" s="14"/>
      <c r="E105" s="14"/>
      <c r="F105" s="14"/>
      <c r="G105" s="15"/>
      <c r="H105" s="15"/>
      <c r="I105" s="65"/>
      <c r="J105" s="65"/>
      <c r="K105" s="14"/>
      <c r="L105" s="14"/>
      <c r="M105" s="14"/>
      <c r="N105" s="14"/>
      <c r="O105" s="14"/>
      <c r="P105" s="14"/>
      <c r="Q105" s="14"/>
    </row>
    <row r="106" ht="15.75" customHeight="1">
      <c r="A106" s="14"/>
      <c r="B106" s="14"/>
      <c r="C106" s="14"/>
      <c r="D106" s="14"/>
      <c r="E106" s="14"/>
      <c r="F106" s="14"/>
      <c r="G106" s="15"/>
      <c r="H106" s="15"/>
      <c r="I106" s="65"/>
      <c r="J106" s="65"/>
      <c r="K106" s="14"/>
      <c r="L106" s="14"/>
      <c r="M106" s="14"/>
      <c r="N106" s="14"/>
      <c r="O106" s="14"/>
      <c r="P106" s="14"/>
      <c r="Q106" s="14"/>
    </row>
    <row r="107" ht="15.75" customHeight="1">
      <c r="A107" s="14"/>
      <c r="B107" s="14"/>
      <c r="C107" s="14"/>
      <c r="D107" s="14"/>
      <c r="E107" s="14"/>
      <c r="F107" s="14"/>
      <c r="G107" s="15"/>
      <c r="H107" s="15"/>
      <c r="I107" s="65"/>
      <c r="J107" s="65"/>
      <c r="K107" s="14"/>
      <c r="L107" s="14"/>
      <c r="M107" s="14"/>
      <c r="N107" s="14"/>
      <c r="O107" s="14"/>
      <c r="P107" s="14"/>
      <c r="Q107" s="14"/>
    </row>
    <row r="108" ht="15.75" customHeight="1">
      <c r="A108" s="14"/>
      <c r="B108" s="14"/>
      <c r="C108" s="14"/>
      <c r="D108" s="14"/>
      <c r="E108" s="14"/>
      <c r="F108" s="14"/>
      <c r="G108" s="15"/>
      <c r="H108" s="15"/>
      <c r="I108" s="65"/>
      <c r="J108" s="65"/>
      <c r="K108" s="14"/>
      <c r="L108" s="14"/>
      <c r="M108" s="14"/>
      <c r="N108" s="14"/>
      <c r="O108" s="14"/>
      <c r="P108" s="14"/>
      <c r="Q108" s="14"/>
    </row>
    <row r="109" ht="15.75" customHeight="1">
      <c r="A109" s="14"/>
      <c r="B109" s="14"/>
      <c r="C109" s="14"/>
      <c r="D109" s="14"/>
      <c r="E109" s="14"/>
      <c r="F109" s="14"/>
      <c r="G109" s="15"/>
      <c r="H109" s="15"/>
      <c r="I109" s="65"/>
      <c r="J109" s="65"/>
      <c r="K109" s="14"/>
      <c r="L109" s="14"/>
      <c r="M109" s="14"/>
      <c r="N109" s="14"/>
      <c r="O109" s="14"/>
      <c r="P109" s="14"/>
      <c r="Q109" s="14"/>
    </row>
    <row r="110" ht="15.75" customHeight="1">
      <c r="A110" s="14"/>
      <c r="B110" s="14"/>
      <c r="C110" s="14"/>
      <c r="D110" s="14"/>
      <c r="E110" s="14"/>
      <c r="F110" s="14"/>
      <c r="G110" s="15"/>
      <c r="H110" s="15"/>
      <c r="I110" s="65"/>
      <c r="J110" s="65"/>
      <c r="K110" s="14"/>
      <c r="L110" s="14"/>
      <c r="M110" s="14"/>
      <c r="N110" s="14"/>
      <c r="O110" s="14"/>
      <c r="P110" s="14"/>
      <c r="Q110" s="14"/>
    </row>
    <row r="111" ht="15.75" customHeight="1">
      <c r="A111" s="14"/>
      <c r="B111" s="14"/>
      <c r="C111" s="14"/>
      <c r="D111" s="14"/>
      <c r="E111" s="14"/>
      <c r="F111" s="14"/>
      <c r="G111" s="15"/>
      <c r="H111" s="15"/>
      <c r="I111" s="65"/>
      <c r="J111" s="65"/>
      <c r="K111" s="14"/>
      <c r="L111" s="14"/>
      <c r="M111" s="14"/>
      <c r="N111" s="14"/>
      <c r="O111" s="14"/>
      <c r="P111" s="14"/>
      <c r="Q111" s="14"/>
    </row>
    <row r="112" ht="15.75" customHeight="1">
      <c r="A112" s="14"/>
      <c r="B112" s="14"/>
      <c r="C112" s="14"/>
      <c r="D112" s="14"/>
      <c r="E112" s="14"/>
      <c r="F112" s="14"/>
      <c r="G112" s="15"/>
      <c r="H112" s="15"/>
      <c r="I112" s="65"/>
      <c r="J112" s="65"/>
      <c r="K112" s="14"/>
      <c r="L112" s="14"/>
      <c r="M112" s="14"/>
      <c r="N112" s="14"/>
      <c r="O112" s="14"/>
      <c r="P112" s="14"/>
      <c r="Q112" s="14"/>
    </row>
    <row r="113" ht="15.75" customHeight="1">
      <c r="A113" s="14"/>
      <c r="B113" s="14"/>
      <c r="C113" s="14"/>
      <c r="D113" s="14"/>
      <c r="E113" s="14"/>
      <c r="F113" s="14"/>
      <c r="G113" s="15"/>
      <c r="H113" s="15"/>
      <c r="I113" s="65"/>
      <c r="J113" s="65"/>
      <c r="K113" s="14"/>
      <c r="L113" s="14"/>
      <c r="M113" s="14"/>
      <c r="N113" s="14"/>
      <c r="O113" s="14"/>
      <c r="P113" s="14"/>
      <c r="Q113" s="14"/>
    </row>
    <row r="114" ht="15.75" customHeight="1">
      <c r="A114" s="14"/>
      <c r="B114" s="14"/>
      <c r="C114" s="14"/>
      <c r="D114" s="14"/>
      <c r="E114" s="14"/>
      <c r="F114" s="14"/>
      <c r="G114" s="15"/>
      <c r="H114" s="15"/>
      <c r="I114" s="65"/>
      <c r="J114" s="65"/>
      <c r="K114" s="14"/>
      <c r="L114" s="14"/>
      <c r="M114" s="14"/>
      <c r="N114" s="14"/>
      <c r="O114" s="14"/>
      <c r="P114" s="14"/>
      <c r="Q114" s="14"/>
    </row>
    <row r="115" ht="15.75" customHeight="1">
      <c r="A115" s="14"/>
      <c r="B115" s="14"/>
      <c r="C115" s="14"/>
      <c r="D115" s="14"/>
      <c r="E115" s="14"/>
      <c r="F115" s="14"/>
      <c r="G115" s="15"/>
      <c r="H115" s="15"/>
      <c r="I115" s="65"/>
      <c r="J115" s="65"/>
      <c r="K115" s="14"/>
      <c r="L115" s="14"/>
      <c r="M115" s="14"/>
      <c r="N115" s="14"/>
      <c r="O115" s="14"/>
      <c r="P115" s="14"/>
      <c r="Q115" s="14"/>
    </row>
    <row r="116" ht="15.75" customHeight="1">
      <c r="A116" s="14"/>
      <c r="B116" s="14"/>
      <c r="C116" s="14"/>
      <c r="D116" s="14"/>
      <c r="E116" s="14"/>
      <c r="F116" s="14"/>
      <c r="G116" s="15"/>
      <c r="H116" s="15"/>
      <c r="I116" s="65"/>
      <c r="J116" s="65"/>
      <c r="K116" s="14"/>
      <c r="L116" s="14"/>
      <c r="M116" s="14"/>
      <c r="N116" s="14"/>
      <c r="O116" s="14"/>
      <c r="P116" s="14"/>
      <c r="Q116" s="14"/>
    </row>
    <row r="117" ht="15.75" customHeight="1">
      <c r="A117" s="14"/>
      <c r="B117" s="14"/>
      <c r="C117" s="14"/>
      <c r="D117" s="14"/>
      <c r="E117" s="14"/>
      <c r="F117" s="14"/>
      <c r="G117" s="15"/>
      <c r="H117" s="15"/>
      <c r="I117" s="65"/>
      <c r="J117" s="65"/>
      <c r="K117" s="14"/>
      <c r="L117" s="14"/>
      <c r="M117" s="14"/>
      <c r="N117" s="14"/>
      <c r="O117" s="14"/>
      <c r="P117" s="14"/>
      <c r="Q117" s="14"/>
    </row>
    <row r="118" ht="15.75" customHeight="1">
      <c r="A118" s="14"/>
      <c r="B118" s="14"/>
      <c r="C118" s="14"/>
      <c r="D118" s="14"/>
      <c r="E118" s="14"/>
      <c r="F118" s="14"/>
      <c r="G118" s="15"/>
      <c r="H118" s="15"/>
      <c r="I118" s="65"/>
      <c r="J118" s="65"/>
      <c r="K118" s="14"/>
      <c r="L118" s="14"/>
      <c r="M118" s="14"/>
      <c r="N118" s="14"/>
      <c r="O118" s="14"/>
      <c r="P118" s="14"/>
      <c r="Q118" s="14"/>
    </row>
    <row r="119" ht="15.75" customHeight="1">
      <c r="A119" s="14"/>
      <c r="B119" s="14"/>
      <c r="C119" s="14"/>
      <c r="D119" s="14"/>
      <c r="E119" s="14"/>
      <c r="F119" s="14"/>
      <c r="G119" s="15"/>
      <c r="H119" s="15"/>
      <c r="I119" s="65"/>
      <c r="J119" s="65"/>
      <c r="K119" s="14"/>
      <c r="L119" s="14"/>
      <c r="M119" s="14"/>
      <c r="N119" s="14"/>
      <c r="O119" s="14"/>
      <c r="P119" s="14"/>
      <c r="Q119" s="14"/>
    </row>
    <row r="120" ht="15.75" customHeight="1">
      <c r="A120" s="14"/>
      <c r="B120" s="14"/>
      <c r="C120" s="14"/>
      <c r="D120" s="14"/>
      <c r="E120" s="14"/>
      <c r="F120" s="14"/>
      <c r="G120" s="15"/>
      <c r="H120" s="15"/>
      <c r="I120" s="65"/>
      <c r="J120" s="65"/>
      <c r="K120" s="14"/>
      <c r="L120" s="14"/>
      <c r="M120" s="14"/>
      <c r="N120" s="14"/>
      <c r="O120" s="14"/>
      <c r="P120" s="14"/>
      <c r="Q120" s="14"/>
    </row>
    <row r="121" ht="15.75" customHeight="1">
      <c r="A121" s="14"/>
      <c r="B121" s="14"/>
      <c r="C121" s="14"/>
      <c r="D121" s="14"/>
      <c r="E121" s="14"/>
      <c r="F121" s="14"/>
      <c r="G121" s="15"/>
      <c r="H121" s="15"/>
      <c r="I121" s="65"/>
      <c r="J121" s="65"/>
      <c r="K121" s="14"/>
      <c r="L121" s="14"/>
      <c r="M121" s="14"/>
      <c r="N121" s="14"/>
      <c r="O121" s="14"/>
      <c r="P121" s="14"/>
      <c r="Q121" s="14"/>
    </row>
    <row r="122" ht="15.75" customHeight="1">
      <c r="A122" s="14"/>
      <c r="B122" s="14"/>
      <c r="C122" s="14"/>
      <c r="D122" s="14"/>
      <c r="E122" s="14"/>
      <c r="F122" s="14"/>
      <c r="G122" s="15"/>
      <c r="H122" s="15"/>
      <c r="I122" s="65"/>
      <c r="J122" s="65"/>
      <c r="K122" s="14"/>
      <c r="L122" s="14"/>
      <c r="M122" s="14"/>
      <c r="N122" s="14"/>
      <c r="O122" s="14"/>
      <c r="P122" s="14"/>
      <c r="Q122" s="14"/>
    </row>
    <row r="123" ht="15.75" customHeight="1">
      <c r="A123" s="14"/>
      <c r="B123" s="14"/>
      <c r="C123" s="14"/>
      <c r="D123" s="14"/>
      <c r="E123" s="14"/>
      <c r="F123" s="14"/>
      <c r="G123" s="15"/>
      <c r="H123" s="15"/>
      <c r="I123" s="65"/>
      <c r="J123" s="65"/>
      <c r="K123" s="14"/>
      <c r="L123" s="14"/>
      <c r="M123" s="14"/>
      <c r="N123" s="14"/>
      <c r="O123" s="14"/>
      <c r="P123" s="14"/>
      <c r="Q123" s="14"/>
    </row>
    <row r="124" ht="15.75" customHeight="1">
      <c r="A124" s="14"/>
      <c r="B124" s="14"/>
      <c r="C124" s="14"/>
      <c r="D124" s="14"/>
      <c r="E124" s="14"/>
      <c r="F124" s="14"/>
      <c r="G124" s="15"/>
      <c r="H124" s="15"/>
      <c r="I124" s="65"/>
      <c r="J124" s="65"/>
      <c r="K124" s="14"/>
      <c r="L124" s="14"/>
      <c r="M124" s="14"/>
      <c r="N124" s="14"/>
      <c r="O124" s="14"/>
      <c r="P124" s="14"/>
      <c r="Q124" s="14"/>
    </row>
    <row r="125" ht="15.75" customHeight="1">
      <c r="A125" s="14"/>
      <c r="B125" s="14"/>
      <c r="C125" s="14"/>
      <c r="D125" s="14"/>
      <c r="E125" s="14"/>
      <c r="F125" s="14"/>
      <c r="G125" s="15"/>
      <c r="H125" s="15"/>
      <c r="I125" s="65"/>
      <c r="J125" s="65"/>
      <c r="K125" s="14"/>
      <c r="L125" s="14"/>
      <c r="M125" s="14"/>
      <c r="N125" s="14"/>
      <c r="O125" s="14"/>
      <c r="P125" s="14"/>
      <c r="Q125" s="14"/>
    </row>
    <row r="126" ht="15.75" customHeight="1">
      <c r="A126" s="14"/>
      <c r="B126" s="14"/>
      <c r="C126" s="14"/>
      <c r="D126" s="14"/>
      <c r="E126" s="14"/>
      <c r="F126" s="14"/>
      <c r="G126" s="15"/>
      <c r="H126" s="15"/>
      <c r="I126" s="65"/>
      <c r="J126" s="65"/>
      <c r="K126" s="14"/>
      <c r="L126" s="14"/>
      <c r="M126" s="14"/>
      <c r="N126" s="14"/>
      <c r="O126" s="14"/>
      <c r="P126" s="14"/>
      <c r="Q126" s="14"/>
    </row>
    <row r="127" ht="15.75" customHeight="1">
      <c r="A127" s="14"/>
      <c r="B127" s="14"/>
      <c r="C127" s="14"/>
      <c r="D127" s="14"/>
      <c r="E127" s="14"/>
      <c r="F127" s="14"/>
      <c r="G127" s="15"/>
      <c r="H127" s="15"/>
      <c r="I127" s="65"/>
      <c r="J127" s="65"/>
      <c r="K127" s="14"/>
      <c r="L127" s="14"/>
      <c r="M127" s="14"/>
      <c r="N127" s="14"/>
      <c r="O127" s="14"/>
      <c r="P127" s="14"/>
      <c r="Q127" s="14"/>
    </row>
    <row r="128" ht="15.75" customHeight="1">
      <c r="A128" s="14"/>
      <c r="B128" s="14"/>
      <c r="C128" s="14"/>
      <c r="D128" s="14"/>
      <c r="E128" s="14"/>
      <c r="F128" s="14"/>
      <c r="G128" s="15"/>
      <c r="H128" s="15"/>
      <c r="I128" s="65"/>
      <c r="J128" s="65"/>
      <c r="K128" s="14"/>
      <c r="L128" s="14"/>
      <c r="M128" s="14"/>
      <c r="N128" s="14"/>
      <c r="O128" s="14"/>
      <c r="P128" s="14"/>
      <c r="Q128" s="14"/>
    </row>
    <row r="129" ht="15.75" customHeight="1">
      <c r="A129" s="14"/>
      <c r="B129" s="14"/>
      <c r="C129" s="14"/>
      <c r="D129" s="14"/>
      <c r="E129" s="14"/>
      <c r="F129" s="14"/>
      <c r="G129" s="15"/>
      <c r="H129" s="15"/>
      <c r="I129" s="65"/>
      <c r="J129" s="65"/>
      <c r="K129" s="14"/>
      <c r="L129" s="14"/>
      <c r="M129" s="14"/>
      <c r="N129" s="14"/>
      <c r="O129" s="14"/>
      <c r="P129" s="14"/>
      <c r="Q129" s="14"/>
    </row>
    <row r="130" ht="15.75" customHeight="1">
      <c r="A130" s="14"/>
      <c r="B130" s="14"/>
      <c r="C130" s="14"/>
      <c r="D130" s="14"/>
      <c r="E130" s="14"/>
      <c r="F130" s="14"/>
      <c r="G130" s="15"/>
      <c r="H130" s="15"/>
      <c r="I130" s="65"/>
      <c r="J130" s="65"/>
      <c r="K130" s="14"/>
      <c r="L130" s="14"/>
      <c r="M130" s="14"/>
      <c r="N130" s="14"/>
      <c r="O130" s="14"/>
      <c r="P130" s="14"/>
      <c r="Q130" s="14"/>
    </row>
    <row r="131" ht="15.75" customHeight="1">
      <c r="A131" s="14"/>
      <c r="B131" s="14"/>
      <c r="C131" s="14"/>
      <c r="D131" s="14"/>
      <c r="E131" s="14"/>
      <c r="F131" s="14"/>
      <c r="G131" s="15"/>
      <c r="H131" s="15"/>
      <c r="I131" s="65"/>
      <c r="J131" s="65"/>
      <c r="K131" s="14"/>
      <c r="L131" s="14"/>
      <c r="M131" s="14"/>
      <c r="N131" s="14"/>
      <c r="O131" s="14"/>
      <c r="P131" s="14"/>
      <c r="Q131" s="14"/>
    </row>
    <row r="132" ht="15.75" customHeight="1">
      <c r="A132" s="14"/>
      <c r="B132" s="14"/>
      <c r="C132" s="14"/>
      <c r="D132" s="14"/>
      <c r="E132" s="14"/>
      <c r="F132" s="14"/>
      <c r="G132" s="15"/>
      <c r="H132" s="15"/>
      <c r="I132" s="65"/>
      <c r="J132" s="65"/>
      <c r="K132" s="14"/>
      <c r="L132" s="14"/>
      <c r="M132" s="14"/>
      <c r="N132" s="14"/>
      <c r="O132" s="14"/>
      <c r="P132" s="14"/>
      <c r="Q132" s="14"/>
    </row>
    <row r="133" ht="15.75" customHeight="1">
      <c r="A133" s="14"/>
      <c r="B133" s="14"/>
      <c r="C133" s="14"/>
      <c r="D133" s="14"/>
      <c r="E133" s="14"/>
      <c r="F133" s="14"/>
      <c r="G133" s="15"/>
      <c r="H133" s="15"/>
      <c r="I133" s="65"/>
      <c r="J133" s="65"/>
      <c r="K133" s="14"/>
      <c r="L133" s="14"/>
      <c r="M133" s="14"/>
      <c r="N133" s="14"/>
      <c r="O133" s="14"/>
      <c r="P133" s="14"/>
      <c r="Q133" s="14"/>
    </row>
    <row r="134" ht="15.75" customHeight="1">
      <c r="A134" s="14"/>
      <c r="B134" s="14"/>
      <c r="C134" s="14"/>
      <c r="D134" s="14"/>
      <c r="E134" s="14"/>
      <c r="F134" s="14"/>
      <c r="G134" s="15"/>
      <c r="H134" s="15"/>
      <c r="I134" s="65"/>
      <c r="J134" s="65"/>
      <c r="K134" s="14"/>
      <c r="L134" s="14"/>
      <c r="M134" s="14"/>
      <c r="N134" s="14"/>
      <c r="O134" s="14"/>
      <c r="P134" s="14"/>
      <c r="Q134" s="14"/>
    </row>
    <row r="135" ht="15.75" customHeight="1">
      <c r="A135" s="14"/>
      <c r="B135" s="14"/>
      <c r="C135" s="14"/>
      <c r="D135" s="14"/>
      <c r="E135" s="14"/>
      <c r="F135" s="14"/>
      <c r="G135" s="15"/>
      <c r="H135" s="15"/>
      <c r="I135" s="65"/>
      <c r="J135" s="65"/>
      <c r="K135" s="14"/>
      <c r="L135" s="14"/>
      <c r="M135" s="14"/>
      <c r="N135" s="14"/>
      <c r="O135" s="14"/>
      <c r="P135" s="14"/>
      <c r="Q135" s="14"/>
    </row>
    <row r="136" ht="15.75" customHeight="1">
      <c r="A136" s="14"/>
      <c r="B136" s="14"/>
      <c r="C136" s="14"/>
      <c r="D136" s="14"/>
      <c r="E136" s="14"/>
      <c r="F136" s="14"/>
      <c r="G136" s="15"/>
      <c r="H136" s="15"/>
      <c r="I136" s="65"/>
      <c r="J136" s="65"/>
      <c r="K136" s="14"/>
      <c r="L136" s="14"/>
      <c r="M136" s="14"/>
      <c r="N136" s="14"/>
      <c r="O136" s="14"/>
      <c r="P136" s="14"/>
      <c r="Q136" s="14"/>
    </row>
    <row r="137" ht="15.75" customHeight="1">
      <c r="A137" s="14"/>
      <c r="B137" s="14"/>
      <c r="C137" s="14"/>
      <c r="D137" s="14"/>
      <c r="E137" s="14"/>
      <c r="F137" s="14"/>
      <c r="G137" s="15"/>
      <c r="H137" s="15"/>
      <c r="I137" s="65"/>
      <c r="J137" s="65"/>
      <c r="K137" s="14"/>
      <c r="L137" s="14"/>
      <c r="M137" s="14"/>
      <c r="N137" s="14"/>
      <c r="O137" s="14"/>
      <c r="P137" s="14"/>
      <c r="Q137" s="14"/>
    </row>
    <row r="138" ht="15.75" customHeight="1">
      <c r="A138" s="14"/>
      <c r="B138" s="14"/>
      <c r="C138" s="14"/>
      <c r="D138" s="14"/>
      <c r="E138" s="14"/>
      <c r="F138" s="14"/>
      <c r="G138" s="15"/>
      <c r="H138" s="15"/>
      <c r="I138" s="65"/>
      <c r="J138" s="65"/>
      <c r="K138" s="14"/>
      <c r="L138" s="14"/>
      <c r="M138" s="14"/>
      <c r="N138" s="14"/>
      <c r="O138" s="14"/>
      <c r="P138" s="14"/>
      <c r="Q138" s="14"/>
    </row>
    <row r="139" ht="15.75" customHeight="1">
      <c r="A139" s="14"/>
      <c r="B139" s="14"/>
      <c r="C139" s="14"/>
      <c r="D139" s="14"/>
      <c r="E139" s="14"/>
      <c r="F139" s="14"/>
      <c r="G139" s="15"/>
      <c r="H139" s="15"/>
      <c r="I139" s="65"/>
      <c r="J139" s="65"/>
      <c r="K139" s="14"/>
      <c r="L139" s="14"/>
      <c r="M139" s="14"/>
      <c r="N139" s="14"/>
      <c r="O139" s="14"/>
      <c r="P139" s="14"/>
      <c r="Q139" s="14"/>
    </row>
    <row r="140" ht="15.75" customHeight="1">
      <c r="A140" s="14"/>
      <c r="B140" s="14"/>
      <c r="C140" s="14"/>
      <c r="D140" s="14"/>
      <c r="E140" s="14"/>
      <c r="F140" s="14"/>
      <c r="G140" s="15"/>
      <c r="H140" s="15"/>
      <c r="I140" s="65"/>
      <c r="J140" s="65"/>
      <c r="K140" s="14"/>
      <c r="L140" s="14"/>
      <c r="M140" s="14"/>
      <c r="N140" s="14"/>
      <c r="O140" s="14"/>
      <c r="P140" s="14"/>
      <c r="Q140" s="14"/>
    </row>
    <row r="141" ht="15.75" customHeight="1">
      <c r="A141" s="14"/>
      <c r="B141" s="14"/>
      <c r="C141" s="14"/>
      <c r="D141" s="14"/>
      <c r="E141" s="14"/>
      <c r="F141" s="14"/>
      <c r="G141" s="15"/>
      <c r="H141" s="15"/>
      <c r="I141" s="65"/>
      <c r="J141" s="65"/>
      <c r="K141" s="14"/>
      <c r="L141" s="14"/>
      <c r="M141" s="14"/>
      <c r="N141" s="14"/>
      <c r="O141" s="14"/>
      <c r="P141" s="14"/>
      <c r="Q141" s="14"/>
    </row>
    <row r="142" ht="15.75" customHeight="1">
      <c r="A142" s="14"/>
      <c r="B142" s="14"/>
      <c r="C142" s="14"/>
      <c r="D142" s="14"/>
      <c r="E142" s="14"/>
      <c r="F142" s="14"/>
      <c r="G142" s="15"/>
      <c r="H142" s="15"/>
      <c r="I142" s="65"/>
      <c r="J142" s="65"/>
      <c r="K142" s="14"/>
      <c r="L142" s="14"/>
      <c r="M142" s="14"/>
      <c r="N142" s="14"/>
      <c r="O142" s="14"/>
      <c r="P142" s="14"/>
      <c r="Q142" s="14"/>
    </row>
    <row r="143" ht="15.75" customHeight="1">
      <c r="A143" s="14"/>
      <c r="B143" s="14"/>
      <c r="C143" s="14"/>
      <c r="D143" s="14"/>
      <c r="E143" s="14"/>
      <c r="F143" s="14"/>
      <c r="G143" s="15"/>
      <c r="H143" s="15"/>
      <c r="I143" s="65"/>
      <c r="J143" s="65"/>
      <c r="K143" s="14"/>
      <c r="L143" s="14"/>
      <c r="M143" s="14"/>
      <c r="N143" s="14"/>
      <c r="O143" s="14"/>
      <c r="P143" s="14"/>
      <c r="Q143" s="14"/>
    </row>
    <row r="144" ht="15.75" customHeight="1">
      <c r="A144" s="14"/>
      <c r="B144" s="14"/>
      <c r="C144" s="14"/>
      <c r="D144" s="14"/>
      <c r="E144" s="14"/>
      <c r="F144" s="14"/>
      <c r="G144" s="15"/>
      <c r="H144" s="15"/>
      <c r="I144" s="65"/>
      <c r="J144" s="65"/>
      <c r="K144" s="14"/>
      <c r="L144" s="14"/>
      <c r="M144" s="14"/>
      <c r="N144" s="14"/>
      <c r="O144" s="14"/>
      <c r="P144" s="14"/>
      <c r="Q144" s="14"/>
    </row>
    <row r="145" ht="15.75" customHeight="1">
      <c r="A145" s="14"/>
      <c r="B145" s="14"/>
      <c r="C145" s="14"/>
      <c r="D145" s="14"/>
      <c r="E145" s="14"/>
      <c r="F145" s="14"/>
      <c r="G145" s="15"/>
      <c r="H145" s="15"/>
      <c r="I145" s="65"/>
      <c r="J145" s="65"/>
      <c r="K145" s="14"/>
      <c r="L145" s="14"/>
      <c r="M145" s="14"/>
      <c r="N145" s="14"/>
      <c r="O145" s="14"/>
      <c r="P145" s="14"/>
      <c r="Q145" s="14"/>
    </row>
    <row r="146" ht="15.75" customHeight="1">
      <c r="A146" s="14"/>
      <c r="B146" s="14"/>
      <c r="C146" s="14"/>
      <c r="D146" s="14"/>
      <c r="E146" s="14"/>
      <c r="F146" s="14"/>
      <c r="G146" s="15"/>
      <c r="H146" s="15"/>
      <c r="I146" s="65"/>
      <c r="J146" s="65"/>
      <c r="K146" s="14"/>
      <c r="L146" s="14"/>
      <c r="M146" s="14"/>
      <c r="N146" s="14"/>
      <c r="O146" s="14"/>
      <c r="P146" s="14"/>
      <c r="Q146" s="14"/>
    </row>
    <row r="147" ht="15.75" customHeight="1">
      <c r="A147" s="14"/>
      <c r="B147" s="14"/>
      <c r="C147" s="14"/>
      <c r="D147" s="14"/>
      <c r="E147" s="14"/>
      <c r="F147" s="14"/>
      <c r="G147" s="15"/>
      <c r="H147" s="15"/>
      <c r="I147" s="65"/>
      <c r="J147" s="65"/>
      <c r="K147" s="14"/>
      <c r="L147" s="14"/>
      <c r="M147" s="14"/>
      <c r="N147" s="14"/>
      <c r="O147" s="14"/>
      <c r="P147" s="14"/>
      <c r="Q147" s="14"/>
    </row>
    <row r="148" ht="15.75" customHeight="1">
      <c r="A148" s="14"/>
      <c r="B148" s="14"/>
      <c r="C148" s="14"/>
      <c r="D148" s="14"/>
      <c r="E148" s="14"/>
      <c r="F148" s="14"/>
      <c r="G148" s="15"/>
      <c r="H148" s="15"/>
      <c r="I148" s="65"/>
      <c r="J148" s="65"/>
      <c r="K148" s="14"/>
      <c r="L148" s="14"/>
      <c r="M148" s="14"/>
      <c r="N148" s="14"/>
      <c r="O148" s="14"/>
      <c r="P148" s="14"/>
      <c r="Q148" s="14"/>
    </row>
    <row r="149" ht="15.75" customHeight="1">
      <c r="A149" s="14"/>
      <c r="B149" s="14"/>
      <c r="C149" s="14"/>
      <c r="D149" s="14"/>
      <c r="E149" s="14"/>
      <c r="F149" s="14"/>
      <c r="G149" s="15"/>
      <c r="H149" s="15"/>
      <c r="I149" s="65"/>
      <c r="J149" s="65"/>
      <c r="K149" s="14"/>
      <c r="L149" s="14"/>
      <c r="M149" s="14"/>
      <c r="N149" s="14"/>
      <c r="O149" s="14"/>
      <c r="P149" s="14"/>
      <c r="Q149" s="14"/>
    </row>
    <row r="150" ht="15.75" customHeight="1">
      <c r="A150" s="14"/>
      <c r="B150" s="14"/>
      <c r="C150" s="14"/>
      <c r="D150" s="14"/>
      <c r="E150" s="14"/>
      <c r="F150" s="14"/>
      <c r="G150" s="15"/>
      <c r="H150" s="15"/>
      <c r="I150" s="65"/>
      <c r="J150" s="65"/>
      <c r="K150" s="14"/>
      <c r="L150" s="14"/>
      <c r="M150" s="14"/>
      <c r="N150" s="14"/>
      <c r="O150" s="14"/>
      <c r="P150" s="14"/>
      <c r="Q150" s="14"/>
    </row>
    <row r="151" ht="15.75" customHeight="1">
      <c r="A151" s="14"/>
      <c r="B151" s="14"/>
      <c r="C151" s="14"/>
      <c r="D151" s="14"/>
      <c r="E151" s="14"/>
      <c r="F151" s="14"/>
      <c r="G151" s="15"/>
      <c r="H151" s="15"/>
      <c r="I151" s="65"/>
      <c r="J151" s="65"/>
      <c r="K151" s="14"/>
      <c r="L151" s="14"/>
      <c r="M151" s="14"/>
      <c r="N151" s="14"/>
      <c r="O151" s="14"/>
      <c r="P151" s="14"/>
      <c r="Q151" s="14"/>
    </row>
    <row r="152" ht="15.75" customHeight="1">
      <c r="A152" s="14"/>
      <c r="B152" s="14"/>
      <c r="C152" s="14"/>
      <c r="D152" s="14"/>
      <c r="E152" s="14"/>
      <c r="F152" s="14"/>
      <c r="G152" s="15"/>
      <c r="H152" s="15"/>
      <c r="I152" s="65"/>
      <c r="J152" s="65"/>
      <c r="K152" s="14"/>
      <c r="L152" s="14"/>
      <c r="M152" s="14"/>
      <c r="N152" s="14"/>
      <c r="O152" s="14"/>
      <c r="P152" s="14"/>
      <c r="Q152" s="14"/>
    </row>
    <row r="153" ht="15.75" customHeight="1">
      <c r="A153" s="14"/>
      <c r="B153" s="14"/>
      <c r="C153" s="14"/>
      <c r="D153" s="14"/>
      <c r="E153" s="14"/>
      <c r="F153" s="14"/>
      <c r="G153" s="15"/>
      <c r="H153" s="15"/>
      <c r="I153" s="65"/>
      <c r="J153" s="65"/>
      <c r="K153" s="14"/>
      <c r="L153" s="14"/>
      <c r="M153" s="14"/>
      <c r="N153" s="14"/>
      <c r="O153" s="14"/>
      <c r="P153" s="14"/>
      <c r="Q153" s="14"/>
    </row>
    <row r="154" ht="15.75" customHeight="1">
      <c r="A154" s="14"/>
      <c r="B154" s="14"/>
      <c r="C154" s="14"/>
      <c r="D154" s="14"/>
      <c r="E154" s="14"/>
      <c r="F154" s="14"/>
      <c r="G154" s="15"/>
      <c r="H154" s="15"/>
      <c r="I154" s="65"/>
      <c r="J154" s="65"/>
      <c r="K154" s="14"/>
      <c r="L154" s="14"/>
      <c r="M154" s="14"/>
      <c r="N154" s="14"/>
      <c r="O154" s="14"/>
      <c r="P154" s="14"/>
      <c r="Q154" s="14"/>
    </row>
    <row r="155" ht="15.75" customHeight="1">
      <c r="A155" s="14"/>
      <c r="B155" s="14"/>
      <c r="C155" s="14"/>
      <c r="D155" s="14"/>
      <c r="E155" s="14"/>
      <c r="F155" s="14"/>
      <c r="G155" s="15"/>
      <c r="H155" s="15"/>
      <c r="I155" s="65"/>
      <c r="J155" s="65"/>
      <c r="K155" s="14"/>
      <c r="L155" s="14"/>
      <c r="M155" s="14"/>
      <c r="N155" s="14"/>
      <c r="O155" s="14"/>
      <c r="P155" s="14"/>
      <c r="Q155" s="14"/>
    </row>
    <row r="156" ht="15.75" customHeight="1">
      <c r="A156" s="14"/>
      <c r="B156" s="14"/>
      <c r="C156" s="14"/>
      <c r="D156" s="14"/>
      <c r="E156" s="14"/>
      <c r="F156" s="14"/>
      <c r="G156" s="15"/>
      <c r="H156" s="15"/>
      <c r="I156" s="65"/>
      <c r="J156" s="65"/>
      <c r="K156" s="14"/>
      <c r="L156" s="14"/>
      <c r="M156" s="14"/>
      <c r="N156" s="14"/>
      <c r="O156" s="14"/>
      <c r="P156" s="14"/>
      <c r="Q156" s="14"/>
    </row>
    <row r="157" ht="15.75" customHeight="1">
      <c r="A157" s="14"/>
      <c r="B157" s="14"/>
      <c r="C157" s="14"/>
      <c r="D157" s="14"/>
      <c r="E157" s="14"/>
      <c r="F157" s="14"/>
      <c r="G157" s="15"/>
      <c r="H157" s="15"/>
      <c r="I157" s="65"/>
      <c r="J157" s="65"/>
      <c r="K157" s="14"/>
      <c r="L157" s="14"/>
      <c r="M157" s="14"/>
      <c r="N157" s="14"/>
      <c r="O157" s="14"/>
      <c r="P157" s="14"/>
      <c r="Q157" s="14"/>
    </row>
    <row r="158" ht="15.75" customHeight="1">
      <c r="A158" s="14"/>
      <c r="B158" s="14"/>
      <c r="C158" s="14"/>
      <c r="D158" s="14"/>
      <c r="E158" s="14"/>
      <c r="F158" s="14"/>
      <c r="G158" s="15"/>
      <c r="H158" s="15"/>
      <c r="I158" s="65"/>
      <c r="J158" s="65"/>
      <c r="K158" s="14"/>
      <c r="L158" s="14"/>
      <c r="M158" s="14"/>
      <c r="N158" s="14"/>
      <c r="O158" s="14"/>
      <c r="P158" s="14"/>
      <c r="Q158" s="14"/>
    </row>
    <row r="159" ht="15.75" customHeight="1">
      <c r="A159" s="14"/>
      <c r="B159" s="14"/>
      <c r="C159" s="14"/>
      <c r="D159" s="14"/>
      <c r="E159" s="14"/>
      <c r="F159" s="14"/>
      <c r="G159" s="15"/>
      <c r="H159" s="15"/>
      <c r="I159" s="65"/>
      <c r="J159" s="65"/>
      <c r="K159" s="14"/>
      <c r="L159" s="14"/>
      <c r="M159" s="14"/>
      <c r="N159" s="14"/>
      <c r="O159" s="14"/>
      <c r="P159" s="14"/>
      <c r="Q159" s="14"/>
    </row>
    <row r="160" ht="15.75" customHeight="1">
      <c r="A160" s="14"/>
      <c r="B160" s="14"/>
      <c r="C160" s="14"/>
      <c r="D160" s="14"/>
      <c r="E160" s="14"/>
      <c r="F160" s="14"/>
      <c r="G160" s="15"/>
      <c r="H160" s="15"/>
      <c r="I160" s="65"/>
      <c r="J160" s="65"/>
      <c r="K160" s="14"/>
      <c r="L160" s="14"/>
      <c r="M160" s="14"/>
      <c r="N160" s="14"/>
      <c r="O160" s="14"/>
      <c r="P160" s="14"/>
      <c r="Q160" s="14"/>
    </row>
    <row r="161" ht="15.75" customHeight="1">
      <c r="A161" s="14"/>
      <c r="B161" s="14"/>
      <c r="C161" s="14"/>
      <c r="D161" s="14"/>
      <c r="E161" s="14"/>
      <c r="F161" s="14"/>
      <c r="G161" s="15"/>
      <c r="H161" s="15"/>
      <c r="I161" s="65"/>
      <c r="J161" s="65"/>
      <c r="K161" s="14"/>
      <c r="L161" s="14"/>
      <c r="M161" s="14"/>
      <c r="N161" s="14"/>
      <c r="O161" s="14"/>
      <c r="P161" s="14"/>
      <c r="Q161" s="14"/>
    </row>
    <row r="162" ht="15.75" customHeight="1">
      <c r="A162" s="14"/>
      <c r="B162" s="14"/>
      <c r="C162" s="14"/>
      <c r="D162" s="14"/>
      <c r="E162" s="14"/>
      <c r="F162" s="14"/>
      <c r="G162" s="15"/>
      <c r="H162" s="15"/>
      <c r="I162" s="65"/>
      <c r="J162" s="65"/>
      <c r="K162" s="14"/>
      <c r="L162" s="14"/>
      <c r="M162" s="14"/>
      <c r="N162" s="14"/>
      <c r="O162" s="14"/>
      <c r="P162" s="14"/>
      <c r="Q162" s="14"/>
    </row>
    <row r="163" ht="15.75" customHeight="1">
      <c r="A163" s="14"/>
      <c r="B163" s="14"/>
      <c r="C163" s="14"/>
      <c r="D163" s="14"/>
      <c r="E163" s="14"/>
      <c r="F163" s="14"/>
      <c r="G163" s="15"/>
      <c r="H163" s="15"/>
      <c r="I163" s="65"/>
      <c r="J163" s="65"/>
      <c r="K163" s="14"/>
      <c r="L163" s="14"/>
      <c r="M163" s="14"/>
      <c r="N163" s="14"/>
      <c r="O163" s="14"/>
      <c r="P163" s="14"/>
      <c r="Q163" s="14"/>
    </row>
    <row r="164" ht="15.75" customHeight="1">
      <c r="A164" s="14"/>
      <c r="B164" s="14"/>
      <c r="C164" s="14"/>
      <c r="D164" s="14"/>
      <c r="E164" s="14"/>
      <c r="F164" s="14"/>
      <c r="G164" s="15"/>
      <c r="H164" s="15"/>
      <c r="I164" s="65"/>
      <c r="J164" s="65"/>
      <c r="K164" s="14"/>
      <c r="L164" s="14"/>
      <c r="M164" s="14"/>
      <c r="N164" s="14"/>
      <c r="O164" s="14"/>
      <c r="P164" s="14"/>
      <c r="Q164" s="14"/>
    </row>
    <row r="165" ht="15.75" customHeight="1">
      <c r="A165" s="14"/>
      <c r="B165" s="14"/>
      <c r="C165" s="14"/>
      <c r="D165" s="14"/>
      <c r="E165" s="14"/>
      <c r="F165" s="14"/>
      <c r="G165" s="15"/>
      <c r="H165" s="15"/>
      <c r="I165" s="65"/>
      <c r="J165" s="65"/>
      <c r="K165" s="14"/>
      <c r="L165" s="14"/>
      <c r="M165" s="14"/>
      <c r="N165" s="14"/>
      <c r="O165" s="14"/>
      <c r="P165" s="14"/>
      <c r="Q165" s="14"/>
    </row>
    <row r="166" ht="15.75" customHeight="1">
      <c r="A166" s="14"/>
      <c r="B166" s="14"/>
      <c r="C166" s="14"/>
      <c r="D166" s="14"/>
      <c r="E166" s="14"/>
      <c r="F166" s="14"/>
      <c r="G166" s="15"/>
      <c r="H166" s="15"/>
      <c r="I166" s="65"/>
      <c r="J166" s="65"/>
      <c r="K166" s="14"/>
      <c r="L166" s="14"/>
      <c r="M166" s="14"/>
      <c r="N166" s="14"/>
      <c r="O166" s="14"/>
      <c r="P166" s="14"/>
      <c r="Q166" s="14"/>
    </row>
    <row r="167" ht="15.75" customHeight="1">
      <c r="A167" s="14"/>
      <c r="B167" s="14"/>
      <c r="C167" s="14"/>
      <c r="D167" s="14"/>
      <c r="E167" s="14"/>
      <c r="F167" s="14"/>
      <c r="G167" s="15"/>
      <c r="H167" s="15"/>
      <c r="I167" s="65"/>
      <c r="J167" s="65"/>
      <c r="K167" s="14"/>
      <c r="L167" s="14"/>
      <c r="M167" s="14"/>
      <c r="N167" s="14"/>
      <c r="O167" s="14"/>
      <c r="P167" s="14"/>
      <c r="Q167" s="14"/>
    </row>
    <row r="168" ht="15.75" customHeight="1">
      <c r="A168" s="14"/>
      <c r="B168" s="14"/>
      <c r="C168" s="14"/>
      <c r="D168" s="14"/>
      <c r="E168" s="14"/>
      <c r="F168" s="14"/>
      <c r="G168" s="15"/>
      <c r="H168" s="15"/>
      <c r="I168" s="65"/>
      <c r="J168" s="65"/>
      <c r="K168" s="14"/>
      <c r="L168" s="14"/>
      <c r="M168" s="14"/>
      <c r="N168" s="14"/>
      <c r="O168" s="14"/>
      <c r="P168" s="14"/>
      <c r="Q168" s="14"/>
    </row>
    <row r="169" ht="15.75" customHeight="1">
      <c r="A169" s="14"/>
      <c r="B169" s="14"/>
      <c r="C169" s="14"/>
      <c r="D169" s="14"/>
      <c r="E169" s="14"/>
      <c r="F169" s="14"/>
      <c r="G169" s="15"/>
      <c r="H169" s="15"/>
      <c r="I169" s="65"/>
      <c r="J169" s="65"/>
      <c r="K169" s="14"/>
      <c r="L169" s="14"/>
      <c r="M169" s="14"/>
      <c r="N169" s="14"/>
      <c r="O169" s="14"/>
      <c r="P169" s="14"/>
      <c r="Q169" s="14"/>
    </row>
    <row r="170" ht="15.75" customHeight="1">
      <c r="A170" s="14"/>
      <c r="B170" s="14"/>
      <c r="C170" s="14"/>
      <c r="D170" s="14"/>
      <c r="E170" s="14"/>
      <c r="F170" s="14"/>
      <c r="G170" s="15"/>
      <c r="H170" s="15"/>
      <c r="I170" s="65"/>
      <c r="J170" s="65"/>
      <c r="K170" s="14"/>
      <c r="L170" s="14"/>
      <c r="M170" s="14"/>
      <c r="N170" s="14"/>
      <c r="O170" s="14"/>
      <c r="P170" s="14"/>
      <c r="Q170" s="14"/>
    </row>
    <row r="171" ht="15.75" customHeight="1">
      <c r="A171" s="14"/>
      <c r="B171" s="14"/>
      <c r="C171" s="14"/>
      <c r="D171" s="14"/>
      <c r="E171" s="14"/>
      <c r="F171" s="14"/>
      <c r="G171" s="15"/>
      <c r="H171" s="15"/>
      <c r="I171" s="65"/>
      <c r="J171" s="65"/>
      <c r="K171" s="14"/>
      <c r="L171" s="14"/>
      <c r="M171" s="14"/>
      <c r="N171" s="14"/>
      <c r="O171" s="14"/>
      <c r="P171" s="14"/>
      <c r="Q171" s="14"/>
    </row>
    <row r="172" ht="15.75" customHeight="1">
      <c r="A172" s="14"/>
      <c r="B172" s="14"/>
      <c r="C172" s="14"/>
      <c r="D172" s="14"/>
      <c r="E172" s="14"/>
      <c r="F172" s="14"/>
      <c r="G172" s="15"/>
      <c r="H172" s="15"/>
      <c r="I172" s="65"/>
      <c r="J172" s="65"/>
      <c r="K172" s="14"/>
      <c r="L172" s="14"/>
      <c r="M172" s="14"/>
      <c r="N172" s="14"/>
      <c r="O172" s="14"/>
      <c r="P172" s="14"/>
      <c r="Q172" s="14"/>
    </row>
    <row r="173" ht="15.75" customHeight="1">
      <c r="A173" s="14"/>
      <c r="B173" s="14"/>
      <c r="C173" s="14"/>
      <c r="D173" s="14"/>
      <c r="E173" s="14"/>
      <c r="F173" s="14"/>
      <c r="G173" s="15"/>
      <c r="H173" s="15"/>
      <c r="I173" s="65"/>
      <c r="J173" s="65"/>
      <c r="K173" s="14"/>
      <c r="L173" s="14"/>
      <c r="M173" s="14"/>
      <c r="N173" s="14"/>
      <c r="O173" s="14"/>
      <c r="P173" s="14"/>
      <c r="Q173" s="14"/>
    </row>
    <row r="174" ht="15.75" customHeight="1">
      <c r="A174" s="14"/>
      <c r="B174" s="14"/>
      <c r="C174" s="14"/>
      <c r="D174" s="14"/>
      <c r="E174" s="14"/>
      <c r="F174" s="14"/>
      <c r="G174" s="15"/>
      <c r="H174" s="15"/>
      <c r="I174" s="65"/>
      <c r="J174" s="65"/>
      <c r="K174" s="14"/>
      <c r="L174" s="14"/>
      <c r="M174" s="14"/>
      <c r="N174" s="14"/>
      <c r="O174" s="14"/>
      <c r="P174" s="14"/>
      <c r="Q174" s="14"/>
    </row>
    <row r="175" ht="15.75" customHeight="1">
      <c r="A175" s="14"/>
      <c r="B175" s="14"/>
      <c r="C175" s="14"/>
      <c r="D175" s="14"/>
      <c r="E175" s="14"/>
      <c r="F175" s="14"/>
      <c r="G175" s="15"/>
      <c r="H175" s="15"/>
      <c r="I175" s="65"/>
      <c r="J175" s="65"/>
      <c r="K175" s="14"/>
      <c r="L175" s="14"/>
      <c r="M175" s="14"/>
      <c r="N175" s="14"/>
      <c r="O175" s="14"/>
      <c r="P175" s="14"/>
      <c r="Q175" s="14"/>
    </row>
    <row r="176" ht="15.75" customHeight="1">
      <c r="A176" s="14"/>
      <c r="B176" s="14"/>
      <c r="C176" s="14"/>
      <c r="D176" s="14"/>
      <c r="E176" s="14"/>
      <c r="F176" s="14"/>
      <c r="G176" s="15"/>
      <c r="H176" s="15"/>
      <c r="I176" s="65"/>
      <c r="J176" s="65"/>
      <c r="K176" s="14"/>
      <c r="L176" s="14"/>
      <c r="M176" s="14"/>
      <c r="N176" s="14"/>
      <c r="O176" s="14"/>
      <c r="P176" s="14"/>
      <c r="Q176" s="14"/>
    </row>
    <row r="177" ht="15.75" customHeight="1">
      <c r="A177" s="14"/>
      <c r="B177" s="14"/>
      <c r="C177" s="14"/>
      <c r="D177" s="14"/>
      <c r="E177" s="14"/>
      <c r="F177" s="14"/>
      <c r="G177" s="15"/>
      <c r="H177" s="15"/>
      <c r="I177" s="65"/>
      <c r="J177" s="65"/>
      <c r="K177" s="14"/>
      <c r="L177" s="14"/>
      <c r="M177" s="14"/>
      <c r="N177" s="14"/>
      <c r="O177" s="14"/>
      <c r="P177" s="14"/>
      <c r="Q177" s="14"/>
    </row>
    <row r="178" ht="15.75" customHeight="1">
      <c r="A178" s="14"/>
      <c r="B178" s="14"/>
      <c r="C178" s="14"/>
      <c r="D178" s="14"/>
      <c r="E178" s="14"/>
      <c r="F178" s="14"/>
      <c r="G178" s="15"/>
      <c r="H178" s="15"/>
      <c r="I178" s="65"/>
      <c r="J178" s="65"/>
      <c r="K178" s="14"/>
      <c r="L178" s="14"/>
      <c r="M178" s="14"/>
      <c r="N178" s="14"/>
      <c r="O178" s="14"/>
      <c r="P178" s="14"/>
      <c r="Q178" s="14"/>
    </row>
    <row r="179" ht="15.75" customHeight="1">
      <c r="A179" s="14"/>
      <c r="B179" s="14"/>
      <c r="C179" s="14"/>
      <c r="D179" s="14"/>
      <c r="E179" s="14"/>
      <c r="F179" s="14"/>
      <c r="G179" s="15"/>
      <c r="H179" s="15"/>
      <c r="I179" s="65"/>
      <c r="J179" s="65"/>
      <c r="K179" s="14"/>
      <c r="L179" s="14"/>
      <c r="M179" s="14"/>
      <c r="N179" s="14"/>
      <c r="O179" s="14"/>
      <c r="P179" s="14"/>
      <c r="Q179" s="14"/>
    </row>
    <row r="180" ht="15.75" customHeight="1">
      <c r="A180" s="14"/>
      <c r="B180" s="14"/>
      <c r="C180" s="14"/>
      <c r="D180" s="14"/>
      <c r="E180" s="14"/>
      <c r="F180" s="14"/>
      <c r="G180" s="15"/>
      <c r="H180" s="15"/>
      <c r="I180" s="65"/>
      <c r="J180" s="65"/>
      <c r="K180" s="14"/>
      <c r="L180" s="14"/>
      <c r="M180" s="14"/>
      <c r="N180" s="14"/>
      <c r="O180" s="14"/>
      <c r="P180" s="14"/>
      <c r="Q180" s="14"/>
    </row>
    <row r="181" ht="15.75" customHeight="1">
      <c r="A181" s="14"/>
      <c r="B181" s="14"/>
      <c r="C181" s="14"/>
      <c r="D181" s="14"/>
      <c r="E181" s="14"/>
      <c r="F181" s="14"/>
      <c r="G181" s="15"/>
      <c r="H181" s="15"/>
      <c r="I181" s="65"/>
      <c r="J181" s="65"/>
      <c r="K181" s="14"/>
      <c r="L181" s="14"/>
      <c r="M181" s="14"/>
      <c r="N181" s="14"/>
      <c r="O181" s="14"/>
      <c r="P181" s="14"/>
      <c r="Q181" s="14"/>
    </row>
    <row r="182" ht="15.75" customHeight="1">
      <c r="A182" s="14"/>
      <c r="B182" s="14"/>
      <c r="C182" s="14"/>
      <c r="D182" s="14"/>
      <c r="E182" s="14"/>
      <c r="F182" s="14"/>
      <c r="G182" s="15"/>
      <c r="H182" s="15"/>
      <c r="I182" s="65"/>
      <c r="J182" s="65"/>
      <c r="K182" s="14"/>
      <c r="L182" s="14"/>
      <c r="M182" s="14"/>
      <c r="N182" s="14"/>
      <c r="O182" s="14"/>
      <c r="P182" s="14"/>
      <c r="Q182" s="14"/>
    </row>
    <row r="183" ht="15.75" customHeight="1">
      <c r="A183" s="14"/>
      <c r="B183" s="14"/>
      <c r="C183" s="14"/>
      <c r="D183" s="14"/>
      <c r="E183" s="14"/>
      <c r="F183" s="14"/>
      <c r="G183" s="15"/>
      <c r="H183" s="15"/>
      <c r="I183" s="65"/>
      <c r="J183" s="65"/>
      <c r="K183" s="14"/>
      <c r="L183" s="14"/>
      <c r="M183" s="14"/>
      <c r="N183" s="14"/>
      <c r="O183" s="14"/>
      <c r="P183" s="14"/>
      <c r="Q183" s="14"/>
    </row>
    <row r="184" ht="15.75" customHeight="1">
      <c r="A184" s="14"/>
      <c r="B184" s="14"/>
      <c r="C184" s="14"/>
      <c r="D184" s="14"/>
      <c r="E184" s="14"/>
      <c r="F184" s="14"/>
      <c r="G184" s="15"/>
      <c r="H184" s="15"/>
      <c r="I184" s="65"/>
      <c r="J184" s="65"/>
      <c r="K184" s="14"/>
      <c r="L184" s="14"/>
      <c r="M184" s="14"/>
      <c r="N184" s="14"/>
      <c r="O184" s="14"/>
      <c r="P184" s="14"/>
      <c r="Q184" s="14"/>
    </row>
    <row r="185" ht="15.75" customHeight="1">
      <c r="A185" s="14"/>
      <c r="B185" s="14"/>
      <c r="C185" s="14"/>
      <c r="D185" s="14"/>
      <c r="E185" s="14"/>
      <c r="F185" s="14"/>
      <c r="G185" s="15"/>
      <c r="H185" s="15"/>
      <c r="I185" s="65"/>
      <c r="J185" s="65"/>
      <c r="K185" s="14"/>
      <c r="L185" s="14"/>
      <c r="M185" s="14"/>
      <c r="N185" s="14"/>
      <c r="O185" s="14"/>
      <c r="P185" s="14"/>
      <c r="Q185" s="14"/>
    </row>
    <row r="186" ht="15.75" customHeight="1">
      <c r="A186" s="14"/>
      <c r="B186" s="14"/>
      <c r="C186" s="14"/>
      <c r="D186" s="14"/>
      <c r="E186" s="14"/>
      <c r="F186" s="14"/>
      <c r="G186" s="15"/>
      <c r="H186" s="15"/>
      <c r="I186" s="65"/>
      <c r="J186" s="65"/>
      <c r="K186" s="14"/>
      <c r="L186" s="14"/>
      <c r="M186" s="14"/>
      <c r="N186" s="14"/>
      <c r="O186" s="14"/>
      <c r="P186" s="14"/>
      <c r="Q186" s="14"/>
    </row>
    <row r="187" ht="15.75" customHeight="1">
      <c r="A187" s="14"/>
      <c r="B187" s="14"/>
      <c r="C187" s="14"/>
      <c r="D187" s="14"/>
      <c r="E187" s="14"/>
      <c r="F187" s="14"/>
      <c r="G187" s="15"/>
      <c r="H187" s="15"/>
      <c r="I187" s="65"/>
      <c r="J187" s="65"/>
      <c r="K187" s="14"/>
      <c r="L187" s="14"/>
      <c r="M187" s="14"/>
      <c r="N187" s="14"/>
      <c r="O187" s="14"/>
      <c r="P187" s="14"/>
      <c r="Q187" s="14"/>
    </row>
    <row r="188" ht="15.75" customHeight="1">
      <c r="A188" s="14"/>
      <c r="B188" s="14"/>
      <c r="C188" s="14"/>
      <c r="D188" s="14"/>
      <c r="E188" s="14"/>
      <c r="F188" s="14"/>
      <c r="G188" s="15"/>
      <c r="H188" s="15"/>
      <c r="I188" s="65"/>
      <c r="J188" s="65"/>
      <c r="K188" s="14"/>
      <c r="L188" s="14"/>
      <c r="M188" s="14"/>
      <c r="N188" s="14"/>
      <c r="O188" s="14"/>
      <c r="P188" s="14"/>
      <c r="Q188" s="14"/>
    </row>
    <row r="189" ht="15.75" customHeight="1">
      <c r="A189" s="14"/>
      <c r="B189" s="14"/>
      <c r="C189" s="14"/>
      <c r="D189" s="14"/>
      <c r="E189" s="14"/>
      <c r="F189" s="14"/>
      <c r="G189" s="15"/>
      <c r="H189" s="15"/>
      <c r="I189" s="65"/>
      <c r="J189" s="65"/>
      <c r="K189" s="14"/>
      <c r="L189" s="14"/>
      <c r="M189" s="14"/>
      <c r="N189" s="14"/>
      <c r="O189" s="14"/>
      <c r="P189" s="14"/>
      <c r="Q189" s="14"/>
    </row>
    <row r="190" ht="15.75" customHeight="1">
      <c r="A190" s="14"/>
      <c r="B190" s="14"/>
      <c r="C190" s="14"/>
      <c r="D190" s="14"/>
      <c r="E190" s="14"/>
      <c r="F190" s="14"/>
      <c r="G190" s="15"/>
      <c r="H190" s="15"/>
      <c r="I190" s="65"/>
      <c r="J190" s="65"/>
      <c r="K190" s="14"/>
      <c r="L190" s="14"/>
      <c r="M190" s="14"/>
      <c r="N190" s="14"/>
      <c r="O190" s="14"/>
      <c r="P190" s="14"/>
      <c r="Q190" s="14"/>
    </row>
    <row r="191" ht="15.75" customHeight="1">
      <c r="A191" s="14"/>
      <c r="B191" s="14"/>
      <c r="C191" s="14"/>
      <c r="D191" s="14"/>
      <c r="E191" s="14"/>
      <c r="F191" s="14"/>
      <c r="G191" s="15"/>
      <c r="H191" s="15"/>
      <c r="I191" s="65"/>
      <c r="J191" s="65"/>
      <c r="K191" s="14"/>
      <c r="L191" s="14"/>
      <c r="M191" s="14"/>
      <c r="N191" s="14"/>
      <c r="O191" s="14"/>
      <c r="P191" s="14"/>
      <c r="Q191" s="14"/>
    </row>
    <row r="192" ht="15.75" customHeight="1">
      <c r="A192" s="14"/>
      <c r="B192" s="14"/>
      <c r="C192" s="14"/>
      <c r="D192" s="14"/>
      <c r="E192" s="14"/>
      <c r="F192" s="14"/>
      <c r="G192" s="15"/>
      <c r="H192" s="15"/>
      <c r="I192" s="65"/>
      <c r="J192" s="65"/>
      <c r="K192" s="14"/>
      <c r="L192" s="14"/>
      <c r="M192" s="14"/>
      <c r="N192" s="14"/>
      <c r="O192" s="14"/>
      <c r="P192" s="14"/>
      <c r="Q192" s="14"/>
    </row>
    <row r="193" ht="15.75" customHeight="1">
      <c r="A193" s="14"/>
      <c r="B193" s="14"/>
      <c r="C193" s="14"/>
      <c r="D193" s="14"/>
      <c r="E193" s="14"/>
      <c r="F193" s="14"/>
      <c r="G193" s="15"/>
      <c r="H193" s="15"/>
      <c r="I193" s="65"/>
      <c r="J193" s="65"/>
      <c r="K193" s="14"/>
      <c r="L193" s="14"/>
      <c r="M193" s="14"/>
      <c r="N193" s="14"/>
      <c r="O193" s="14"/>
      <c r="P193" s="14"/>
      <c r="Q193" s="14"/>
    </row>
    <row r="194" ht="15.75" customHeight="1">
      <c r="A194" s="14"/>
      <c r="B194" s="14"/>
      <c r="C194" s="14"/>
      <c r="D194" s="14"/>
      <c r="E194" s="14"/>
      <c r="F194" s="14"/>
      <c r="G194" s="15"/>
      <c r="H194" s="15"/>
      <c r="I194" s="65"/>
      <c r="J194" s="65"/>
      <c r="K194" s="14"/>
      <c r="L194" s="14"/>
      <c r="M194" s="14"/>
      <c r="N194" s="14"/>
      <c r="O194" s="14"/>
      <c r="P194" s="14"/>
      <c r="Q194" s="14"/>
    </row>
    <row r="195" ht="15.75" customHeight="1">
      <c r="A195" s="14"/>
      <c r="B195" s="14"/>
      <c r="C195" s="14"/>
      <c r="D195" s="14"/>
      <c r="E195" s="14"/>
      <c r="F195" s="14"/>
      <c r="G195" s="15"/>
      <c r="H195" s="15"/>
      <c r="I195" s="65"/>
      <c r="J195" s="65"/>
      <c r="K195" s="14"/>
      <c r="L195" s="14"/>
      <c r="M195" s="14"/>
      <c r="N195" s="14"/>
      <c r="O195" s="14"/>
      <c r="P195" s="14"/>
      <c r="Q195" s="14"/>
    </row>
    <row r="196" ht="15.75" customHeight="1">
      <c r="A196" s="14"/>
      <c r="B196" s="14"/>
      <c r="C196" s="14"/>
      <c r="D196" s="14"/>
      <c r="E196" s="14"/>
      <c r="F196" s="14"/>
      <c r="G196" s="15"/>
      <c r="H196" s="15"/>
      <c r="I196" s="65"/>
      <c r="J196" s="65"/>
      <c r="K196" s="14"/>
      <c r="L196" s="14"/>
      <c r="M196" s="14"/>
      <c r="N196" s="14"/>
      <c r="O196" s="14"/>
      <c r="P196" s="14"/>
      <c r="Q196" s="14"/>
    </row>
    <row r="197" ht="15.75" customHeight="1">
      <c r="A197" s="14"/>
      <c r="B197" s="14"/>
      <c r="C197" s="14"/>
      <c r="D197" s="14"/>
      <c r="E197" s="14"/>
      <c r="F197" s="14"/>
      <c r="G197" s="15"/>
      <c r="H197" s="15"/>
      <c r="I197" s="65"/>
      <c r="J197" s="65"/>
      <c r="K197" s="14"/>
      <c r="L197" s="14"/>
      <c r="M197" s="14"/>
      <c r="N197" s="14"/>
      <c r="O197" s="14"/>
      <c r="P197" s="14"/>
      <c r="Q197" s="14"/>
    </row>
    <row r="198" ht="15.75" customHeight="1">
      <c r="A198" s="14"/>
      <c r="B198" s="14"/>
      <c r="C198" s="14"/>
      <c r="D198" s="14"/>
      <c r="E198" s="14"/>
      <c r="F198" s="14"/>
      <c r="G198" s="15"/>
      <c r="H198" s="15"/>
      <c r="I198" s="65"/>
      <c r="J198" s="65"/>
      <c r="K198" s="14"/>
      <c r="L198" s="14"/>
      <c r="M198" s="14"/>
      <c r="N198" s="14"/>
      <c r="O198" s="14"/>
      <c r="P198" s="14"/>
      <c r="Q198" s="14"/>
    </row>
    <row r="199" ht="15.75" customHeight="1">
      <c r="A199" s="14"/>
      <c r="B199" s="14"/>
      <c r="C199" s="14"/>
      <c r="D199" s="14"/>
      <c r="E199" s="14"/>
      <c r="F199" s="14"/>
      <c r="G199" s="15"/>
      <c r="H199" s="15"/>
      <c r="I199" s="65"/>
      <c r="J199" s="65"/>
      <c r="K199" s="14"/>
      <c r="L199" s="14"/>
      <c r="M199" s="14"/>
      <c r="N199" s="14"/>
      <c r="O199" s="14"/>
      <c r="P199" s="14"/>
      <c r="Q199" s="14"/>
    </row>
    <row r="200" ht="15.75" customHeight="1">
      <c r="A200" s="14"/>
      <c r="B200" s="14"/>
      <c r="C200" s="14"/>
      <c r="D200" s="14"/>
      <c r="E200" s="14"/>
      <c r="F200" s="14"/>
      <c r="G200" s="15"/>
      <c r="H200" s="15"/>
      <c r="I200" s="65"/>
      <c r="J200" s="65"/>
      <c r="K200" s="14"/>
      <c r="L200" s="14"/>
      <c r="M200" s="14"/>
      <c r="N200" s="14"/>
      <c r="O200" s="14"/>
      <c r="P200" s="14"/>
      <c r="Q200" s="14"/>
    </row>
    <row r="201" ht="15.75" customHeight="1">
      <c r="A201" s="14"/>
      <c r="B201" s="14"/>
      <c r="C201" s="14"/>
      <c r="D201" s="14"/>
      <c r="E201" s="14"/>
      <c r="F201" s="14"/>
      <c r="G201" s="15"/>
      <c r="H201" s="15"/>
      <c r="I201" s="65"/>
      <c r="J201" s="65"/>
      <c r="K201" s="14"/>
      <c r="L201" s="14"/>
      <c r="M201" s="14"/>
      <c r="N201" s="14"/>
      <c r="O201" s="14"/>
      <c r="P201" s="14"/>
      <c r="Q201" s="14"/>
    </row>
    <row r="202" ht="15.75" customHeight="1">
      <c r="A202" s="14"/>
      <c r="B202" s="14"/>
      <c r="C202" s="14"/>
      <c r="D202" s="14"/>
      <c r="E202" s="14"/>
      <c r="F202" s="14"/>
      <c r="G202" s="15"/>
      <c r="H202" s="15"/>
      <c r="I202" s="65"/>
      <c r="J202" s="65"/>
      <c r="K202" s="14"/>
      <c r="L202" s="14"/>
      <c r="M202" s="14"/>
      <c r="N202" s="14"/>
      <c r="O202" s="14"/>
      <c r="P202" s="14"/>
      <c r="Q202" s="14"/>
    </row>
    <row r="203" ht="15.75" customHeight="1">
      <c r="A203" s="14"/>
      <c r="B203" s="14"/>
      <c r="C203" s="14"/>
      <c r="D203" s="14"/>
      <c r="E203" s="14"/>
      <c r="F203" s="14"/>
      <c r="G203" s="15"/>
      <c r="H203" s="15"/>
      <c r="I203" s="65"/>
      <c r="J203" s="65"/>
      <c r="K203" s="14"/>
      <c r="L203" s="14"/>
      <c r="M203" s="14"/>
      <c r="N203" s="14"/>
      <c r="O203" s="14"/>
      <c r="P203" s="14"/>
      <c r="Q203" s="14"/>
    </row>
    <row r="204" ht="15.75" customHeight="1">
      <c r="A204" s="14"/>
      <c r="B204" s="14"/>
      <c r="C204" s="14"/>
      <c r="D204" s="14"/>
      <c r="E204" s="14"/>
      <c r="F204" s="14"/>
      <c r="G204" s="15"/>
      <c r="H204" s="15"/>
      <c r="I204" s="65"/>
      <c r="J204" s="65"/>
      <c r="K204" s="14"/>
      <c r="L204" s="14"/>
      <c r="M204" s="14"/>
      <c r="N204" s="14"/>
      <c r="O204" s="14"/>
      <c r="P204" s="14"/>
      <c r="Q204" s="14"/>
    </row>
    <row r="205" ht="15.75" customHeight="1">
      <c r="A205" s="14"/>
      <c r="B205" s="14"/>
      <c r="C205" s="14"/>
      <c r="D205" s="14"/>
      <c r="E205" s="14"/>
      <c r="F205" s="14"/>
      <c r="G205" s="15"/>
      <c r="H205" s="15"/>
      <c r="I205" s="65"/>
      <c r="J205" s="65"/>
      <c r="K205" s="14"/>
      <c r="L205" s="14"/>
      <c r="M205" s="14"/>
      <c r="N205" s="14"/>
      <c r="O205" s="14"/>
      <c r="P205" s="14"/>
      <c r="Q205" s="14"/>
    </row>
    <row r="206" ht="15.75" customHeight="1">
      <c r="A206" s="14"/>
      <c r="B206" s="14"/>
      <c r="C206" s="14"/>
      <c r="D206" s="14"/>
      <c r="E206" s="14"/>
      <c r="F206" s="14"/>
      <c r="G206" s="15"/>
      <c r="H206" s="15"/>
      <c r="I206" s="65"/>
      <c r="J206" s="65"/>
      <c r="K206" s="14"/>
      <c r="L206" s="14"/>
      <c r="M206" s="14"/>
      <c r="N206" s="14"/>
      <c r="O206" s="14"/>
      <c r="P206" s="14"/>
      <c r="Q206" s="14"/>
    </row>
    <row r="207" ht="15.75" customHeight="1">
      <c r="A207" s="14"/>
      <c r="B207" s="14"/>
      <c r="C207" s="14"/>
      <c r="D207" s="14"/>
      <c r="E207" s="14"/>
      <c r="F207" s="14"/>
      <c r="G207" s="15"/>
      <c r="H207" s="15"/>
      <c r="I207" s="65"/>
      <c r="J207" s="65"/>
      <c r="K207" s="14"/>
      <c r="L207" s="14"/>
      <c r="M207" s="14"/>
      <c r="N207" s="14"/>
      <c r="O207" s="14"/>
      <c r="P207" s="14"/>
      <c r="Q207" s="14"/>
    </row>
    <row r="208" ht="15.75" customHeight="1">
      <c r="A208" s="14"/>
      <c r="B208" s="14"/>
      <c r="C208" s="14"/>
      <c r="D208" s="14"/>
      <c r="E208" s="14"/>
      <c r="F208" s="14"/>
      <c r="G208" s="15"/>
      <c r="H208" s="15"/>
      <c r="I208" s="65"/>
      <c r="J208" s="65"/>
      <c r="K208" s="14"/>
      <c r="L208" s="14"/>
      <c r="M208" s="14"/>
      <c r="N208" s="14"/>
      <c r="O208" s="14"/>
      <c r="P208" s="14"/>
      <c r="Q208" s="14"/>
    </row>
    <row r="209" ht="15.75" customHeight="1">
      <c r="A209" s="14"/>
      <c r="B209" s="14"/>
      <c r="C209" s="14"/>
      <c r="D209" s="14"/>
      <c r="E209" s="14"/>
      <c r="F209" s="14"/>
      <c r="G209" s="15"/>
      <c r="H209" s="15"/>
      <c r="I209" s="65"/>
      <c r="J209" s="65"/>
      <c r="K209" s="14"/>
      <c r="L209" s="14"/>
      <c r="M209" s="14"/>
      <c r="N209" s="14"/>
      <c r="O209" s="14"/>
      <c r="P209" s="14"/>
      <c r="Q209" s="14"/>
    </row>
    <row r="210" ht="15.75" customHeight="1">
      <c r="A210" s="14"/>
      <c r="B210" s="14"/>
      <c r="C210" s="14"/>
      <c r="D210" s="14"/>
      <c r="E210" s="14"/>
      <c r="F210" s="14"/>
      <c r="G210" s="15"/>
      <c r="H210" s="15"/>
      <c r="I210" s="65"/>
      <c r="J210" s="65"/>
      <c r="K210" s="14"/>
      <c r="L210" s="14"/>
      <c r="M210" s="14"/>
      <c r="N210" s="14"/>
      <c r="O210" s="14"/>
      <c r="P210" s="14"/>
      <c r="Q210" s="14"/>
    </row>
    <row r="211" ht="15.75" customHeight="1">
      <c r="A211" s="14"/>
      <c r="B211" s="14"/>
      <c r="C211" s="14"/>
      <c r="D211" s="14"/>
      <c r="E211" s="14"/>
      <c r="F211" s="14"/>
      <c r="G211" s="15"/>
      <c r="H211" s="15"/>
      <c r="I211" s="65"/>
      <c r="J211" s="65"/>
      <c r="K211" s="14"/>
      <c r="L211" s="14"/>
      <c r="M211" s="14"/>
      <c r="N211" s="14"/>
      <c r="O211" s="14"/>
      <c r="P211" s="14"/>
      <c r="Q211" s="14"/>
    </row>
    <row r="212" ht="15.75" customHeight="1">
      <c r="A212" s="14"/>
      <c r="B212" s="14"/>
      <c r="C212" s="14"/>
      <c r="D212" s="14"/>
      <c r="E212" s="14"/>
      <c r="F212" s="14"/>
      <c r="G212" s="15"/>
      <c r="H212" s="15"/>
      <c r="I212" s="65"/>
      <c r="J212" s="65"/>
      <c r="K212" s="14"/>
      <c r="L212" s="14"/>
      <c r="M212" s="14"/>
      <c r="N212" s="14"/>
      <c r="O212" s="14"/>
      <c r="P212" s="14"/>
      <c r="Q212" s="14"/>
    </row>
    <row r="213" ht="15.75" customHeight="1">
      <c r="A213" s="14"/>
      <c r="B213" s="14"/>
      <c r="C213" s="14"/>
      <c r="D213" s="14"/>
      <c r="E213" s="14"/>
      <c r="F213" s="14"/>
      <c r="G213" s="15"/>
      <c r="H213" s="15"/>
      <c r="I213" s="65"/>
      <c r="J213" s="65"/>
      <c r="K213" s="14"/>
      <c r="L213" s="14"/>
      <c r="M213" s="14"/>
      <c r="N213" s="14"/>
      <c r="O213" s="14"/>
      <c r="P213" s="14"/>
      <c r="Q213" s="14"/>
    </row>
    <row r="214" ht="15.75" customHeight="1">
      <c r="A214" s="14"/>
      <c r="B214" s="14"/>
      <c r="C214" s="14"/>
      <c r="D214" s="14"/>
      <c r="E214" s="14"/>
      <c r="F214" s="14"/>
      <c r="G214" s="15"/>
      <c r="H214" s="15"/>
      <c r="I214" s="65"/>
      <c r="J214" s="65"/>
      <c r="K214" s="14"/>
      <c r="L214" s="14"/>
      <c r="M214" s="14"/>
      <c r="N214" s="14"/>
      <c r="O214" s="14"/>
      <c r="P214" s="14"/>
      <c r="Q214" s="14"/>
    </row>
    <row r="215" ht="15.75" customHeight="1">
      <c r="A215" s="14"/>
      <c r="B215" s="14"/>
      <c r="C215" s="14"/>
      <c r="D215" s="14"/>
      <c r="E215" s="14"/>
      <c r="F215" s="14"/>
      <c r="G215" s="15"/>
      <c r="H215" s="15"/>
      <c r="I215" s="65"/>
      <c r="J215" s="65"/>
      <c r="K215" s="14"/>
      <c r="L215" s="14"/>
      <c r="M215" s="14"/>
      <c r="N215" s="14"/>
      <c r="O215" s="14"/>
      <c r="P215" s="14"/>
      <c r="Q215" s="14"/>
    </row>
    <row r="216" ht="15.75" customHeight="1">
      <c r="A216" s="14"/>
      <c r="B216" s="14"/>
      <c r="C216" s="14"/>
      <c r="D216" s="14"/>
      <c r="E216" s="14"/>
      <c r="F216" s="14"/>
      <c r="G216" s="15"/>
      <c r="H216" s="15"/>
      <c r="I216" s="65"/>
      <c r="J216" s="65"/>
      <c r="K216" s="14"/>
      <c r="L216" s="14"/>
      <c r="M216" s="14"/>
      <c r="N216" s="14"/>
      <c r="O216" s="14"/>
      <c r="P216" s="14"/>
      <c r="Q216" s="14"/>
    </row>
    <row r="217" ht="15.75" customHeight="1">
      <c r="A217" s="14"/>
      <c r="B217" s="14"/>
      <c r="C217" s="14"/>
      <c r="D217" s="14"/>
      <c r="E217" s="14"/>
      <c r="F217" s="14"/>
      <c r="G217" s="15"/>
      <c r="H217" s="15"/>
      <c r="I217" s="65"/>
      <c r="J217" s="65"/>
      <c r="K217" s="14"/>
      <c r="L217" s="14"/>
      <c r="M217" s="14"/>
      <c r="N217" s="14"/>
      <c r="O217" s="14"/>
      <c r="P217" s="14"/>
      <c r="Q217" s="14"/>
    </row>
    <row r="218" ht="15.75" customHeight="1">
      <c r="A218" s="14"/>
      <c r="B218" s="14"/>
      <c r="C218" s="14"/>
      <c r="D218" s="14"/>
      <c r="E218" s="14"/>
      <c r="F218" s="14"/>
      <c r="G218" s="15"/>
      <c r="H218" s="15"/>
      <c r="I218" s="65"/>
      <c r="J218" s="65"/>
      <c r="K218" s="14"/>
      <c r="L218" s="14"/>
      <c r="M218" s="14"/>
      <c r="N218" s="14"/>
      <c r="O218" s="14"/>
      <c r="P218" s="14"/>
      <c r="Q218" s="14"/>
    </row>
    <row r="219" ht="15.75" customHeight="1">
      <c r="A219" s="14"/>
      <c r="B219" s="14"/>
      <c r="C219" s="14"/>
      <c r="D219" s="14"/>
      <c r="E219" s="14"/>
      <c r="F219" s="14"/>
      <c r="G219" s="15"/>
      <c r="H219" s="15"/>
      <c r="I219" s="65"/>
      <c r="J219" s="65"/>
      <c r="K219" s="14"/>
      <c r="L219" s="14"/>
      <c r="M219" s="14"/>
      <c r="N219" s="14"/>
      <c r="O219" s="14"/>
      <c r="P219" s="14"/>
      <c r="Q219" s="14"/>
    </row>
    <row r="220" ht="15.75" customHeight="1">
      <c r="A220" s="14"/>
      <c r="B220" s="14"/>
      <c r="C220" s="14"/>
      <c r="D220" s="14"/>
      <c r="E220" s="14"/>
      <c r="F220" s="14"/>
      <c r="G220" s="15"/>
      <c r="H220" s="15"/>
      <c r="I220" s="65"/>
      <c r="J220" s="65"/>
      <c r="K220" s="14"/>
      <c r="L220" s="14"/>
      <c r="M220" s="14"/>
      <c r="N220" s="14"/>
      <c r="O220" s="14"/>
      <c r="P220" s="14"/>
      <c r="Q220" s="14"/>
    </row>
    <row r="221" ht="15.75" customHeight="1">
      <c r="E221" s="60"/>
      <c r="L221" s="60"/>
      <c r="M221" s="60"/>
    </row>
    <row r="222" ht="15.75" customHeight="1">
      <c r="E222" s="60"/>
      <c r="L222" s="60"/>
      <c r="M222" s="60"/>
    </row>
    <row r="223" ht="15.75" customHeight="1">
      <c r="E223" s="60"/>
      <c r="L223" s="60"/>
      <c r="M223" s="60"/>
    </row>
    <row r="224" ht="15.75" customHeight="1">
      <c r="E224" s="60"/>
      <c r="L224" s="60"/>
      <c r="M224" s="60"/>
    </row>
    <row r="225" ht="15.75" customHeight="1">
      <c r="E225" s="60"/>
      <c r="L225" s="60"/>
      <c r="M225" s="60"/>
    </row>
    <row r="226" ht="15.75" customHeight="1">
      <c r="E226" s="60"/>
      <c r="L226" s="60"/>
      <c r="M226" s="60"/>
    </row>
    <row r="227" ht="15.75" customHeight="1">
      <c r="E227" s="60"/>
      <c r="L227" s="60"/>
      <c r="M227" s="60"/>
    </row>
    <row r="228" ht="15.75" customHeight="1">
      <c r="E228" s="60"/>
      <c r="L228" s="60"/>
      <c r="M228" s="60"/>
    </row>
    <row r="229" ht="15.75" customHeight="1">
      <c r="E229" s="60"/>
      <c r="L229" s="60"/>
      <c r="M229" s="60"/>
    </row>
    <row r="230" ht="15.75" customHeight="1">
      <c r="E230" s="60"/>
      <c r="L230" s="60"/>
      <c r="M230" s="60"/>
    </row>
    <row r="231" ht="15.75" customHeight="1">
      <c r="E231" s="60"/>
      <c r="L231" s="60"/>
      <c r="M231" s="60"/>
    </row>
    <row r="232" ht="15.75" customHeight="1">
      <c r="E232" s="60"/>
      <c r="L232" s="60"/>
      <c r="M232" s="60"/>
    </row>
    <row r="233" ht="15.75" customHeight="1">
      <c r="E233" s="60"/>
      <c r="L233" s="60"/>
      <c r="M233" s="60"/>
    </row>
    <row r="234" ht="15.75" customHeight="1">
      <c r="E234" s="60"/>
      <c r="L234" s="60"/>
      <c r="M234" s="60"/>
    </row>
    <row r="235" ht="15.75" customHeight="1">
      <c r="E235" s="60"/>
      <c r="L235" s="60"/>
      <c r="M235" s="60"/>
    </row>
    <row r="236" ht="15.75" customHeight="1">
      <c r="E236" s="60"/>
      <c r="L236" s="60"/>
      <c r="M236" s="60"/>
    </row>
    <row r="237" ht="15.75" customHeight="1">
      <c r="E237" s="60"/>
      <c r="L237" s="60"/>
      <c r="M237" s="60"/>
    </row>
    <row r="238" ht="15.75" customHeight="1">
      <c r="E238" s="60"/>
      <c r="L238" s="60"/>
      <c r="M238" s="60"/>
    </row>
    <row r="239" ht="15.75" customHeight="1">
      <c r="E239" s="60"/>
      <c r="L239" s="60"/>
      <c r="M239" s="60"/>
    </row>
    <row r="240" ht="15.75" customHeight="1">
      <c r="E240" s="60"/>
      <c r="L240" s="60"/>
      <c r="M240" s="60"/>
    </row>
    <row r="241" ht="15.75" customHeight="1">
      <c r="E241" s="60"/>
      <c r="L241" s="60"/>
      <c r="M241" s="60"/>
    </row>
    <row r="242" ht="15.75" customHeight="1">
      <c r="E242" s="60"/>
      <c r="L242" s="60"/>
      <c r="M242" s="60"/>
    </row>
    <row r="243" ht="15.75" customHeight="1">
      <c r="E243" s="60"/>
      <c r="L243" s="60"/>
      <c r="M243" s="60"/>
    </row>
    <row r="244" ht="15.75" customHeight="1">
      <c r="E244" s="60"/>
      <c r="L244" s="60"/>
      <c r="M244" s="60"/>
    </row>
    <row r="245" ht="15.75" customHeight="1">
      <c r="E245" s="60"/>
      <c r="L245" s="60"/>
      <c r="M245" s="60"/>
    </row>
    <row r="246" ht="15.75" customHeight="1">
      <c r="E246" s="60"/>
      <c r="L246" s="60"/>
      <c r="M246" s="60"/>
    </row>
    <row r="247" ht="15.75" customHeight="1">
      <c r="E247" s="60"/>
      <c r="L247" s="60"/>
      <c r="M247" s="60"/>
    </row>
    <row r="248" ht="15.75" customHeight="1">
      <c r="E248" s="60"/>
      <c r="L248" s="60"/>
      <c r="M248" s="60"/>
    </row>
    <row r="249" ht="15.75" customHeight="1">
      <c r="E249" s="60"/>
      <c r="L249" s="60"/>
      <c r="M249" s="60"/>
    </row>
    <row r="250" ht="15.75" customHeight="1">
      <c r="E250" s="60"/>
      <c r="L250" s="60"/>
      <c r="M250" s="60"/>
    </row>
    <row r="251" ht="15.75" customHeight="1">
      <c r="E251" s="60"/>
      <c r="L251" s="60"/>
      <c r="M251" s="60"/>
    </row>
    <row r="252" ht="15.75" customHeight="1">
      <c r="E252" s="60"/>
      <c r="L252" s="60"/>
      <c r="M252" s="60"/>
    </row>
    <row r="253" ht="15.75" customHeight="1">
      <c r="E253" s="60"/>
      <c r="L253" s="60"/>
      <c r="M253" s="60"/>
    </row>
    <row r="254" ht="15.75" customHeight="1">
      <c r="E254" s="60"/>
      <c r="L254" s="60"/>
      <c r="M254" s="60"/>
    </row>
    <row r="255" ht="15.75" customHeight="1">
      <c r="E255" s="60"/>
      <c r="L255" s="60"/>
      <c r="M255" s="60"/>
    </row>
    <row r="256" ht="15.75" customHeight="1">
      <c r="E256" s="60"/>
      <c r="L256" s="60"/>
      <c r="M256" s="60"/>
    </row>
    <row r="257" ht="15.75" customHeight="1">
      <c r="E257" s="60"/>
      <c r="L257" s="60"/>
      <c r="M257" s="60"/>
    </row>
    <row r="258" ht="15.75" customHeight="1">
      <c r="E258" s="60"/>
      <c r="L258" s="60"/>
      <c r="M258" s="60"/>
    </row>
    <row r="259" ht="15.75" customHeight="1">
      <c r="E259" s="60"/>
      <c r="L259" s="60"/>
      <c r="M259" s="60"/>
    </row>
    <row r="260" ht="15.75" customHeight="1">
      <c r="E260" s="60"/>
      <c r="L260" s="60"/>
      <c r="M260" s="60"/>
    </row>
    <row r="261" ht="15.75" customHeight="1">
      <c r="E261" s="60"/>
      <c r="L261" s="60"/>
      <c r="M261" s="60"/>
    </row>
    <row r="262" ht="15.75" customHeight="1">
      <c r="E262" s="60"/>
      <c r="L262" s="60"/>
      <c r="M262" s="60"/>
    </row>
    <row r="263" ht="15.75" customHeight="1">
      <c r="E263" s="60"/>
      <c r="L263" s="60"/>
      <c r="M263" s="60"/>
    </row>
    <row r="264" ht="15.75" customHeight="1">
      <c r="E264" s="60"/>
      <c r="L264" s="60"/>
      <c r="M264" s="60"/>
    </row>
    <row r="265" ht="15.75" customHeight="1">
      <c r="E265" s="60"/>
      <c r="L265" s="60"/>
      <c r="M265" s="60"/>
    </row>
    <row r="266" ht="15.75" customHeight="1">
      <c r="E266" s="60"/>
      <c r="L266" s="60"/>
      <c r="M266" s="60"/>
    </row>
    <row r="267" ht="15.75" customHeight="1">
      <c r="E267" s="60"/>
      <c r="L267" s="60"/>
      <c r="M267" s="60"/>
    </row>
    <row r="268" ht="15.75" customHeight="1">
      <c r="E268" s="60"/>
      <c r="L268" s="60"/>
      <c r="M268" s="60"/>
    </row>
    <row r="269" ht="15.75" customHeight="1">
      <c r="E269" s="60"/>
      <c r="L269" s="60"/>
      <c r="M269" s="60"/>
    </row>
    <row r="270" ht="15.75" customHeight="1">
      <c r="E270" s="60"/>
      <c r="L270" s="60"/>
      <c r="M270" s="60"/>
    </row>
    <row r="271" ht="15.75" customHeight="1">
      <c r="E271" s="60"/>
      <c r="L271" s="60"/>
      <c r="M271" s="60"/>
    </row>
    <row r="272" ht="15.75" customHeight="1">
      <c r="E272" s="60"/>
      <c r="L272" s="60"/>
      <c r="M272" s="60"/>
    </row>
    <row r="273" ht="15.75" customHeight="1">
      <c r="E273" s="60"/>
      <c r="L273" s="60"/>
      <c r="M273" s="60"/>
    </row>
    <row r="274" ht="15.75" customHeight="1">
      <c r="E274" s="60"/>
      <c r="L274" s="60"/>
      <c r="M274" s="60"/>
    </row>
    <row r="275" ht="15.75" customHeight="1">
      <c r="E275" s="60"/>
      <c r="L275" s="60"/>
      <c r="M275" s="60"/>
    </row>
    <row r="276" ht="15.75" customHeight="1">
      <c r="E276" s="60"/>
      <c r="L276" s="60"/>
      <c r="M276" s="60"/>
    </row>
    <row r="277" ht="15.75" customHeight="1">
      <c r="E277" s="60"/>
      <c r="L277" s="60"/>
      <c r="M277" s="60"/>
    </row>
    <row r="278" ht="15.75" customHeight="1">
      <c r="E278" s="60"/>
      <c r="L278" s="60"/>
      <c r="M278" s="60"/>
    </row>
    <row r="279" ht="15.75" customHeight="1">
      <c r="E279" s="60"/>
      <c r="L279" s="60"/>
      <c r="M279" s="60"/>
    </row>
    <row r="280" ht="15.75" customHeight="1">
      <c r="E280" s="60"/>
      <c r="L280" s="60"/>
      <c r="M280" s="60"/>
    </row>
    <row r="281" ht="15.75" customHeight="1">
      <c r="E281" s="60"/>
      <c r="L281" s="60"/>
      <c r="M281" s="60"/>
    </row>
    <row r="282" ht="15.75" customHeight="1">
      <c r="E282" s="60"/>
      <c r="L282" s="60"/>
      <c r="M282" s="60"/>
    </row>
    <row r="283" ht="15.75" customHeight="1">
      <c r="E283" s="60"/>
      <c r="L283" s="60"/>
      <c r="M283" s="60"/>
    </row>
    <row r="284" ht="15.75" customHeight="1">
      <c r="E284" s="60"/>
      <c r="L284" s="60"/>
      <c r="M284" s="60"/>
    </row>
    <row r="285" ht="15.75" customHeight="1">
      <c r="E285" s="60"/>
      <c r="L285" s="60"/>
      <c r="M285" s="60"/>
    </row>
    <row r="286" ht="15.75" customHeight="1">
      <c r="E286" s="60"/>
      <c r="L286" s="60"/>
      <c r="M286" s="60"/>
    </row>
    <row r="287" ht="15.75" customHeight="1">
      <c r="E287" s="60"/>
      <c r="L287" s="60"/>
      <c r="M287" s="60"/>
    </row>
    <row r="288" ht="15.75" customHeight="1">
      <c r="E288" s="60"/>
      <c r="L288" s="60"/>
      <c r="M288" s="60"/>
    </row>
    <row r="289" ht="15.75" customHeight="1">
      <c r="E289" s="60"/>
      <c r="L289" s="60"/>
      <c r="M289" s="60"/>
    </row>
    <row r="290" ht="15.75" customHeight="1">
      <c r="E290" s="60"/>
      <c r="L290" s="60"/>
      <c r="M290" s="60"/>
    </row>
    <row r="291" ht="15.75" customHeight="1">
      <c r="E291" s="60"/>
      <c r="L291" s="60"/>
      <c r="M291" s="60"/>
    </row>
    <row r="292" ht="15.75" customHeight="1">
      <c r="E292" s="60"/>
      <c r="L292" s="60"/>
      <c r="M292" s="60"/>
    </row>
    <row r="293" ht="15.75" customHeight="1">
      <c r="E293" s="60"/>
      <c r="L293" s="60"/>
      <c r="M293" s="60"/>
    </row>
    <row r="294" ht="15.75" customHeight="1">
      <c r="E294" s="60"/>
      <c r="L294" s="60"/>
      <c r="M294" s="60"/>
    </row>
    <row r="295" ht="15.75" customHeight="1">
      <c r="E295" s="60"/>
      <c r="L295" s="60"/>
      <c r="M295" s="60"/>
    </row>
    <row r="296" ht="15.75" customHeight="1">
      <c r="E296" s="60"/>
      <c r="L296" s="60"/>
      <c r="M296" s="60"/>
    </row>
    <row r="297" ht="15.75" customHeight="1">
      <c r="E297" s="60"/>
      <c r="L297" s="60"/>
      <c r="M297" s="60"/>
    </row>
    <row r="298" ht="15.75" customHeight="1">
      <c r="E298" s="60"/>
      <c r="L298" s="60"/>
      <c r="M298" s="60"/>
    </row>
    <row r="299" ht="15.75" customHeight="1">
      <c r="E299" s="60"/>
      <c r="L299" s="60"/>
      <c r="M299" s="60"/>
    </row>
    <row r="300" ht="15.75" customHeight="1">
      <c r="E300" s="60"/>
      <c r="L300" s="60"/>
      <c r="M300" s="60"/>
    </row>
    <row r="301" ht="15.75" customHeight="1">
      <c r="E301" s="60"/>
      <c r="L301" s="60"/>
      <c r="M301" s="60"/>
    </row>
    <row r="302" ht="15.75" customHeight="1">
      <c r="E302" s="60"/>
      <c r="L302" s="60"/>
      <c r="M302" s="60"/>
    </row>
    <row r="303" ht="15.75" customHeight="1">
      <c r="E303" s="60"/>
      <c r="L303" s="60"/>
      <c r="M303" s="60"/>
    </row>
    <row r="304" ht="15.75" customHeight="1">
      <c r="E304" s="60"/>
      <c r="L304" s="60"/>
      <c r="M304" s="60"/>
    </row>
    <row r="305" ht="15.75" customHeight="1">
      <c r="E305" s="60"/>
      <c r="L305" s="60"/>
      <c r="M305" s="60"/>
    </row>
    <row r="306" ht="15.75" customHeight="1">
      <c r="E306" s="60"/>
      <c r="L306" s="60"/>
      <c r="M306" s="60"/>
    </row>
    <row r="307" ht="15.75" customHeight="1">
      <c r="E307" s="60"/>
      <c r="L307" s="60"/>
      <c r="M307" s="60"/>
    </row>
    <row r="308" ht="15.75" customHeight="1">
      <c r="E308" s="60"/>
      <c r="L308" s="60"/>
      <c r="M308" s="60"/>
    </row>
    <row r="309" ht="15.75" customHeight="1">
      <c r="E309" s="60"/>
      <c r="L309" s="60"/>
      <c r="M309" s="60"/>
    </row>
    <row r="310" ht="15.75" customHeight="1">
      <c r="E310" s="60"/>
      <c r="L310" s="60"/>
      <c r="M310" s="60"/>
    </row>
    <row r="311" ht="15.75" customHeight="1">
      <c r="E311" s="60"/>
      <c r="L311" s="60"/>
      <c r="M311" s="60"/>
    </row>
    <row r="312" ht="15.75" customHeight="1">
      <c r="E312" s="60"/>
      <c r="L312" s="60"/>
      <c r="M312" s="60"/>
    </row>
    <row r="313" ht="15.75" customHeight="1">
      <c r="E313" s="60"/>
      <c r="L313" s="60"/>
      <c r="M313" s="60"/>
    </row>
    <row r="314" ht="15.75" customHeight="1">
      <c r="E314" s="60"/>
      <c r="L314" s="60"/>
      <c r="M314" s="60"/>
    </row>
    <row r="315" ht="15.75" customHeight="1">
      <c r="E315" s="60"/>
      <c r="L315" s="60"/>
      <c r="M315" s="60"/>
    </row>
    <row r="316" ht="15.75" customHeight="1">
      <c r="E316" s="60"/>
      <c r="L316" s="60"/>
      <c r="M316" s="60"/>
    </row>
    <row r="317" ht="15.75" customHeight="1">
      <c r="E317" s="60"/>
      <c r="L317" s="60"/>
      <c r="M317" s="60"/>
    </row>
    <row r="318" ht="15.75" customHeight="1">
      <c r="E318" s="60"/>
      <c r="L318" s="60"/>
      <c r="M318" s="60"/>
    </row>
    <row r="319" ht="15.75" customHeight="1">
      <c r="E319" s="60"/>
      <c r="L319" s="60"/>
      <c r="M319" s="60"/>
    </row>
    <row r="320" ht="15.75" customHeight="1">
      <c r="E320" s="60"/>
      <c r="L320" s="60"/>
      <c r="M320" s="60"/>
    </row>
    <row r="321" ht="15.75" customHeight="1">
      <c r="E321" s="60"/>
      <c r="L321" s="60"/>
      <c r="M321" s="60"/>
    </row>
    <row r="322" ht="15.75" customHeight="1">
      <c r="E322" s="60"/>
      <c r="L322" s="60"/>
      <c r="M322" s="60"/>
    </row>
    <row r="323" ht="15.75" customHeight="1">
      <c r="E323" s="60"/>
      <c r="L323" s="60"/>
      <c r="M323" s="60"/>
    </row>
    <row r="324" ht="15.75" customHeight="1">
      <c r="E324" s="60"/>
      <c r="L324" s="60"/>
      <c r="M324" s="60"/>
    </row>
    <row r="325" ht="15.75" customHeight="1">
      <c r="E325" s="60"/>
      <c r="L325" s="60"/>
      <c r="M325" s="60"/>
    </row>
    <row r="326" ht="15.75" customHeight="1">
      <c r="E326" s="60"/>
      <c r="L326" s="60"/>
      <c r="M326" s="60"/>
    </row>
    <row r="327" ht="15.75" customHeight="1">
      <c r="E327" s="60"/>
      <c r="L327" s="60"/>
      <c r="M327" s="60"/>
    </row>
    <row r="328" ht="15.75" customHeight="1">
      <c r="E328" s="60"/>
      <c r="L328" s="60"/>
      <c r="M328" s="60"/>
    </row>
    <row r="329" ht="15.75" customHeight="1">
      <c r="E329" s="60"/>
      <c r="L329" s="60"/>
      <c r="M329" s="60"/>
    </row>
    <row r="330" ht="15.75" customHeight="1">
      <c r="E330" s="60"/>
      <c r="L330" s="60"/>
      <c r="M330" s="60"/>
    </row>
    <row r="331" ht="15.75" customHeight="1">
      <c r="E331" s="60"/>
      <c r="L331" s="60"/>
      <c r="M331" s="60"/>
    </row>
    <row r="332" ht="15.75" customHeight="1">
      <c r="E332" s="60"/>
      <c r="L332" s="60"/>
      <c r="M332" s="60"/>
    </row>
    <row r="333" ht="15.75" customHeight="1">
      <c r="E333" s="60"/>
      <c r="L333" s="60"/>
      <c r="M333" s="60"/>
    </row>
    <row r="334" ht="15.75" customHeight="1">
      <c r="E334" s="60"/>
      <c r="L334" s="60"/>
      <c r="M334" s="60"/>
    </row>
    <row r="335" ht="15.75" customHeight="1">
      <c r="E335" s="60"/>
      <c r="L335" s="60"/>
      <c r="M335" s="60"/>
    </row>
    <row r="336" ht="15.75" customHeight="1">
      <c r="E336" s="60"/>
      <c r="L336" s="60"/>
      <c r="M336" s="60"/>
    </row>
    <row r="337" ht="15.75" customHeight="1">
      <c r="E337" s="60"/>
      <c r="L337" s="60"/>
      <c r="M337" s="60"/>
    </row>
    <row r="338" ht="15.75" customHeight="1">
      <c r="E338" s="60"/>
      <c r="L338" s="60"/>
      <c r="M338" s="60"/>
    </row>
    <row r="339" ht="15.75" customHeight="1">
      <c r="E339" s="60"/>
      <c r="L339" s="60"/>
      <c r="M339" s="60"/>
    </row>
    <row r="340" ht="15.75" customHeight="1">
      <c r="E340" s="60"/>
      <c r="L340" s="60"/>
      <c r="M340" s="60"/>
    </row>
    <row r="341" ht="15.75" customHeight="1">
      <c r="E341" s="60"/>
      <c r="L341" s="60"/>
      <c r="M341" s="60"/>
    </row>
    <row r="342" ht="15.75" customHeight="1">
      <c r="E342" s="60"/>
      <c r="L342" s="60"/>
      <c r="M342" s="60"/>
    </row>
    <row r="343" ht="15.75" customHeight="1">
      <c r="E343" s="60"/>
      <c r="L343" s="60"/>
      <c r="M343" s="60"/>
    </row>
    <row r="344" ht="15.75" customHeight="1">
      <c r="E344" s="60"/>
      <c r="L344" s="60"/>
      <c r="M344" s="60"/>
    </row>
    <row r="345" ht="15.75" customHeight="1">
      <c r="E345" s="60"/>
      <c r="L345" s="60"/>
      <c r="M345" s="60"/>
    </row>
    <row r="346" ht="15.75" customHeight="1">
      <c r="E346" s="60"/>
      <c r="L346" s="60"/>
      <c r="M346" s="60"/>
    </row>
    <row r="347" ht="15.75" customHeight="1">
      <c r="E347" s="60"/>
      <c r="L347" s="60"/>
      <c r="M347" s="60"/>
    </row>
    <row r="348" ht="15.75" customHeight="1">
      <c r="E348" s="60"/>
      <c r="L348" s="60"/>
      <c r="M348" s="60"/>
    </row>
    <row r="349" ht="15.75" customHeight="1">
      <c r="E349" s="60"/>
      <c r="L349" s="60"/>
      <c r="M349" s="60"/>
    </row>
    <row r="350" ht="15.75" customHeight="1">
      <c r="E350" s="60"/>
      <c r="L350" s="60"/>
      <c r="M350" s="60"/>
    </row>
    <row r="351" ht="15.75" customHeight="1">
      <c r="E351" s="60"/>
      <c r="L351" s="60"/>
      <c r="M351" s="60"/>
    </row>
    <row r="352" ht="15.75" customHeight="1">
      <c r="E352" s="60"/>
      <c r="L352" s="60"/>
      <c r="M352" s="60"/>
    </row>
    <row r="353" ht="15.75" customHeight="1">
      <c r="E353" s="60"/>
      <c r="L353" s="60"/>
      <c r="M353" s="60"/>
    </row>
    <row r="354" ht="15.75" customHeight="1">
      <c r="E354" s="60"/>
      <c r="L354" s="60"/>
      <c r="M354" s="60"/>
    </row>
    <row r="355" ht="15.75" customHeight="1">
      <c r="E355" s="60"/>
      <c r="L355" s="60"/>
      <c r="M355" s="60"/>
    </row>
    <row r="356" ht="15.75" customHeight="1">
      <c r="E356" s="60"/>
      <c r="L356" s="60"/>
      <c r="M356" s="60"/>
    </row>
    <row r="357" ht="15.75" customHeight="1">
      <c r="E357" s="60"/>
      <c r="L357" s="60"/>
      <c r="M357" s="60"/>
    </row>
    <row r="358" ht="15.75" customHeight="1">
      <c r="E358" s="60"/>
      <c r="L358" s="60"/>
      <c r="M358" s="60"/>
    </row>
    <row r="359" ht="15.75" customHeight="1">
      <c r="E359" s="60"/>
      <c r="L359" s="60"/>
      <c r="M359" s="60"/>
    </row>
    <row r="360" ht="15.75" customHeight="1">
      <c r="E360" s="60"/>
      <c r="L360" s="60"/>
      <c r="M360" s="60"/>
    </row>
    <row r="361" ht="15.75" customHeight="1">
      <c r="E361" s="60"/>
      <c r="L361" s="60"/>
      <c r="M361" s="60"/>
    </row>
    <row r="362" ht="15.75" customHeight="1">
      <c r="E362" s="60"/>
      <c r="L362" s="60"/>
      <c r="M362" s="60"/>
    </row>
    <row r="363" ht="15.75" customHeight="1">
      <c r="E363" s="60"/>
      <c r="L363" s="60"/>
      <c r="M363" s="60"/>
    </row>
    <row r="364" ht="15.75" customHeight="1">
      <c r="E364" s="60"/>
      <c r="L364" s="60"/>
      <c r="M364" s="60"/>
    </row>
    <row r="365" ht="15.75" customHeight="1">
      <c r="E365" s="60"/>
      <c r="L365" s="60"/>
      <c r="M365" s="60"/>
    </row>
    <row r="366" ht="15.75" customHeight="1">
      <c r="E366" s="60"/>
      <c r="L366" s="60"/>
      <c r="M366" s="60"/>
    </row>
    <row r="367" ht="15.75" customHeight="1">
      <c r="E367" s="60"/>
      <c r="L367" s="60"/>
      <c r="M367" s="60"/>
    </row>
    <row r="368" ht="15.75" customHeight="1">
      <c r="E368" s="60"/>
      <c r="L368" s="60"/>
      <c r="M368" s="60"/>
    </row>
    <row r="369" ht="15.75" customHeight="1">
      <c r="E369" s="60"/>
      <c r="L369" s="60"/>
      <c r="M369" s="60"/>
    </row>
    <row r="370" ht="15.75" customHeight="1">
      <c r="E370" s="60"/>
      <c r="L370" s="60"/>
      <c r="M370" s="60"/>
    </row>
    <row r="371" ht="15.75" customHeight="1">
      <c r="E371" s="60"/>
      <c r="L371" s="60"/>
      <c r="M371" s="60"/>
    </row>
    <row r="372" ht="15.75" customHeight="1">
      <c r="E372" s="60"/>
      <c r="L372" s="60"/>
      <c r="M372" s="60"/>
    </row>
    <row r="373" ht="15.75" customHeight="1">
      <c r="E373" s="60"/>
      <c r="L373" s="60"/>
      <c r="M373" s="60"/>
    </row>
    <row r="374" ht="15.75" customHeight="1">
      <c r="E374" s="60"/>
      <c r="L374" s="60"/>
      <c r="M374" s="60"/>
    </row>
    <row r="375" ht="15.75" customHeight="1">
      <c r="E375" s="60"/>
      <c r="L375" s="60"/>
      <c r="M375" s="60"/>
    </row>
    <row r="376" ht="15.75" customHeight="1">
      <c r="E376" s="60"/>
      <c r="L376" s="60"/>
      <c r="M376" s="60"/>
    </row>
    <row r="377" ht="15.75" customHeight="1">
      <c r="E377" s="60"/>
      <c r="L377" s="60"/>
      <c r="M377" s="60"/>
    </row>
    <row r="378" ht="15.75" customHeight="1">
      <c r="E378" s="60"/>
      <c r="L378" s="60"/>
      <c r="M378" s="60"/>
    </row>
    <row r="379" ht="15.75" customHeight="1">
      <c r="E379" s="60"/>
      <c r="L379" s="60"/>
      <c r="M379" s="60"/>
    </row>
    <row r="380" ht="15.75" customHeight="1">
      <c r="E380" s="60"/>
      <c r="L380" s="60"/>
      <c r="M380" s="60"/>
    </row>
    <row r="381" ht="15.75" customHeight="1">
      <c r="E381" s="60"/>
      <c r="L381" s="60"/>
      <c r="M381" s="60"/>
    </row>
    <row r="382" ht="15.75" customHeight="1">
      <c r="E382" s="60"/>
      <c r="L382" s="60"/>
      <c r="M382" s="60"/>
    </row>
    <row r="383" ht="15.75" customHeight="1">
      <c r="E383" s="60"/>
      <c r="L383" s="60"/>
      <c r="M383" s="60"/>
    </row>
    <row r="384" ht="15.75" customHeight="1">
      <c r="E384" s="60"/>
      <c r="L384" s="60"/>
      <c r="M384" s="60"/>
    </row>
    <row r="385" ht="15.75" customHeight="1">
      <c r="E385" s="60"/>
      <c r="L385" s="60"/>
      <c r="M385" s="60"/>
    </row>
    <row r="386" ht="15.75" customHeight="1">
      <c r="E386" s="60"/>
      <c r="L386" s="60"/>
      <c r="M386" s="60"/>
    </row>
    <row r="387" ht="15.75" customHeight="1">
      <c r="E387" s="60"/>
      <c r="L387" s="60"/>
      <c r="M387" s="60"/>
    </row>
    <row r="388" ht="15.75" customHeight="1">
      <c r="E388" s="60"/>
      <c r="L388" s="60"/>
      <c r="M388" s="60"/>
    </row>
    <row r="389" ht="15.75" customHeight="1">
      <c r="E389" s="60"/>
      <c r="L389" s="60"/>
      <c r="M389" s="60"/>
    </row>
    <row r="390" ht="15.75" customHeight="1">
      <c r="E390" s="60"/>
      <c r="L390" s="60"/>
      <c r="M390" s="60"/>
    </row>
    <row r="391" ht="15.75" customHeight="1">
      <c r="E391" s="60"/>
      <c r="L391" s="60"/>
      <c r="M391" s="60"/>
    </row>
    <row r="392" ht="15.75" customHeight="1">
      <c r="E392" s="60"/>
      <c r="L392" s="60"/>
      <c r="M392" s="60"/>
    </row>
    <row r="393" ht="15.75" customHeight="1">
      <c r="E393" s="60"/>
      <c r="L393" s="60"/>
      <c r="M393" s="60"/>
    </row>
    <row r="394" ht="15.75" customHeight="1">
      <c r="E394" s="60"/>
      <c r="L394" s="60"/>
      <c r="M394" s="60"/>
    </row>
    <row r="395" ht="15.75" customHeight="1">
      <c r="E395" s="60"/>
      <c r="L395" s="60"/>
      <c r="M395" s="60"/>
    </row>
    <row r="396" ht="15.75" customHeight="1">
      <c r="E396" s="60"/>
      <c r="L396" s="60"/>
      <c r="M396" s="60"/>
    </row>
    <row r="397" ht="15.75" customHeight="1">
      <c r="E397" s="60"/>
      <c r="L397" s="60"/>
      <c r="M397" s="60"/>
    </row>
    <row r="398" ht="15.75" customHeight="1">
      <c r="E398" s="60"/>
      <c r="L398" s="60"/>
      <c r="M398" s="60"/>
    </row>
    <row r="399" ht="15.75" customHeight="1">
      <c r="E399" s="60"/>
      <c r="L399" s="60"/>
      <c r="M399" s="60"/>
    </row>
    <row r="400" ht="15.75" customHeight="1">
      <c r="E400" s="60"/>
      <c r="L400" s="60"/>
      <c r="M400" s="60"/>
    </row>
    <row r="401" ht="15.75" customHeight="1">
      <c r="E401" s="60"/>
      <c r="L401" s="60"/>
      <c r="M401" s="60"/>
    </row>
    <row r="402" ht="15.75" customHeight="1">
      <c r="E402" s="60"/>
      <c r="L402" s="60"/>
      <c r="M402" s="60"/>
    </row>
    <row r="403" ht="15.75" customHeight="1">
      <c r="E403" s="60"/>
      <c r="L403" s="60"/>
      <c r="M403" s="60"/>
    </row>
    <row r="404" ht="15.75" customHeight="1">
      <c r="E404" s="60"/>
      <c r="L404" s="60"/>
      <c r="M404" s="60"/>
    </row>
    <row r="405" ht="15.75" customHeight="1">
      <c r="E405" s="60"/>
      <c r="L405" s="60"/>
      <c r="M405" s="60"/>
    </row>
    <row r="406" ht="15.75" customHeight="1">
      <c r="E406" s="60"/>
      <c r="L406" s="60"/>
      <c r="M406" s="60"/>
    </row>
    <row r="407" ht="15.75" customHeight="1">
      <c r="E407" s="60"/>
      <c r="L407" s="60"/>
      <c r="M407" s="60"/>
    </row>
    <row r="408" ht="15.75" customHeight="1">
      <c r="E408" s="60"/>
      <c r="L408" s="60"/>
      <c r="M408" s="60"/>
    </row>
    <row r="409" ht="15.75" customHeight="1">
      <c r="E409" s="60"/>
      <c r="L409" s="60"/>
      <c r="M409" s="60"/>
    </row>
    <row r="410" ht="15.75" customHeight="1">
      <c r="E410" s="60"/>
      <c r="L410" s="60"/>
      <c r="M410" s="60"/>
    </row>
    <row r="411" ht="15.75" customHeight="1">
      <c r="E411" s="60"/>
      <c r="L411" s="60"/>
      <c r="M411" s="60"/>
    </row>
    <row r="412" ht="15.75" customHeight="1">
      <c r="E412" s="60"/>
      <c r="L412" s="60"/>
      <c r="M412" s="60"/>
    </row>
    <row r="413" ht="15.75" customHeight="1">
      <c r="E413" s="60"/>
      <c r="L413" s="60"/>
      <c r="M413" s="60"/>
    </row>
    <row r="414" ht="15.75" customHeight="1">
      <c r="E414" s="60"/>
      <c r="L414" s="60"/>
      <c r="M414" s="60"/>
    </row>
    <row r="415" ht="15.75" customHeight="1">
      <c r="E415" s="60"/>
      <c r="L415" s="60"/>
      <c r="M415" s="60"/>
    </row>
    <row r="416" ht="15.75" customHeight="1">
      <c r="E416" s="60"/>
      <c r="L416" s="60"/>
      <c r="M416" s="60"/>
    </row>
    <row r="417" ht="15.75" customHeight="1">
      <c r="E417" s="60"/>
      <c r="L417" s="60"/>
      <c r="M417" s="60"/>
    </row>
    <row r="418" ht="15.75" customHeight="1">
      <c r="E418" s="60"/>
      <c r="L418" s="60"/>
      <c r="M418" s="60"/>
    </row>
    <row r="419" ht="15.75" customHeight="1">
      <c r="E419" s="60"/>
      <c r="L419" s="60"/>
      <c r="M419" s="60"/>
    </row>
    <row r="420" ht="15.75" customHeight="1">
      <c r="E420" s="60"/>
      <c r="L420" s="60"/>
      <c r="M420" s="60"/>
    </row>
    <row r="421" ht="15.75" customHeight="1">
      <c r="E421" s="60"/>
      <c r="L421" s="60"/>
      <c r="M421" s="60"/>
    </row>
    <row r="422" ht="15.75" customHeight="1">
      <c r="E422" s="60"/>
      <c r="L422" s="60"/>
      <c r="M422" s="60"/>
    </row>
    <row r="423" ht="15.75" customHeight="1">
      <c r="E423" s="60"/>
      <c r="L423" s="60"/>
      <c r="M423" s="60"/>
    </row>
    <row r="424" ht="15.75" customHeight="1">
      <c r="E424" s="60"/>
      <c r="L424" s="60"/>
      <c r="M424" s="60"/>
    </row>
    <row r="425" ht="15.75" customHeight="1">
      <c r="E425" s="60"/>
      <c r="L425" s="60"/>
      <c r="M425" s="60"/>
    </row>
    <row r="426" ht="15.75" customHeight="1">
      <c r="E426" s="60"/>
      <c r="L426" s="60"/>
      <c r="M426" s="60"/>
    </row>
    <row r="427" ht="15.75" customHeight="1">
      <c r="E427" s="60"/>
      <c r="L427" s="60"/>
      <c r="M427" s="60"/>
    </row>
    <row r="428" ht="15.75" customHeight="1">
      <c r="E428" s="60"/>
      <c r="L428" s="60"/>
      <c r="M428" s="60"/>
    </row>
    <row r="429" ht="15.75" customHeight="1">
      <c r="E429" s="60"/>
      <c r="L429" s="60"/>
      <c r="M429" s="60"/>
    </row>
    <row r="430" ht="15.75" customHeight="1">
      <c r="E430" s="60"/>
      <c r="L430" s="60"/>
      <c r="M430" s="60"/>
    </row>
    <row r="431" ht="15.75" customHeight="1">
      <c r="E431" s="60"/>
      <c r="L431" s="60"/>
      <c r="M431" s="60"/>
    </row>
    <row r="432" ht="15.75" customHeight="1">
      <c r="E432" s="60"/>
      <c r="L432" s="60"/>
      <c r="M432" s="60"/>
    </row>
    <row r="433" ht="15.75" customHeight="1">
      <c r="E433" s="60"/>
      <c r="L433" s="60"/>
      <c r="M433" s="60"/>
    </row>
    <row r="434" ht="15.75" customHeight="1">
      <c r="E434" s="60"/>
      <c r="L434" s="60"/>
      <c r="M434" s="60"/>
    </row>
    <row r="435" ht="15.75" customHeight="1">
      <c r="E435" s="60"/>
      <c r="L435" s="60"/>
      <c r="M435" s="60"/>
    </row>
    <row r="436" ht="15.75" customHeight="1">
      <c r="E436" s="60"/>
      <c r="L436" s="60"/>
      <c r="M436" s="60"/>
    </row>
    <row r="437" ht="15.75" customHeight="1">
      <c r="E437" s="60"/>
      <c r="L437" s="60"/>
      <c r="M437" s="60"/>
    </row>
    <row r="438" ht="15.75" customHeight="1">
      <c r="E438" s="60"/>
      <c r="L438" s="60"/>
      <c r="M438" s="60"/>
    </row>
    <row r="439" ht="15.75" customHeight="1">
      <c r="E439" s="60"/>
      <c r="L439" s="60"/>
      <c r="M439" s="60"/>
    </row>
    <row r="440" ht="15.75" customHeight="1">
      <c r="E440" s="60"/>
      <c r="L440" s="60"/>
      <c r="M440" s="60"/>
    </row>
    <row r="441" ht="15.75" customHeight="1">
      <c r="E441" s="60"/>
      <c r="L441" s="60"/>
      <c r="M441" s="60"/>
    </row>
    <row r="442" ht="15.75" customHeight="1">
      <c r="E442" s="60"/>
      <c r="L442" s="60"/>
      <c r="M442" s="60"/>
    </row>
    <row r="443" ht="15.75" customHeight="1">
      <c r="E443" s="60"/>
      <c r="L443" s="60"/>
      <c r="M443" s="60"/>
    </row>
    <row r="444" ht="15.75" customHeight="1">
      <c r="E444" s="60"/>
      <c r="L444" s="60"/>
      <c r="M444" s="60"/>
    </row>
    <row r="445" ht="15.75" customHeight="1">
      <c r="E445" s="60"/>
      <c r="L445" s="60"/>
      <c r="M445" s="60"/>
    </row>
    <row r="446" ht="15.75" customHeight="1">
      <c r="E446" s="60"/>
      <c r="L446" s="60"/>
      <c r="M446" s="60"/>
    </row>
    <row r="447" ht="15.75" customHeight="1">
      <c r="E447" s="60"/>
      <c r="L447" s="60"/>
      <c r="M447" s="60"/>
    </row>
    <row r="448" ht="15.75" customHeight="1">
      <c r="E448" s="60"/>
      <c r="L448" s="60"/>
      <c r="M448" s="60"/>
    </row>
    <row r="449" ht="15.75" customHeight="1">
      <c r="E449" s="60"/>
      <c r="L449" s="60"/>
      <c r="M449" s="60"/>
    </row>
    <row r="450" ht="15.75" customHeight="1">
      <c r="E450" s="60"/>
      <c r="L450" s="60"/>
      <c r="M450" s="60"/>
    </row>
    <row r="451" ht="15.75" customHeight="1">
      <c r="E451" s="60"/>
      <c r="L451" s="60"/>
      <c r="M451" s="60"/>
    </row>
    <row r="452" ht="15.75" customHeight="1">
      <c r="E452" s="60"/>
      <c r="L452" s="60"/>
      <c r="M452" s="60"/>
    </row>
    <row r="453" ht="15.75" customHeight="1">
      <c r="E453" s="60"/>
      <c r="L453" s="60"/>
      <c r="M453" s="60"/>
    </row>
    <row r="454" ht="15.75" customHeight="1">
      <c r="E454" s="60"/>
      <c r="L454" s="60"/>
      <c r="M454" s="60"/>
    </row>
    <row r="455" ht="15.75" customHeight="1">
      <c r="E455" s="60"/>
      <c r="L455" s="60"/>
      <c r="M455" s="60"/>
    </row>
    <row r="456" ht="15.75" customHeight="1">
      <c r="E456" s="60"/>
      <c r="L456" s="60"/>
      <c r="M456" s="60"/>
    </row>
    <row r="457" ht="15.75" customHeight="1">
      <c r="E457" s="60"/>
      <c r="L457" s="60"/>
      <c r="M457" s="60"/>
    </row>
    <row r="458" ht="15.75" customHeight="1">
      <c r="E458" s="60"/>
      <c r="L458" s="60"/>
      <c r="M458" s="60"/>
    </row>
    <row r="459" ht="15.75" customHeight="1">
      <c r="E459" s="60"/>
      <c r="L459" s="60"/>
      <c r="M459" s="60"/>
    </row>
    <row r="460" ht="15.75" customHeight="1">
      <c r="E460" s="60"/>
      <c r="L460" s="60"/>
      <c r="M460" s="60"/>
    </row>
    <row r="461" ht="15.75" customHeight="1">
      <c r="E461" s="60"/>
      <c r="L461" s="60"/>
      <c r="M461" s="60"/>
    </row>
    <row r="462" ht="15.75" customHeight="1">
      <c r="E462" s="60"/>
      <c r="L462" s="60"/>
      <c r="M462" s="60"/>
    </row>
    <row r="463" ht="15.75" customHeight="1">
      <c r="E463" s="60"/>
      <c r="L463" s="60"/>
      <c r="M463" s="60"/>
    </row>
    <row r="464" ht="15.75" customHeight="1">
      <c r="E464" s="60"/>
      <c r="L464" s="60"/>
      <c r="M464" s="60"/>
    </row>
    <row r="465" ht="15.75" customHeight="1">
      <c r="E465" s="60"/>
      <c r="L465" s="60"/>
      <c r="M465" s="60"/>
    </row>
    <row r="466" ht="15.75" customHeight="1">
      <c r="E466" s="60"/>
      <c r="L466" s="60"/>
      <c r="M466" s="60"/>
    </row>
    <row r="467" ht="15.75" customHeight="1">
      <c r="E467" s="60"/>
      <c r="L467" s="60"/>
      <c r="M467" s="60"/>
    </row>
    <row r="468" ht="15.75" customHeight="1">
      <c r="E468" s="60"/>
      <c r="L468" s="60"/>
      <c r="M468" s="60"/>
    </row>
    <row r="469" ht="15.75" customHeight="1">
      <c r="E469" s="60"/>
      <c r="L469" s="60"/>
      <c r="M469" s="60"/>
    </row>
    <row r="470" ht="15.75" customHeight="1">
      <c r="E470" s="60"/>
      <c r="L470" s="60"/>
      <c r="M470" s="60"/>
    </row>
    <row r="471" ht="15.75" customHeight="1">
      <c r="E471" s="60"/>
      <c r="L471" s="60"/>
      <c r="M471" s="60"/>
    </row>
    <row r="472" ht="15.75" customHeight="1">
      <c r="E472" s="60"/>
      <c r="L472" s="60"/>
      <c r="M472" s="60"/>
    </row>
    <row r="473" ht="15.75" customHeight="1">
      <c r="E473" s="60"/>
      <c r="L473" s="60"/>
      <c r="M473" s="60"/>
    </row>
    <row r="474" ht="15.75" customHeight="1">
      <c r="E474" s="60"/>
      <c r="L474" s="60"/>
      <c r="M474" s="60"/>
    </row>
    <row r="475" ht="15.75" customHeight="1">
      <c r="E475" s="60"/>
      <c r="L475" s="60"/>
      <c r="M475" s="60"/>
    </row>
    <row r="476" ht="15.75" customHeight="1">
      <c r="E476" s="60"/>
      <c r="L476" s="60"/>
      <c r="M476" s="60"/>
    </row>
    <row r="477" ht="15.75" customHeight="1">
      <c r="E477" s="60"/>
      <c r="L477" s="60"/>
      <c r="M477" s="60"/>
    </row>
    <row r="478" ht="15.75" customHeight="1">
      <c r="E478" s="60"/>
      <c r="L478" s="60"/>
      <c r="M478" s="60"/>
    </row>
    <row r="479" ht="15.75" customHeight="1">
      <c r="E479" s="60"/>
      <c r="L479" s="60"/>
      <c r="M479" s="60"/>
    </row>
    <row r="480" ht="15.75" customHeight="1">
      <c r="E480" s="60"/>
      <c r="L480" s="60"/>
      <c r="M480" s="60"/>
    </row>
    <row r="481" ht="15.75" customHeight="1">
      <c r="E481" s="60"/>
      <c r="L481" s="60"/>
      <c r="M481" s="60"/>
    </row>
    <row r="482" ht="15.75" customHeight="1">
      <c r="E482" s="60"/>
      <c r="L482" s="60"/>
      <c r="M482" s="60"/>
    </row>
    <row r="483" ht="15.75" customHeight="1">
      <c r="E483" s="60"/>
      <c r="L483" s="60"/>
      <c r="M483" s="60"/>
    </row>
    <row r="484" ht="15.75" customHeight="1">
      <c r="E484" s="60"/>
      <c r="L484" s="60"/>
      <c r="M484" s="60"/>
    </row>
    <row r="485" ht="15.75" customHeight="1">
      <c r="E485" s="60"/>
      <c r="L485" s="60"/>
      <c r="M485" s="60"/>
    </row>
    <row r="486" ht="15.75" customHeight="1">
      <c r="E486" s="60"/>
      <c r="L486" s="60"/>
      <c r="M486" s="60"/>
    </row>
    <row r="487" ht="15.75" customHeight="1">
      <c r="E487" s="60"/>
      <c r="L487" s="60"/>
      <c r="M487" s="60"/>
    </row>
    <row r="488" ht="15.75" customHeight="1">
      <c r="E488" s="60"/>
      <c r="L488" s="60"/>
      <c r="M488" s="60"/>
    </row>
    <row r="489" ht="15.75" customHeight="1">
      <c r="E489" s="60"/>
      <c r="L489" s="60"/>
      <c r="M489" s="60"/>
    </row>
    <row r="490" ht="15.75" customHeight="1">
      <c r="E490" s="60"/>
      <c r="L490" s="60"/>
      <c r="M490" s="60"/>
    </row>
    <row r="491" ht="15.75" customHeight="1">
      <c r="E491" s="60"/>
      <c r="L491" s="60"/>
      <c r="M491" s="60"/>
    </row>
    <row r="492" ht="15.75" customHeight="1">
      <c r="E492" s="60"/>
      <c r="L492" s="60"/>
      <c r="M492" s="60"/>
    </row>
    <row r="493" ht="15.75" customHeight="1">
      <c r="E493" s="60"/>
      <c r="L493" s="60"/>
      <c r="M493" s="60"/>
    </row>
    <row r="494" ht="15.75" customHeight="1">
      <c r="E494" s="60"/>
      <c r="L494" s="60"/>
      <c r="M494" s="60"/>
    </row>
    <row r="495" ht="15.75" customHeight="1">
      <c r="E495" s="60"/>
      <c r="L495" s="60"/>
      <c r="M495" s="60"/>
    </row>
    <row r="496" ht="15.75" customHeight="1">
      <c r="E496" s="60"/>
      <c r="L496" s="60"/>
      <c r="M496" s="60"/>
    </row>
    <row r="497" ht="15.75" customHeight="1">
      <c r="E497" s="60"/>
      <c r="L497" s="60"/>
      <c r="M497" s="60"/>
    </row>
    <row r="498" ht="15.75" customHeight="1">
      <c r="E498" s="60"/>
      <c r="L498" s="60"/>
      <c r="M498" s="60"/>
    </row>
    <row r="499" ht="15.75" customHeight="1">
      <c r="E499" s="60"/>
      <c r="L499" s="60"/>
      <c r="M499" s="60"/>
    </row>
    <row r="500" ht="15.75" customHeight="1">
      <c r="E500" s="60"/>
      <c r="L500" s="60"/>
      <c r="M500" s="6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dataValidations>
    <dataValidation type="list" allowBlank="1" sqref="E4:E500">
      <formula1>"Application,Point purchase,License,Tag purchase,Research,Refund"</formula1>
    </dataValidation>
    <dataValidation type="list" allowBlank="1" sqref="L4:L500">
      <formula1>"Not Started,Planned,Submitted,Paid,Complete,Missed,Refunded"</formula1>
    </dataValidation>
    <dataValidation type="list" allowBlank="1" sqref="M4:M500">
      <formula1>"Pending,Drawn,Not Drawn,Alternate,Successful Purchase,N/A"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0"/>
    <col customWidth="1" min="5" max="10" width="15.0"/>
    <col customWidth="1" min="11" max="14" width="28.0"/>
    <col customWidth="1" min="15" max="26" width="8.63"/>
  </cols>
  <sheetData>
    <row r="1" ht="33.75" customHeight="1">
      <c r="A1" s="39" t="s">
        <v>924</v>
      </c>
    </row>
    <row r="3">
      <c r="A3" s="59" t="s">
        <v>925</v>
      </c>
      <c r="B3" s="59" t="s">
        <v>926</v>
      </c>
      <c r="C3" s="59" t="s">
        <v>502</v>
      </c>
      <c r="D3" s="59" t="s">
        <v>927</v>
      </c>
      <c r="E3" s="59" t="s">
        <v>5</v>
      </c>
      <c r="F3" s="59" t="s">
        <v>928</v>
      </c>
      <c r="G3" s="59" t="s">
        <v>929</v>
      </c>
      <c r="H3" s="59" t="s">
        <v>930</v>
      </c>
      <c r="I3" s="59" t="s">
        <v>931</v>
      </c>
      <c r="J3" s="59" t="s">
        <v>932</v>
      </c>
      <c r="K3" s="59" t="s">
        <v>933</v>
      </c>
      <c r="L3" s="59" t="s">
        <v>934</v>
      </c>
      <c r="M3" s="59" t="s">
        <v>935</v>
      </c>
      <c r="N3" s="59" t="s">
        <v>16</v>
      </c>
    </row>
    <row r="4">
      <c r="A4" s="14" t="s">
        <v>936</v>
      </c>
      <c r="B4" s="14" t="s">
        <v>794</v>
      </c>
      <c r="C4" s="14" t="s">
        <v>883</v>
      </c>
      <c r="D4" s="14" t="s">
        <v>837</v>
      </c>
      <c r="E4" s="63">
        <v>1.0</v>
      </c>
      <c r="F4" s="14">
        <v>2032.0</v>
      </c>
      <c r="G4" s="14" t="s">
        <v>869</v>
      </c>
      <c r="H4" s="64">
        <v>18000.0</v>
      </c>
      <c r="I4" s="14" t="s">
        <v>937</v>
      </c>
      <c r="J4" s="14" t="s">
        <v>938</v>
      </c>
      <c r="K4" s="14" t="s">
        <v>939</v>
      </c>
      <c r="L4" s="14" t="s">
        <v>940</v>
      </c>
      <c r="M4" s="14" t="s">
        <v>941</v>
      </c>
      <c r="N4" s="14" t="s">
        <v>942</v>
      </c>
    </row>
    <row r="5">
      <c r="A5" s="14" t="s">
        <v>943</v>
      </c>
      <c r="B5" s="14" t="s">
        <v>944</v>
      </c>
      <c r="C5" s="14" t="s">
        <v>945</v>
      </c>
      <c r="D5" s="14" t="s">
        <v>21</v>
      </c>
      <c r="E5" s="63">
        <v>2.0</v>
      </c>
      <c r="F5" s="14">
        <v>2036.0</v>
      </c>
      <c r="G5" s="14" t="s">
        <v>869</v>
      </c>
      <c r="H5" s="64">
        <v>30000.0</v>
      </c>
      <c r="I5" s="14" t="s">
        <v>946</v>
      </c>
      <c r="J5" s="14" t="s">
        <v>947</v>
      </c>
      <c r="K5" s="14" t="s">
        <v>948</v>
      </c>
      <c r="L5" s="14" t="s">
        <v>949</v>
      </c>
      <c r="M5" s="14" t="s">
        <v>950</v>
      </c>
      <c r="N5" s="14" t="s">
        <v>951</v>
      </c>
    </row>
    <row r="6">
      <c r="A6" s="14" t="s">
        <v>952</v>
      </c>
      <c r="B6" s="14" t="s">
        <v>794</v>
      </c>
      <c r="C6" s="14" t="s">
        <v>953</v>
      </c>
      <c r="D6" s="14" t="s">
        <v>837</v>
      </c>
      <c r="E6" s="63">
        <v>3.0</v>
      </c>
      <c r="F6" s="14">
        <v>2038.0</v>
      </c>
      <c r="G6" s="14" t="s">
        <v>869</v>
      </c>
      <c r="H6" s="64">
        <v>28000.0</v>
      </c>
      <c r="I6" s="14" t="s">
        <v>946</v>
      </c>
      <c r="J6" s="14" t="s">
        <v>954</v>
      </c>
      <c r="K6" s="14" t="s">
        <v>717</v>
      </c>
      <c r="L6" s="14" t="s">
        <v>955</v>
      </c>
      <c r="M6" s="14" t="s">
        <v>956</v>
      </c>
      <c r="N6" s="14" t="s">
        <v>957</v>
      </c>
    </row>
    <row r="7">
      <c r="A7" s="14"/>
      <c r="B7" s="14"/>
      <c r="C7" s="14"/>
      <c r="D7" s="14"/>
      <c r="E7" s="63"/>
      <c r="F7" s="14"/>
      <c r="G7" s="14"/>
      <c r="H7" s="64"/>
      <c r="I7" s="14"/>
      <c r="J7" s="14"/>
      <c r="K7" s="14"/>
      <c r="L7" s="14"/>
      <c r="M7" s="14"/>
      <c r="N7" s="14"/>
    </row>
    <row r="8">
      <c r="A8" s="14"/>
      <c r="B8" s="14"/>
      <c r="C8" s="14"/>
      <c r="D8" s="14"/>
      <c r="E8" s="63"/>
      <c r="F8" s="14"/>
      <c r="G8" s="14"/>
      <c r="H8" s="64"/>
      <c r="I8" s="14"/>
      <c r="J8" s="14"/>
      <c r="K8" s="14"/>
      <c r="L8" s="14"/>
      <c r="M8" s="14"/>
      <c r="N8" s="14"/>
    </row>
    <row r="9">
      <c r="A9" s="14"/>
      <c r="B9" s="14"/>
      <c r="C9" s="14"/>
      <c r="D9" s="14"/>
      <c r="E9" s="63"/>
      <c r="F9" s="14"/>
      <c r="G9" s="14"/>
      <c r="H9" s="64"/>
      <c r="I9" s="14"/>
      <c r="J9" s="14"/>
      <c r="K9" s="14"/>
      <c r="L9" s="14"/>
      <c r="M9" s="14"/>
      <c r="N9" s="14"/>
    </row>
    <row r="10">
      <c r="A10" s="14"/>
      <c r="B10" s="14"/>
      <c r="C10" s="14"/>
      <c r="D10" s="14"/>
      <c r="E10" s="63"/>
      <c r="F10" s="14"/>
      <c r="G10" s="14"/>
      <c r="H10" s="64"/>
      <c r="I10" s="14"/>
      <c r="J10" s="14"/>
      <c r="K10" s="14"/>
      <c r="L10" s="14"/>
      <c r="M10" s="14"/>
      <c r="N10" s="14"/>
    </row>
    <row r="11">
      <c r="A11" s="14"/>
      <c r="B11" s="14"/>
      <c r="C11" s="14"/>
      <c r="D11" s="14"/>
      <c r="E11" s="63"/>
      <c r="F11" s="14"/>
      <c r="G11" s="14"/>
      <c r="H11" s="64"/>
      <c r="I11" s="14"/>
      <c r="J11" s="14"/>
      <c r="K11" s="14"/>
      <c r="L11" s="14"/>
      <c r="M11" s="14"/>
      <c r="N11" s="14"/>
    </row>
    <row r="12">
      <c r="A12" s="14"/>
      <c r="B12" s="14"/>
      <c r="C12" s="14"/>
      <c r="D12" s="14"/>
      <c r="E12" s="63"/>
      <c r="F12" s="14"/>
      <c r="G12" s="14"/>
      <c r="H12" s="64"/>
      <c r="I12" s="14"/>
      <c r="J12" s="14"/>
      <c r="K12" s="14"/>
      <c r="L12" s="14"/>
      <c r="M12" s="14"/>
      <c r="N12" s="14"/>
    </row>
    <row r="13">
      <c r="A13" s="14"/>
      <c r="B13" s="14"/>
      <c r="C13" s="14"/>
      <c r="D13" s="14"/>
      <c r="E13" s="63"/>
      <c r="F13" s="14"/>
      <c r="G13" s="14"/>
      <c r="H13" s="64"/>
      <c r="I13" s="14"/>
      <c r="J13" s="14"/>
      <c r="K13" s="14"/>
      <c r="L13" s="14"/>
      <c r="M13" s="14"/>
      <c r="N13" s="14"/>
    </row>
    <row r="14">
      <c r="A14" s="14"/>
      <c r="B14" s="14"/>
      <c r="C14" s="14"/>
      <c r="D14" s="14"/>
      <c r="E14" s="63"/>
      <c r="F14" s="14"/>
      <c r="G14" s="14"/>
      <c r="H14" s="64"/>
      <c r="I14" s="14"/>
      <c r="J14" s="14"/>
      <c r="K14" s="14"/>
      <c r="L14" s="14"/>
      <c r="M14" s="14"/>
      <c r="N14" s="14"/>
    </row>
    <row r="15">
      <c r="A15" s="14"/>
      <c r="B15" s="14"/>
      <c r="C15" s="14"/>
      <c r="D15" s="14"/>
      <c r="E15" s="63"/>
      <c r="F15" s="14"/>
      <c r="G15" s="14"/>
      <c r="H15" s="64"/>
      <c r="I15" s="14"/>
      <c r="J15" s="14"/>
      <c r="K15" s="14"/>
      <c r="L15" s="14"/>
      <c r="M15" s="14"/>
      <c r="N15" s="14"/>
    </row>
    <row r="16">
      <c r="A16" s="14"/>
      <c r="B16" s="14"/>
      <c r="C16" s="14"/>
      <c r="D16" s="14"/>
      <c r="E16" s="63"/>
      <c r="F16" s="14"/>
      <c r="G16" s="14"/>
      <c r="H16" s="64"/>
      <c r="I16" s="14"/>
      <c r="J16" s="14"/>
      <c r="K16" s="14"/>
      <c r="L16" s="14"/>
      <c r="M16" s="14"/>
      <c r="N16" s="14"/>
    </row>
    <row r="17">
      <c r="A17" s="14"/>
      <c r="B17" s="14"/>
      <c r="C17" s="14"/>
      <c r="D17" s="14"/>
      <c r="E17" s="63"/>
      <c r="F17" s="14"/>
      <c r="G17" s="14"/>
      <c r="H17" s="64"/>
      <c r="I17" s="14"/>
      <c r="J17" s="14"/>
      <c r="K17" s="14"/>
      <c r="L17" s="14"/>
      <c r="M17" s="14"/>
      <c r="N17" s="14"/>
    </row>
    <row r="18">
      <c r="A18" s="14"/>
      <c r="B18" s="14"/>
      <c r="C18" s="14"/>
      <c r="D18" s="14"/>
      <c r="E18" s="63"/>
      <c r="F18" s="14"/>
      <c r="G18" s="14"/>
      <c r="H18" s="64"/>
      <c r="I18" s="14"/>
      <c r="J18" s="14"/>
      <c r="K18" s="14"/>
      <c r="L18" s="14"/>
      <c r="M18" s="14"/>
      <c r="N18" s="14"/>
    </row>
    <row r="19">
      <c r="A19" s="14"/>
      <c r="B19" s="14"/>
      <c r="C19" s="14"/>
      <c r="D19" s="14"/>
      <c r="E19" s="63"/>
      <c r="F19" s="14"/>
      <c r="G19" s="14"/>
      <c r="H19" s="64"/>
      <c r="I19" s="14"/>
      <c r="J19" s="14"/>
      <c r="K19" s="14"/>
      <c r="L19" s="14"/>
      <c r="M19" s="14"/>
      <c r="N19" s="14"/>
    </row>
    <row r="20">
      <c r="A20" s="14"/>
      <c r="B20" s="14"/>
      <c r="C20" s="14"/>
      <c r="D20" s="14"/>
      <c r="E20" s="63"/>
      <c r="F20" s="14"/>
      <c r="G20" s="14"/>
      <c r="H20" s="64"/>
      <c r="I20" s="14"/>
      <c r="J20" s="14"/>
      <c r="K20" s="14"/>
      <c r="L20" s="14"/>
      <c r="M20" s="14"/>
      <c r="N20" s="14"/>
    </row>
    <row r="21" ht="15.75" customHeight="1">
      <c r="A21" s="14"/>
      <c r="B21" s="14"/>
      <c r="C21" s="14"/>
      <c r="D21" s="14"/>
      <c r="E21" s="63"/>
      <c r="F21" s="14"/>
      <c r="G21" s="14"/>
      <c r="H21" s="64"/>
      <c r="I21" s="14"/>
      <c r="J21" s="14"/>
      <c r="K21" s="14"/>
      <c r="L21" s="14"/>
      <c r="M21" s="14"/>
      <c r="N21" s="14"/>
    </row>
    <row r="22" ht="15.75" customHeight="1">
      <c r="A22" s="14"/>
      <c r="B22" s="14"/>
      <c r="C22" s="14"/>
      <c r="D22" s="14"/>
      <c r="E22" s="63"/>
      <c r="F22" s="14"/>
      <c r="G22" s="14"/>
      <c r="H22" s="64"/>
      <c r="I22" s="14"/>
      <c r="J22" s="14"/>
      <c r="K22" s="14"/>
      <c r="L22" s="14"/>
      <c r="M22" s="14"/>
      <c r="N22" s="14"/>
    </row>
    <row r="23" ht="15.75" customHeight="1">
      <c r="A23" s="14"/>
      <c r="B23" s="14"/>
      <c r="C23" s="14"/>
      <c r="D23" s="14"/>
      <c r="E23" s="63"/>
      <c r="F23" s="14"/>
      <c r="G23" s="14"/>
      <c r="H23" s="64"/>
      <c r="I23" s="14"/>
      <c r="J23" s="14"/>
      <c r="K23" s="14"/>
      <c r="L23" s="14"/>
      <c r="M23" s="14"/>
      <c r="N23" s="14"/>
    </row>
    <row r="24" ht="15.75" customHeight="1">
      <c r="A24" s="14"/>
      <c r="B24" s="14"/>
      <c r="C24" s="14"/>
      <c r="D24" s="14"/>
      <c r="E24" s="63"/>
      <c r="F24" s="14"/>
      <c r="G24" s="14"/>
      <c r="H24" s="64"/>
      <c r="I24" s="14"/>
      <c r="J24" s="14"/>
      <c r="K24" s="14"/>
      <c r="L24" s="14"/>
      <c r="M24" s="14"/>
      <c r="N24" s="14"/>
    </row>
    <row r="25" ht="15.75" customHeight="1">
      <c r="A25" s="14"/>
      <c r="B25" s="14"/>
      <c r="C25" s="14"/>
      <c r="D25" s="14"/>
      <c r="E25" s="63"/>
      <c r="F25" s="14"/>
      <c r="G25" s="14"/>
      <c r="H25" s="64"/>
      <c r="I25" s="14"/>
      <c r="J25" s="14"/>
      <c r="K25" s="14"/>
      <c r="L25" s="14"/>
      <c r="M25" s="14"/>
      <c r="N25" s="14"/>
    </row>
    <row r="26" ht="15.75" customHeight="1">
      <c r="A26" s="14"/>
      <c r="B26" s="14"/>
      <c r="C26" s="14"/>
      <c r="D26" s="14"/>
      <c r="E26" s="63"/>
      <c r="F26" s="14"/>
      <c r="G26" s="14"/>
      <c r="H26" s="64"/>
      <c r="I26" s="14"/>
      <c r="J26" s="14"/>
      <c r="K26" s="14"/>
      <c r="L26" s="14"/>
      <c r="M26" s="14"/>
      <c r="N26" s="14"/>
    </row>
    <row r="27" ht="15.75" customHeight="1">
      <c r="A27" s="14"/>
      <c r="B27" s="14"/>
      <c r="C27" s="14"/>
      <c r="D27" s="14"/>
      <c r="E27" s="63"/>
      <c r="F27" s="14"/>
      <c r="G27" s="14"/>
      <c r="H27" s="64"/>
      <c r="I27" s="14"/>
      <c r="J27" s="14"/>
      <c r="K27" s="14"/>
      <c r="L27" s="14"/>
      <c r="M27" s="14"/>
      <c r="N27" s="14"/>
    </row>
    <row r="28" ht="15.75" customHeight="1">
      <c r="A28" s="14"/>
      <c r="B28" s="14"/>
      <c r="C28" s="14"/>
      <c r="D28" s="14"/>
      <c r="E28" s="63"/>
      <c r="F28" s="14"/>
      <c r="G28" s="14"/>
      <c r="H28" s="64"/>
      <c r="I28" s="14"/>
      <c r="J28" s="14"/>
      <c r="K28" s="14"/>
      <c r="L28" s="14"/>
      <c r="M28" s="14"/>
      <c r="N28" s="14"/>
    </row>
    <row r="29" ht="15.75" customHeight="1">
      <c r="A29" s="14"/>
      <c r="B29" s="14"/>
      <c r="C29" s="14"/>
      <c r="D29" s="14"/>
      <c r="E29" s="63"/>
      <c r="F29" s="14"/>
      <c r="G29" s="14"/>
      <c r="H29" s="64"/>
      <c r="I29" s="14"/>
      <c r="J29" s="14"/>
      <c r="K29" s="14"/>
      <c r="L29" s="14"/>
      <c r="M29" s="14"/>
      <c r="N29" s="14"/>
    </row>
    <row r="30" ht="15.75" customHeight="1">
      <c r="A30" s="14"/>
      <c r="B30" s="14"/>
      <c r="C30" s="14"/>
      <c r="D30" s="14"/>
      <c r="E30" s="63"/>
      <c r="F30" s="14"/>
      <c r="G30" s="14"/>
      <c r="H30" s="64"/>
      <c r="I30" s="14"/>
      <c r="J30" s="14"/>
      <c r="K30" s="14"/>
      <c r="L30" s="14"/>
      <c r="M30" s="14"/>
      <c r="N30" s="14"/>
    </row>
    <row r="31" ht="15.75" customHeight="1">
      <c r="A31" s="14"/>
      <c r="B31" s="14"/>
      <c r="C31" s="14"/>
      <c r="D31" s="14"/>
      <c r="E31" s="63"/>
      <c r="F31" s="14"/>
      <c r="G31" s="14"/>
      <c r="H31" s="64"/>
      <c r="I31" s="14"/>
      <c r="J31" s="14"/>
      <c r="K31" s="14"/>
      <c r="L31" s="14"/>
      <c r="M31" s="14"/>
      <c r="N31" s="14"/>
    </row>
    <row r="32" ht="15.75" customHeight="1">
      <c r="A32" s="14"/>
      <c r="B32" s="14"/>
      <c r="C32" s="14"/>
      <c r="D32" s="14"/>
      <c r="E32" s="63"/>
      <c r="F32" s="14"/>
      <c r="G32" s="14"/>
      <c r="H32" s="64"/>
      <c r="I32" s="14"/>
      <c r="J32" s="14"/>
      <c r="K32" s="14"/>
      <c r="L32" s="14"/>
      <c r="M32" s="14"/>
      <c r="N32" s="14"/>
    </row>
    <row r="33" ht="15.75" customHeight="1">
      <c r="A33" s="14"/>
      <c r="B33" s="14"/>
      <c r="C33" s="14"/>
      <c r="D33" s="14"/>
      <c r="E33" s="63"/>
      <c r="F33" s="14"/>
      <c r="G33" s="14"/>
      <c r="H33" s="64"/>
      <c r="I33" s="14"/>
      <c r="J33" s="14"/>
      <c r="K33" s="14"/>
      <c r="L33" s="14"/>
      <c r="M33" s="14"/>
      <c r="N33" s="14"/>
    </row>
    <row r="34" ht="15.75" customHeight="1">
      <c r="A34" s="14"/>
      <c r="B34" s="14"/>
      <c r="C34" s="14"/>
      <c r="D34" s="14"/>
      <c r="E34" s="63"/>
      <c r="F34" s="14"/>
      <c r="G34" s="14"/>
      <c r="H34" s="64"/>
      <c r="I34" s="14"/>
      <c r="J34" s="14"/>
      <c r="K34" s="14"/>
      <c r="L34" s="14"/>
      <c r="M34" s="14"/>
      <c r="N34" s="14"/>
    </row>
    <row r="35" ht="15.75" customHeight="1">
      <c r="A35" s="14"/>
      <c r="B35" s="14"/>
      <c r="C35" s="14"/>
      <c r="D35" s="14"/>
      <c r="E35" s="63"/>
      <c r="F35" s="14"/>
      <c r="G35" s="14"/>
      <c r="H35" s="64"/>
      <c r="I35" s="14"/>
      <c r="J35" s="14"/>
      <c r="K35" s="14"/>
      <c r="L35" s="14"/>
      <c r="M35" s="14"/>
      <c r="N35" s="14"/>
    </row>
    <row r="36" ht="15.75" customHeight="1">
      <c r="A36" s="14"/>
      <c r="B36" s="14"/>
      <c r="C36" s="14"/>
      <c r="D36" s="14"/>
      <c r="E36" s="63"/>
      <c r="F36" s="14"/>
      <c r="G36" s="14"/>
      <c r="H36" s="64"/>
      <c r="I36" s="14"/>
      <c r="J36" s="14"/>
      <c r="K36" s="14"/>
      <c r="L36" s="14"/>
      <c r="M36" s="14"/>
      <c r="N36" s="14"/>
    </row>
    <row r="37" ht="15.75" customHeight="1">
      <c r="A37" s="14"/>
      <c r="B37" s="14"/>
      <c r="C37" s="14"/>
      <c r="D37" s="14"/>
      <c r="E37" s="63"/>
      <c r="F37" s="14"/>
      <c r="G37" s="14"/>
      <c r="H37" s="64"/>
      <c r="I37" s="14"/>
      <c r="J37" s="14"/>
      <c r="K37" s="14"/>
      <c r="L37" s="14"/>
      <c r="M37" s="14"/>
      <c r="N37" s="14"/>
    </row>
    <row r="38" ht="15.75" customHeight="1">
      <c r="A38" s="14"/>
      <c r="B38" s="14"/>
      <c r="C38" s="14"/>
      <c r="D38" s="14"/>
      <c r="E38" s="63"/>
      <c r="F38" s="14"/>
      <c r="G38" s="14"/>
      <c r="H38" s="64"/>
      <c r="I38" s="14"/>
      <c r="J38" s="14"/>
      <c r="K38" s="14"/>
      <c r="L38" s="14"/>
      <c r="M38" s="14"/>
      <c r="N38" s="14"/>
    </row>
    <row r="39" ht="15.75" customHeight="1">
      <c r="A39" s="14"/>
      <c r="B39" s="14"/>
      <c r="C39" s="14"/>
      <c r="D39" s="14"/>
      <c r="E39" s="63"/>
      <c r="F39" s="14"/>
      <c r="G39" s="14"/>
      <c r="H39" s="64"/>
      <c r="I39" s="14"/>
      <c r="J39" s="14"/>
      <c r="K39" s="14"/>
      <c r="L39" s="14"/>
      <c r="M39" s="14"/>
      <c r="N39" s="14"/>
    </row>
    <row r="40" ht="15.75" customHeight="1">
      <c r="A40" s="14"/>
      <c r="B40" s="14"/>
      <c r="C40" s="14"/>
      <c r="D40" s="14"/>
      <c r="E40" s="63"/>
      <c r="F40" s="14"/>
      <c r="G40" s="14"/>
      <c r="H40" s="64"/>
      <c r="I40" s="14"/>
      <c r="J40" s="14"/>
      <c r="K40" s="14"/>
      <c r="L40" s="14"/>
      <c r="M40" s="14"/>
      <c r="N40" s="14"/>
    </row>
    <row r="41" ht="15.75" customHeight="1">
      <c r="A41" s="14"/>
      <c r="B41" s="14"/>
      <c r="C41" s="14"/>
      <c r="D41" s="14"/>
      <c r="E41" s="63"/>
      <c r="F41" s="14"/>
      <c r="G41" s="14"/>
      <c r="H41" s="64"/>
      <c r="I41" s="14"/>
      <c r="J41" s="14"/>
      <c r="K41" s="14"/>
      <c r="L41" s="14"/>
      <c r="M41" s="14"/>
      <c r="N41" s="14"/>
    </row>
    <row r="42" ht="15.75" customHeight="1">
      <c r="A42" s="14"/>
      <c r="B42" s="14"/>
      <c r="C42" s="14"/>
      <c r="D42" s="14"/>
      <c r="E42" s="63"/>
      <c r="F42" s="14"/>
      <c r="G42" s="14"/>
      <c r="H42" s="64"/>
      <c r="I42" s="14"/>
      <c r="J42" s="14"/>
      <c r="K42" s="14"/>
      <c r="L42" s="14"/>
      <c r="M42" s="14"/>
      <c r="N42" s="14"/>
    </row>
    <row r="43" ht="15.75" customHeight="1">
      <c r="A43" s="14"/>
      <c r="B43" s="14"/>
      <c r="C43" s="14"/>
      <c r="D43" s="14"/>
      <c r="E43" s="63"/>
      <c r="F43" s="14"/>
      <c r="G43" s="14"/>
      <c r="H43" s="64"/>
      <c r="I43" s="14"/>
      <c r="J43" s="14"/>
      <c r="K43" s="14"/>
      <c r="L43" s="14"/>
      <c r="M43" s="14"/>
      <c r="N43" s="14"/>
    </row>
    <row r="44" ht="15.75" customHeight="1">
      <c r="A44" s="14"/>
      <c r="B44" s="14"/>
      <c r="C44" s="14"/>
      <c r="D44" s="14"/>
      <c r="E44" s="63"/>
      <c r="F44" s="14"/>
      <c r="G44" s="14"/>
      <c r="H44" s="64"/>
      <c r="I44" s="14"/>
      <c r="J44" s="14"/>
      <c r="K44" s="14"/>
      <c r="L44" s="14"/>
      <c r="M44" s="14"/>
      <c r="N44" s="14"/>
    </row>
    <row r="45" ht="15.75" customHeight="1">
      <c r="A45" s="14"/>
      <c r="B45" s="14"/>
      <c r="C45" s="14"/>
      <c r="D45" s="14"/>
      <c r="E45" s="63"/>
      <c r="F45" s="14"/>
      <c r="G45" s="14"/>
      <c r="H45" s="64"/>
      <c r="I45" s="14"/>
      <c r="J45" s="14"/>
      <c r="K45" s="14"/>
      <c r="L45" s="14"/>
      <c r="M45" s="14"/>
      <c r="N45" s="14"/>
    </row>
    <row r="46" ht="15.75" customHeight="1">
      <c r="A46" s="14"/>
      <c r="B46" s="14"/>
      <c r="C46" s="14"/>
      <c r="D46" s="14"/>
      <c r="E46" s="63"/>
      <c r="F46" s="14"/>
      <c r="G46" s="14"/>
      <c r="H46" s="64"/>
      <c r="I46" s="14"/>
      <c r="J46" s="14"/>
      <c r="K46" s="14"/>
      <c r="L46" s="14"/>
      <c r="M46" s="14"/>
      <c r="N46" s="14"/>
    </row>
    <row r="47" ht="15.75" customHeight="1">
      <c r="A47" s="14"/>
      <c r="B47" s="14"/>
      <c r="C47" s="14"/>
      <c r="D47" s="14"/>
      <c r="E47" s="63"/>
      <c r="F47" s="14"/>
      <c r="G47" s="14"/>
      <c r="H47" s="64"/>
      <c r="I47" s="14"/>
      <c r="J47" s="14"/>
      <c r="K47" s="14"/>
      <c r="L47" s="14"/>
      <c r="M47" s="14"/>
      <c r="N47" s="14"/>
    </row>
    <row r="48" ht="15.75" customHeight="1">
      <c r="A48" s="14"/>
      <c r="B48" s="14"/>
      <c r="C48" s="14"/>
      <c r="D48" s="14"/>
      <c r="E48" s="63"/>
      <c r="F48" s="14"/>
      <c r="G48" s="14"/>
      <c r="H48" s="64"/>
      <c r="I48" s="14"/>
      <c r="J48" s="14"/>
      <c r="K48" s="14"/>
      <c r="L48" s="14"/>
      <c r="M48" s="14"/>
      <c r="N48" s="14"/>
    </row>
    <row r="49" ht="15.75" customHeight="1">
      <c r="A49" s="14"/>
      <c r="B49" s="14"/>
      <c r="C49" s="14"/>
      <c r="D49" s="14"/>
      <c r="E49" s="63"/>
      <c r="F49" s="14"/>
      <c r="G49" s="14"/>
      <c r="H49" s="64"/>
      <c r="I49" s="14"/>
      <c r="J49" s="14"/>
      <c r="K49" s="14"/>
      <c r="L49" s="14"/>
      <c r="M49" s="14"/>
      <c r="N49" s="14"/>
    </row>
    <row r="50" ht="15.75" customHeight="1">
      <c r="A50" s="14"/>
      <c r="B50" s="14"/>
      <c r="C50" s="14"/>
      <c r="D50" s="14"/>
      <c r="E50" s="63"/>
      <c r="F50" s="14"/>
      <c r="G50" s="14"/>
      <c r="H50" s="64"/>
      <c r="I50" s="14"/>
      <c r="J50" s="14"/>
      <c r="K50" s="14"/>
      <c r="L50" s="14"/>
      <c r="M50" s="14"/>
      <c r="N50" s="14"/>
    </row>
    <row r="51" ht="15.75" customHeight="1">
      <c r="A51" s="14"/>
      <c r="B51" s="14"/>
      <c r="C51" s="14"/>
      <c r="D51" s="14"/>
      <c r="E51" s="63"/>
      <c r="F51" s="14"/>
      <c r="G51" s="14"/>
      <c r="H51" s="64"/>
      <c r="I51" s="14"/>
      <c r="J51" s="14"/>
      <c r="K51" s="14"/>
      <c r="L51" s="14"/>
      <c r="M51" s="14"/>
      <c r="N51" s="14"/>
    </row>
    <row r="52" ht="15.75" customHeight="1">
      <c r="A52" s="14"/>
      <c r="B52" s="14"/>
      <c r="C52" s="14"/>
      <c r="D52" s="14"/>
      <c r="E52" s="63"/>
      <c r="F52" s="14"/>
      <c r="G52" s="14"/>
      <c r="H52" s="64"/>
      <c r="I52" s="14"/>
      <c r="J52" s="14"/>
      <c r="K52" s="14"/>
      <c r="L52" s="14"/>
      <c r="M52" s="14"/>
      <c r="N52" s="14"/>
    </row>
    <row r="53" ht="15.75" customHeight="1">
      <c r="A53" s="14"/>
      <c r="B53" s="14"/>
      <c r="C53" s="14"/>
      <c r="D53" s="14"/>
      <c r="E53" s="63"/>
      <c r="F53" s="14"/>
      <c r="G53" s="14"/>
      <c r="H53" s="64"/>
      <c r="I53" s="14"/>
      <c r="J53" s="14"/>
      <c r="K53" s="14"/>
      <c r="L53" s="14"/>
      <c r="M53" s="14"/>
      <c r="N53" s="14"/>
    </row>
    <row r="54" ht="15.75" customHeight="1">
      <c r="A54" s="14"/>
      <c r="B54" s="14"/>
      <c r="C54" s="14"/>
      <c r="D54" s="14"/>
      <c r="E54" s="63"/>
      <c r="F54" s="14"/>
      <c r="G54" s="14"/>
      <c r="H54" s="64"/>
      <c r="I54" s="14"/>
      <c r="J54" s="14"/>
      <c r="K54" s="14"/>
      <c r="L54" s="14"/>
      <c r="M54" s="14"/>
      <c r="N54" s="14"/>
    </row>
    <row r="55" ht="15.75" customHeight="1">
      <c r="A55" s="14"/>
      <c r="B55" s="14"/>
      <c r="C55" s="14"/>
      <c r="D55" s="14"/>
      <c r="E55" s="63"/>
      <c r="F55" s="14"/>
      <c r="G55" s="14"/>
      <c r="H55" s="64"/>
      <c r="I55" s="14"/>
      <c r="J55" s="14"/>
      <c r="K55" s="14"/>
      <c r="L55" s="14"/>
      <c r="M55" s="14"/>
      <c r="N55" s="14"/>
    </row>
    <row r="56" ht="15.75" customHeight="1">
      <c r="A56" s="14"/>
      <c r="B56" s="14"/>
      <c r="C56" s="14"/>
      <c r="D56" s="14"/>
      <c r="E56" s="63"/>
      <c r="F56" s="14"/>
      <c r="G56" s="14"/>
      <c r="H56" s="64"/>
      <c r="I56" s="14"/>
      <c r="J56" s="14"/>
      <c r="K56" s="14"/>
      <c r="L56" s="14"/>
      <c r="M56" s="14"/>
      <c r="N56" s="14"/>
    </row>
    <row r="57" ht="15.75" customHeight="1">
      <c r="A57" s="14"/>
      <c r="B57" s="14"/>
      <c r="C57" s="14"/>
      <c r="D57" s="14"/>
      <c r="E57" s="63"/>
      <c r="F57" s="14"/>
      <c r="G57" s="14"/>
      <c r="H57" s="64"/>
      <c r="I57" s="14"/>
      <c r="J57" s="14"/>
      <c r="K57" s="14"/>
      <c r="L57" s="14"/>
      <c r="M57" s="14"/>
      <c r="N57" s="14"/>
    </row>
    <row r="58" ht="15.75" customHeight="1">
      <c r="A58" s="14"/>
      <c r="B58" s="14"/>
      <c r="C58" s="14"/>
      <c r="D58" s="14"/>
      <c r="E58" s="63"/>
      <c r="F58" s="14"/>
      <c r="G58" s="14"/>
      <c r="H58" s="64"/>
      <c r="I58" s="14"/>
      <c r="J58" s="14"/>
      <c r="K58" s="14"/>
      <c r="L58" s="14"/>
      <c r="M58" s="14"/>
      <c r="N58" s="14"/>
    </row>
    <row r="59" ht="15.75" customHeight="1">
      <c r="A59" s="14"/>
      <c r="B59" s="14"/>
      <c r="C59" s="14"/>
      <c r="D59" s="14"/>
      <c r="E59" s="63"/>
      <c r="F59" s="14"/>
      <c r="G59" s="14"/>
      <c r="H59" s="64"/>
      <c r="I59" s="14"/>
      <c r="J59" s="14"/>
      <c r="K59" s="14"/>
      <c r="L59" s="14"/>
      <c r="M59" s="14"/>
      <c r="N59" s="14"/>
    </row>
    <row r="60" ht="15.75" customHeight="1">
      <c r="A60" s="14"/>
      <c r="B60" s="14"/>
      <c r="C60" s="14"/>
      <c r="D60" s="14"/>
      <c r="E60" s="63"/>
      <c r="F60" s="14"/>
      <c r="G60" s="14"/>
      <c r="H60" s="64"/>
      <c r="I60" s="14"/>
      <c r="J60" s="14"/>
      <c r="K60" s="14"/>
      <c r="L60" s="14"/>
      <c r="M60" s="14"/>
      <c r="N60" s="14"/>
    </row>
    <row r="61" ht="15.75" customHeight="1">
      <c r="A61" s="14"/>
      <c r="B61" s="14"/>
      <c r="C61" s="14"/>
      <c r="D61" s="14"/>
      <c r="E61" s="63"/>
      <c r="F61" s="14"/>
      <c r="G61" s="14"/>
      <c r="H61" s="64"/>
      <c r="I61" s="14"/>
      <c r="J61" s="14"/>
      <c r="K61" s="14"/>
      <c r="L61" s="14"/>
      <c r="M61" s="14"/>
      <c r="N61" s="14"/>
    </row>
    <row r="62" ht="15.75" customHeight="1">
      <c r="A62" s="14"/>
      <c r="B62" s="14"/>
      <c r="C62" s="14"/>
      <c r="D62" s="14"/>
      <c r="E62" s="63"/>
      <c r="F62" s="14"/>
      <c r="G62" s="14"/>
      <c r="H62" s="64"/>
      <c r="I62" s="14"/>
      <c r="J62" s="14"/>
      <c r="K62" s="14"/>
      <c r="L62" s="14"/>
      <c r="M62" s="14"/>
      <c r="N62" s="14"/>
    </row>
    <row r="63" ht="15.75" customHeight="1">
      <c r="A63" s="14"/>
      <c r="B63" s="14"/>
      <c r="C63" s="14"/>
      <c r="D63" s="14"/>
      <c r="E63" s="63"/>
      <c r="F63" s="14"/>
      <c r="G63" s="14"/>
      <c r="H63" s="64"/>
      <c r="I63" s="14"/>
      <c r="J63" s="14"/>
      <c r="K63" s="14"/>
      <c r="L63" s="14"/>
      <c r="M63" s="14"/>
      <c r="N63" s="14"/>
    </row>
    <row r="64" ht="15.75" customHeight="1">
      <c r="A64" s="14"/>
      <c r="B64" s="14"/>
      <c r="C64" s="14"/>
      <c r="D64" s="14"/>
      <c r="E64" s="63"/>
      <c r="F64" s="14"/>
      <c r="G64" s="14"/>
      <c r="H64" s="64"/>
      <c r="I64" s="14"/>
      <c r="J64" s="14"/>
      <c r="K64" s="14"/>
      <c r="L64" s="14"/>
      <c r="M64" s="14"/>
      <c r="N64" s="14"/>
    </row>
    <row r="65" ht="15.75" customHeight="1">
      <c r="A65" s="14"/>
      <c r="B65" s="14"/>
      <c r="C65" s="14"/>
      <c r="D65" s="14"/>
      <c r="E65" s="63"/>
      <c r="F65" s="14"/>
      <c r="G65" s="14"/>
      <c r="H65" s="64"/>
      <c r="I65" s="14"/>
      <c r="J65" s="14"/>
      <c r="K65" s="14"/>
      <c r="L65" s="14"/>
      <c r="M65" s="14"/>
      <c r="N65" s="14"/>
    </row>
    <row r="66" ht="15.75" customHeight="1">
      <c r="A66" s="14"/>
      <c r="B66" s="14"/>
      <c r="C66" s="14"/>
      <c r="D66" s="14"/>
      <c r="E66" s="63"/>
      <c r="F66" s="14"/>
      <c r="G66" s="14"/>
      <c r="H66" s="64"/>
      <c r="I66" s="14"/>
      <c r="J66" s="14"/>
      <c r="K66" s="14"/>
      <c r="L66" s="14"/>
      <c r="M66" s="14"/>
      <c r="N66" s="14"/>
    </row>
    <row r="67" ht="15.75" customHeight="1">
      <c r="A67" s="14"/>
      <c r="B67" s="14"/>
      <c r="C67" s="14"/>
      <c r="D67" s="14"/>
      <c r="E67" s="63"/>
      <c r="F67" s="14"/>
      <c r="G67" s="14"/>
      <c r="H67" s="64"/>
      <c r="I67" s="14"/>
      <c r="J67" s="14"/>
      <c r="K67" s="14"/>
      <c r="L67" s="14"/>
      <c r="M67" s="14"/>
      <c r="N67" s="14"/>
    </row>
    <row r="68" ht="15.75" customHeight="1">
      <c r="A68" s="14"/>
      <c r="B68" s="14"/>
      <c r="C68" s="14"/>
      <c r="D68" s="14"/>
      <c r="E68" s="63"/>
      <c r="F68" s="14"/>
      <c r="G68" s="14"/>
      <c r="H68" s="64"/>
      <c r="I68" s="14"/>
      <c r="J68" s="14"/>
      <c r="K68" s="14"/>
      <c r="L68" s="14"/>
      <c r="M68" s="14"/>
      <c r="N68" s="14"/>
    </row>
    <row r="69" ht="15.75" customHeight="1">
      <c r="A69" s="14"/>
      <c r="B69" s="14"/>
      <c r="C69" s="14"/>
      <c r="D69" s="14"/>
      <c r="E69" s="63"/>
      <c r="F69" s="14"/>
      <c r="G69" s="14"/>
      <c r="H69" s="64"/>
      <c r="I69" s="14"/>
      <c r="J69" s="14"/>
      <c r="K69" s="14"/>
      <c r="L69" s="14"/>
      <c r="M69" s="14"/>
      <c r="N69" s="14"/>
    </row>
    <row r="70" ht="15.75" customHeight="1">
      <c r="A70" s="14"/>
      <c r="B70" s="14"/>
      <c r="C70" s="14"/>
      <c r="D70" s="14"/>
      <c r="E70" s="63"/>
      <c r="F70" s="14"/>
      <c r="G70" s="14"/>
      <c r="H70" s="64"/>
      <c r="I70" s="14"/>
      <c r="J70" s="14"/>
      <c r="K70" s="14"/>
      <c r="L70" s="14"/>
      <c r="M70" s="14"/>
      <c r="N70" s="14"/>
    </row>
    <row r="71" ht="15.75" customHeight="1">
      <c r="A71" s="14"/>
      <c r="B71" s="14"/>
      <c r="C71" s="14"/>
      <c r="D71" s="14"/>
      <c r="E71" s="63"/>
      <c r="F71" s="14"/>
      <c r="G71" s="14"/>
      <c r="H71" s="64"/>
      <c r="I71" s="14"/>
      <c r="J71" s="14"/>
      <c r="K71" s="14"/>
      <c r="L71" s="14"/>
      <c r="M71" s="14"/>
      <c r="N71" s="14"/>
    </row>
    <row r="72" ht="15.75" customHeight="1">
      <c r="A72" s="14"/>
      <c r="B72" s="14"/>
      <c r="C72" s="14"/>
      <c r="D72" s="14"/>
      <c r="E72" s="63"/>
      <c r="F72" s="14"/>
      <c r="G72" s="14"/>
      <c r="H72" s="64"/>
      <c r="I72" s="14"/>
      <c r="J72" s="14"/>
      <c r="K72" s="14"/>
      <c r="L72" s="14"/>
      <c r="M72" s="14"/>
      <c r="N72" s="14"/>
    </row>
    <row r="73" ht="15.75" customHeight="1">
      <c r="A73" s="14"/>
      <c r="B73" s="14"/>
      <c r="C73" s="14"/>
      <c r="D73" s="14"/>
      <c r="E73" s="63"/>
      <c r="F73" s="14"/>
      <c r="G73" s="14"/>
      <c r="H73" s="64"/>
      <c r="I73" s="14"/>
      <c r="J73" s="14"/>
      <c r="K73" s="14"/>
      <c r="L73" s="14"/>
      <c r="M73" s="14"/>
      <c r="N73" s="14"/>
    </row>
    <row r="74" ht="15.75" customHeight="1">
      <c r="A74" s="14"/>
      <c r="B74" s="14"/>
      <c r="C74" s="14"/>
      <c r="D74" s="14"/>
      <c r="E74" s="63"/>
      <c r="F74" s="14"/>
      <c r="G74" s="14"/>
      <c r="H74" s="64"/>
      <c r="I74" s="14"/>
      <c r="J74" s="14"/>
      <c r="K74" s="14"/>
      <c r="L74" s="14"/>
      <c r="M74" s="14"/>
      <c r="N74" s="14"/>
    </row>
    <row r="75" ht="15.75" customHeight="1">
      <c r="A75" s="14"/>
      <c r="B75" s="14"/>
      <c r="C75" s="14"/>
      <c r="D75" s="14"/>
      <c r="E75" s="63"/>
      <c r="F75" s="14"/>
      <c r="G75" s="14"/>
      <c r="H75" s="64"/>
      <c r="I75" s="14"/>
      <c r="J75" s="14"/>
      <c r="K75" s="14"/>
      <c r="L75" s="14"/>
      <c r="M75" s="14"/>
      <c r="N75" s="14"/>
    </row>
    <row r="76" ht="15.75" customHeight="1">
      <c r="A76" s="14"/>
      <c r="B76" s="14"/>
      <c r="C76" s="14"/>
      <c r="D76" s="14"/>
      <c r="E76" s="63"/>
      <c r="F76" s="14"/>
      <c r="G76" s="14"/>
      <c r="H76" s="64"/>
      <c r="I76" s="14"/>
      <c r="J76" s="14"/>
      <c r="K76" s="14"/>
      <c r="L76" s="14"/>
      <c r="M76" s="14"/>
      <c r="N76" s="14"/>
    </row>
    <row r="77" ht="15.75" customHeight="1">
      <c r="A77" s="14"/>
      <c r="B77" s="14"/>
      <c r="C77" s="14"/>
      <c r="D77" s="14"/>
      <c r="E77" s="63"/>
      <c r="F77" s="14"/>
      <c r="G77" s="14"/>
      <c r="H77" s="64"/>
      <c r="I77" s="14"/>
      <c r="J77" s="14"/>
      <c r="K77" s="14"/>
      <c r="L77" s="14"/>
      <c r="M77" s="14"/>
      <c r="N77" s="14"/>
    </row>
    <row r="78" ht="15.75" customHeight="1">
      <c r="A78" s="14"/>
      <c r="B78" s="14"/>
      <c r="C78" s="14"/>
      <c r="D78" s="14"/>
      <c r="E78" s="63"/>
      <c r="F78" s="14"/>
      <c r="G78" s="14"/>
      <c r="H78" s="64"/>
      <c r="I78" s="14"/>
      <c r="J78" s="14"/>
      <c r="K78" s="14"/>
      <c r="L78" s="14"/>
      <c r="M78" s="14"/>
      <c r="N78" s="14"/>
    </row>
    <row r="79" ht="15.75" customHeight="1">
      <c r="A79" s="14"/>
      <c r="B79" s="14"/>
      <c r="C79" s="14"/>
      <c r="D79" s="14"/>
      <c r="E79" s="63"/>
      <c r="F79" s="14"/>
      <c r="G79" s="14"/>
      <c r="H79" s="64"/>
      <c r="I79" s="14"/>
      <c r="J79" s="14"/>
      <c r="K79" s="14"/>
      <c r="L79" s="14"/>
      <c r="M79" s="14"/>
      <c r="N79" s="14"/>
    </row>
    <row r="80" ht="15.75" customHeight="1">
      <c r="A80" s="14"/>
      <c r="B80" s="14"/>
      <c r="C80" s="14"/>
      <c r="D80" s="14"/>
      <c r="E80" s="63"/>
      <c r="F80" s="14"/>
      <c r="G80" s="14"/>
      <c r="H80" s="64"/>
      <c r="I80" s="14"/>
      <c r="J80" s="14"/>
      <c r="K80" s="14"/>
      <c r="L80" s="14"/>
      <c r="M80" s="14"/>
      <c r="N80" s="14"/>
    </row>
    <row r="81" ht="15.75" customHeight="1">
      <c r="A81" s="14"/>
      <c r="B81" s="14"/>
      <c r="C81" s="14"/>
      <c r="D81" s="14"/>
      <c r="E81" s="63"/>
      <c r="F81" s="14"/>
      <c r="G81" s="14"/>
      <c r="H81" s="64"/>
      <c r="I81" s="14"/>
      <c r="J81" s="14"/>
      <c r="K81" s="14"/>
      <c r="L81" s="14"/>
      <c r="M81" s="14"/>
      <c r="N81" s="14"/>
    </row>
    <row r="82" ht="15.75" customHeight="1">
      <c r="A82" s="14"/>
      <c r="B82" s="14"/>
      <c r="C82" s="14"/>
      <c r="D82" s="14"/>
      <c r="E82" s="63"/>
      <c r="F82" s="14"/>
      <c r="G82" s="14"/>
      <c r="H82" s="64"/>
      <c r="I82" s="14"/>
      <c r="J82" s="14"/>
      <c r="K82" s="14"/>
      <c r="L82" s="14"/>
      <c r="M82" s="14"/>
      <c r="N82" s="14"/>
    </row>
    <row r="83" ht="15.75" customHeight="1">
      <c r="A83" s="14"/>
      <c r="B83" s="14"/>
      <c r="C83" s="14"/>
      <c r="D83" s="14"/>
      <c r="E83" s="63"/>
      <c r="F83" s="14"/>
      <c r="G83" s="14"/>
      <c r="H83" s="64"/>
      <c r="I83" s="14"/>
      <c r="J83" s="14"/>
      <c r="K83" s="14"/>
      <c r="L83" s="14"/>
      <c r="M83" s="14"/>
      <c r="N83" s="14"/>
    </row>
    <row r="84" ht="15.75" customHeight="1">
      <c r="A84" s="14"/>
      <c r="B84" s="14"/>
      <c r="C84" s="14"/>
      <c r="D84" s="14"/>
      <c r="E84" s="63"/>
      <c r="F84" s="14"/>
      <c r="G84" s="14"/>
      <c r="H84" s="64"/>
      <c r="I84" s="14"/>
      <c r="J84" s="14"/>
      <c r="K84" s="14"/>
      <c r="L84" s="14"/>
      <c r="M84" s="14"/>
      <c r="N84" s="14"/>
    </row>
    <row r="85" ht="15.75" customHeight="1">
      <c r="A85" s="14"/>
      <c r="B85" s="14"/>
      <c r="C85" s="14"/>
      <c r="D85" s="14"/>
      <c r="E85" s="63"/>
      <c r="F85" s="14"/>
      <c r="G85" s="14"/>
      <c r="H85" s="64"/>
      <c r="I85" s="14"/>
      <c r="J85" s="14"/>
      <c r="K85" s="14"/>
      <c r="L85" s="14"/>
      <c r="M85" s="14"/>
      <c r="N85" s="14"/>
    </row>
    <row r="86" ht="15.75" customHeight="1">
      <c r="A86" s="14"/>
      <c r="B86" s="14"/>
      <c r="C86" s="14"/>
      <c r="D86" s="14"/>
      <c r="E86" s="63"/>
      <c r="F86" s="14"/>
      <c r="G86" s="14"/>
      <c r="H86" s="64"/>
      <c r="I86" s="14"/>
      <c r="J86" s="14"/>
      <c r="K86" s="14"/>
      <c r="L86" s="14"/>
      <c r="M86" s="14"/>
      <c r="N86" s="14"/>
    </row>
    <row r="87" ht="15.75" customHeight="1">
      <c r="A87" s="14"/>
      <c r="B87" s="14"/>
      <c r="C87" s="14"/>
      <c r="D87" s="14"/>
      <c r="E87" s="63"/>
      <c r="F87" s="14"/>
      <c r="G87" s="14"/>
      <c r="H87" s="64"/>
      <c r="I87" s="14"/>
      <c r="J87" s="14"/>
      <c r="K87" s="14"/>
      <c r="L87" s="14"/>
      <c r="M87" s="14"/>
      <c r="N87" s="14"/>
    </row>
    <row r="88" ht="15.75" customHeight="1">
      <c r="A88" s="14"/>
      <c r="B88" s="14"/>
      <c r="C88" s="14"/>
      <c r="D88" s="14"/>
      <c r="E88" s="63"/>
      <c r="F88" s="14"/>
      <c r="G88" s="14"/>
      <c r="H88" s="64"/>
      <c r="I88" s="14"/>
      <c r="J88" s="14"/>
      <c r="K88" s="14"/>
      <c r="L88" s="14"/>
      <c r="M88" s="14"/>
      <c r="N88" s="14"/>
    </row>
    <row r="89" ht="15.75" customHeight="1">
      <c r="A89" s="14"/>
      <c r="B89" s="14"/>
      <c r="C89" s="14"/>
      <c r="D89" s="14"/>
      <c r="E89" s="63"/>
      <c r="F89" s="14"/>
      <c r="G89" s="14"/>
      <c r="H89" s="64"/>
      <c r="I89" s="14"/>
      <c r="J89" s="14"/>
      <c r="K89" s="14"/>
      <c r="L89" s="14"/>
      <c r="M89" s="14"/>
      <c r="N89" s="14"/>
    </row>
    <row r="90" ht="15.75" customHeight="1">
      <c r="A90" s="14"/>
      <c r="B90" s="14"/>
      <c r="C90" s="14"/>
      <c r="D90" s="14"/>
      <c r="E90" s="63"/>
      <c r="F90" s="14"/>
      <c r="G90" s="14"/>
      <c r="H90" s="64"/>
      <c r="I90" s="14"/>
      <c r="J90" s="14"/>
      <c r="K90" s="14"/>
      <c r="L90" s="14"/>
      <c r="M90" s="14"/>
      <c r="N90" s="14"/>
    </row>
    <row r="91" ht="15.75" customHeight="1">
      <c r="A91" s="14"/>
      <c r="B91" s="14"/>
      <c r="C91" s="14"/>
      <c r="D91" s="14"/>
      <c r="E91" s="63"/>
      <c r="F91" s="14"/>
      <c r="G91" s="14"/>
      <c r="H91" s="64"/>
      <c r="I91" s="14"/>
      <c r="J91" s="14"/>
      <c r="K91" s="14"/>
      <c r="L91" s="14"/>
      <c r="M91" s="14"/>
      <c r="N91" s="14"/>
    </row>
    <row r="92" ht="15.75" customHeight="1">
      <c r="A92" s="14"/>
      <c r="B92" s="14"/>
      <c r="C92" s="14"/>
      <c r="D92" s="14"/>
      <c r="E92" s="63"/>
      <c r="F92" s="14"/>
      <c r="G92" s="14"/>
      <c r="H92" s="64"/>
      <c r="I92" s="14"/>
      <c r="J92" s="14"/>
      <c r="K92" s="14"/>
      <c r="L92" s="14"/>
      <c r="M92" s="14"/>
      <c r="N92" s="14"/>
    </row>
    <row r="93" ht="15.75" customHeight="1">
      <c r="A93" s="14"/>
      <c r="B93" s="14"/>
      <c r="C93" s="14"/>
      <c r="D93" s="14"/>
      <c r="E93" s="63"/>
      <c r="F93" s="14"/>
      <c r="G93" s="14"/>
      <c r="H93" s="64"/>
      <c r="I93" s="14"/>
      <c r="J93" s="14"/>
      <c r="K93" s="14"/>
      <c r="L93" s="14"/>
      <c r="M93" s="14"/>
      <c r="N93" s="14"/>
    </row>
    <row r="94" ht="15.75" customHeight="1">
      <c r="A94" s="14"/>
      <c r="B94" s="14"/>
      <c r="C94" s="14"/>
      <c r="D94" s="14"/>
      <c r="E94" s="63"/>
      <c r="F94" s="14"/>
      <c r="G94" s="14"/>
      <c r="H94" s="64"/>
      <c r="I94" s="14"/>
      <c r="J94" s="14"/>
      <c r="K94" s="14"/>
      <c r="L94" s="14"/>
      <c r="M94" s="14"/>
      <c r="N94" s="14"/>
    </row>
    <row r="95" ht="15.75" customHeight="1">
      <c r="A95" s="14"/>
      <c r="B95" s="14"/>
      <c r="C95" s="14"/>
      <c r="D95" s="14"/>
      <c r="E95" s="63"/>
      <c r="F95" s="14"/>
      <c r="G95" s="14"/>
      <c r="H95" s="64"/>
      <c r="I95" s="14"/>
      <c r="J95" s="14"/>
      <c r="K95" s="14"/>
      <c r="L95" s="14"/>
      <c r="M95" s="14"/>
      <c r="N95" s="14"/>
    </row>
    <row r="96" ht="15.75" customHeight="1">
      <c r="A96" s="14"/>
      <c r="B96" s="14"/>
      <c r="C96" s="14"/>
      <c r="D96" s="14"/>
      <c r="E96" s="63"/>
      <c r="F96" s="14"/>
      <c r="G96" s="14"/>
      <c r="H96" s="64"/>
      <c r="I96" s="14"/>
      <c r="J96" s="14"/>
      <c r="K96" s="14"/>
      <c r="L96" s="14"/>
      <c r="M96" s="14"/>
      <c r="N96" s="14"/>
    </row>
    <row r="97" ht="15.75" customHeight="1">
      <c r="A97" s="14"/>
      <c r="B97" s="14"/>
      <c r="C97" s="14"/>
      <c r="D97" s="14"/>
      <c r="E97" s="63"/>
      <c r="F97" s="14"/>
      <c r="G97" s="14"/>
      <c r="H97" s="64"/>
      <c r="I97" s="14"/>
      <c r="J97" s="14"/>
      <c r="K97" s="14"/>
      <c r="L97" s="14"/>
      <c r="M97" s="14"/>
      <c r="N97" s="14"/>
    </row>
    <row r="98" ht="15.75" customHeight="1">
      <c r="A98" s="14"/>
      <c r="B98" s="14"/>
      <c r="C98" s="14"/>
      <c r="D98" s="14"/>
      <c r="E98" s="63"/>
      <c r="F98" s="14"/>
      <c r="G98" s="14"/>
      <c r="H98" s="64"/>
      <c r="I98" s="14"/>
      <c r="J98" s="14"/>
      <c r="K98" s="14"/>
      <c r="L98" s="14"/>
      <c r="M98" s="14"/>
      <c r="N98" s="14"/>
    </row>
    <row r="99" ht="15.75" customHeight="1">
      <c r="A99" s="14"/>
      <c r="B99" s="14"/>
      <c r="C99" s="14"/>
      <c r="D99" s="14"/>
      <c r="E99" s="63"/>
      <c r="F99" s="14"/>
      <c r="G99" s="14"/>
      <c r="H99" s="64"/>
      <c r="I99" s="14"/>
      <c r="J99" s="14"/>
      <c r="K99" s="14"/>
      <c r="L99" s="14"/>
      <c r="M99" s="14"/>
      <c r="N99" s="14"/>
    </row>
    <row r="100" ht="15.75" customHeight="1">
      <c r="A100" s="14"/>
      <c r="B100" s="14"/>
      <c r="C100" s="14"/>
      <c r="D100" s="14"/>
      <c r="E100" s="63"/>
      <c r="F100" s="14"/>
      <c r="G100" s="14"/>
      <c r="H100" s="64"/>
      <c r="I100" s="14"/>
      <c r="J100" s="14"/>
      <c r="K100" s="14"/>
      <c r="L100" s="14"/>
      <c r="M100" s="14"/>
      <c r="N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9" width="16.0"/>
    <col customWidth="1" min="10" max="10" width="32.0"/>
    <col customWidth="1" min="11" max="26" width="8.63"/>
  </cols>
  <sheetData>
    <row r="1" ht="33.75" customHeight="1">
      <c r="A1" s="39" t="s">
        <v>958</v>
      </c>
    </row>
    <row r="3">
      <c r="A3" s="59" t="s">
        <v>925</v>
      </c>
      <c r="B3" s="59" t="s">
        <v>959</v>
      </c>
      <c r="C3" s="59" t="s">
        <v>928</v>
      </c>
      <c r="D3" s="59" t="s">
        <v>960</v>
      </c>
      <c r="E3" s="59" t="s">
        <v>961</v>
      </c>
      <c r="F3" s="59" t="s">
        <v>962</v>
      </c>
      <c r="G3" s="59" t="s">
        <v>963</v>
      </c>
      <c r="H3" s="59" t="s">
        <v>964</v>
      </c>
      <c r="I3" s="59" t="s">
        <v>5</v>
      </c>
      <c r="J3" s="59" t="s">
        <v>16</v>
      </c>
    </row>
    <row r="4">
      <c r="A4" s="60" t="s">
        <v>936</v>
      </c>
      <c r="B4" s="62">
        <v>18000.0</v>
      </c>
      <c r="C4" s="60">
        <v>2032.0</v>
      </c>
      <c r="D4" s="62">
        <v>0.0</v>
      </c>
      <c r="E4" s="62">
        <f t="shared" ref="E4:E100" si="1">IF(A4="","",MAX(B4-D4,0))</f>
        <v>18000</v>
      </c>
      <c r="F4" s="60">
        <f t="shared" ref="F4:F100" si="2">IF(A4="","",MAX(C4-YEAR(TODAY()),1))</f>
        <v>6</v>
      </c>
      <c r="G4" s="66">
        <f t="shared" ref="G4:G100" si="3">IF(A4="","",E4/F4)</f>
        <v>3000</v>
      </c>
      <c r="H4" s="66">
        <f t="shared" ref="H4:H100" si="4">IF(A4="","",G4/12)</f>
        <v>250</v>
      </c>
      <c r="I4" s="60">
        <v>1.0</v>
      </c>
      <c r="J4" s="60" t="s">
        <v>965</v>
      </c>
    </row>
    <row r="5">
      <c r="A5" s="60" t="s">
        <v>943</v>
      </c>
      <c r="B5" s="62">
        <v>30000.0</v>
      </c>
      <c r="C5" s="60">
        <v>2036.0</v>
      </c>
      <c r="D5" s="62">
        <v>0.0</v>
      </c>
      <c r="E5" s="62">
        <f t="shared" si="1"/>
        <v>30000</v>
      </c>
      <c r="F5" s="60">
        <f t="shared" si="2"/>
        <v>10</v>
      </c>
      <c r="G5" s="66">
        <f t="shared" si="3"/>
        <v>3000</v>
      </c>
      <c r="H5" s="66">
        <f t="shared" si="4"/>
        <v>250</v>
      </c>
      <c r="I5" s="60">
        <v>2.0</v>
      </c>
      <c r="J5" s="60" t="s">
        <v>966</v>
      </c>
    </row>
    <row r="6">
      <c r="A6" s="60" t="s">
        <v>952</v>
      </c>
      <c r="B6" s="62">
        <v>28000.0</v>
      </c>
      <c r="C6" s="60">
        <v>2038.0</v>
      </c>
      <c r="D6" s="62">
        <v>0.0</v>
      </c>
      <c r="E6" s="62">
        <f t="shared" si="1"/>
        <v>28000</v>
      </c>
      <c r="F6" s="60">
        <f t="shared" si="2"/>
        <v>12</v>
      </c>
      <c r="G6" s="66">
        <f t="shared" si="3"/>
        <v>2333.333333</v>
      </c>
      <c r="H6" s="66">
        <f t="shared" si="4"/>
        <v>194.4444444</v>
      </c>
      <c r="I6" s="60">
        <v>3.0</v>
      </c>
      <c r="J6" s="60" t="s">
        <v>966</v>
      </c>
    </row>
    <row r="7">
      <c r="B7" s="62"/>
      <c r="D7" s="62"/>
      <c r="E7" s="62" t="str">
        <f t="shared" si="1"/>
        <v/>
      </c>
      <c r="F7" s="60" t="str">
        <f t="shared" si="2"/>
        <v/>
      </c>
      <c r="G7" s="66" t="str">
        <f t="shared" si="3"/>
        <v/>
      </c>
      <c r="H7" s="66" t="str">
        <f t="shared" si="4"/>
        <v/>
      </c>
    </row>
    <row r="8">
      <c r="B8" s="62"/>
      <c r="D8" s="62"/>
      <c r="E8" s="62" t="str">
        <f t="shared" si="1"/>
        <v/>
      </c>
      <c r="F8" s="60" t="str">
        <f t="shared" si="2"/>
        <v/>
      </c>
      <c r="G8" s="66" t="str">
        <f t="shared" si="3"/>
        <v/>
      </c>
      <c r="H8" s="66" t="str">
        <f t="shared" si="4"/>
        <v/>
      </c>
    </row>
    <row r="9">
      <c r="B9" s="62"/>
      <c r="D9" s="62"/>
      <c r="E9" s="62" t="str">
        <f t="shared" si="1"/>
        <v/>
      </c>
      <c r="F9" s="60" t="str">
        <f t="shared" si="2"/>
        <v/>
      </c>
      <c r="G9" s="66" t="str">
        <f t="shared" si="3"/>
        <v/>
      </c>
      <c r="H9" s="66" t="str">
        <f t="shared" si="4"/>
        <v/>
      </c>
    </row>
    <row r="10">
      <c r="B10" s="62"/>
      <c r="D10" s="62"/>
      <c r="E10" s="62" t="str">
        <f t="shared" si="1"/>
        <v/>
      </c>
      <c r="F10" s="60" t="str">
        <f t="shared" si="2"/>
        <v/>
      </c>
      <c r="G10" s="66" t="str">
        <f t="shared" si="3"/>
        <v/>
      </c>
      <c r="H10" s="66" t="str">
        <f t="shared" si="4"/>
        <v/>
      </c>
    </row>
    <row r="11">
      <c r="B11" s="62"/>
      <c r="D11" s="62"/>
      <c r="E11" s="62" t="str">
        <f t="shared" si="1"/>
        <v/>
      </c>
      <c r="F11" s="60" t="str">
        <f t="shared" si="2"/>
        <v/>
      </c>
      <c r="G11" s="66" t="str">
        <f t="shared" si="3"/>
        <v/>
      </c>
      <c r="H11" s="66" t="str">
        <f t="shared" si="4"/>
        <v/>
      </c>
    </row>
    <row r="12">
      <c r="B12" s="62"/>
      <c r="D12" s="62"/>
      <c r="E12" s="62" t="str">
        <f t="shared" si="1"/>
        <v/>
      </c>
      <c r="F12" s="60" t="str">
        <f t="shared" si="2"/>
        <v/>
      </c>
      <c r="G12" s="66" t="str">
        <f t="shared" si="3"/>
        <v/>
      </c>
      <c r="H12" s="66" t="str">
        <f t="shared" si="4"/>
        <v/>
      </c>
    </row>
    <row r="13">
      <c r="B13" s="62"/>
      <c r="D13" s="62"/>
      <c r="E13" s="62" t="str">
        <f t="shared" si="1"/>
        <v/>
      </c>
      <c r="F13" s="60" t="str">
        <f t="shared" si="2"/>
        <v/>
      </c>
      <c r="G13" s="66" t="str">
        <f t="shared" si="3"/>
        <v/>
      </c>
      <c r="H13" s="66" t="str">
        <f t="shared" si="4"/>
        <v/>
      </c>
    </row>
    <row r="14">
      <c r="B14" s="62"/>
      <c r="D14" s="62"/>
      <c r="E14" s="62" t="str">
        <f t="shared" si="1"/>
        <v/>
      </c>
      <c r="F14" s="60" t="str">
        <f t="shared" si="2"/>
        <v/>
      </c>
      <c r="G14" s="66" t="str">
        <f t="shared" si="3"/>
        <v/>
      </c>
      <c r="H14" s="66" t="str">
        <f t="shared" si="4"/>
        <v/>
      </c>
    </row>
    <row r="15">
      <c r="B15" s="62"/>
      <c r="D15" s="62"/>
      <c r="E15" s="62" t="str">
        <f t="shared" si="1"/>
        <v/>
      </c>
      <c r="F15" s="60" t="str">
        <f t="shared" si="2"/>
        <v/>
      </c>
      <c r="G15" s="66" t="str">
        <f t="shared" si="3"/>
        <v/>
      </c>
      <c r="H15" s="66" t="str">
        <f t="shared" si="4"/>
        <v/>
      </c>
    </row>
    <row r="16">
      <c r="B16" s="62"/>
      <c r="D16" s="62"/>
      <c r="E16" s="62" t="str">
        <f t="shared" si="1"/>
        <v/>
      </c>
      <c r="F16" s="60" t="str">
        <f t="shared" si="2"/>
        <v/>
      </c>
      <c r="G16" s="66" t="str">
        <f t="shared" si="3"/>
        <v/>
      </c>
      <c r="H16" s="66" t="str">
        <f t="shared" si="4"/>
        <v/>
      </c>
    </row>
    <row r="17">
      <c r="B17" s="62"/>
      <c r="D17" s="62"/>
      <c r="E17" s="62" t="str">
        <f t="shared" si="1"/>
        <v/>
      </c>
      <c r="F17" s="60" t="str">
        <f t="shared" si="2"/>
        <v/>
      </c>
      <c r="G17" s="66" t="str">
        <f t="shared" si="3"/>
        <v/>
      </c>
      <c r="H17" s="66" t="str">
        <f t="shared" si="4"/>
        <v/>
      </c>
    </row>
    <row r="18">
      <c r="B18" s="62"/>
      <c r="D18" s="62"/>
      <c r="E18" s="62" t="str">
        <f t="shared" si="1"/>
        <v/>
      </c>
      <c r="F18" s="60" t="str">
        <f t="shared" si="2"/>
        <v/>
      </c>
      <c r="G18" s="66" t="str">
        <f t="shared" si="3"/>
        <v/>
      </c>
      <c r="H18" s="66" t="str">
        <f t="shared" si="4"/>
        <v/>
      </c>
    </row>
    <row r="19">
      <c r="B19" s="62"/>
      <c r="D19" s="62"/>
      <c r="E19" s="62" t="str">
        <f t="shared" si="1"/>
        <v/>
      </c>
      <c r="F19" s="60" t="str">
        <f t="shared" si="2"/>
        <v/>
      </c>
      <c r="G19" s="66" t="str">
        <f t="shared" si="3"/>
        <v/>
      </c>
      <c r="H19" s="66" t="str">
        <f t="shared" si="4"/>
        <v/>
      </c>
    </row>
    <row r="20">
      <c r="B20" s="62"/>
      <c r="D20" s="62"/>
      <c r="E20" s="62" t="str">
        <f t="shared" si="1"/>
        <v/>
      </c>
      <c r="F20" s="60" t="str">
        <f t="shared" si="2"/>
        <v/>
      </c>
      <c r="G20" s="66" t="str">
        <f t="shared" si="3"/>
        <v/>
      </c>
      <c r="H20" s="66" t="str">
        <f t="shared" si="4"/>
        <v/>
      </c>
    </row>
    <row r="21" ht="15.75" customHeight="1">
      <c r="B21" s="62"/>
      <c r="D21" s="62"/>
      <c r="E21" s="62" t="str">
        <f t="shared" si="1"/>
        <v/>
      </c>
      <c r="F21" s="60" t="str">
        <f t="shared" si="2"/>
        <v/>
      </c>
      <c r="G21" s="66" t="str">
        <f t="shared" si="3"/>
        <v/>
      </c>
      <c r="H21" s="66" t="str">
        <f t="shared" si="4"/>
        <v/>
      </c>
    </row>
    <row r="22" ht="15.75" customHeight="1">
      <c r="B22" s="62"/>
      <c r="D22" s="62"/>
      <c r="E22" s="62" t="str">
        <f t="shared" si="1"/>
        <v/>
      </c>
      <c r="F22" s="60" t="str">
        <f t="shared" si="2"/>
        <v/>
      </c>
      <c r="G22" s="66" t="str">
        <f t="shared" si="3"/>
        <v/>
      </c>
      <c r="H22" s="66" t="str">
        <f t="shared" si="4"/>
        <v/>
      </c>
    </row>
    <row r="23" ht="15.75" customHeight="1">
      <c r="B23" s="62"/>
      <c r="D23" s="62"/>
      <c r="E23" s="62" t="str">
        <f t="shared" si="1"/>
        <v/>
      </c>
      <c r="F23" s="60" t="str">
        <f t="shared" si="2"/>
        <v/>
      </c>
      <c r="G23" s="66" t="str">
        <f t="shared" si="3"/>
        <v/>
      </c>
      <c r="H23" s="66" t="str">
        <f t="shared" si="4"/>
        <v/>
      </c>
    </row>
    <row r="24" ht="15.75" customHeight="1">
      <c r="B24" s="62"/>
      <c r="D24" s="62"/>
      <c r="E24" s="62" t="str">
        <f t="shared" si="1"/>
        <v/>
      </c>
      <c r="F24" s="60" t="str">
        <f t="shared" si="2"/>
        <v/>
      </c>
      <c r="G24" s="66" t="str">
        <f t="shared" si="3"/>
        <v/>
      </c>
      <c r="H24" s="66" t="str">
        <f t="shared" si="4"/>
        <v/>
      </c>
    </row>
    <row r="25" ht="15.75" customHeight="1">
      <c r="B25" s="62"/>
      <c r="D25" s="62"/>
      <c r="E25" s="62" t="str">
        <f t="shared" si="1"/>
        <v/>
      </c>
      <c r="F25" s="60" t="str">
        <f t="shared" si="2"/>
        <v/>
      </c>
      <c r="G25" s="66" t="str">
        <f t="shared" si="3"/>
        <v/>
      </c>
      <c r="H25" s="66" t="str">
        <f t="shared" si="4"/>
        <v/>
      </c>
    </row>
    <row r="26" ht="15.75" customHeight="1">
      <c r="B26" s="62"/>
      <c r="D26" s="62"/>
      <c r="E26" s="62" t="str">
        <f t="shared" si="1"/>
        <v/>
      </c>
      <c r="F26" s="60" t="str">
        <f t="shared" si="2"/>
        <v/>
      </c>
      <c r="G26" s="66" t="str">
        <f t="shared" si="3"/>
        <v/>
      </c>
      <c r="H26" s="66" t="str">
        <f t="shared" si="4"/>
        <v/>
      </c>
    </row>
    <row r="27" ht="15.75" customHeight="1">
      <c r="B27" s="62"/>
      <c r="D27" s="62"/>
      <c r="E27" s="62" t="str">
        <f t="shared" si="1"/>
        <v/>
      </c>
      <c r="F27" s="60" t="str">
        <f t="shared" si="2"/>
        <v/>
      </c>
      <c r="G27" s="66" t="str">
        <f t="shared" si="3"/>
        <v/>
      </c>
      <c r="H27" s="66" t="str">
        <f t="shared" si="4"/>
        <v/>
      </c>
    </row>
    <row r="28" ht="15.75" customHeight="1">
      <c r="B28" s="62"/>
      <c r="D28" s="62"/>
      <c r="E28" s="62" t="str">
        <f t="shared" si="1"/>
        <v/>
      </c>
      <c r="F28" s="60" t="str">
        <f t="shared" si="2"/>
        <v/>
      </c>
      <c r="G28" s="66" t="str">
        <f t="shared" si="3"/>
        <v/>
      </c>
      <c r="H28" s="66" t="str">
        <f t="shared" si="4"/>
        <v/>
      </c>
    </row>
    <row r="29" ht="15.75" customHeight="1">
      <c r="B29" s="62"/>
      <c r="D29" s="62"/>
      <c r="E29" s="62" t="str">
        <f t="shared" si="1"/>
        <v/>
      </c>
      <c r="F29" s="60" t="str">
        <f t="shared" si="2"/>
        <v/>
      </c>
      <c r="G29" s="66" t="str">
        <f t="shared" si="3"/>
        <v/>
      </c>
      <c r="H29" s="66" t="str">
        <f t="shared" si="4"/>
        <v/>
      </c>
    </row>
    <row r="30" ht="15.75" customHeight="1">
      <c r="B30" s="62"/>
      <c r="D30" s="62"/>
      <c r="E30" s="62" t="str">
        <f t="shared" si="1"/>
        <v/>
      </c>
      <c r="F30" s="60" t="str">
        <f t="shared" si="2"/>
        <v/>
      </c>
      <c r="G30" s="66" t="str">
        <f t="shared" si="3"/>
        <v/>
      </c>
      <c r="H30" s="66" t="str">
        <f t="shared" si="4"/>
        <v/>
      </c>
    </row>
    <row r="31" ht="15.75" customHeight="1">
      <c r="B31" s="62"/>
      <c r="D31" s="62"/>
      <c r="E31" s="62" t="str">
        <f t="shared" si="1"/>
        <v/>
      </c>
      <c r="F31" s="60" t="str">
        <f t="shared" si="2"/>
        <v/>
      </c>
      <c r="G31" s="66" t="str">
        <f t="shared" si="3"/>
        <v/>
      </c>
      <c r="H31" s="66" t="str">
        <f t="shared" si="4"/>
        <v/>
      </c>
    </row>
    <row r="32" ht="15.75" customHeight="1">
      <c r="B32" s="62"/>
      <c r="D32" s="62"/>
      <c r="E32" s="62" t="str">
        <f t="shared" si="1"/>
        <v/>
      </c>
      <c r="F32" s="60" t="str">
        <f t="shared" si="2"/>
        <v/>
      </c>
      <c r="G32" s="66" t="str">
        <f t="shared" si="3"/>
        <v/>
      </c>
      <c r="H32" s="66" t="str">
        <f t="shared" si="4"/>
        <v/>
      </c>
    </row>
    <row r="33" ht="15.75" customHeight="1">
      <c r="B33" s="62"/>
      <c r="D33" s="62"/>
      <c r="E33" s="62" t="str">
        <f t="shared" si="1"/>
        <v/>
      </c>
      <c r="F33" s="60" t="str">
        <f t="shared" si="2"/>
        <v/>
      </c>
      <c r="G33" s="66" t="str">
        <f t="shared" si="3"/>
        <v/>
      </c>
      <c r="H33" s="66" t="str">
        <f t="shared" si="4"/>
        <v/>
      </c>
    </row>
    <row r="34" ht="15.75" customHeight="1">
      <c r="B34" s="62"/>
      <c r="D34" s="62"/>
      <c r="E34" s="62" t="str">
        <f t="shared" si="1"/>
        <v/>
      </c>
      <c r="F34" s="60" t="str">
        <f t="shared" si="2"/>
        <v/>
      </c>
      <c r="G34" s="66" t="str">
        <f t="shared" si="3"/>
        <v/>
      </c>
      <c r="H34" s="66" t="str">
        <f t="shared" si="4"/>
        <v/>
      </c>
    </row>
    <row r="35" ht="15.75" customHeight="1">
      <c r="B35" s="62"/>
      <c r="D35" s="62"/>
      <c r="E35" s="62" t="str">
        <f t="shared" si="1"/>
        <v/>
      </c>
      <c r="F35" s="60" t="str">
        <f t="shared" si="2"/>
        <v/>
      </c>
      <c r="G35" s="66" t="str">
        <f t="shared" si="3"/>
        <v/>
      </c>
      <c r="H35" s="66" t="str">
        <f t="shared" si="4"/>
        <v/>
      </c>
    </row>
    <row r="36" ht="15.75" customHeight="1">
      <c r="B36" s="62"/>
      <c r="D36" s="62"/>
      <c r="E36" s="62" t="str">
        <f t="shared" si="1"/>
        <v/>
      </c>
      <c r="F36" s="60" t="str">
        <f t="shared" si="2"/>
        <v/>
      </c>
      <c r="G36" s="66" t="str">
        <f t="shared" si="3"/>
        <v/>
      </c>
      <c r="H36" s="66" t="str">
        <f t="shared" si="4"/>
        <v/>
      </c>
    </row>
    <row r="37" ht="15.75" customHeight="1">
      <c r="B37" s="62"/>
      <c r="D37" s="62"/>
      <c r="E37" s="62" t="str">
        <f t="shared" si="1"/>
        <v/>
      </c>
      <c r="F37" s="60" t="str">
        <f t="shared" si="2"/>
        <v/>
      </c>
      <c r="G37" s="66" t="str">
        <f t="shared" si="3"/>
        <v/>
      </c>
      <c r="H37" s="66" t="str">
        <f t="shared" si="4"/>
        <v/>
      </c>
    </row>
    <row r="38" ht="15.75" customHeight="1">
      <c r="B38" s="62"/>
      <c r="D38" s="62"/>
      <c r="E38" s="62" t="str">
        <f t="shared" si="1"/>
        <v/>
      </c>
      <c r="F38" s="60" t="str">
        <f t="shared" si="2"/>
        <v/>
      </c>
      <c r="G38" s="66" t="str">
        <f t="shared" si="3"/>
        <v/>
      </c>
      <c r="H38" s="66" t="str">
        <f t="shared" si="4"/>
        <v/>
      </c>
    </row>
    <row r="39" ht="15.75" customHeight="1">
      <c r="B39" s="62"/>
      <c r="D39" s="62"/>
      <c r="E39" s="62" t="str">
        <f t="shared" si="1"/>
        <v/>
      </c>
      <c r="F39" s="60" t="str">
        <f t="shared" si="2"/>
        <v/>
      </c>
      <c r="G39" s="66" t="str">
        <f t="shared" si="3"/>
        <v/>
      </c>
      <c r="H39" s="66" t="str">
        <f t="shared" si="4"/>
        <v/>
      </c>
    </row>
    <row r="40" ht="15.75" customHeight="1">
      <c r="B40" s="62"/>
      <c r="D40" s="62"/>
      <c r="E40" s="62" t="str">
        <f t="shared" si="1"/>
        <v/>
      </c>
      <c r="F40" s="60" t="str">
        <f t="shared" si="2"/>
        <v/>
      </c>
      <c r="G40" s="66" t="str">
        <f t="shared" si="3"/>
        <v/>
      </c>
      <c r="H40" s="66" t="str">
        <f t="shared" si="4"/>
        <v/>
      </c>
    </row>
    <row r="41" ht="15.75" customHeight="1">
      <c r="B41" s="62"/>
      <c r="D41" s="62"/>
      <c r="E41" s="62" t="str">
        <f t="shared" si="1"/>
        <v/>
      </c>
      <c r="F41" s="60" t="str">
        <f t="shared" si="2"/>
        <v/>
      </c>
      <c r="G41" s="66" t="str">
        <f t="shared" si="3"/>
        <v/>
      </c>
      <c r="H41" s="66" t="str">
        <f t="shared" si="4"/>
        <v/>
      </c>
    </row>
    <row r="42" ht="15.75" customHeight="1">
      <c r="B42" s="62"/>
      <c r="D42" s="62"/>
      <c r="E42" s="62" t="str">
        <f t="shared" si="1"/>
        <v/>
      </c>
      <c r="F42" s="60" t="str">
        <f t="shared" si="2"/>
        <v/>
      </c>
      <c r="G42" s="66" t="str">
        <f t="shared" si="3"/>
        <v/>
      </c>
      <c r="H42" s="66" t="str">
        <f t="shared" si="4"/>
        <v/>
      </c>
    </row>
    <row r="43" ht="15.75" customHeight="1">
      <c r="B43" s="62"/>
      <c r="D43" s="62"/>
      <c r="E43" s="62" t="str">
        <f t="shared" si="1"/>
        <v/>
      </c>
      <c r="F43" s="60" t="str">
        <f t="shared" si="2"/>
        <v/>
      </c>
      <c r="G43" s="66" t="str">
        <f t="shared" si="3"/>
        <v/>
      </c>
      <c r="H43" s="66" t="str">
        <f t="shared" si="4"/>
        <v/>
      </c>
    </row>
    <row r="44" ht="15.75" customHeight="1">
      <c r="B44" s="62"/>
      <c r="D44" s="62"/>
      <c r="E44" s="62" t="str">
        <f t="shared" si="1"/>
        <v/>
      </c>
      <c r="F44" s="60" t="str">
        <f t="shared" si="2"/>
        <v/>
      </c>
      <c r="G44" s="66" t="str">
        <f t="shared" si="3"/>
        <v/>
      </c>
      <c r="H44" s="66" t="str">
        <f t="shared" si="4"/>
        <v/>
      </c>
    </row>
    <row r="45" ht="15.75" customHeight="1">
      <c r="B45" s="62"/>
      <c r="D45" s="62"/>
      <c r="E45" s="62" t="str">
        <f t="shared" si="1"/>
        <v/>
      </c>
      <c r="F45" s="60" t="str">
        <f t="shared" si="2"/>
        <v/>
      </c>
      <c r="G45" s="66" t="str">
        <f t="shared" si="3"/>
        <v/>
      </c>
      <c r="H45" s="66" t="str">
        <f t="shared" si="4"/>
        <v/>
      </c>
    </row>
    <row r="46" ht="15.75" customHeight="1">
      <c r="B46" s="62"/>
      <c r="D46" s="62"/>
      <c r="E46" s="62" t="str">
        <f t="shared" si="1"/>
        <v/>
      </c>
      <c r="F46" s="60" t="str">
        <f t="shared" si="2"/>
        <v/>
      </c>
      <c r="G46" s="66" t="str">
        <f t="shared" si="3"/>
        <v/>
      </c>
      <c r="H46" s="66" t="str">
        <f t="shared" si="4"/>
        <v/>
      </c>
    </row>
    <row r="47" ht="15.75" customHeight="1">
      <c r="B47" s="62"/>
      <c r="D47" s="62"/>
      <c r="E47" s="62" t="str">
        <f t="shared" si="1"/>
        <v/>
      </c>
      <c r="F47" s="60" t="str">
        <f t="shared" si="2"/>
        <v/>
      </c>
      <c r="G47" s="66" t="str">
        <f t="shared" si="3"/>
        <v/>
      </c>
      <c r="H47" s="66" t="str">
        <f t="shared" si="4"/>
        <v/>
      </c>
    </row>
    <row r="48" ht="15.75" customHeight="1">
      <c r="B48" s="62"/>
      <c r="D48" s="62"/>
      <c r="E48" s="62" t="str">
        <f t="shared" si="1"/>
        <v/>
      </c>
      <c r="F48" s="60" t="str">
        <f t="shared" si="2"/>
        <v/>
      </c>
      <c r="G48" s="66" t="str">
        <f t="shared" si="3"/>
        <v/>
      </c>
      <c r="H48" s="66" t="str">
        <f t="shared" si="4"/>
        <v/>
      </c>
    </row>
    <row r="49" ht="15.75" customHeight="1">
      <c r="B49" s="62"/>
      <c r="D49" s="62"/>
      <c r="E49" s="62" t="str">
        <f t="shared" si="1"/>
        <v/>
      </c>
      <c r="F49" s="60" t="str">
        <f t="shared" si="2"/>
        <v/>
      </c>
      <c r="G49" s="66" t="str">
        <f t="shared" si="3"/>
        <v/>
      </c>
      <c r="H49" s="66" t="str">
        <f t="shared" si="4"/>
        <v/>
      </c>
    </row>
    <row r="50" ht="15.75" customHeight="1">
      <c r="B50" s="62"/>
      <c r="D50" s="62"/>
      <c r="E50" s="62" t="str">
        <f t="shared" si="1"/>
        <v/>
      </c>
      <c r="F50" s="60" t="str">
        <f t="shared" si="2"/>
        <v/>
      </c>
      <c r="G50" s="66" t="str">
        <f t="shared" si="3"/>
        <v/>
      </c>
      <c r="H50" s="66" t="str">
        <f t="shared" si="4"/>
        <v/>
      </c>
    </row>
    <row r="51" ht="15.75" customHeight="1">
      <c r="B51" s="62"/>
      <c r="D51" s="62"/>
      <c r="E51" s="62" t="str">
        <f t="shared" si="1"/>
        <v/>
      </c>
      <c r="F51" s="60" t="str">
        <f t="shared" si="2"/>
        <v/>
      </c>
      <c r="G51" s="66" t="str">
        <f t="shared" si="3"/>
        <v/>
      </c>
      <c r="H51" s="66" t="str">
        <f t="shared" si="4"/>
        <v/>
      </c>
    </row>
    <row r="52" ht="15.75" customHeight="1">
      <c r="B52" s="62"/>
      <c r="D52" s="62"/>
      <c r="E52" s="62" t="str">
        <f t="shared" si="1"/>
        <v/>
      </c>
      <c r="F52" s="60" t="str">
        <f t="shared" si="2"/>
        <v/>
      </c>
      <c r="G52" s="66" t="str">
        <f t="shared" si="3"/>
        <v/>
      </c>
      <c r="H52" s="66" t="str">
        <f t="shared" si="4"/>
        <v/>
      </c>
    </row>
    <row r="53" ht="15.75" customHeight="1">
      <c r="B53" s="62"/>
      <c r="D53" s="62"/>
      <c r="E53" s="62" t="str">
        <f t="shared" si="1"/>
        <v/>
      </c>
      <c r="F53" s="60" t="str">
        <f t="shared" si="2"/>
        <v/>
      </c>
      <c r="G53" s="66" t="str">
        <f t="shared" si="3"/>
        <v/>
      </c>
      <c r="H53" s="66" t="str">
        <f t="shared" si="4"/>
        <v/>
      </c>
    </row>
    <row r="54" ht="15.75" customHeight="1">
      <c r="B54" s="62"/>
      <c r="D54" s="62"/>
      <c r="E54" s="62" t="str">
        <f t="shared" si="1"/>
        <v/>
      </c>
      <c r="F54" s="60" t="str">
        <f t="shared" si="2"/>
        <v/>
      </c>
      <c r="G54" s="66" t="str">
        <f t="shared" si="3"/>
        <v/>
      </c>
      <c r="H54" s="66" t="str">
        <f t="shared" si="4"/>
        <v/>
      </c>
    </row>
    <row r="55" ht="15.75" customHeight="1">
      <c r="B55" s="62"/>
      <c r="D55" s="62"/>
      <c r="E55" s="62" t="str">
        <f t="shared" si="1"/>
        <v/>
      </c>
      <c r="F55" s="60" t="str">
        <f t="shared" si="2"/>
        <v/>
      </c>
      <c r="G55" s="66" t="str">
        <f t="shared" si="3"/>
        <v/>
      </c>
      <c r="H55" s="66" t="str">
        <f t="shared" si="4"/>
        <v/>
      </c>
    </row>
    <row r="56" ht="15.75" customHeight="1">
      <c r="B56" s="62"/>
      <c r="D56" s="62"/>
      <c r="E56" s="62" t="str">
        <f t="shared" si="1"/>
        <v/>
      </c>
      <c r="F56" s="60" t="str">
        <f t="shared" si="2"/>
        <v/>
      </c>
      <c r="G56" s="66" t="str">
        <f t="shared" si="3"/>
        <v/>
      </c>
      <c r="H56" s="66" t="str">
        <f t="shared" si="4"/>
        <v/>
      </c>
    </row>
    <row r="57" ht="15.75" customHeight="1">
      <c r="B57" s="62"/>
      <c r="D57" s="62"/>
      <c r="E57" s="62" t="str">
        <f t="shared" si="1"/>
        <v/>
      </c>
      <c r="F57" s="60" t="str">
        <f t="shared" si="2"/>
        <v/>
      </c>
      <c r="G57" s="66" t="str">
        <f t="shared" si="3"/>
        <v/>
      </c>
      <c r="H57" s="66" t="str">
        <f t="shared" si="4"/>
        <v/>
      </c>
    </row>
    <row r="58" ht="15.75" customHeight="1">
      <c r="B58" s="62"/>
      <c r="D58" s="62"/>
      <c r="E58" s="62" t="str">
        <f t="shared" si="1"/>
        <v/>
      </c>
      <c r="F58" s="60" t="str">
        <f t="shared" si="2"/>
        <v/>
      </c>
      <c r="G58" s="66" t="str">
        <f t="shared" si="3"/>
        <v/>
      </c>
      <c r="H58" s="66" t="str">
        <f t="shared" si="4"/>
        <v/>
      </c>
    </row>
    <row r="59" ht="15.75" customHeight="1">
      <c r="B59" s="62"/>
      <c r="D59" s="62"/>
      <c r="E59" s="62" t="str">
        <f t="shared" si="1"/>
        <v/>
      </c>
      <c r="F59" s="60" t="str">
        <f t="shared" si="2"/>
        <v/>
      </c>
      <c r="G59" s="66" t="str">
        <f t="shared" si="3"/>
        <v/>
      </c>
      <c r="H59" s="66" t="str">
        <f t="shared" si="4"/>
        <v/>
      </c>
    </row>
    <row r="60" ht="15.75" customHeight="1">
      <c r="B60" s="62"/>
      <c r="D60" s="62"/>
      <c r="E60" s="62" t="str">
        <f t="shared" si="1"/>
        <v/>
      </c>
      <c r="F60" s="60" t="str">
        <f t="shared" si="2"/>
        <v/>
      </c>
      <c r="G60" s="66" t="str">
        <f t="shared" si="3"/>
        <v/>
      </c>
      <c r="H60" s="66" t="str">
        <f t="shared" si="4"/>
        <v/>
      </c>
    </row>
    <row r="61" ht="15.75" customHeight="1">
      <c r="B61" s="62"/>
      <c r="D61" s="62"/>
      <c r="E61" s="62" t="str">
        <f t="shared" si="1"/>
        <v/>
      </c>
      <c r="F61" s="60" t="str">
        <f t="shared" si="2"/>
        <v/>
      </c>
      <c r="G61" s="66" t="str">
        <f t="shared" si="3"/>
        <v/>
      </c>
      <c r="H61" s="66" t="str">
        <f t="shared" si="4"/>
        <v/>
      </c>
    </row>
    <row r="62" ht="15.75" customHeight="1">
      <c r="B62" s="62"/>
      <c r="D62" s="62"/>
      <c r="E62" s="62" t="str">
        <f t="shared" si="1"/>
        <v/>
      </c>
      <c r="F62" s="60" t="str">
        <f t="shared" si="2"/>
        <v/>
      </c>
      <c r="G62" s="66" t="str">
        <f t="shared" si="3"/>
        <v/>
      </c>
      <c r="H62" s="66" t="str">
        <f t="shared" si="4"/>
        <v/>
      </c>
    </row>
    <row r="63" ht="15.75" customHeight="1">
      <c r="B63" s="62"/>
      <c r="D63" s="62"/>
      <c r="E63" s="62" t="str">
        <f t="shared" si="1"/>
        <v/>
      </c>
      <c r="F63" s="60" t="str">
        <f t="shared" si="2"/>
        <v/>
      </c>
      <c r="G63" s="66" t="str">
        <f t="shared" si="3"/>
        <v/>
      </c>
      <c r="H63" s="66" t="str">
        <f t="shared" si="4"/>
        <v/>
      </c>
    </row>
    <row r="64" ht="15.75" customHeight="1">
      <c r="B64" s="62"/>
      <c r="D64" s="62"/>
      <c r="E64" s="62" t="str">
        <f t="shared" si="1"/>
        <v/>
      </c>
      <c r="F64" s="60" t="str">
        <f t="shared" si="2"/>
        <v/>
      </c>
      <c r="G64" s="66" t="str">
        <f t="shared" si="3"/>
        <v/>
      </c>
      <c r="H64" s="66" t="str">
        <f t="shared" si="4"/>
        <v/>
      </c>
    </row>
    <row r="65" ht="15.75" customHeight="1">
      <c r="B65" s="62"/>
      <c r="D65" s="62"/>
      <c r="E65" s="62" t="str">
        <f t="shared" si="1"/>
        <v/>
      </c>
      <c r="F65" s="60" t="str">
        <f t="shared" si="2"/>
        <v/>
      </c>
      <c r="G65" s="66" t="str">
        <f t="shared" si="3"/>
        <v/>
      </c>
      <c r="H65" s="66" t="str">
        <f t="shared" si="4"/>
        <v/>
      </c>
    </row>
    <row r="66" ht="15.75" customHeight="1">
      <c r="B66" s="62"/>
      <c r="D66" s="62"/>
      <c r="E66" s="62" t="str">
        <f t="shared" si="1"/>
        <v/>
      </c>
      <c r="F66" s="60" t="str">
        <f t="shared" si="2"/>
        <v/>
      </c>
      <c r="G66" s="66" t="str">
        <f t="shared" si="3"/>
        <v/>
      </c>
      <c r="H66" s="66" t="str">
        <f t="shared" si="4"/>
        <v/>
      </c>
    </row>
    <row r="67" ht="15.75" customHeight="1">
      <c r="B67" s="62"/>
      <c r="D67" s="62"/>
      <c r="E67" s="62" t="str">
        <f t="shared" si="1"/>
        <v/>
      </c>
      <c r="F67" s="60" t="str">
        <f t="shared" si="2"/>
        <v/>
      </c>
      <c r="G67" s="66" t="str">
        <f t="shared" si="3"/>
        <v/>
      </c>
      <c r="H67" s="66" t="str">
        <f t="shared" si="4"/>
        <v/>
      </c>
    </row>
    <row r="68" ht="15.75" customHeight="1">
      <c r="B68" s="62"/>
      <c r="D68" s="62"/>
      <c r="E68" s="62" t="str">
        <f t="shared" si="1"/>
        <v/>
      </c>
      <c r="F68" s="60" t="str">
        <f t="shared" si="2"/>
        <v/>
      </c>
      <c r="G68" s="66" t="str">
        <f t="shared" si="3"/>
        <v/>
      </c>
      <c r="H68" s="66" t="str">
        <f t="shared" si="4"/>
        <v/>
      </c>
    </row>
    <row r="69" ht="15.75" customHeight="1">
      <c r="B69" s="62"/>
      <c r="D69" s="62"/>
      <c r="E69" s="62" t="str">
        <f t="shared" si="1"/>
        <v/>
      </c>
      <c r="F69" s="60" t="str">
        <f t="shared" si="2"/>
        <v/>
      </c>
      <c r="G69" s="66" t="str">
        <f t="shared" si="3"/>
        <v/>
      </c>
      <c r="H69" s="66" t="str">
        <f t="shared" si="4"/>
        <v/>
      </c>
    </row>
    <row r="70" ht="15.75" customHeight="1">
      <c r="B70" s="62"/>
      <c r="D70" s="62"/>
      <c r="E70" s="62" t="str">
        <f t="shared" si="1"/>
        <v/>
      </c>
      <c r="F70" s="60" t="str">
        <f t="shared" si="2"/>
        <v/>
      </c>
      <c r="G70" s="66" t="str">
        <f t="shared" si="3"/>
        <v/>
      </c>
      <c r="H70" s="66" t="str">
        <f t="shared" si="4"/>
        <v/>
      </c>
    </row>
    <row r="71" ht="15.75" customHeight="1">
      <c r="B71" s="62"/>
      <c r="D71" s="62"/>
      <c r="E71" s="62" t="str">
        <f t="shared" si="1"/>
        <v/>
      </c>
      <c r="F71" s="60" t="str">
        <f t="shared" si="2"/>
        <v/>
      </c>
      <c r="G71" s="66" t="str">
        <f t="shared" si="3"/>
        <v/>
      </c>
      <c r="H71" s="66" t="str">
        <f t="shared" si="4"/>
        <v/>
      </c>
    </row>
    <row r="72" ht="15.75" customHeight="1">
      <c r="B72" s="62"/>
      <c r="D72" s="62"/>
      <c r="E72" s="62" t="str">
        <f t="shared" si="1"/>
        <v/>
      </c>
      <c r="F72" s="60" t="str">
        <f t="shared" si="2"/>
        <v/>
      </c>
      <c r="G72" s="66" t="str">
        <f t="shared" si="3"/>
        <v/>
      </c>
      <c r="H72" s="66" t="str">
        <f t="shared" si="4"/>
        <v/>
      </c>
    </row>
    <row r="73" ht="15.75" customHeight="1">
      <c r="B73" s="62"/>
      <c r="D73" s="62"/>
      <c r="E73" s="62" t="str">
        <f t="shared" si="1"/>
        <v/>
      </c>
      <c r="F73" s="60" t="str">
        <f t="shared" si="2"/>
        <v/>
      </c>
      <c r="G73" s="66" t="str">
        <f t="shared" si="3"/>
        <v/>
      </c>
      <c r="H73" s="66" t="str">
        <f t="shared" si="4"/>
        <v/>
      </c>
    </row>
    <row r="74" ht="15.75" customHeight="1">
      <c r="B74" s="62"/>
      <c r="D74" s="62"/>
      <c r="E74" s="62" t="str">
        <f t="shared" si="1"/>
        <v/>
      </c>
      <c r="F74" s="60" t="str">
        <f t="shared" si="2"/>
        <v/>
      </c>
      <c r="G74" s="66" t="str">
        <f t="shared" si="3"/>
        <v/>
      </c>
      <c r="H74" s="66" t="str">
        <f t="shared" si="4"/>
        <v/>
      </c>
    </row>
    <row r="75" ht="15.75" customHeight="1">
      <c r="B75" s="62"/>
      <c r="D75" s="62"/>
      <c r="E75" s="62" t="str">
        <f t="shared" si="1"/>
        <v/>
      </c>
      <c r="F75" s="60" t="str">
        <f t="shared" si="2"/>
        <v/>
      </c>
      <c r="G75" s="66" t="str">
        <f t="shared" si="3"/>
        <v/>
      </c>
      <c r="H75" s="66" t="str">
        <f t="shared" si="4"/>
        <v/>
      </c>
    </row>
    <row r="76" ht="15.75" customHeight="1">
      <c r="B76" s="62"/>
      <c r="D76" s="62"/>
      <c r="E76" s="62" t="str">
        <f t="shared" si="1"/>
        <v/>
      </c>
      <c r="F76" s="60" t="str">
        <f t="shared" si="2"/>
        <v/>
      </c>
      <c r="G76" s="66" t="str">
        <f t="shared" si="3"/>
        <v/>
      </c>
      <c r="H76" s="66" t="str">
        <f t="shared" si="4"/>
        <v/>
      </c>
    </row>
    <row r="77" ht="15.75" customHeight="1">
      <c r="B77" s="62"/>
      <c r="D77" s="62"/>
      <c r="E77" s="62" t="str">
        <f t="shared" si="1"/>
        <v/>
      </c>
      <c r="F77" s="60" t="str">
        <f t="shared" si="2"/>
        <v/>
      </c>
      <c r="G77" s="66" t="str">
        <f t="shared" si="3"/>
        <v/>
      </c>
      <c r="H77" s="66" t="str">
        <f t="shared" si="4"/>
        <v/>
      </c>
    </row>
    <row r="78" ht="15.75" customHeight="1">
      <c r="B78" s="62"/>
      <c r="D78" s="62"/>
      <c r="E78" s="62" t="str">
        <f t="shared" si="1"/>
        <v/>
      </c>
      <c r="F78" s="60" t="str">
        <f t="shared" si="2"/>
        <v/>
      </c>
      <c r="G78" s="66" t="str">
        <f t="shared" si="3"/>
        <v/>
      </c>
      <c r="H78" s="66" t="str">
        <f t="shared" si="4"/>
        <v/>
      </c>
    </row>
    <row r="79" ht="15.75" customHeight="1">
      <c r="B79" s="62"/>
      <c r="D79" s="62"/>
      <c r="E79" s="62" t="str">
        <f t="shared" si="1"/>
        <v/>
      </c>
      <c r="F79" s="60" t="str">
        <f t="shared" si="2"/>
        <v/>
      </c>
      <c r="G79" s="66" t="str">
        <f t="shared" si="3"/>
        <v/>
      </c>
      <c r="H79" s="66" t="str">
        <f t="shared" si="4"/>
        <v/>
      </c>
    </row>
    <row r="80" ht="15.75" customHeight="1">
      <c r="B80" s="62"/>
      <c r="D80" s="62"/>
      <c r="E80" s="62" t="str">
        <f t="shared" si="1"/>
        <v/>
      </c>
      <c r="F80" s="60" t="str">
        <f t="shared" si="2"/>
        <v/>
      </c>
      <c r="G80" s="66" t="str">
        <f t="shared" si="3"/>
        <v/>
      </c>
      <c r="H80" s="66" t="str">
        <f t="shared" si="4"/>
        <v/>
      </c>
    </row>
    <row r="81" ht="15.75" customHeight="1">
      <c r="B81" s="62"/>
      <c r="D81" s="62"/>
      <c r="E81" s="62" t="str">
        <f t="shared" si="1"/>
        <v/>
      </c>
      <c r="F81" s="60" t="str">
        <f t="shared" si="2"/>
        <v/>
      </c>
      <c r="G81" s="66" t="str">
        <f t="shared" si="3"/>
        <v/>
      </c>
      <c r="H81" s="66" t="str">
        <f t="shared" si="4"/>
        <v/>
      </c>
    </row>
    <row r="82" ht="15.75" customHeight="1">
      <c r="B82" s="62"/>
      <c r="D82" s="62"/>
      <c r="E82" s="62" t="str">
        <f t="shared" si="1"/>
        <v/>
      </c>
      <c r="F82" s="60" t="str">
        <f t="shared" si="2"/>
        <v/>
      </c>
      <c r="G82" s="66" t="str">
        <f t="shared" si="3"/>
        <v/>
      </c>
      <c r="H82" s="66" t="str">
        <f t="shared" si="4"/>
        <v/>
      </c>
    </row>
    <row r="83" ht="15.75" customHeight="1">
      <c r="B83" s="62"/>
      <c r="D83" s="62"/>
      <c r="E83" s="62" t="str">
        <f t="shared" si="1"/>
        <v/>
      </c>
      <c r="F83" s="60" t="str">
        <f t="shared" si="2"/>
        <v/>
      </c>
      <c r="G83" s="66" t="str">
        <f t="shared" si="3"/>
        <v/>
      </c>
      <c r="H83" s="66" t="str">
        <f t="shared" si="4"/>
        <v/>
      </c>
    </row>
    <row r="84" ht="15.75" customHeight="1">
      <c r="B84" s="62"/>
      <c r="D84" s="62"/>
      <c r="E84" s="62" t="str">
        <f t="shared" si="1"/>
        <v/>
      </c>
      <c r="F84" s="60" t="str">
        <f t="shared" si="2"/>
        <v/>
      </c>
      <c r="G84" s="66" t="str">
        <f t="shared" si="3"/>
        <v/>
      </c>
      <c r="H84" s="66" t="str">
        <f t="shared" si="4"/>
        <v/>
      </c>
    </row>
    <row r="85" ht="15.75" customHeight="1">
      <c r="B85" s="62"/>
      <c r="D85" s="62"/>
      <c r="E85" s="62" t="str">
        <f t="shared" si="1"/>
        <v/>
      </c>
      <c r="F85" s="60" t="str">
        <f t="shared" si="2"/>
        <v/>
      </c>
      <c r="G85" s="66" t="str">
        <f t="shared" si="3"/>
        <v/>
      </c>
      <c r="H85" s="66" t="str">
        <f t="shared" si="4"/>
        <v/>
      </c>
    </row>
    <row r="86" ht="15.75" customHeight="1">
      <c r="B86" s="62"/>
      <c r="D86" s="62"/>
      <c r="E86" s="62" t="str">
        <f t="shared" si="1"/>
        <v/>
      </c>
      <c r="F86" s="60" t="str">
        <f t="shared" si="2"/>
        <v/>
      </c>
      <c r="G86" s="66" t="str">
        <f t="shared" si="3"/>
        <v/>
      </c>
      <c r="H86" s="66" t="str">
        <f t="shared" si="4"/>
        <v/>
      </c>
    </row>
    <row r="87" ht="15.75" customHeight="1">
      <c r="B87" s="62"/>
      <c r="D87" s="62"/>
      <c r="E87" s="62" t="str">
        <f t="shared" si="1"/>
        <v/>
      </c>
      <c r="F87" s="60" t="str">
        <f t="shared" si="2"/>
        <v/>
      </c>
      <c r="G87" s="66" t="str">
        <f t="shared" si="3"/>
        <v/>
      </c>
      <c r="H87" s="66" t="str">
        <f t="shared" si="4"/>
        <v/>
      </c>
    </row>
    <row r="88" ht="15.75" customHeight="1">
      <c r="B88" s="62"/>
      <c r="D88" s="62"/>
      <c r="E88" s="62" t="str">
        <f t="shared" si="1"/>
        <v/>
      </c>
      <c r="F88" s="60" t="str">
        <f t="shared" si="2"/>
        <v/>
      </c>
      <c r="G88" s="66" t="str">
        <f t="shared" si="3"/>
        <v/>
      </c>
      <c r="H88" s="66" t="str">
        <f t="shared" si="4"/>
        <v/>
      </c>
    </row>
    <row r="89" ht="15.75" customHeight="1">
      <c r="B89" s="62"/>
      <c r="D89" s="62"/>
      <c r="E89" s="62" t="str">
        <f t="shared" si="1"/>
        <v/>
      </c>
      <c r="F89" s="60" t="str">
        <f t="shared" si="2"/>
        <v/>
      </c>
      <c r="G89" s="66" t="str">
        <f t="shared" si="3"/>
        <v/>
      </c>
      <c r="H89" s="66" t="str">
        <f t="shared" si="4"/>
        <v/>
      </c>
    </row>
    <row r="90" ht="15.75" customHeight="1">
      <c r="B90" s="62"/>
      <c r="D90" s="62"/>
      <c r="E90" s="62" t="str">
        <f t="shared" si="1"/>
        <v/>
      </c>
      <c r="F90" s="60" t="str">
        <f t="shared" si="2"/>
        <v/>
      </c>
      <c r="G90" s="66" t="str">
        <f t="shared" si="3"/>
        <v/>
      </c>
      <c r="H90" s="66" t="str">
        <f t="shared" si="4"/>
        <v/>
      </c>
    </row>
    <row r="91" ht="15.75" customHeight="1">
      <c r="B91" s="62"/>
      <c r="D91" s="62"/>
      <c r="E91" s="62" t="str">
        <f t="shared" si="1"/>
        <v/>
      </c>
      <c r="F91" s="60" t="str">
        <f t="shared" si="2"/>
        <v/>
      </c>
      <c r="G91" s="66" t="str">
        <f t="shared" si="3"/>
        <v/>
      </c>
      <c r="H91" s="66" t="str">
        <f t="shared" si="4"/>
        <v/>
      </c>
    </row>
    <row r="92" ht="15.75" customHeight="1">
      <c r="B92" s="62"/>
      <c r="D92" s="62"/>
      <c r="E92" s="62" t="str">
        <f t="shared" si="1"/>
        <v/>
      </c>
      <c r="F92" s="60" t="str">
        <f t="shared" si="2"/>
        <v/>
      </c>
      <c r="G92" s="66" t="str">
        <f t="shared" si="3"/>
        <v/>
      </c>
      <c r="H92" s="66" t="str">
        <f t="shared" si="4"/>
        <v/>
      </c>
    </row>
    <row r="93" ht="15.75" customHeight="1">
      <c r="B93" s="62"/>
      <c r="D93" s="62"/>
      <c r="E93" s="62" t="str">
        <f t="shared" si="1"/>
        <v/>
      </c>
      <c r="F93" s="60" t="str">
        <f t="shared" si="2"/>
        <v/>
      </c>
      <c r="G93" s="66" t="str">
        <f t="shared" si="3"/>
        <v/>
      </c>
      <c r="H93" s="66" t="str">
        <f t="shared" si="4"/>
        <v/>
      </c>
    </row>
    <row r="94" ht="15.75" customHeight="1">
      <c r="B94" s="62"/>
      <c r="D94" s="62"/>
      <c r="E94" s="62" t="str">
        <f t="shared" si="1"/>
        <v/>
      </c>
      <c r="F94" s="60" t="str">
        <f t="shared" si="2"/>
        <v/>
      </c>
      <c r="G94" s="66" t="str">
        <f t="shared" si="3"/>
        <v/>
      </c>
      <c r="H94" s="66" t="str">
        <f t="shared" si="4"/>
        <v/>
      </c>
    </row>
    <row r="95" ht="15.75" customHeight="1">
      <c r="B95" s="62"/>
      <c r="D95" s="62"/>
      <c r="E95" s="62" t="str">
        <f t="shared" si="1"/>
        <v/>
      </c>
      <c r="F95" s="60" t="str">
        <f t="shared" si="2"/>
        <v/>
      </c>
      <c r="G95" s="66" t="str">
        <f t="shared" si="3"/>
        <v/>
      </c>
      <c r="H95" s="66" t="str">
        <f t="shared" si="4"/>
        <v/>
      </c>
    </row>
    <row r="96" ht="15.75" customHeight="1">
      <c r="B96" s="62"/>
      <c r="D96" s="62"/>
      <c r="E96" s="62" t="str">
        <f t="shared" si="1"/>
        <v/>
      </c>
      <c r="F96" s="60" t="str">
        <f t="shared" si="2"/>
        <v/>
      </c>
      <c r="G96" s="66" t="str">
        <f t="shared" si="3"/>
        <v/>
      </c>
      <c r="H96" s="66" t="str">
        <f t="shared" si="4"/>
        <v/>
      </c>
    </row>
    <row r="97" ht="15.75" customHeight="1">
      <c r="B97" s="62"/>
      <c r="D97" s="62"/>
      <c r="E97" s="62" t="str">
        <f t="shared" si="1"/>
        <v/>
      </c>
      <c r="F97" s="60" t="str">
        <f t="shared" si="2"/>
        <v/>
      </c>
      <c r="G97" s="66" t="str">
        <f t="shared" si="3"/>
        <v/>
      </c>
      <c r="H97" s="66" t="str">
        <f t="shared" si="4"/>
        <v/>
      </c>
    </row>
    <row r="98" ht="15.75" customHeight="1">
      <c r="B98" s="62"/>
      <c r="D98" s="62"/>
      <c r="E98" s="62" t="str">
        <f t="shared" si="1"/>
        <v/>
      </c>
      <c r="F98" s="60" t="str">
        <f t="shared" si="2"/>
        <v/>
      </c>
      <c r="G98" s="66" t="str">
        <f t="shared" si="3"/>
        <v/>
      </c>
      <c r="H98" s="66" t="str">
        <f t="shared" si="4"/>
        <v/>
      </c>
    </row>
    <row r="99" ht="15.75" customHeight="1">
      <c r="B99" s="62"/>
      <c r="D99" s="62"/>
      <c r="E99" s="62" t="str">
        <f t="shared" si="1"/>
        <v/>
      </c>
      <c r="F99" s="60" t="str">
        <f t="shared" si="2"/>
        <v/>
      </c>
      <c r="G99" s="66" t="str">
        <f t="shared" si="3"/>
        <v/>
      </c>
      <c r="H99" s="66" t="str">
        <f t="shared" si="4"/>
        <v/>
      </c>
    </row>
    <row r="100" ht="15.75" customHeight="1">
      <c r="B100" s="62"/>
      <c r="D100" s="62"/>
      <c r="E100" s="62" t="str">
        <f t="shared" si="1"/>
        <v/>
      </c>
      <c r="F100" s="60" t="str">
        <f t="shared" si="2"/>
        <v/>
      </c>
      <c r="G100" s="66" t="str">
        <f t="shared" si="3"/>
        <v/>
      </c>
      <c r="H100" s="66" t="str">
        <f t="shared" si="4"/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0"/>
    <col customWidth="1" min="4" max="4" width="28.0"/>
    <col customWidth="1" min="5" max="11" width="14.0"/>
    <col customWidth="1" min="12" max="12" width="28.0"/>
    <col customWidth="1" min="13" max="14" width="14.0"/>
    <col customWidth="1" min="15" max="20" width="28.0"/>
    <col customWidth="1" min="21" max="21" width="14.0"/>
    <col customWidth="1" min="22" max="22" width="28.0"/>
    <col customWidth="1" min="23" max="26" width="8.63"/>
  </cols>
  <sheetData>
    <row r="1" ht="33.75" customHeight="1">
      <c r="A1" s="39" t="s">
        <v>967</v>
      </c>
    </row>
    <row r="3">
      <c r="A3" s="59" t="s">
        <v>968</v>
      </c>
      <c r="B3" s="59" t="s">
        <v>569</v>
      </c>
      <c r="C3" s="59" t="s">
        <v>821</v>
      </c>
      <c r="D3" s="59" t="s">
        <v>969</v>
      </c>
      <c r="E3" s="59" t="s">
        <v>502</v>
      </c>
      <c r="F3" s="59" t="s">
        <v>927</v>
      </c>
      <c r="G3" s="59" t="s">
        <v>570</v>
      </c>
      <c r="H3" s="59" t="s">
        <v>970</v>
      </c>
      <c r="I3" s="59" t="s">
        <v>971</v>
      </c>
      <c r="J3" s="59" t="s">
        <v>972</v>
      </c>
      <c r="K3" s="59" t="s">
        <v>973</v>
      </c>
      <c r="L3" s="59" t="s">
        <v>974</v>
      </c>
      <c r="M3" s="59" t="s">
        <v>975</v>
      </c>
      <c r="N3" s="59" t="s">
        <v>976</v>
      </c>
      <c r="O3" s="59" t="s">
        <v>977</v>
      </c>
      <c r="P3" s="59" t="s">
        <v>978</v>
      </c>
      <c r="Q3" s="59" t="s">
        <v>979</v>
      </c>
      <c r="R3" s="59" t="s">
        <v>980</v>
      </c>
      <c r="S3" s="59" t="s">
        <v>981</v>
      </c>
      <c r="T3" s="59" t="s">
        <v>982</v>
      </c>
      <c r="U3" s="59" t="s">
        <v>983</v>
      </c>
      <c r="V3" s="59" t="s">
        <v>984</v>
      </c>
    </row>
    <row r="4">
      <c r="A4" s="14"/>
      <c r="B4" s="14"/>
      <c r="C4" s="14"/>
      <c r="D4" s="14"/>
      <c r="E4" s="14"/>
      <c r="F4" s="14"/>
      <c r="G4" s="14"/>
      <c r="H4" s="15"/>
      <c r="I4" s="15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>
      <c r="A5" s="14"/>
      <c r="B5" s="14"/>
      <c r="C5" s="14"/>
      <c r="D5" s="14"/>
      <c r="E5" s="14"/>
      <c r="F5" s="14"/>
      <c r="G5" s="14"/>
      <c r="H5" s="15"/>
      <c r="I5" s="15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>
      <c r="A6" s="14"/>
      <c r="B6" s="14"/>
      <c r="C6" s="14"/>
      <c r="D6" s="14"/>
      <c r="E6" s="14"/>
      <c r="F6" s="14"/>
      <c r="G6" s="14"/>
      <c r="H6" s="15"/>
      <c r="I6" s="15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>
      <c r="A7" s="14"/>
      <c r="B7" s="14"/>
      <c r="C7" s="14"/>
      <c r="D7" s="14"/>
      <c r="E7" s="14"/>
      <c r="F7" s="14"/>
      <c r="G7" s="14"/>
      <c r="H7" s="15"/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>
      <c r="A8" s="14"/>
      <c r="B8" s="14"/>
      <c r="C8" s="14"/>
      <c r="D8" s="14"/>
      <c r="E8" s="14"/>
      <c r="F8" s="14"/>
      <c r="G8" s="14"/>
      <c r="H8" s="15"/>
      <c r="I8" s="1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>
      <c r="A9" s="14"/>
      <c r="B9" s="14"/>
      <c r="C9" s="14"/>
      <c r="D9" s="14"/>
      <c r="E9" s="14"/>
      <c r="F9" s="14"/>
      <c r="G9" s="14"/>
      <c r="H9" s="15"/>
      <c r="I9" s="1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>
      <c r="A10" s="14"/>
      <c r="B10" s="14"/>
      <c r="C10" s="14"/>
      <c r="D10" s="14"/>
      <c r="E10" s="14"/>
      <c r="F10" s="14"/>
      <c r="G10" s="14"/>
      <c r="H10" s="15"/>
      <c r="I10" s="15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>
      <c r="A11" s="14"/>
      <c r="B11" s="14"/>
      <c r="C11" s="14"/>
      <c r="D11" s="14"/>
      <c r="E11" s="14"/>
      <c r="F11" s="14"/>
      <c r="G11" s="14"/>
      <c r="H11" s="15"/>
      <c r="I11" s="15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>
      <c r="A12" s="14"/>
      <c r="B12" s="14"/>
      <c r="C12" s="14"/>
      <c r="D12" s="14"/>
      <c r="E12" s="14"/>
      <c r="F12" s="14"/>
      <c r="G12" s="14"/>
      <c r="H12" s="15"/>
      <c r="I12" s="15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>
      <c r="A13" s="14"/>
      <c r="B13" s="14"/>
      <c r="C13" s="14"/>
      <c r="D13" s="14"/>
      <c r="E13" s="14"/>
      <c r="F13" s="14"/>
      <c r="G13" s="14"/>
      <c r="H13" s="15"/>
      <c r="I13" s="15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>
      <c r="A14" s="14"/>
      <c r="B14" s="14"/>
      <c r="C14" s="14"/>
      <c r="D14" s="14"/>
      <c r="E14" s="14"/>
      <c r="F14" s="14"/>
      <c r="G14" s="14"/>
      <c r="H14" s="15"/>
      <c r="I14" s="15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>
      <c r="A15" s="14"/>
      <c r="B15" s="14"/>
      <c r="C15" s="14"/>
      <c r="D15" s="14"/>
      <c r="E15" s="14"/>
      <c r="F15" s="14"/>
      <c r="G15" s="14"/>
      <c r="H15" s="15"/>
      <c r="I15" s="15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>
      <c r="A16" s="14"/>
      <c r="B16" s="14"/>
      <c r="C16" s="14"/>
      <c r="D16" s="14"/>
      <c r="E16" s="14"/>
      <c r="F16" s="14"/>
      <c r="G16" s="14"/>
      <c r="H16" s="15"/>
      <c r="I16" s="1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>
      <c r="A17" s="14"/>
      <c r="B17" s="14"/>
      <c r="C17" s="14"/>
      <c r="D17" s="14"/>
      <c r="E17" s="14"/>
      <c r="F17" s="14"/>
      <c r="G17" s="14"/>
      <c r="H17" s="15"/>
      <c r="I17" s="15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>
      <c r="A18" s="14"/>
      <c r="B18" s="14"/>
      <c r="C18" s="14"/>
      <c r="D18" s="14"/>
      <c r="E18" s="14"/>
      <c r="F18" s="14"/>
      <c r="G18" s="14"/>
      <c r="H18" s="15"/>
      <c r="I18" s="15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>
      <c r="A19" s="14"/>
      <c r="B19" s="14"/>
      <c r="C19" s="14"/>
      <c r="D19" s="14"/>
      <c r="E19" s="14"/>
      <c r="F19" s="14"/>
      <c r="G19" s="14"/>
      <c r="H19" s="15"/>
      <c r="I19" s="15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>
      <c r="A20" s="14"/>
      <c r="B20" s="14"/>
      <c r="C20" s="14"/>
      <c r="D20" s="14"/>
      <c r="E20" s="14"/>
      <c r="F20" s="14"/>
      <c r="G20" s="14"/>
      <c r="H20" s="15"/>
      <c r="I20" s="15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75" customHeight="1">
      <c r="A21" s="14"/>
      <c r="B21" s="14"/>
      <c r="C21" s="14"/>
      <c r="D21" s="14"/>
      <c r="E21" s="14"/>
      <c r="F21" s="14"/>
      <c r="G21" s="14"/>
      <c r="H21" s="15"/>
      <c r="I21" s="15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5.75" customHeight="1">
      <c r="A22" s="14"/>
      <c r="B22" s="14"/>
      <c r="C22" s="14"/>
      <c r="D22" s="14"/>
      <c r="E22" s="14"/>
      <c r="F22" s="14"/>
      <c r="G22" s="14"/>
      <c r="H22" s="15"/>
      <c r="I22" s="15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75" customHeight="1">
      <c r="A23" s="14"/>
      <c r="B23" s="14"/>
      <c r="C23" s="14"/>
      <c r="D23" s="14"/>
      <c r="E23" s="14"/>
      <c r="F23" s="14"/>
      <c r="G23" s="14"/>
      <c r="H23" s="15"/>
      <c r="I23" s="15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75" customHeight="1">
      <c r="A24" s="14"/>
      <c r="B24" s="14"/>
      <c r="C24" s="14"/>
      <c r="D24" s="14"/>
      <c r="E24" s="14"/>
      <c r="F24" s="14"/>
      <c r="G24" s="14"/>
      <c r="H24" s="15"/>
      <c r="I24" s="15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75" customHeight="1">
      <c r="A25" s="14"/>
      <c r="B25" s="14"/>
      <c r="C25" s="14"/>
      <c r="D25" s="14"/>
      <c r="E25" s="14"/>
      <c r="F25" s="14"/>
      <c r="G25" s="14"/>
      <c r="H25" s="15"/>
      <c r="I25" s="15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ht="15.75" customHeight="1">
      <c r="A26" s="14"/>
      <c r="B26" s="14"/>
      <c r="C26" s="14"/>
      <c r="D26" s="14"/>
      <c r="E26" s="14"/>
      <c r="F26" s="14"/>
      <c r="G26" s="14"/>
      <c r="H26" s="15"/>
      <c r="I26" s="15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75" customHeight="1">
      <c r="A27" s="14"/>
      <c r="B27" s="14"/>
      <c r="C27" s="14"/>
      <c r="D27" s="14"/>
      <c r="E27" s="14"/>
      <c r="F27" s="14"/>
      <c r="G27" s="14"/>
      <c r="H27" s="15"/>
      <c r="I27" s="15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75" customHeight="1">
      <c r="A28" s="14"/>
      <c r="B28" s="14"/>
      <c r="C28" s="14"/>
      <c r="D28" s="14"/>
      <c r="E28" s="14"/>
      <c r="F28" s="14"/>
      <c r="G28" s="14"/>
      <c r="H28" s="15"/>
      <c r="I28" s="15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5.75" customHeight="1">
      <c r="A29" s="14"/>
      <c r="B29" s="14"/>
      <c r="C29" s="14"/>
      <c r="D29" s="14"/>
      <c r="E29" s="14"/>
      <c r="F29" s="14"/>
      <c r="G29" s="14"/>
      <c r="H29" s="15"/>
      <c r="I29" s="15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75" customHeight="1">
      <c r="A30" s="14"/>
      <c r="B30" s="14"/>
      <c r="C30" s="14"/>
      <c r="D30" s="14"/>
      <c r="E30" s="14"/>
      <c r="F30" s="14"/>
      <c r="G30" s="14"/>
      <c r="H30" s="15"/>
      <c r="I30" s="15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75" customHeight="1">
      <c r="A31" s="14"/>
      <c r="B31" s="14"/>
      <c r="C31" s="14"/>
      <c r="D31" s="14"/>
      <c r="E31" s="14"/>
      <c r="F31" s="14"/>
      <c r="G31" s="14"/>
      <c r="H31" s="15"/>
      <c r="I31" s="15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75" customHeight="1">
      <c r="A32" s="14"/>
      <c r="B32" s="14"/>
      <c r="C32" s="14"/>
      <c r="D32" s="14"/>
      <c r="E32" s="14"/>
      <c r="F32" s="14"/>
      <c r="G32" s="14"/>
      <c r="H32" s="15"/>
      <c r="I32" s="15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75" customHeight="1">
      <c r="A33" s="14"/>
      <c r="B33" s="14"/>
      <c r="C33" s="14"/>
      <c r="D33" s="14"/>
      <c r="E33" s="14"/>
      <c r="F33" s="14"/>
      <c r="G33" s="14"/>
      <c r="H33" s="15"/>
      <c r="I33" s="15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75" customHeight="1">
      <c r="A34" s="14"/>
      <c r="B34" s="14"/>
      <c r="C34" s="14"/>
      <c r="D34" s="14"/>
      <c r="E34" s="14"/>
      <c r="F34" s="14"/>
      <c r="G34" s="14"/>
      <c r="H34" s="15"/>
      <c r="I34" s="15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75" customHeight="1">
      <c r="A35" s="14"/>
      <c r="B35" s="14"/>
      <c r="C35" s="14"/>
      <c r="D35" s="14"/>
      <c r="E35" s="14"/>
      <c r="F35" s="14"/>
      <c r="G35" s="14"/>
      <c r="H35" s="15"/>
      <c r="I35" s="15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ht="15.75" customHeight="1">
      <c r="A36" s="14"/>
      <c r="B36" s="14"/>
      <c r="C36" s="14"/>
      <c r="D36" s="14"/>
      <c r="E36" s="14"/>
      <c r="F36" s="14"/>
      <c r="G36" s="14"/>
      <c r="H36" s="15"/>
      <c r="I36" s="15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75" customHeight="1">
      <c r="A37" s="14"/>
      <c r="B37" s="14"/>
      <c r="C37" s="14"/>
      <c r="D37" s="14"/>
      <c r="E37" s="14"/>
      <c r="F37" s="14"/>
      <c r="G37" s="14"/>
      <c r="H37" s="15"/>
      <c r="I37" s="1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75" customHeight="1">
      <c r="A38" s="14"/>
      <c r="B38" s="14"/>
      <c r="C38" s="14"/>
      <c r="D38" s="14"/>
      <c r="E38" s="14"/>
      <c r="F38" s="14"/>
      <c r="G38" s="14"/>
      <c r="H38" s="15"/>
      <c r="I38" s="15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75" customHeight="1">
      <c r="A39" s="14"/>
      <c r="B39" s="14"/>
      <c r="C39" s="14"/>
      <c r="D39" s="14"/>
      <c r="E39" s="14"/>
      <c r="F39" s="14"/>
      <c r="G39" s="14"/>
      <c r="H39" s="15"/>
      <c r="I39" s="15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75" customHeight="1">
      <c r="A40" s="14"/>
      <c r="B40" s="14"/>
      <c r="C40" s="14"/>
      <c r="D40" s="14"/>
      <c r="E40" s="14"/>
      <c r="F40" s="14"/>
      <c r="G40" s="14"/>
      <c r="H40" s="15"/>
      <c r="I40" s="15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75" customHeight="1">
      <c r="A41" s="14"/>
      <c r="B41" s="14"/>
      <c r="C41" s="14"/>
      <c r="D41" s="14"/>
      <c r="E41" s="14"/>
      <c r="F41" s="14"/>
      <c r="G41" s="14"/>
      <c r="H41" s="15"/>
      <c r="I41" s="15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5.75" customHeight="1">
      <c r="A42" s="14"/>
      <c r="B42" s="14"/>
      <c r="C42" s="14"/>
      <c r="D42" s="14"/>
      <c r="E42" s="14"/>
      <c r="F42" s="14"/>
      <c r="G42" s="14"/>
      <c r="H42" s="15"/>
      <c r="I42" s="15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75" customHeight="1">
      <c r="A43" s="14"/>
      <c r="B43" s="14"/>
      <c r="C43" s="14"/>
      <c r="D43" s="14"/>
      <c r="E43" s="14"/>
      <c r="F43" s="14"/>
      <c r="G43" s="14"/>
      <c r="H43" s="15"/>
      <c r="I43" s="15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75" customHeight="1">
      <c r="A44" s="14"/>
      <c r="B44" s="14"/>
      <c r="C44" s="14"/>
      <c r="D44" s="14"/>
      <c r="E44" s="14"/>
      <c r="F44" s="14"/>
      <c r="G44" s="14"/>
      <c r="H44" s="15"/>
      <c r="I44" s="15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75" customHeight="1">
      <c r="A45" s="14"/>
      <c r="B45" s="14"/>
      <c r="C45" s="14"/>
      <c r="D45" s="14"/>
      <c r="E45" s="14"/>
      <c r="F45" s="14"/>
      <c r="G45" s="14"/>
      <c r="H45" s="15"/>
      <c r="I45" s="15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75" customHeight="1">
      <c r="A46" s="14"/>
      <c r="B46" s="14"/>
      <c r="C46" s="14"/>
      <c r="D46" s="14"/>
      <c r="E46" s="14"/>
      <c r="F46" s="14"/>
      <c r="G46" s="14"/>
      <c r="H46" s="15"/>
      <c r="I46" s="15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75" customHeight="1">
      <c r="A47" s="14"/>
      <c r="B47" s="14"/>
      <c r="C47" s="14"/>
      <c r="D47" s="14"/>
      <c r="E47" s="14"/>
      <c r="F47" s="14"/>
      <c r="G47" s="14"/>
      <c r="H47" s="15"/>
      <c r="I47" s="15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75" customHeight="1">
      <c r="A48" s="14"/>
      <c r="B48" s="14"/>
      <c r="C48" s="14"/>
      <c r="D48" s="14"/>
      <c r="E48" s="14"/>
      <c r="F48" s="14"/>
      <c r="G48" s="14"/>
      <c r="H48" s="15"/>
      <c r="I48" s="15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5.75" customHeight="1">
      <c r="A49" s="14"/>
      <c r="B49" s="14"/>
      <c r="C49" s="14"/>
      <c r="D49" s="14"/>
      <c r="E49" s="14"/>
      <c r="F49" s="14"/>
      <c r="G49" s="14"/>
      <c r="H49" s="15"/>
      <c r="I49" s="15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75" customHeight="1">
      <c r="A50" s="14"/>
      <c r="B50" s="14"/>
      <c r="C50" s="14"/>
      <c r="D50" s="14"/>
      <c r="E50" s="14"/>
      <c r="F50" s="14"/>
      <c r="G50" s="14"/>
      <c r="H50" s="15"/>
      <c r="I50" s="15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5.75" customHeight="1">
      <c r="A51" s="14"/>
      <c r="B51" s="14"/>
      <c r="C51" s="14"/>
      <c r="D51" s="14"/>
      <c r="E51" s="14"/>
      <c r="F51" s="14"/>
      <c r="G51" s="14"/>
      <c r="H51" s="15"/>
      <c r="I51" s="15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75" customHeight="1">
      <c r="A52" s="14"/>
      <c r="B52" s="14"/>
      <c r="C52" s="14"/>
      <c r="D52" s="14"/>
      <c r="E52" s="14"/>
      <c r="F52" s="14"/>
      <c r="G52" s="14"/>
      <c r="H52" s="15"/>
      <c r="I52" s="15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75" customHeight="1">
      <c r="A53" s="14"/>
      <c r="B53" s="14"/>
      <c r="C53" s="14"/>
      <c r="D53" s="14"/>
      <c r="E53" s="14"/>
      <c r="F53" s="14"/>
      <c r="G53" s="14"/>
      <c r="H53" s="15"/>
      <c r="I53" s="1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75" customHeight="1">
      <c r="A54" s="14"/>
      <c r="B54" s="14"/>
      <c r="C54" s="14"/>
      <c r="D54" s="14"/>
      <c r="E54" s="14"/>
      <c r="F54" s="14"/>
      <c r="G54" s="14"/>
      <c r="H54" s="15"/>
      <c r="I54" s="15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75" customHeight="1">
      <c r="A55" s="14"/>
      <c r="B55" s="14"/>
      <c r="C55" s="14"/>
      <c r="D55" s="14"/>
      <c r="E55" s="14"/>
      <c r="F55" s="14"/>
      <c r="G55" s="14"/>
      <c r="H55" s="15"/>
      <c r="I55" s="15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75" customHeight="1">
      <c r="A56" s="14"/>
      <c r="B56" s="14"/>
      <c r="C56" s="14"/>
      <c r="D56" s="14"/>
      <c r="E56" s="14"/>
      <c r="F56" s="14"/>
      <c r="G56" s="14"/>
      <c r="H56" s="15"/>
      <c r="I56" s="15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5.75" customHeight="1">
      <c r="A57" s="14"/>
      <c r="B57" s="14"/>
      <c r="C57" s="14"/>
      <c r="D57" s="14"/>
      <c r="E57" s="14"/>
      <c r="F57" s="14"/>
      <c r="G57" s="14"/>
      <c r="H57" s="15"/>
      <c r="I57" s="15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5.75" customHeight="1">
      <c r="A58" s="14"/>
      <c r="B58" s="14"/>
      <c r="C58" s="14"/>
      <c r="D58" s="14"/>
      <c r="E58" s="14"/>
      <c r="F58" s="14"/>
      <c r="G58" s="14"/>
      <c r="H58" s="15"/>
      <c r="I58" s="15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75" customHeight="1">
      <c r="A59" s="14"/>
      <c r="B59" s="14"/>
      <c r="C59" s="14"/>
      <c r="D59" s="14"/>
      <c r="E59" s="14"/>
      <c r="F59" s="14"/>
      <c r="G59" s="14"/>
      <c r="H59" s="15"/>
      <c r="I59" s="15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75" customHeight="1">
      <c r="A60" s="14"/>
      <c r="B60" s="14"/>
      <c r="C60" s="14"/>
      <c r="D60" s="14"/>
      <c r="E60" s="14"/>
      <c r="F60" s="14"/>
      <c r="G60" s="14"/>
      <c r="H60" s="15"/>
      <c r="I60" s="15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75" customHeight="1">
      <c r="A61" s="14"/>
      <c r="B61" s="14"/>
      <c r="C61" s="14"/>
      <c r="D61" s="14"/>
      <c r="E61" s="14"/>
      <c r="F61" s="14"/>
      <c r="G61" s="14"/>
      <c r="H61" s="15"/>
      <c r="I61" s="15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75" customHeight="1">
      <c r="A62" s="14"/>
      <c r="B62" s="14"/>
      <c r="C62" s="14"/>
      <c r="D62" s="14"/>
      <c r="E62" s="14"/>
      <c r="F62" s="14"/>
      <c r="G62" s="14"/>
      <c r="H62" s="15"/>
      <c r="I62" s="15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75" customHeight="1">
      <c r="A63" s="14"/>
      <c r="B63" s="14"/>
      <c r="C63" s="14"/>
      <c r="D63" s="14"/>
      <c r="E63" s="14"/>
      <c r="F63" s="14"/>
      <c r="G63" s="14"/>
      <c r="H63" s="15"/>
      <c r="I63" s="15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75" customHeight="1">
      <c r="A64" s="14"/>
      <c r="B64" s="14"/>
      <c r="C64" s="14"/>
      <c r="D64" s="14"/>
      <c r="E64" s="14"/>
      <c r="F64" s="14"/>
      <c r="G64" s="14"/>
      <c r="H64" s="15"/>
      <c r="I64" s="15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5.75" customHeight="1">
      <c r="A65" s="14"/>
      <c r="B65" s="14"/>
      <c r="C65" s="14"/>
      <c r="D65" s="14"/>
      <c r="E65" s="14"/>
      <c r="F65" s="14"/>
      <c r="G65" s="14"/>
      <c r="H65" s="15"/>
      <c r="I65" s="15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ht="15.75" customHeight="1">
      <c r="A66" s="14"/>
      <c r="B66" s="14"/>
      <c r="C66" s="14"/>
      <c r="D66" s="14"/>
      <c r="E66" s="14"/>
      <c r="F66" s="14"/>
      <c r="G66" s="14"/>
      <c r="H66" s="15"/>
      <c r="I66" s="15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ht="15.75" customHeight="1">
      <c r="A67" s="14"/>
      <c r="B67" s="14"/>
      <c r="C67" s="14"/>
      <c r="D67" s="14"/>
      <c r="E67" s="14"/>
      <c r="F67" s="14"/>
      <c r="G67" s="14"/>
      <c r="H67" s="15"/>
      <c r="I67" s="15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75" customHeight="1">
      <c r="A68" s="14"/>
      <c r="B68" s="14"/>
      <c r="C68" s="14"/>
      <c r="D68" s="14"/>
      <c r="E68" s="14"/>
      <c r="F68" s="14"/>
      <c r="G68" s="14"/>
      <c r="H68" s="15"/>
      <c r="I68" s="15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75" customHeight="1">
      <c r="A69" s="14"/>
      <c r="B69" s="14"/>
      <c r="C69" s="14"/>
      <c r="D69" s="14"/>
      <c r="E69" s="14"/>
      <c r="F69" s="14"/>
      <c r="G69" s="14"/>
      <c r="H69" s="15"/>
      <c r="I69" s="15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75" customHeight="1">
      <c r="A70" s="14"/>
      <c r="B70" s="14"/>
      <c r="C70" s="14"/>
      <c r="D70" s="14"/>
      <c r="E70" s="14"/>
      <c r="F70" s="14"/>
      <c r="G70" s="14"/>
      <c r="H70" s="15"/>
      <c r="I70" s="15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5.75" customHeight="1">
      <c r="A71" s="14"/>
      <c r="B71" s="14"/>
      <c r="C71" s="14"/>
      <c r="D71" s="14"/>
      <c r="E71" s="14"/>
      <c r="F71" s="14"/>
      <c r="G71" s="14"/>
      <c r="H71" s="15"/>
      <c r="I71" s="15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75" customHeight="1">
      <c r="A72" s="14"/>
      <c r="B72" s="14"/>
      <c r="C72" s="14"/>
      <c r="D72" s="14"/>
      <c r="E72" s="14"/>
      <c r="F72" s="14"/>
      <c r="G72" s="14"/>
      <c r="H72" s="15"/>
      <c r="I72" s="15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75" customHeight="1">
      <c r="A73" s="14"/>
      <c r="B73" s="14"/>
      <c r="C73" s="14"/>
      <c r="D73" s="14"/>
      <c r="E73" s="14"/>
      <c r="F73" s="14"/>
      <c r="G73" s="14"/>
      <c r="H73" s="15"/>
      <c r="I73" s="15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75" customHeight="1">
      <c r="A74" s="14"/>
      <c r="B74" s="14"/>
      <c r="C74" s="14"/>
      <c r="D74" s="14"/>
      <c r="E74" s="14"/>
      <c r="F74" s="14"/>
      <c r="G74" s="14"/>
      <c r="H74" s="15"/>
      <c r="I74" s="15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75" customHeight="1">
      <c r="A75" s="14"/>
      <c r="B75" s="14"/>
      <c r="C75" s="14"/>
      <c r="D75" s="14"/>
      <c r="E75" s="14"/>
      <c r="F75" s="14"/>
      <c r="G75" s="14"/>
      <c r="H75" s="15"/>
      <c r="I75" s="15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75" customHeight="1">
      <c r="A76" s="14"/>
      <c r="B76" s="14"/>
      <c r="C76" s="14"/>
      <c r="D76" s="14"/>
      <c r="E76" s="14"/>
      <c r="F76" s="14"/>
      <c r="G76" s="14"/>
      <c r="H76" s="15"/>
      <c r="I76" s="15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75" customHeight="1">
      <c r="A77" s="14"/>
      <c r="B77" s="14"/>
      <c r="C77" s="14"/>
      <c r="D77" s="14"/>
      <c r="E77" s="14"/>
      <c r="F77" s="14"/>
      <c r="G77" s="14"/>
      <c r="H77" s="15"/>
      <c r="I77" s="15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75" customHeight="1">
      <c r="A78" s="14"/>
      <c r="B78" s="14"/>
      <c r="C78" s="14"/>
      <c r="D78" s="14"/>
      <c r="E78" s="14"/>
      <c r="F78" s="14"/>
      <c r="G78" s="14"/>
      <c r="H78" s="15"/>
      <c r="I78" s="15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75" customHeight="1">
      <c r="A79" s="14"/>
      <c r="B79" s="14"/>
      <c r="C79" s="14"/>
      <c r="D79" s="14"/>
      <c r="E79" s="14"/>
      <c r="F79" s="14"/>
      <c r="G79" s="14"/>
      <c r="H79" s="15"/>
      <c r="I79" s="15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75" customHeight="1">
      <c r="A80" s="14"/>
      <c r="B80" s="14"/>
      <c r="C80" s="14"/>
      <c r="D80" s="14"/>
      <c r="E80" s="14"/>
      <c r="F80" s="14"/>
      <c r="G80" s="14"/>
      <c r="H80" s="15"/>
      <c r="I80" s="15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75" customHeight="1">
      <c r="A81" s="14"/>
      <c r="B81" s="14"/>
      <c r="C81" s="14"/>
      <c r="D81" s="14"/>
      <c r="E81" s="14"/>
      <c r="F81" s="14"/>
      <c r="G81" s="14"/>
      <c r="H81" s="15"/>
      <c r="I81" s="15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75" customHeight="1">
      <c r="A82" s="14"/>
      <c r="B82" s="14"/>
      <c r="C82" s="14"/>
      <c r="D82" s="14"/>
      <c r="E82" s="14"/>
      <c r="F82" s="14"/>
      <c r="G82" s="14"/>
      <c r="H82" s="15"/>
      <c r="I82" s="15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75" customHeight="1">
      <c r="A83" s="14"/>
      <c r="B83" s="14"/>
      <c r="C83" s="14"/>
      <c r="D83" s="14"/>
      <c r="E83" s="14"/>
      <c r="F83" s="14"/>
      <c r="G83" s="14"/>
      <c r="H83" s="15"/>
      <c r="I83" s="15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75" customHeight="1">
      <c r="A84" s="14"/>
      <c r="B84" s="14"/>
      <c r="C84" s="14"/>
      <c r="D84" s="14"/>
      <c r="E84" s="14"/>
      <c r="F84" s="14"/>
      <c r="G84" s="14"/>
      <c r="H84" s="15"/>
      <c r="I84" s="15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75" customHeight="1">
      <c r="A85" s="14"/>
      <c r="B85" s="14"/>
      <c r="C85" s="14"/>
      <c r="D85" s="14"/>
      <c r="E85" s="14"/>
      <c r="F85" s="14"/>
      <c r="G85" s="14"/>
      <c r="H85" s="15"/>
      <c r="I85" s="15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75" customHeight="1">
      <c r="A86" s="14"/>
      <c r="B86" s="14"/>
      <c r="C86" s="14"/>
      <c r="D86" s="14"/>
      <c r="E86" s="14"/>
      <c r="F86" s="14"/>
      <c r="G86" s="14"/>
      <c r="H86" s="15"/>
      <c r="I86" s="15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75" customHeight="1">
      <c r="A87" s="14"/>
      <c r="B87" s="14"/>
      <c r="C87" s="14"/>
      <c r="D87" s="14"/>
      <c r="E87" s="14"/>
      <c r="F87" s="14"/>
      <c r="G87" s="14"/>
      <c r="H87" s="15"/>
      <c r="I87" s="15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ht="15.75" customHeight="1">
      <c r="A88" s="14"/>
      <c r="B88" s="14"/>
      <c r="C88" s="14"/>
      <c r="D88" s="14"/>
      <c r="E88" s="14"/>
      <c r="F88" s="14"/>
      <c r="G88" s="14"/>
      <c r="H88" s="15"/>
      <c r="I88" s="15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75" customHeight="1">
      <c r="A89" s="14"/>
      <c r="B89" s="14"/>
      <c r="C89" s="14"/>
      <c r="D89" s="14"/>
      <c r="E89" s="14"/>
      <c r="F89" s="14"/>
      <c r="G89" s="14"/>
      <c r="H89" s="15"/>
      <c r="I89" s="15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ht="15.75" customHeight="1">
      <c r="A90" s="14"/>
      <c r="B90" s="14"/>
      <c r="C90" s="14"/>
      <c r="D90" s="14"/>
      <c r="E90" s="14"/>
      <c r="F90" s="14"/>
      <c r="G90" s="14"/>
      <c r="H90" s="15"/>
      <c r="I90" s="15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5.75" customHeight="1">
      <c r="A91" s="14"/>
      <c r="B91" s="14"/>
      <c r="C91" s="14"/>
      <c r="D91" s="14"/>
      <c r="E91" s="14"/>
      <c r="F91" s="14"/>
      <c r="G91" s="14"/>
      <c r="H91" s="15"/>
      <c r="I91" s="15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75" customHeight="1">
      <c r="A92" s="14"/>
      <c r="B92" s="14"/>
      <c r="C92" s="14"/>
      <c r="D92" s="14"/>
      <c r="E92" s="14"/>
      <c r="F92" s="14"/>
      <c r="G92" s="14"/>
      <c r="H92" s="15"/>
      <c r="I92" s="15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5.75" customHeight="1">
      <c r="A93" s="14"/>
      <c r="B93" s="14"/>
      <c r="C93" s="14"/>
      <c r="D93" s="14"/>
      <c r="E93" s="14"/>
      <c r="F93" s="14"/>
      <c r="G93" s="14"/>
      <c r="H93" s="15"/>
      <c r="I93" s="15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75" customHeight="1">
      <c r="A94" s="14"/>
      <c r="B94" s="14"/>
      <c r="C94" s="14"/>
      <c r="D94" s="14"/>
      <c r="E94" s="14"/>
      <c r="F94" s="14"/>
      <c r="G94" s="14"/>
      <c r="H94" s="15"/>
      <c r="I94" s="15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75" customHeight="1">
      <c r="A95" s="14"/>
      <c r="B95" s="14"/>
      <c r="C95" s="14"/>
      <c r="D95" s="14"/>
      <c r="E95" s="14"/>
      <c r="F95" s="14"/>
      <c r="G95" s="14"/>
      <c r="H95" s="15"/>
      <c r="I95" s="15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5.75" customHeight="1">
      <c r="A96" s="14"/>
      <c r="B96" s="14"/>
      <c r="C96" s="14"/>
      <c r="D96" s="14"/>
      <c r="E96" s="14"/>
      <c r="F96" s="14"/>
      <c r="G96" s="14"/>
      <c r="H96" s="15"/>
      <c r="I96" s="15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75" customHeight="1">
      <c r="A97" s="14"/>
      <c r="B97" s="14"/>
      <c r="C97" s="14"/>
      <c r="D97" s="14"/>
      <c r="E97" s="14"/>
      <c r="F97" s="14"/>
      <c r="G97" s="14"/>
      <c r="H97" s="15"/>
      <c r="I97" s="15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5.75" customHeight="1">
      <c r="A98" s="14"/>
      <c r="B98" s="14"/>
      <c r="C98" s="14"/>
      <c r="D98" s="14"/>
      <c r="E98" s="14"/>
      <c r="F98" s="14"/>
      <c r="G98" s="14"/>
      <c r="H98" s="15"/>
      <c r="I98" s="15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75" customHeight="1">
      <c r="A99" s="14"/>
      <c r="B99" s="14"/>
      <c r="C99" s="14"/>
      <c r="D99" s="14"/>
      <c r="E99" s="14"/>
      <c r="F99" s="14"/>
      <c r="G99" s="14"/>
      <c r="H99" s="15"/>
      <c r="I99" s="15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5"/>
      <c r="I100" s="15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5"/>
      <c r="I101" s="15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5"/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5"/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5"/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5"/>
      <c r="I105" s="15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5"/>
      <c r="I106" s="15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5"/>
      <c r="I107" s="15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5"/>
      <c r="I108" s="15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5"/>
      <c r="I109" s="15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5"/>
      <c r="I110" s="15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5"/>
      <c r="I111" s="15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5"/>
      <c r="I112" s="15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5"/>
      <c r="I113" s="15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5"/>
      <c r="I114" s="15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5"/>
      <c r="I115" s="15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5"/>
      <c r="I116" s="15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5"/>
      <c r="I117" s="15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5"/>
      <c r="I118" s="15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5"/>
      <c r="I119" s="15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5"/>
      <c r="I120" s="15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5"/>
      <c r="I121" s="15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5"/>
      <c r="I122" s="15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5"/>
      <c r="I123" s="15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5"/>
      <c r="I124" s="15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5"/>
      <c r="I125" s="15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5"/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5"/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5"/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5"/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5"/>
      <c r="I130" s="15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5"/>
      <c r="I131" s="15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5"/>
      <c r="I132" s="15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5"/>
      <c r="I133" s="15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5"/>
      <c r="I134" s="15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5"/>
      <c r="I135" s="15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5"/>
      <c r="I136" s="15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5"/>
      <c r="I137" s="15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5"/>
      <c r="I138" s="15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5"/>
      <c r="I139" s="15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5"/>
      <c r="I140" s="15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5"/>
      <c r="I141" s="15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5"/>
      <c r="I142" s="15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5"/>
      <c r="I143" s="15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5"/>
      <c r="I144" s="15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5"/>
      <c r="I145" s="15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5"/>
      <c r="I146" s="15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5"/>
      <c r="I147" s="15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5"/>
      <c r="I148" s="15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5"/>
      <c r="I149" s="15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5"/>
      <c r="I150" s="15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5"/>
      <c r="I151" s="15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5"/>
      <c r="I152" s="15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5"/>
      <c r="I153" s="15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5"/>
      <c r="I154" s="15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5"/>
      <c r="I155" s="15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5"/>
      <c r="I156" s="15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5"/>
      <c r="I157" s="15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5"/>
      <c r="I158" s="15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5"/>
      <c r="I159" s="15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5"/>
      <c r="I160" s="15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5"/>
      <c r="I161" s="15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5"/>
      <c r="I162" s="15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5"/>
      <c r="I163" s="15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5"/>
      <c r="I164" s="15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5"/>
      <c r="I165" s="15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5"/>
      <c r="I166" s="15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5"/>
      <c r="I167" s="15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5"/>
      <c r="I168" s="15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5"/>
      <c r="I169" s="15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5"/>
      <c r="I170" s="15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5"/>
      <c r="I171" s="15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5"/>
      <c r="I172" s="15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5"/>
      <c r="I173" s="15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5"/>
      <c r="I174" s="15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5"/>
      <c r="I175" s="15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5"/>
      <c r="I176" s="15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5"/>
      <c r="I177" s="15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5"/>
      <c r="I178" s="15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5"/>
      <c r="I179" s="15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5"/>
      <c r="I180" s="15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5"/>
      <c r="I181" s="15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5"/>
      <c r="I182" s="15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5"/>
      <c r="I183" s="15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5"/>
      <c r="I184" s="15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5"/>
      <c r="I185" s="15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5"/>
      <c r="I186" s="15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5"/>
      <c r="I187" s="15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5"/>
      <c r="I188" s="15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5"/>
      <c r="I189" s="15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5"/>
      <c r="I190" s="15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5"/>
      <c r="I191" s="15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5"/>
      <c r="I192" s="15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5"/>
      <c r="I193" s="15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5"/>
      <c r="I194" s="15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5"/>
      <c r="I195" s="15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5"/>
      <c r="I196" s="15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5"/>
      <c r="I197" s="15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5"/>
      <c r="I198" s="15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5"/>
      <c r="I199" s="15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5"/>
      <c r="I200" s="15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5"/>
      <c r="I201" s="15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5"/>
      <c r="I202" s="15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5"/>
      <c r="I203" s="15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5"/>
      <c r="I204" s="15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5"/>
      <c r="I205" s="15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5"/>
      <c r="I206" s="15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5"/>
      <c r="I207" s="15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5"/>
      <c r="I208" s="15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5"/>
      <c r="I209" s="15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5"/>
      <c r="I210" s="15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5"/>
      <c r="I211" s="15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5"/>
      <c r="I212" s="15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5"/>
      <c r="I213" s="15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5"/>
      <c r="I214" s="15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5"/>
      <c r="I215" s="15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5"/>
      <c r="I216" s="15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5"/>
      <c r="I217" s="15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5"/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5"/>
      <c r="I219" s="15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5"/>
      <c r="I220" s="15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ht="15.75" customHeight="1">
      <c r="K221" s="60"/>
      <c r="U221" s="60"/>
    </row>
    <row r="222" ht="15.75" customHeight="1">
      <c r="K222" s="60"/>
      <c r="U222" s="60"/>
    </row>
    <row r="223" ht="15.75" customHeight="1">
      <c r="K223" s="60"/>
      <c r="U223" s="60"/>
    </row>
    <row r="224" ht="15.75" customHeight="1">
      <c r="K224" s="60"/>
      <c r="U224" s="60"/>
    </row>
    <row r="225" ht="15.75" customHeight="1">
      <c r="K225" s="60"/>
      <c r="U225" s="60"/>
    </row>
    <row r="226" ht="15.75" customHeight="1">
      <c r="K226" s="60"/>
      <c r="U226" s="60"/>
    </row>
    <row r="227" ht="15.75" customHeight="1">
      <c r="K227" s="60"/>
      <c r="U227" s="60"/>
    </row>
    <row r="228" ht="15.75" customHeight="1">
      <c r="K228" s="60"/>
      <c r="U228" s="60"/>
    </row>
    <row r="229" ht="15.75" customHeight="1">
      <c r="K229" s="60"/>
      <c r="U229" s="60"/>
    </row>
    <row r="230" ht="15.75" customHeight="1">
      <c r="K230" s="60"/>
      <c r="U230" s="60"/>
    </row>
    <row r="231" ht="15.75" customHeight="1">
      <c r="K231" s="60"/>
      <c r="U231" s="60"/>
    </row>
    <row r="232" ht="15.75" customHeight="1">
      <c r="K232" s="60"/>
      <c r="U232" s="60"/>
    </row>
    <row r="233" ht="15.75" customHeight="1">
      <c r="K233" s="60"/>
      <c r="U233" s="60"/>
    </row>
    <row r="234" ht="15.75" customHeight="1">
      <c r="K234" s="60"/>
      <c r="U234" s="60"/>
    </row>
    <row r="235" ht="15.75" customHeight="1">
      <c r="K235" s="60"/>
      <c r="U235" s="60"/>
    </row>
    <row r="236" ht="15.75" customHeight="1">
      <c r="K236" s="60"/>
      <c r="U236" s="60"/>
    </row>
    <row r="237" ht="15.75" customHeight="1">
      <c r="K237" s="60"/>
      <c r="U237" s="60"/>
    </row>
    <row r="238" ht="15.75" customHeight="1">
      <c r="K238" s="60"/>
      <c r="U238" s="60"/>
    </row>
    <row r="239" ht="15.75" customHeight="1">
      <c r="K239" s="60"/>
      <c r="U239" s="60"/>
    </row>
    <row r="240" ht="15.75" customHeight="1">
      <c r="K240" s="60"/>
      <c r="U240" s="60"/>
    </row>
    <row r="241" ht="15.75" customHeight="1">
      <c r="K241" s="60"/>
      <c r="U241" s="60"/>
    </row>
    <row r="242" ht="15.75" customHeight="1">
      <c r="K242" s="60"/>
      <c r="U242" s="60"/>
    </row>
    <row r="243" ht="15.75" customHeight="1">
      <c r="K243" s="60"/>
      <c r="U243" s="60"/>
    </row>
    <row r="244" ht="15.75" customHeight="1">
      <c r="K244" s="60"/>
      <c r="U244" s="60"/>
    </row>
    <row r="245" ht="15.75" customHeight="1">
      <c r="K245" s="60"/>
      <c r="U245" s="60"/>
    </row>
    <row r="246" ht="15.75" customHeight="1">
      <c r="K246" s="60"/>
      <c r="U246" s="60"/>
    </row>
    <row r="247" ht="15.75" customHeight="1">
      <c r="K247" s="60"/>
      <c r="U247" s="60"/>
    </row>
    <row r="248" ht="15.75" customHeight="1">
      <c r="K248" s="60"/>
      <c r="U248" s="60"/>
    </row>
    <row r="249" ht="15.75" customHeight="1">
      <c r="K249" s="60"/>
      <c r="U249" s="60"/>
    </row>
    <row r="250" ht="15.75" customHeight="1">
      <c r="K250" s="60"/>
      <c r="U250" s="60"/>
    </row>
    <row r="251" ht="15.75" customHeight="1">
      <c r="K251" s="60"/>
      <c r="U251" s="60"/>
    </row>
    <row r="252" ht="15.75" customHeight="1">
      <c r="K252" s="60"/>
      <c r="U252" s="60"/>
    </row>
    <row r="253" ht="15.75" customHeight="1">
      <c r="K253" s="60"/>
      <c r="U253" s="60"/>
    </row>
    <row r="254" ht="15.75" customHeight="1">
      <c r="K254" s="60"/>
      <c r="U254" s="60"/>
    </row>
    <row r="255" ht="15.75" customHeight="1">
      <c r="K255" s="60"/>
      <c r="U255" s="60"/>
    </row>
    <row r="256" ht="15.75" customHeight="1">
      <c r="K256" s="60"/>
      <c r="U256" s="60"/>
    </row>
    <row r="257" ht="15.75" customHeight="1">
      <c r="K257" s="60"/>
      <c r="U257" s="60"/>
    </row>
    <row r="258" ht="15.75" customHeight="1">
      <c r="K258" s="60"/>
      <c r="U258" s="60"/>
    </row>
    <row r="259" ht="15.75" customHeight="1">
      <c r="K259" s="60"/>
      <c r="U259" s="60"/>
    </row>
    <row r="260" ht="15.75" customHeight="1">
      <c r="K260" s="60"/>
      <c r="U260" s="60"/>
    </row>
    <row r="261" ht="15.75" customHeight="1">
      <c r="K261" s="60"/>
      <c r="U261" s="60"/>
    </row>
    <row r="262" ht="15.75" customHeight="1">
      <c r="K262" s="60"/>
      <c r="U262" s="60"/>
    </row>
    <row r="263" ht="15.75" customHeight="1">
      <c r="K263" s="60"/>
      <c r="U263" s="60"/>
    </row>
    <row r="264" ht="15.75" customHeight="1">
      <c r="K264" s="60"/>
      <c r="U264" s="60"/>
    </row>
    <row r="265" ht="15.75" customHeight="1">
      <c r="K265" s="60"/>
      <c r="U265" s="60"/>
    </row>
    <row r="266" ht="15.75" customHeight="1">
      <c r="K266" s="60"/>
      <c r="U266" s="60"/>
    </row>
    <row r="267" ht="15.75" customHeight="1">
      <c r="K267" s="60"/>
      <c r="U267" s="60"/>
    </row>
    <row r="268" ht="15.75" customHeight="1">
      <c r="K268" s="60"/>
      <c r="U268" s="60"/>
    </row>
    <row r="269" ht="15.75" customHeight="1">
      <c r="K269" s="60"/>
      <c r="U269" s="60"/>
    </row>
    <row r="270" ht="15.75" customHeight="1">
      <c r="K270" s="60"/>
      <c r="U270" s="60"/>
    </row>
    <row r="271" ht="15.75" customHeight="1">
      <c r="K271" s="60"/>
      <c r="U271" s="60"/>
    </row>
    <row r="272" ht="15.75" customHeight="1">
      <c r="K272" s="60"/>
      <c r="U272" s="60"/>
    </row>
    <row r="273" ht="15.75" customHeight="1">
      <c r="K273" s="60"/>
      <c r="U273" s="60"/>
    </row>
    <row r="274" ht="15.75" customHeight="1">
      <c r="K274" s="60"/>
      <c r="U274" s="60"/>
    </row>
    <row r="275" ht="15.75" customHeight="1">
      <c r="K275" s="60"/>
      <c r="U275" s="60"/>
    </row>
    <row r="276" ht="15.75" customHeight="1">
      <c r="K276" s="60"/>
      <c r="U276" s="60"/>
    </row>
    <row r="277" ht="15.75" customHeight="1">
      <c r="K277" s="60"/>
      <c r="U277" s="60"/>
    </row>
    <row r="278" ht="15.75" customHeight="1">
      <c r="K278" s="60"/>
      <c r="U278" s="60"/>
    </row>
    <row r="279" ht="15.75" customHeight="1">
      <c r="K279" s="60"/>
      <c r="U279" s="60"/>
    </row>
    <row r="280" ht="15.75" customHeight="1">
      <c r="K280" s="60"/>
      <c r="U280" s="60"/>
    </row>
    <row r="281" ht="15.75" customHeight="1">
      <c r="K281" s="60"/>
      <c r="U281" s="60"/>
    </row>
    <row r="282" ht="15.75" customHeight="1">
      <c r="K282" s="60"/>
      <c r="U282" s="60"/>
    </row>
    <row r="283" ht="15.75" customHeight="1">
      <c r="K283" s="60"/>
      <c r="U283" s="60"/>
    </row>
    <row r="284" ht="15.75" customHeight="1">
      <c r="K284" s="60"/>
      <c r="U284" s="60"/>
    </row>
    <row r="285" ht="15.75" customHeight="1">
      <c r="K285" s="60"/>
      <c r="U285" s="60"/>
    </row>
    <row r="286" ht="15.75" customHeight="1">
      <c r="K286" s="60"/>
      <c r="U286" s="60"/>
    </row>
    <row r="287" ht="15.75" customHeight="1">
      <c r="K287" s="60"/>
      <c r="U287" s="60"/>
    </row>
    <row r="288" ht="15.75" customHeight="1">
      <c r="K288" s="60"/>
      <c r="U288" s="60"/>
    </row>
    <row r="289" ht="15.75" customHeight="1">
      <c r="K289" s="60"/>
      <c r="U289" s="60"/>
    </row>
    <row r="290" ht="15.75" customHeight="1">
      <c r="K290" s="60"/>
      <c r="U290" s="60"/>
    </row>
    <row r="291" ht="15.75" customHeight="1">
      <c r="K291" s="60"/>
      <c r="U291" s="60"/>
    </row>
    <row r="292" ht="15.75" customHeight="1">
      <c r="K292" s="60"/>
      <c r="U292" s="60"/>
    </row>
    <row r="293" ht="15.75" customHeight="1">
      <c r="K293" s="60"/>
      <c r="U293" s="60"/>
    </row>
    <row r="294" ht="15.75" customHeight="1">
      <c r="K294" s="60"/>
      <c r="U294" s="60"/>
    </row>
    <row r="295" ht="15.75" customHeight="1">
      <c r="K295" s="60"/>
      <c r="U295" s="60"/>
    </row>
    <row r="296" ht="15.75" customHeight="1">
      <c r="K296" s="60"/>
      <c r="U296" s="60"/>
    </row>
    <row r="297" ht="15.75" customHeight="1">
      <c r="K297" s="60"/>
      <c r="U297" s="60"/>
    </row>
    <row r="298" ht="15.75" customHeight="1">
      <c r="K298" s="60"/>
      <c r="U298" s="60"/>
    </row>
    <row r="299" ht="15.75" customHeight="1">
      <c r="K299" s="60"/>
      <c r="U299" s="60"/>
    </row>
    <row r="300" ht="15.75" customHeight="1">
      <c r="K300" s="60"/>
      <c r="U300" s="60"/>
    </row>
    <row r="301" ht="15.75" customHeight="1">
      <c r="K301" s="60"/>
      <c r="U301" s="60"/>
    </row>
    <row r="302" ht="15.75" customHeight="1">
      <c r="K302" s="60"/>
      <c r="U302" s="60"/>
    </row>
    <row r="303" ht="15.75" customHeight="1">
      <c r="K303" s="60"/>
      <c r="U303" s="60"/>
    </row>
    <row r="304" ht="15.75" customHeight="1">
      <c r="K304" s="60"/>
      <c r="U304" s="60"/>
    </row>
    <row r="305" ht="15.75" customHeight="1">
      <c r="K305" s="60"/>
      <c r="U305" s="60"/>
    </row>
    <row r="306" ht="15.75" customHeight="1">
      <c r="K306" s="60"/>
      <c r="U306" s="60"/>
    </row>
    <row r="307" ht="15.75" customHeight="1">
      <c r="K307" s="60"/>
      <c r="U307" s="60"/>
    </row>
    <row r="308" ht="15.75" customHeight="1">
      <c r="K308" s="60"/>
      <c r="U308" s="60"/>
    </row>
    <row r="309" ht="15.75" customHeight="1">
      <c r="K309" s="60"/>
      <c r="U309" s="60"/>
    </row>
    <row r="310" ht="15.75" customHeight="1">
      <c r="K310" s="60"/>
      <c r="U310" s="60"/>
    </row>
    <row r="311" ht="15.75" customHeight="1">
      <c r="K311" s="60"/>
      <c r="U311" s="60"/>
    </row>
    <row r="312" ht="15.75" customHeight="1">
      <c r="K312" s="60"/>
      <c r="U312" s="60"/>
    </row>
    <row r="313" ht="15.75" customHeight="1">
      <c r="K313" s="60"/>
      <c r="U313" s="60"/>
    </row>
    <row r="314" ht="15.75" customHeight="1">
      <c r="K314" s="60"/>
      <c r="U314" s="60"/>
    </row>
    <row r="315" ht="15.75" customHeight="1">
      <c r="K315" s="60"/>
      <c r="U315" s="60"/>
    </row>
    <row r="316" ht="15.75" customHeight="1">
      <c r="K316" s="60"/>
      <c r="U316" s="60"/>
    </row>
    <row r="317" ht="15.75" customHeight="1">
      <c r="K317" s="60"/>
      <c r="U317" s="60"/>
    </row>
    <row r="318" ht="15.75" customHeight="1">
      <c r="K318" s="60"/>
      <c r="U318" s="60"/>
    </row>
    <row r="319" ht="15.75" customHeight="1">
      <c r="K319" s="60"/>
      <c r="U319" s="60"/>
    </row>
    <row r="320" ht="15.75" customHeight="1">
      <c r="K320" s="60"/>
      <c r="U320" s="60"/>
    </row>
    <row r="321" ht="15.75" customHeight="1">
      <c r="K321" s="60"/>
      <c r="U321" s="60"/>
    </row>
    <row r="322" ht="15.75" customHeight="1">
      <c r="K322" s="60"/>
      <c r="U322" s="60"/>
    </row>
    <row r="323" ht="15.75" customHeight="1">
      <c r="K323" s="60"/>
      <c r="U323" s="60"/>
    </row>
    <row r="324" ht="15.75" customHeight="1">
      <c r="K324" s="60"/>
      <c r="U324" s="60"/>
    </row>
    <row r="325" ht="15.75" customHeight="1">
      <c r="K325" s="60"/>
      <c r="U325" s="60"/>
    </row>
    <row r="326" ht="15.75" customHeight="1">
      <c r="K326" s="60"/>
      <c r="U326" s="60"/>
    </row>
    <row r="327" ht="15.75" customHeight="1">
      <c r="K327" s="60"/>
      <c r="U327" s="60"/>
    </row>
    <row r="328" ht="15.75" customHeight="1">
      <c r="K328" s="60"/>
      <c r="U328" s="60"/>
    </row>
    <row r="329" ht="15.75" customHeight="1">
      <c r="K329" s="60"/>
      <c r="U329" s="60"/>
    </row>
    <row r="330" ht="15.75" customHeight="1">
      <c r="K330" s="60"/>
      <c r="U330" s="60"/>
    </row>
    <row r="331" ht="15.75" customHeight="1">
      <c r="K331" s="60"/>
      <c r="U331" s="60"/>
    </row>
    <row r="332" ht="15.75" customHeight="1">
      <c r="K332" s="60"/>
      <c r="U332" s="60"/>
    </row>
    <row r="333" ht="15.75" customHeight="1">
      <c r="K333" s="60"/>
      <c r="U333" s="60"/>
    </row>
    <row r="334" ht="15.75" customHeight="1">
      <c r="K334" s="60"/>
      <c r="U334" s="60"/>
    </row>
    <row r="335" ht="15.75" customHeight="1">
      <c r="K335" s="60"/>
      <c r="U335" s="60"/>
    </row>
    <row r="336" ht="15.75" customHeight="1">
      <c r="K336" s="60"/>
      <c r="U336" s="60"/>
    </row>
    <row r="337" ht="15.75" customHeight="1">
      <c r="K337" s="60"/>
      <c r="U337" s="60"/>
    </row>
    <row r="338" ht="15.75" customHeight="1">
      <c r="K338" s="60"/>
      <c r="U338" s="60"/>
    </row>
    <row r="339" ht="15.75" customHeight="1">
      <c r="K339" s="60"/>
      <c r="U339" s="60"/>
    </row>
    <row r="340" ht="15.75" customHeight="1">
      <c r="K340" s="60"/>
      <c r="U340" s="60"/>
    </row>
    <row r="341" ht="15.75" customHeight="1">
      <c r="K341" s="60"/>
      <c r="U341" s="60"/>
    </row>
    <row r="342" ht="15.75" customHeight="1">
      <c r="K342" s="60"/>
      <c r="U342" s="60"/>
    </row>
    <row r="343" ht="15.75" customHeight="1">
      <c r="K343" s="60"/>
      <c r="U343" s="60"/>
    </row>
    <row r="344" ht="15.75" customHeight="1">
      <c r="K344" s="60"/>
      <c r="U344" s="60"/>
    </row>
    <row r="345" ht="15.75" customHeight="1">
      <c r="K345" s="60"/>
      <c r="U345" s="60"/>
    </row>
    <row r="346" ht="15.75" customHeight="1">
      <c r="K346" s="60"/>
      <c r="U346" s="60"/>
    </row>
    <row r="347" ht="15.75" customHeight="1">
      <c r="K347" s="60"/>
      <c r="U347" s="60"/>
    </row>
    <row r="348" ht="15.75" customHeight="1">
      <c r="K348" s="60"/>
      <c r="U348" s="60"/>
    </row>
    <row r="349" ht="15.75" customHeight="1">
      <c r="K349" s="60"/>
      <c r="U349" s="60"/>
    </row>
    <row r="350" ht="15.75" customHeight="1">
      <c r="K350" s="60"/>
      <c r="U350" s="60"/>
    </row>
    <row r="351" ht="15.75" customHeight="1">
      <c r="K351" s="60"/>
      <c r="U351" s="60"/>
    </row>
    <row r="352" ht="15.75" customHeight="1">
      <c r="K352" s="60"/>
      <c r="U352" s="60"/>
    </row>
    <row r="353" ht="15.75" customHeight="1">
      <c r="K353" s="60"/>
      <c r="U353" s="60"/>
    </row>
    <row r="354" ht="15.75" customHeight="1">
      <c r="K354" s="60"/>
      <c r="U354" s="60"/>
    </row>
    <row r="355" ht="15.75" customHeight="1">
      <c r="K355" s="60"/>
      <c r="U355" s="60"/>
    </row>
    <row r="356" ht="15.75" customHeight="1">
      <c r="K356" s="60"/>
      <c r="U356" s="60"/>
    </row>
    <row r="357" ht="15.75" customHeight="1">
      <c r="K357" s="60"/>
      <c r="U357" s="60"/>
    </row>
    <row r="358" ht="15.75" customHeight="1">
      <c r="K358" s="60"/>
      <c r="U358" s="60"/>
    </row>
    <row r="359" ht="15.75" customHeight="1">
      <c r="K359" s="60"/>
      <c r="U359" s="60"/>
    </row>
    <row r="360" ht="15.75" customHeight="1">
      <c r="K360" s="60"/>
      <c r="U360" s="60"/>
    </row>
    <row r="361" ht="15.75" customHeight="1">
      <c r="K361" s="60"/>
      <c r="U361" s="60"/>
    </row>
    <row r="362" ht="15.75" customHeight="1">
      <c r="K362" s="60"/>
      <c r="U362" s="60"/>
    </row>
    <row r="363" ht="15.75" customHeight="1">
      <c r="K363" s="60"/>
      <c r="U363" s="60"/>
    </row>
    <row r="364" ht="15.75" customHeight="1">
      <c r="K364" s="60"/>
      <c r="U364" s="60"/>
    </row>
    <row r="365" ht="15.75" customHeight="1">
      <c r="K365" s="60"/>
      <c r="U365" s="60"/>
    </row>
    <row r="366" ht="15.75" customHeight="1">
      <c r="K366" s="60"/>
      <c r="U366" s="60"/>
    </row>
    <row r="367" ht="15.75" customHeight="1">
      <c r="K367" s="60"/>
      <c r="U367" s="60"/>
    </row>
    <row r="368" ht="15.75" customHeight="1">
      <c r="K368" s="60"/>
      <c r="U368" s="60"/>
    </row>
    <row r="369" ht="15.75" customHeight="1">
      <c r="K369" s="60"/>
      <c r="U369" s="60"/>
    </row>
    <row r="370" ht="15.75" customHeight="1">
      <c r="K370" s="60"/>
      <c r="U370" s="60"/>
    </row>
    <row r="371" ht="15.75" customHeight="1">
      <c r="K371" s="60"/>
      <c r="U371" s="60"/>
    </row>
    <row r="372" ht="15.75" customHeight="1">
      <c r="K372" s="60"/>
      <c r="U372" s="60"/>
    </row>
    <row r="373" ht="15.75" customHeight="1">
      <c r="K373" s="60"/>
      <c r="U373" s="60"/>
    </row>
    <row r="374" ht="15.75" customHeight="1">
      <c r="K374" s="60"/>
      <c r="U374" s="60"/>
    </row>
    <row r="375" ht="15.75" customHeight="1">
      <c r="K375" s="60"/>
      <c r="U375" s="60"/>
    </row>
    <row r="376" ht="15.75" customHeight="1">
      <c r="K376" s="60"/>
      <c r="U376" s="60"/>
    </row>
    <row r="377" ht="15.75" customHeight="1">
      <c r="K377" s="60"/>
      <c r="U377" s="60"/>
    </row>
    <row r="378" ht="15.75" customHeight="1">
      <c r="K378" s="60"/>
      <c r="U378" s="60"/>
    </row>
    <row r="379" ht="15.75" customHeight="1">
      <c r="K379" s="60"/>
      <c r="U379" s="60"/>
    </row>
    <row r="380" ht="15.75" customHeight="1">
      <c r="K380" s="60"/>
      <c r="U380" s="60"/>
    </row>
    <row r="381" ht="15.75" customHeight="1">
      <c r="K381" s="60"/>
      <c r="U381" s="60"/>
    </row>
    <row r="382" ht="15.75" customHeight="1">
      <c r="K382" s="60"/>
      <c r="U382" s="60"/>
    </row>
    <row r="383" ht="15.75" customHeight="1">
      <c r="K383" s="60"/>
      <c r="U383" s="60"/>
    </row>
    <row r="384" ht="15.75" customHeight="1">
      <c r="K384" s="60"/>
      <c r="U384" s="60"/>
    </row>
    <row r="385" ht="15.75" customHeight="1">
      <c r="K385" s="60"/>
      <c r="U385" s="60"/>
    </row>
    <row r="386" ht="15.75" customHeight="1">
      <c r="K386" s="60"/>
      <c r="U386" s="60"/>
    </row>
    <row r="387" ht="15.75" customHeight="1">
      <c r="K387" s="60"/>
      <c r="U387" s="60"/>
    </row>
    <row r="388" ht="15.75" customHeight="1">
      <c r="K388" s="60"/>
      <c r="U388" s="60"/>
    </row>
    <row r="389" ht="15.75" customHeight="1">
      <c r="K389" s="60"/>
      <c r="U389" s="60"/>
    </row>
    <row r="390" ht="15.75" customHeight="1">
      <c r="K390" s="60"/>
      <c r="U390" s="60"/>
    </row>
    <row r="391" ht="15.75" customHeight="1">
      <c r="K391" s="60"/>
      <c r="U391" s="60"/>
    </row>
    <row r="392" ht="15.75" customHeight="1">
      <c r="K392" s="60"/>
      <c r="U392" s="60"/>
    </row>
    <row r="393" ht="15.75" customHeight="1">
      <c r="K393" s="60"/>
      <c r="U393" s="60"/>
    </row>
    <row r="394" ht="15.75" customHeight="1">
      <c r="K394" s="60"/>
      <c r="U394" s="60"/>
    </row>
    <row r="395" ht="15.75" customHeight="1">
      <c r="K395" s="60"/>
      <c r="U395" s="60"/>
    </row>
    <row r="396" ht="15.75" customHeight="1">
      <c r="K396" s="60"/>
      <c r="U396" s="60"/>
    </row>
    <row r="397" ht="15.75" customHeight="1">
      <c r="K397" s="60"/>
      <c r="U397" s="60"/>
    </row>
    <row r="398" ht="15.75" customHeight="1">
      <c r="K398" s="60"/>
      <c r="U398" s="60"/>
    </row>
    <row r="399" ht="15.75" customHeight="1">
      <c r="K399" s="60"/>
      <c r="U399" s="60"/>
    </row>
    <row r="400" ht="15.75" customHeight="1">
      <c r="K400" s="60"/>
      <c r="U400" s="60"/>
    </row>
    <row r="401" ht="15.75" customHeight="1">
      <c r="K401" s="60"/>
      <c r="U401" s="60"/>
    </row>
    <row r="402" ht="15.75" customHeight="1">
      <c r="K402" s="60"/>
      <c r="U402" s="60"/>
    </row>
    <row r="403" ht="15.75" customHeight="1">
      <c r="K403" s="60"/>
      <c r="U403" s="60"/>
    </row>
    <row r="404" ht="15.75" customHeight="1">
      <c r="K404" s="60"/>
      <c r="U404" s="60"/>
    </row>
    <row r="405" ht="15.75" customHeight="1">
      <c r="K405" s="60"/>
      <c r="U405" s="60"/>
    </row>
    <row r="406" ht="15.75" customHeight="1">
      <c r="K406" s="60"/>
      <c r="U406" s="60"/>
    </row>
    <row r="407" ht="15.75" customHeight="1">
      <c r="K407" s="60"/>
      <c r="U407" s="60"/>
    </row>
    <row r="408" ht="15.75" customHeight="1">
      <c r="K408" s="60"/>
      <c r="U408" s="60"/>
    </row>
    <row r="409" ht="15.75" customHeight="1">
      <c r="K409" s="60"/>
      <c r="U409" s="60"/>
    </row>
    <row r="410" ht="15.75" customHeight="1">
      <c r="K410" s="60"/>
      <c r="U410" s="60"/>
    </row>
    <row r="411" ht="15.75" customHeight="1">
      <c r="K411" s="60"/>
      <c r="U411" s="60"/>
    </row>
    <row r="412" ht="15.75" customHeight="1">
      <c r="K412" s="60"/>
      <c r="U412" s="60"/>
    </row>
    <row r="413" ht="15.75" customHeight="1">
      <c r="K413" s="60"/>
      <c r="U413" s="60"/>
    </row>
    <row r="414" ht="15.75" customHeight="1">
      <c r="K414" s="60"/>
      <c r="U414" s="60"/>
    </row>
    <row r="415" ht="15.75" customHeight="1">
      <c r="K415" s="60"/>
      <c r="U415" s="60"/>
    </row>
    <row r="416" ht="15.75" customHeight="1">
      <c r="K416" s="60"/>
      <c r="U416" s="60"/>
    </row>
    <row r="417" ht="15.75" customHeight="1">
      <c r="K417" s="60"/>
      <c r="U417" s="60"/>
    </row>
    <row r="418" ht="15.75" customHeight="1">
      <c r="K418" s="60"/>
      <c r="U418" s="60"/>
    </row>
    <row r="419" ht="15.75" customHeight="1">
      <c r="K419" s="60"/>
      <c r="U419" s="60"/>
    </row>
    <row r="420" ht="15.75" customHeight="1">
      <c r="K420" s="60"/>
      <c r="U420" s="60"/>
    </row>
    <row r="421" ht="15.75" customHeight="1">
      <c r="K421" s="60"/>
      <c r="U421" s="60"/>
    </row>
    <row r="422" ht="15.75" customHeight="1">
      <c r="K422" s="60"/>
      <c r="U422" s="60"/>
    </row>
    <row r="423" ht="15.75" customHeight="1">
      <c r="K423" s="60"/>
      <c r="U423" s="60"/>
    </row>
    <row r="424" ht="15.75" customHeight="1">
      <c r="K424" s="60"/>
      <c r="U424" s="60"/>
    </row>
    <row r="425" ht="15.75" customHeight="1">
      <c r="K425" s="60"/>
      <c r="U425" s="60"/>
    </row>
    <row r="426" ht="15.75" customHeight="1">
      <c r="K426" s="60"/>
      <c r="U426" s="60"/>
    </row>
    <row r="427" ht="15.75" customHeight="1">
      <c r="K427" s="60"/>
      <c r="U427" s="60"/>
    </row>
    <row r="428" ht="15.75" customHeight="1">
      <c r="K428" s="60"/>
      <c r="U428" s="60"/>
    </row>
    <row r="429" ht="15.75" customHeight="1">
      <c r="K429" s="60"/>
      <c r="U429" s="60"/>
    </row>
    <row r="430" ht="15.75" customHeight="1">
      <c r="K430" s="60"/>
      <c r="U430" s="60"/>
    </row>
    <row r="431" ht="15.75" customHeight="1">
      <c r="K431" s="60"/>
      <c r="U431" s="60"/>
    </row>
    <row r="432" ht="15.75" customHeight="1">
      <c r="K432" s="60"/>
      <c r="U432" s="60"/>
    </row>
    <row r="433" ht="15.75" customHeight="1">
      <c r="K433" s="60"/>
      <c r="U433" s="60"/>
    </row>
    <row r="434" ht="15.75" customHeight="1">
      <c r="K434" s="60"/>
      <c r="U434" s="60"/>
    </row>
    <row r="435" ht="15.75" customHeight="1">
      <c r="K435" s="60"/>
      <c r="U435" s="60"/>
    </row>
    <row r="436" ht="15.75" customHeight="1">
      <c r="K436" s="60"/>
      <c r="U436" s="60"/>
    </row>
    <row r="437" ht="15.75" customHeight="1">
      <c r="K437" s="60"/>
      <c r="U437" s="60"/>
    </row>
    <row r="438" ht="15.75" customHeight="1">
      <c r="K438" s="60"/>
      <c r="U438" s="60"/>
    </row>
    <row r="439" ht="15.75" customHeight="1">
      <c r="K439" s="60"/>
      <c r="U439" s="60"/>
    </row>
    <row r="440" ht="15.75" customHeight="1">
      <c r="K440" s="60"/>
      <c r="U440" s="60"/>
    </row>
    <row r="441" ht="15.75" customHeight="1">
      <c r="K441" s="60"/>
      <c r="U441" s="60"/>
    </row>
    <row r="442" ht="15.75" customHeight="1">
      <c r="K442" s="60"/>
      <c r="U442" s="60"/>
    </row>
    <row r="443" ht="15.75" customHeight="1">
      <c r="K443" s="60"/>
      <c r="U443" s="60"/>
    </row>
    <row r="444" ht="15.75" customHeight="1">
      <c r="K444" s="60"/>
      <c r="U444" s="60"/>
    </row>
    <row r="445" ht="15.75" customHeight="1">
      <c r="K445" s="60"/>
      <c r="U445" s="60"/>
    </row>
    <row r="446" ht="15.75" customHeight="1">
      <c r="K446" s="60"/>
      <c r="U446" s="60"/>
    </row>
    <row r="447" ht="15.75" customHeight="1">
      <c r="K447" s="60"/>
      <c r="U447" s="60"/>
    </row>
    <row r="448" ht="15.75" customHeight="1">
      <c r="K448" s="60"/>
      <c r="U448" s="60"/>
    </row>
    <row r="449" ht="15.75" customHeight="1">
      <c r="K449" s="60"/>
      <c r="U449" s="60"/>
    </row>
    <row r="450" ht="15.75" customHeight="1">
      <c r="K450" s="60"/>
      <c r="U450" s="60"/>
    </row>
    <row r="451" ht="15.75" customHeight="1">
      <c r="K451" s="60"/>
      <c r="U451" s="60"/>
    </row>
    <row r="452" ht="15.75" customHeight="1">
      <c r="K452" s="60"/>
      <c r="U452" s="60"/>
    </row>
    <row r="453" ht="15.75" customHeight="1">
      <c r="K453" s="60"/>
      <c r="U453" s="60"/>
    </row>
    <row r="454" ht="15.75" customHeight="1">
      <c r="K454" s="60"/>
      <c r="U454" s="60"/>
    </row>
    <row r="455" ht="15.75" customHeight="1">
      <c r="K455" s="60"/>
      <c r="U455" s="60"/>
    </row>
    <row r="456" ht="15.75" customHeight="1">
      <c r="K456" s="60"/>
      <c r="U456" s="60"/>
    </row>
    <row r="457" ht="15.75" customHeight="1">
      <c r="K457" s="60"/>
      <c r="U457" s="60"/>
    </row>
    <row r="458" ht="15.75" customHeight="1">
      <c r="K458" s="60"/>
      <c r="U458" s="60"/>
    </row>
    <row r="459" ht="15.75" customHeight="1">
      <c r="K459" s="60"/>
      <c r="U459" s="60"/>
    </row>
    <row r="460" ht="15.75" customHeight="1">
      <c r="K460" s="60"/>
      <c r="U460" s="60"/>
    </row>
    <row r="461" ht="15.75" customHeight="1">
      <c r="K461" s="60"/>
      <c r="U461" s="60"/>
    </row>
    <row r="462" ht="15.75" customHeight="1">
      <c r="K462" s="60"/>
      <c r="U462" s="60"/>
    </row>
    <row r="463" ht="15.75" customHeight="1">
      <c r="K463" s="60"/>
      <c r="U463" s="60"/>
    </row>
    <row r="464" ht="15.75" customHeight="1">
      <c r="K464" s="60"/>
      <c r="U464" s="60"/>
    </row>
    <row r="465" ht="15.75" customHeight="1">
      <c r="K465" s="60"/>
      <c r="U465" s="60"/>
    </row>
    <row r="466" ht="15.75" customHeight="1">
      <c r="K466" s="60"/>
      <c r="U466" s="60"/>
    </row>
    <row r="467" ht="15.75" customHeight="1">
      <c r="K467" s="60"/>
      <c r="U467" s="60"/>
    </row>
    <row r="468" ht="15.75" customHeight="1">
      <c r="K468" s="60"/>
      <c r="U468" s="60"/>
    </row>
    <row r="469" ht="15.75" customHeight="1">
      <c r="K469" s="60"/>
      <c r="U469" s="60"/>
    </row>
    <row r="470" ht="15.75" customHeight="1">
      <c r="K470" s="60"/>
      <c r="U470" s="60"/>
    </row>
    <row r="471" ht="15.75" customHeight="1">
      <c r="K471" s="60"/>
      <c r="U471" s="60"/>
    </row>
    <row r="472" ht="15.75" customHeight="1">
      <c r="K472" s="60"/>
      <c r="U472" s="60"/>
    </row>
    <row r="473" ht="15.75" customHeight="1">
      <c r="K473" s="60"/>
      <c r="U473" s="60"/>
    </row>
    <row r="474" ht="15.75" customHeight="1">
      <c r="K474" s="60"/>
      <c r="U474" s="60"/>
    </row>
    <row r="475" ht="15.75" customHeight="1">
      <c r="K475" s="60"/>
      <c r="U475" s="60"/>
    </row>
    <row r="476" ht="15.75" customHeight="1">
      <c r="K476" s="60"/>
      <c r="U476" s="60"/>
    </row>
    <row r="477" ht="15.75" customHeight="1">
      <c r="K477" s="60"/>
      <c r="U477" s="60"/>
    </row>
    <row r="478" ht="15.75" customHeight="1">
      <c r="K478" s="60"/>
      <c r="U478" s="60"/>
    </row>
    <row r="479" ht="15.75" customHeight="1">
      <c r="K479" s="60"/>
      <c r="U479" s="60"/>
    </row>
    <row r="480" ht="15.75" customHeight="1">
      <c r="K480" s="60"/>
      <c r="U480" s="60"/>
    </row>
    <row r="481" ht="15.75" customHeight="1">
      <c r="K481" s="60"/>
      <c r="U481" s="60"/>
    </row>
    <row r="482" ht="15.75" customHeight="1">
      <c r="K482" s="60"/>
      <c r="U482" s="60"/>
    </row>
    <row r="483" ht="15.75" customHeight="1">
      <c r="K483" s="60"/>
      <c r="U483" s="60"/>
    </row>
    <row r="484" ht="15.75" customHeight="1">
      <c r="K484" s="60"/>
      <c r="U484" s="60"/>
    </row>
    <row r="485" ht="15.75" customHeight="1">
      <c r="K485" s="60"/>
      <c r="U485" s="60"/>
    </row>
    <row r="486" ht="15.75" customHeight="1">
      <c r="K486" s="60"/>
      <c r="U486" s="60"/>
    </row>
    <row r="487" ht="15.75" customHeight="1">
      <c r="K487" s="60"/>
      <c r="U487" s="60"/>
    </row>
    <row r="488" ht="15.75" customHeight="1">
      <c r="K488" s="60"/>
      <c r="U488" s="60"/>
    </row>
    <row r="489" ht="15.75" customHeight="1">
      <c r="K489" s="60"/>
      <c r="U489" s="60"/>
    </row>
    <row r="490" ht="15.75" customHeight="1">
      <c r="K490" s="60"/>
      <c r="U490" s="60"/>
    </row>
    <row r="491" ht="15.75" customHeight="1">
      <c r="K491" s="60"/>
      <c r="U491" s="60"/>
    </row>
    <row r="492" ht="15.75" customHeight="1">
      <c r="K492" s="60"/>
      <c r="U492" s="60"/>
    </row>
    <row r="493" ht="15.75" customHeight="1">
      <c r="K493" s="60"/>
      <c r="U493" s="60"/>
    </row>
    <row r="494" ht="15.75" customHeight="1">
      <c r="K494" s="60"/>
      <c r="U494" s="60"/>
    </row>
    <row r="495" ht="15.75" customHeight="1">
      <c r="K495" s="60"/>
      <c r="U495" s="60"/>
    </row>
    <row r="496" ht="15.75" customHeight="1">
      <c r="K496" s="60"/>
      <c r="U496" s="60"/>
    </row>
    <row r="497" ht="15.75" customHeight="1">
      <c r="K497" s="60"/>
      <c r="U497" s="60"/>
    </row>
    <row r="498" ht="15.75" customHeight="1">
      <c r="K498" s="60"/>
      <c r="U498" s="60"/>
    </row>
    <row r="499" ht="15.75" customHeight="1">
      <c r="K499" s="60"/>
      <c r="U499" s="60"/>
    </row>
    <row r="500" ht="15.75" customHeight="1">
      <c r="K500" s="60"/>
      <c r="U500" s="6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dataValidations>
    <dataValidation type="list" allowBlank="1" sqref="K4:K500">
      <formula1>"Yes,No,Opportunity Only"</formula1>
    </dataValidation>
    <dataValidation type="list" allowBlank="1" sqref="U4:U500">
      <formula1>"Yes,No,Maybe"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4.0"/>
    <col customWidth="1" min="5" max="7" width="27.0"/>
    <col customWidth="1" min="8" max="8" width="14.0"/>
    <col customWidth="1" min="9" max="9" width="27.0"/>
    <col customWidth="1" min="10" max="10" width="14.0"/>
    <col customWidth="1" min="11" max="14" width="27.0"/>
    <col customWidth="1" min="15" max="18" width="14.0"/>
    <col customWidth="1" min="19" max="20" width="27.0"/>
    <col customWidth="1" min="21" max="26" width="8.63"/>
  </cols>
  <sheetData>
    <row r="1" ht="33.75" customHeight="1">
      <c r="A1" s="39" t="s">
        <v>985</v>
      </c>
    </row>
    <row r="3">
      <c r="A3" s="59" t="s">
        <v>821</v>
      </c>
      <c r="B3" s="59" t="s">
        <v>969</v>
      </c>
      <c r="C3" s="59" t="s">
        <v>986</v>
      </c>
      <c r="D3" s="59" t="s">
        <v>987</v>
      </c>
      <c r="E3" s="59" t="s">
        <v>988</v>
      </c>
      <c r="F3" s="59" t="s">
        <v>989</v>
      </c>
      <c r="G3" s="59" t="s">
        <v>990</v>
      </c>
      <c r="H3" s="59" t="s">
        <v>991</v>
      </c>
      <c r="I3" s="59" t="s">
        <v>992</v>
      </c>
      <c r="J3" s="59" t="s">
        <v>993</v>
      </c>
      <c r="K3" s="59" t="s">
        <v>994</v>
      </c>
      <c r="L3" s="59" t="s">
        <v>995</v>
      </c>
      <c r="M3" s="59" t="s">
        <v>996</v>
      </c>
      <c r="N3" s="59" t="s">
        <v>997</v>
      </c>
      <c r="O3" s="59" t="s">
        <v>998</v>
      </c>
      <c r="P3" s="59" t="s">
        <v>999</v>
      </c>
      <c r="Q3" s="59" t="s">
        <v>1000</v>
      </c>
      <c r="R3" s="59" t="s">
        <v>1001</v>
      </c>
      <c r="S3" s="59" t="s">
        <v>1002</v>
      </c>
      <c r="T3" s="59" t="s">
        <v>1003</v>
      </c>
    </row>
    <row r="4">
      <c r="A4" s="14"/>
      <c r="B4" s="14"/>
      <c r="C4" s="14"/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14"/>
      <c r="B5" s="14"/>
      <c r="C5" s="14"/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4"/>
      <c r="B6" s="14"/>
      <c r="C6" s="14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4"/>
      <c r="B7" s="14"/>
      <c r="C7" s="14"/>
      <c r="D7" s="1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4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14"/>
      <c r="B9" s="14"/>
      <c r="C9" s="14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14"/>
      <c r="B10" s="14"/>
      <c r="C10" s="14"/>
      <c r="D10" s="1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4"/>
      <c r="B11" s="14"/>
      <c r="C11" s="14"/>
      <c r="D11" s="15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4"/>
      <c r="B12" s="14"/>
      <c r="C12" s="14"/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14"/>
      <c r="B13" s="14"/>
      <c r="C13" s="14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4"/>
      <c r="B14" s="14"/>
      <c r="C14" s="14"/>
      <c r="D14" s="1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14"/>
      <c r="B15" s="14"/>
      <c r="C15" s="14"/>
      <c r="D15" s="15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>
      <c r="A16" s="14"/>
      <c r="B16" s="14"/>
      <c r="C16" s="14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4"/>
      <c r="B17" s="14"/>
      <c r="C17" s="14"/>
      <c r="D17" s="15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14"/>
      <c r="B18" s="14"/>
      <c r="C18" s="14"/>
      <c r="D18" s="1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4"/>
      <c r="B19" s="14"/>
      <c r="C19" s="14"/>
      <c r="D19" s="15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14"/>
      <c r="B20" s="14"/>
      <c r="C20" s="14"/>
      <c r="D20" s="15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ht="15.75" customHeight="1">
      <c r="A21" s="14"/>
      <c r="B21" s="14"/>
      <c r="C21" s="14"/>
      <c r="D21" s="15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ht="15.75" customHeight="1">
      <c r="A22" s="14"/>
      <c r="B22" s="14"/>
      <c r="C22" s="14"/>
      <c r="D22" s="15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ht="15.75" customHeight="1">
      <c r="A23" s="14"/>
      <c r="B23" s="14"/>
      <c r="C23" s="14"/>
      <c r="D23" s="15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ht="15.75" customHeight="1">
      <c r="A24" s="14"/>
      <c r="B24" s="14"/>
      <c r="C24" s="14"/>
      <c r="D24" s="15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ht="15.75" customHeight="1">
      <c r="A25" s="14"/>
      <c r="B25" s="14"/>
      <c r="C25" s="14"/>
      <c r="D25" s="15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ht="15.75" customHeight="1">
      <c r="A26" s="14"/>
      <c r="B26" s="14"/>
      <c r="C26" s="14"/>
      <c r="D26" s="1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ht="15.75" customHeight="1">
      <c r="A27" s="14"/>
      <c r="B27" s="14"/>
      <c r="C27" s="14"/>
      <c r="D27" s="15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ht="15.75" customHeight="1">
      <c r="A28" s="14"/>
      <c r="B28" s="14"/>
      <c r="C28" s="14"/>
      <c r="D28" s="15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ht="15.75" customHeight="1">
      <c r="A29" s="14"/>
      <c r="B29" s="14"/>
      <c r="C29" s="14"/>
      <c r="D29" s="1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ht="15.75" customHeight="1">
      <c r="A30" s="14"/>
      <c r="B30" s="14"/>
      <c r="C30" s="14"/>
      <c r="D30" s="1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ht="15.75" customHeight="1">
      <c r="A31" s="14"/>
      <c r="B31" s="14"/>
      <c r="C31" s="14"/>
      <c r="D31" s="1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ht="15.75" customHeight="1">
      <c r="A32" s="14"/>
      <c r="B32" s="14"/>
      <c r="C32" s="14"/>
      <c r="D32" s="15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15.75" customHeight="1">
      <c r="A33" s="14"/>
      <c r="B33" s="14"/>
      <c r="C33" s="14"/>
      <c r="D33" s="15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ht="15.75" customHeight="1">
      <c r="A34" s="14"/>
      <c r="B34" s="14"/>
      <c r="C34" s="14"/>
      <c r="D34" s="15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ht="15.75" customHeight="1">
      <c r="A35" s="14"/>
      <c r="B35" s="14"/>
      <c r="C35" s="14"/>
      <c r="D35" s="1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ht="15.75" customHeight="1">
      <c r="A36" s="14"/>
      <c r="B36" s="14"/>
      <c r="C36" s="14"/>
      <c r="D36" s="15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ht="15.75" customHeight="1">
      <c r="A37" s="14"/>
      <c r="B37" s="14"/>
      <c r="C37" s="14"/>
      <c r="D37" s="15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15.75" customHeight="1">
      <c r="A38" s="14"/>
      <c r="B38" s="14"/>
      <c r="C38" s="14"/>
      <c r="D38" s="1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15.75" customHeight="1">
      <c r="A39" s="14"/>
      <c r="B39" s="14"/>
      <c r="C39" s="14"/>
      <c r="D39" s="15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ht="15.75" customHeight="1">
      <c r="A40" s="14"/>
      <c r="B40" s="14"/>
      <c r="C40" s="14"/>
      <c r="D40" s="15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15.75" customHeight="1">
      <c r="A41" s="14"/>
      <c r="B41" s="14"/>
      <c r="C41" s="14"/>
      <c r="D41" s="15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ht="15.75" customHeight="1">
      <c r="A42" s="14"/>
      <c r="B42" s="14"/>
      <c r="C42" s="14"/>
      <c r="D42" s="15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ht="15.75" customHeight="1">
      <c r="A43" s="14"/>
      <c r="B43" s="14"/>
      <c r="C43" s="14"/>
      <c r="D43" s="15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ht="15.75" customHeight="1">
      <c r="A44" s="14"/>
      <c r="B44" s="14"/>
      <c r="C44" s="14"/>
      <c r="D44" s="15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ht="15.75" customHeight="1">
      <c r="A45" s="14"/>
      <c r="B45" s="14"/>
      <c r="C45" s="14"/>
      <c r="D45" s="1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ht="15.75" customHeight="1">
      <c r="A46" s="14"/>
      <c r="B46" s="14"/>
      <c r="C46" s="14"/>
      <c r="D46" s="15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ht="15.75" customHeight="1">
      <c r="A47" s="14"/>
      <c r="B47" s="14"/>
      <c r="C47" s="14"/>
      <c r="D47" s="15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ht="15.75" customHeight="1">
      <c r="A48" s="14"/>
      <c r="B48" s="14"/>
      <c r="C48" s="14"/>
      <c r="D48" s="15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ht="15.75" customHeight="1">
      <c r="A49" s="14"/>
      <c r="B49" s="14"/>
      <c r="C49" s="14"/>
      <c r="D49" s="15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ht="15.75" customHeight="1">
      <c r="A50" s="14"/>
      <c r="B50" s="14"/>
      <c r="C50" s="14"/>
      <c r="D50" s="15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ht="15.75" customHeight="1">
      <c r="A51" s="14"/>
      <c r="B51" s="14"/>
      <c r="C51" s="14"/>
      <c r="D51" s="15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ht="15.75" customHeight="1">
      <c r="A52" s="14"/>
      <c r="B52" s="14"/>
      <c r="C52" s="14"/>
      <c r="D52" s="1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ht="15.75" customHeight="1">
      <c r="A53" s="14"/>
      <c r="B53" s="14"/>
      <c r="C53" s="14"/>
      <c r="D53" s="15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ht="15.75" customHeight="1">
      <c r="A54" s="14"/>
      <c r="B54" s="14"/>
      <c r="C54" s="14"/>
      <c r="D54" s="15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ht="15.75" customHeight="1">
      <c r="A55" s="14"/>
      <c r="B55" s="14"/>
      <c r="C55" s="14"/>
      <c r="D55" s="1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ht="15.75" customHeight="1">
      <c r="A56" s="14"/>
      <c r="B56" s="14"/>
      <c r="C56" s="14"/>
      <c r="D56" s="15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ht="15.75" customHeight="1">
      <c r="A57" s="14"/>
      <c r="B57" s="14"/>
      <c r="C57" s="14"/>
      <c r="D57" s="15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ht="15.75" customHeight="1">
      <c r="A58" s="14"/>
      <c r="B58" s="14"/>
      <c r="C58" s="14"/>
      <c r="D58" s="1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ht="15.75" customHeight="1">
      <c r="A59" s="14"/>
      <c r="B59" s="14"/>
      <c r="C59" s="14"/>
      <c r="D59" s="15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ht="15.75" customHeight="1">
      <c r="A60" s="14"/>
      <c r="B60" s="14"/>
      <c r="C60" s="14"/>
      <c r="D60" s="15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ht="15.75" customHeight="1">
      <c r="A61" s="14"/>
      <c r="B61" s="14"/>
      <c r="C61" s="14"/>
      <c r="D61" s="15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ht="15.75" customHeight="1">
      <c r="A62" s="14"/>
      <c r="B62" s="14"/>
      <c r="C62" s="14"/>
      <c r="D62" s="15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ht="15.75" customHeight="1">
      <c r="A63" s="14"/>
      <c r="B63" s="14"/>
      <c r="C63" s="14"/>
      <c r="D63" s="15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ht="15.75" customHeight="1">
      <c r="A64" s="14"/>
      <c r="B64" s="14"/>
      <c r="C64" s="14"/>
      <c r="D64" s="15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ht="15.75" customHeight="1">
      <c r="A65" s="14"/>
      <c r="B65" s="14"/>
      <c r="C65" s="14"/>
      <c r="D65" s="1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ht="15.75" customHeight="1">
      <c r="A66" s="14"/>
      <c r="B66" s="14"/>
      <c r="C66" s="14"/>
      <c r="D66" s="15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ht="15.75" customHeight="1">
      <c r="A67" s="14"/>
      <c r="B67" s="14"/>
      <c r="C67" s="14"/>
      <c r="D67" s="15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ht="15.75" customHeight="1">
      <c r="A68" s="14"/>
      <c r="B68" s="14"/>
      <c r="C68" s="14"/>
      <c r="D68" s="1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ht="15.75" customHeight="1">
      <c r="A69" s="14"/>
      <c r="B69" s="14"/>
      <c r="C69" s="14"/>
      <c r="D69" s="15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ht="15.75" customHeight="1">
      <c r="A70" s="14"/>
      <c r="B70" s="14"/>
      <c r="C70" s="14"/>
      <c r="D70" s="15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ht="15.75" customHeight="1">
      <c r="A71" s="14"/>
      <c r="B71" s="14"/>
      <c r="C71" s="14"/>
      <c r="D71" s="15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ht="15.75" customHeight="1">
      <c r="A72" s="14"/>
      <c r="B72" s="14"/>
      <c r="C72" s="14"/>
      <c r="D72" s="1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ht="15.75" customHeight="1">
      <c r="A73" s="14"/>
      <c r="B73" s="14"/>
      <c r="C73" s="14"/>
      <c r="D73" s="15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ht="15.75" customHeight="1">
      <c r="A74" s="14"/>
      <c r="B74" s="14"/>
      <c r="C74" s="14"/>
      <c r="D74" s="1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ht="15.75" customHeight="1">
      <c r="A75" s="14"/>
      <c r="B75" s="14"/>
      <c r="C75" s="14"/>
      <c r="D75" s="15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ht="15.75" customHeight="1">
      <c r="A76" s="14"/>
      <c r="B76" s="14"/>
      <c r="C76" s="14"/>
      <c r="D76" s="1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ht="15.75" customHeight="1">
      <c r="A77" s="14"/>
      <c r="B77" s="14"/>
      <c r="C77" s="14"/>
      <c r="D77" s="15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ht="15.75" customHeight="1">
      <c r="A78" s="14"/>
      <c r="B78" s="14"/>
      <c r="C78" s="14"/>
      <c r="D78" s="15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ht="15.75" customHeight="1">
      <c r="A79" s="14"/>
      <c r="B79" s="14"/>
      <c r="C79" s="14"/>
      <c r="D79" s="15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ht="15.75" customHeight="1">
      <c r="A80" s="14"/>
      <c r="B80" s="14"/>
      <c r="C80" s="14"/>
      <c r="D80" s="15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ht="15.75" customHeight="1">
      <c r="A81" s="14"/>
      <c r="B81" s="14"/>
      <c r="C81" s="14"/>
      <c r="D81" s="15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ht="15.75" customHeight="1">
      <c r="A82" s="14"/>
      <c r="B82" s="14"/>
      <c r="C82" s="14"/>
      <c r="D82" s="15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ht="15.75" customHeight="1">
      <c r="A83" s="14"/>
      <c r="B83" s="14"/>
      <c r="C83" s="14"/>
      <c r="D83" s="15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ht="15.75" customHeight="1">
      <c r="A84" s="14"/>
      <c r="B84" s="14"/>
      <c r="C84" s="14"/>
      <c r="D84" s="15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ht="15.75" customHeight="1">
      <c r="A85" s="14"/>
      <c r="B85" s="14"/>
      <c r="C85" s="14"/>
      <c r="D85" s="15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ht="15.75" customHeight="1">
      <c r="A86" s="14"/>
      <c r="B86" s="14"/>
      <c r="C86" s="14"/>
      <c r="D86" s="15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ht="15.75" customHeight="1">
      <c r="A87" s="14"/>
      <c r="B87" s="14"/>
      <c r="C87" s="14"/>
      <c r="D87" s="15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ht="15.75" customHeight="1">
      <c r="A88" s="14"/>
      <c r="B88" s="14"/>
      <c r="C88" s="14"/>
      <c r="D88" s="15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ht="15.75" customHeight="1">
      <c r="A89" s="14"/>
      <c r="B89" s="14"/>
      <c r="C89" s="14"/>
      <c r="D89" s="15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ht="15.75" customHeight="1">
      <c r="A90" s="14"/>
      <c r="B90" s="14"/>
      <c r="C90" s="14"/>
      <c r="D90" s="15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ht="15.75" customHeight="1">
      <c r="A91" s="14"/>
      <c r="B91" s="14"/>
      <c r="C91" s="14"/>
      <c r="D91" s="15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ht="15.75" customHeight="1">
      <c r="A92" s="14"/>
      <c r="B92" s="14"/>
      <c r="C92" s="14"/>
      <c r="D92" s="15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ht="15.75" customHeight="1">
      <c r="A93" s="14"/>
      <c r="B93" s="14"/>
      <c r="C93" s="14"/>
      <c r="D93" s="15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ht="15.75" customHeight="1">
      <c r="A94" s="14"/>
      <c r="B94" s="14"/>
      <c r="C94" s="14"/>
      <c r="D94" s="15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ht="15.75" customHeight="1">
      <c r="A95" s="14"/>
      <c r="B95" s="14"/>
      <c r="C95" s="14"/>
      <c r="D95" s="15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ht="15.75" customHeight="1">
      <c r="A96" s="14"/>
      <c r="B96" s="14"/>
      <c r="C96" s="14"/>
      <c r="D96" s="15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ht="15.75" customHeight="1">
      <c r="A97" s="14"/>
      <c r="B97" s="14"/>
      <c r="C97" s="14"/>
      <c r="D97" s="15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ht="15.75" customHeight="1">
      <c r="A98" s="14"/>
      <c r="B98" s="14"/>
      <c r="C98" s="14"/>
      <c r="D98" s="15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ht="15.75" customHeight="1">
      <c r="A99" s="14"/>
      <c r="B99" s="14"/>
      <c r="C99" s="14"/>
      <c r="D99" s="15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ht="15.75" customHeight="1">
      <c r="A100" s="14"/>
      <c r="B100" s="14"/>
      <c r="C100" s="14"/>
      <c r="D100" s="15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ht="15.75" customHeight="1">
      <c r="A101" s="14"/>
      <c r="B101" s="14"/>
      <c r="C101" s="14"/>
      <c r="D101" s="15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ht="15.75" customHeight="1">
      <c r="A102" s="14"/>
      <c r="B102" s="14"/>
      <c r="C102" s="14"/>
      <c r="D102" s="15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ht="15.75" customHeight="1">
      <c r="A103" s="14"/>
      <c r="B103" s="14"/>
      <c r="C103" s="14"/>
      <c r="D103" s="15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ht="15.75" customHeight="1">
      <c r="A104" s="14"/>
      <c r="B104" s="14"/>
      <c r="C104" s="14"/>
      <c r="D104" s="15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ht="15.75" customHeight="1">
      <c r="A105" s="14"/>
      <c r="B105" s="14"/>
      <c r="C105" s="14"/>
      <c r="D105" s="15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ht="15.75" customHeight="1">
      <c r="A106" s="14"/>
      <c r="B106" s="14"/>
      <c r="C106" s="14"/>
      <c r="D106" s="15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ht="15.75" customHeight="1">
      <c r="A107" s="14"/>
      <c r="B107" s="14"/>
      <c r="C107" s="14"/>
      <c r="D107" s="15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ht="15.75" customHeight="1">
      <c r="A108" s="14"/>
      <c r="B108" s="14"/>
      <c r="C108" s="14"/>
      <c r="D108" s="15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ht="15.75" customHeight="1">
      <c r="A109" s="14"/>
      <c r="B109" s="14"/>
      <c r="C109" s="14"/>
      <c r="D109" s="15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ht="15.75" customHeight="1">
      <c r="A110" s="14"/>
      <c r="B110" s="14"/>
      <c r="C110" s="14"/>
      <c r="D110" s="15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ht="15.75" customHeight="1">
      <c r="A111" s="14"/>
      <c r="B111" s="14"/>
      <c r="C111" s="14"/>
      <c r="D111" s="15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ht="15.75" customHeight="1">
      <c r="A112" s="14"/>
      <c r="B112" s="14"/>
      <c r="C112" s="14"/>
      <c r="D112" s="15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ht="15.75" customHeight="1">
      <c r="A113" s="14"/>
      <c r="B113" s="14"/>
      <c r="C113" s="14"/>
      <c r="D113" s="15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ht="15.75" customHeight="1">
      <c r="A114" s="14"/>
      <c r="B114" s="14"/>
      <c r="C114" s="14"/>
      <c r="D114" s="15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ht="15.75" customHeight="1">
      <c r="A115" s="14"/>
      <c r="B115" s="14"/>
      <c r="C115" s="14"/>
      <c r="D115" s="15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ht="15.75" customHeight="1">
      <c r="A116" s="14"/>
      <c r="B116" s="14"/>
      <c r="C116" s="14"/>
      <c r="D116" s="15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ht="15.75" customHeight="1">
      <c r="A117" s="14"/>
      <c r="B117" s="14"/>
      <c r="C117" s="14"/>
      <c r="D117" s="15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ht="15.75" customHeight="1">
      <c r="A118" s="14"/>
      <c r="B118" s="14"/>
      <c r="C118" s="14"/>
      <c r="D118" s="15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ht="15.75" customHeight="1">
      <c r="A119" s="14"/>
      <c r="B119" s="14"/>
      <c r="C119" s="14"/>
      <c r="D119" s="15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ht="15.75" customHeight="1">
      <c r="A120" s="14"/>
      <c r="B120" s="14"/>
      <c r="C120" s="14"/>
      <c r="D120" s="15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ht="15.75" customHeight="1">
      <c r="A121" s="14"/>
      <c r="B121" s="14"/>
      <c r="C121" s="14"/>
      <c r="D121" s="15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ht="15.75" customHeight="1">
      <c r="A122" s="14"/>
      <c r="B122" s="14"/>
      <c r="C122" s="14"/>
      <c r="D122" s="15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ht="15.75" customHeight="1">
      <c r="A123" s="14"/>
      <c r="B123" s="14"/>
      <c r="C123" s="14"/>
      <c r="D123" s="15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ht="15.75" customHeight="1">
      <c r="A124" s="14"/>
      <c r="B124" s="14"/>
      <c r="C124" s="14"/>
      <c r="D124" s="15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ht="15.75" customHeight="1">
      <c r="A125" s="14"/>
      <c r="B125" s="14"/>
      <c r="C125" s="14"/>
      <c r="D125" s="15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ht="15.75" customHeight="1">
      <c r="A126" s="14"/>
      <c r="B126" s="14"/>
      <c r="C126" s="14"/>
      <c r="D126" s="15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ht="15.75" customHeight="1">
      <c r="A127" s="14"/>
      <c r="B127" s="14"/>
      <c r="C127" s="14"/>
      <c r="D127" s="15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ht="15.75" customHeight="1">
      <c r="A128" s="14"/>
      <c r="B128" s="14"/>
      <c r="C128" s="14"/>
      <c r="D128" s="15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ht="15.75" customHeight="1">
      <c r="A129" s="14"/>
      <c r="B129" s="14"/>
      <c r="C129" s="14"/>
      <c r="D129" s="15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ht="15.75" customHeight="1">
      <c r="A130" s="14"/>
      <c r="B130" s="14"/>
      <c r="C130" s="14"/>
      <c r="D130" s="15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ht="15.75" customHeight="1">
      <c r="A131" s="14"/>
      <c r="B131" s="14"/>
      <c r="C131" s="14"/>
      <c r="D131" s="15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ht="15.75" customHeight="1">
      <c r="A132" s="14"/>
      <c r="B132" s="14"/>
      <c r="C132" s="14"/>
      <c r="D132" s="15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ht="15.75" customHeight="1">
      <c r="A133" s="14"/>
      <c r="B133" s="14"/>
      <c r="C133" s="14"/>
      <c r="D133" s="15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ht="15.75" customHeight="1">
      <c r="A134" s="14"/>
      <c r="B134" s="14"/>
      <c r="C134" s="14"/>
      <c r="D134" s="15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ht="15.75" customHeight="1">
      <c r="A135" s="14"/>
      <c r="B135" s="14"/>
      <c r="C135" s="14"/>
      <c r="D135" s="15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ht="15.75" customHeight="1">
      <c r="A136" s="14"/>
      <c r="B136" s="14"/>
      <c r="C136" s="14"/>
      <c r="D136" s="15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ht="15.75" customHeight="1">
      <c r="A137" s="14"/>
      <c r="B137" s="14"/>
      <c r="C137" s="14"/>
      <c r="D137" s="15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ht="15.75" customHeight="1">
      <c r="A138" s="14"/>
      <c r="B138" s="14"/>
      <c r="C138" s="14"/>
      <c r="D138" s="15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ht="15.75" customHeight="1">
      <c r="A139" s="14"/>
      <c r="B139" s="14"/>
      <c r="C139" s="14"/>
      <c r="D139" s="15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ht="15.75" customHeight="1">
      <c r="A140" s="14"/>
      <c r="B140" s="14"/>
      <c r="C140" s="14"/>
      <c r="D140" s="15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ht="15.75" customHeight="1">
      <c r="A141" s="14"/>
      <c r="B141" s="14"/>
      <c r="C141" s="14"/>
      <c r="D141" s="15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ht="15.75" customHeight="1">
      <c r="A142" s="14"/>
      <c r="B142" s="14"/>
      <c r="C142" s="14"/>
      <c r="D142" s="15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ht="15.75" customHeight="1">
      <c r="A143" s="14"/>
      <c r="B143" s="14"/>
      <c r="C143" s="14"/>
      <c r="D143" s="15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ht="15.75" customHeight="1">
      <c r="A144" s="14"/>
      <c r="B144" s="14"/>
      <c r="C144" s="14"/>
      <c r="D144" s="15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ht="15.75" customHeight="1">
      <c r="A145" s="14"/>
      <c r="B145" s="14"/>
      <c r="C145" s="14"/>
      <c r="D145" s="15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ht="15.75" customHeight="1">
      <c r="A146" s="14"/>
      <c r="B146" s="14"/>
      <c r="C146" s="14"/>
      <c r="D146" s="15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ht="15.75" customHeight="1">
      <c r="A147" s="14"/>
      <c r="B147" s="14"/>
      <c r="C147" s="14"/>
      <c r="D147" s="15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ht="15.75" customHeight="1">
      <c r="A148" s="14"/>
      <c r="B148" s="14"/>
      <c r="C148" s="14"/>
      <c r="D148" s="15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ht="15.75" customHeight="1">
      <c r="A149" s="14"/>
      <c r="B149" s="14"/>
      <c r="C149" s="14"/>
      <c r="D149" s="15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ht="15.75" customHeight="1">
      <c r="A150" s="14"/>
      <c r="B150" s="14"/>
      <c r="C150" s="14"/>
      <c r="D150" s="15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ht="15.75" customHeight="1">
      <c r="A151" s="14"/>
      <c r="B151" s="14"/>
      <c r="C151" s="14"/>
      <c r="D151" s="15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ht="15.75" customHeight="1">
      <c r="A152" s="14"/>
      <c r="B152" s="14"/>
      <c r="C152" s="14"/>
      <c r="D152" s="15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ht="15.75" customHeight="1">
      <c r="A153" s="14"/>
      <c r="B153" s="14"/>
      <c r="C153" s="14"/>
      <c r="D153" s="15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ht="15.75" customHeight="1">
      <c r="A154" s="14"/>
      <c r="B154" s="14"/>
      <c r="C154" s="14"/>
      <c r="D154" s="15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ht="15.75" customHeight="1">
      <c r="A155" s="14"/>
      <c r="B155" s="14"/>
      <c r="C155" s="14"/>
      <c r="D155" s="15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ht="15.75" customHeight="1">
      <c r="A156" s="14"/>
      <c r="B156" s="14"/>
      <c r="C156" s="14"/>
      <c r="D156" s="15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ht="15.75" customHeight="1">
      <c r="A157" s="14"/>
      <c r="B157" s="14"/>
      <c r="C157" s="14"/>
      <c r="D157" s="15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ht="15.75" customHeight="1">
      <c r="A158" s="14"/>
      <c r="B158" s="14"/>
      <c r="C158" s="14"/>
      <c r="D158" s="15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ht="15.75" customHeight="1">
      <c r="A159" s="14"/>
      <c r="B159" s="14"/>
      <c r="C159" s="14"/>
      <c r="D159" s="15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ht="15.75" customHeight="1">
      <c r="A160" s="14"/>
      <c r="B160" s="14"/>
      <c r="C160" s="14"/>
      <c r="D160" s="15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ht="15.75" customHeight="1">
      <c r="A161" s="14"/>
      <c r="B161" s="14"/>
      <c r="C161" s="14"/>
      <c r="D161" s="15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ht="15.75" customHeight="1">
      <c r="A162" s="14"/>
      <c r="B162" s="14"/>
      <c r="C162" s="14"/>
      <c r="D162" s="15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ht="15.75" customHeight="1">
      <c r="A163" s="14"/>
      <c r="B163" s="14"/>
      <c r="C163" s="14"/>
      <c r="D163" s="15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ht="15.75" customHeight="1">
      <c r="A164" s="14"/>
      <c r="B164" s="14"/>
      <c r="C164" s="14"/>
      <c r="D164" s="15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ht="15.75" customHeight="1">
      <c r="A165" s="14"/>
      <c r="B165" s="14"/>
      <c r="C165" s="14"/>
      <c r="D165" s="15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ht="15.75" customHeight="1">
      <c r="A166" s="14"/>
      <c r="B166" s="14"/>
      <c r="C166" s="14"/>
      <c r="D166" s="15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ht="15.75" customHeight="1">
      <c r="A167" s="14"/>
      <c r="B167" s="14"/>
      <c r="C167" s="14"/>
      <c r="D167" s="15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ht="15.75" customHeight="1">
      <c r="A168" s="14"/>
      <c r="B168" s="14"/>
      <c r="C168" s="14"/>
      <c r="D168" s="15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ht="15.75" customHeight="1">
      <c r="A169" s="14"/>
      <c r="B169" s="14"/>
      <c r="C169" s="14"/>
      <c r="D169" s="15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ht="15.75" customHeight="1">
      <c r="A170" s="14"/>
      <c r="B170" s="14"/>
      <c r="C170" s="14"/>
      <c r="D170" s="15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ht="15.75" customHeight="1">
      <c r="A171" s="14"/>
      <c r="B171" s="14"/>
      <c r="C171" s="14"/>
      <c r="D171" s="15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ht="15.75" customHeight="1">
      <c r="A172" s="14"/>
      <c r="B172" s="14"/>
      <c r="C172" s="14"/>
      <c r="D172" s="15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ht="15.75" customHeight="1">
      <c r="A173" s="14"/>
      <c r="B173" s="14"/>
      <c r="C173" s="14"/>
      <c r="D173" s="15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ht="15.75" customHeight="1">
      <c r="A174" s="14"/>
      <c r="B174" s="14"/>
      <c r="C174" s="14"/>
      <c r="D174" s="15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ht="15.75" customHeight="1">
      <c r="A175" s="14"/>
      <c r="B175" s="14"/>
      <c r="C175" s="14"/>
      <c r="D175" s="15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ht="15.75" customHeight="1">
      <c r="A176" s="14"/>
      <c r="B176" s="14"/>
      <c r="C176" s="14"/>
      <c r="D176" s="15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ht="15.75" customHeight="1">
      <c r="A177" s="14"/>
      <c r="B177" s="14"/>
      <c r="C177" s="14"/>
      <c r="D177" s="15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ht="15.75" customHeight="1">
      <c r="A178" s="14"/>
      <c r="B178" s="14"/>
      <c r="C178" s="14"/>
      <c r="D178" s="15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ht="15.75" customHeight="1">
      <c r="A179" s="14"/>
      <c r="B179" s="14"/>
      <c r="C179" s="14"/>
      <c r="D179" s="15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ht="15.75" customHeight="1">
      <c r="A180" s="14"/>
      <c r="B180" s="14"/>
      <c r="C180" s="14"/>
      <c r="D180" s="15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ht="15.75" customHeight="1">
      <c r="A181" s="14"/>
      <c r="B181" s="14"/>
      <c r="C181" s="14"/>
      <c r="D181" s="15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ht="15.75" customHeight="1">
      <c r="A182" s="14"/>
      <c r="B182" s="14"/>
      <c r="C182" s="14"/>
      <c r="D182" s="15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ht="15.75" customHeight="1">
      <c r="A183" s="14"/>
      <c r="B183" s="14"/>
      <c r="C183" s="14"/>
      <c r="D183" s="15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ht="15.75" customHeight="1">
      <c r="A184" s="14"/>
      <c r="B184" s="14"/>
      <c r="C184" s="14"/>
      <c r="D184" s="15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ht="15.75" customHeight="1">
      <c r="A185" s="14"/>
      <c r="B185" s="14"/>
      <c r="C185" s="14"/>
      <c r="D185" s="15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ht="15.75" customHeight="1">
      <c r="A186" s="14"/>
      <c r="B186" s="14"/>
      <c r="C186" s="14"/>
      <c r="D186" s="15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ht="15.75" customHeight="1">
      <c r="A187" s="14"/>
      <c r="B187" s="14"/>
      <c r="C187" s="14"/>
      <c r="D187" s="15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ht="15.75" customHeight="1">
      <c r="A188" s="14"/>
      <c r="B188" s="14"/>
      <c r="C188" s="14"/>
      <c r="D188" s="15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ht="15.75" customHeight="1">
      <c r="A189" s="14"/>
      <c r="B189" s="14"/>
      <c r="C189" s="14"/>
      <c r="D189" s="15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ht="15.75" customHeight="1">
      <c r="A190" s="14"/>
      <c r="B190" s="14"/>
      <c r="C190" s="14"/>
      <c r="D190" s="15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ht="15.75" customHeight="1">
      <c r="A191" s="14"/>
      <c r="B191" s="14"/>
      <c r="C191" s="14"/>
      <c r="D191" s="15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ht="15.75" customHeight="1">
      <c r="A192" s="14"/>
      <c r="B192" s="14"/>
      <c r="C192" s="14"/>
      <c r="D192" s="15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ht="15.75" customHeight="1">
      <c r="A193" s="14"/>
      <c r="B193" s="14"/>
      <c r="C193" s="14"/>
      <c r="D193" s="15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ht="15.75" customHeight="1">
      <c r="A194" s="14"/>
      <c r="B194" s="14"/>
      <c r="C194" s="14"/>
      <c r="D194" s="15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ht="15.75" customHeight="1">
      <c r="A195" s="14"/>
      <c r="B195" s="14"/>
      <c r="C195" s="14"/>
      <c r="D195" s="15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ht="15.75" customHeight="1">
      <c r="A196" s="14"/>
      <c r="B196" s="14"/>
      <c r="C196" s="14"/>
      <c r="D196" s="15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ht="15.75" customHeight="1">
      <c r="A197" s="14"/>
      <c r="B197" s="14"/>
      <c r="C197" s="14"/>
      <c r="D197" s="15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ht="15.75" customHeight="1">
      <c r="A198" s="14"/>
      <c r="B198" s="14"/>
      <c r="C198" s="14"/>
      <c r="D198" s="15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ht="15.75" customHeight="1">
      <c r="A199" s="14"/>
      <c r="B199" s="14"/>
      <c r="C199" s="14"/>
      <c r="D199" s="15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ht="15.75" customHeight="1">
      <c r="A200" s="14"/>
      <c r="B200" s="14"/>
      <c r="C200" s="14"/>
      <c r="D200" s="15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ht="15.75" customHeight="1">
      <c r="A201" s="14"/>
      <c r="B201" s="14"/>
      <c r="C201" s="14"/>
      <c r="D201" s="15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ht="15.75" customHeight="1">
      <c r="A202" s="14"/>
      <c r="B202" s="14"/>
      <c r="C202" s="14"/>
      <c r="D202" s="15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ht="15.75" customHeight="1">
      <c r="A203" s="14"/>
      <c r="B203" s="14"/>
      <c r="C203" s="14"/>
      <c r="D203" s="15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ht="15.75" customHeight="1">
      <c r="A204" s="14"/>
      <c r="B204" s="14"/>
      <c r="C204" s="14"/>
      <c r="D204" s="15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ht="15.75" customHeight="1">
      <c r="A205" s="14"/>
      <c r="B205" s="14"/>
      <c r="C205" s="14"/>
      <c r="D205" s="15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ht="15.75" customHeight="1">
      <c r="A206" s="14"/>
      <c r="B206" s="14"/>
      <c r="C206" s="14"/>
      <c r="D206" s="15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ht="15.75" customHeight="1">
      <c r="A207" s="14"/>
      <c r="B207" s="14"/>
      <c r="C207" s="14"/>
      <c r="D207" s="15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ht="15.75" customHeight="1">
      <c r="A208" s="14"/>
      <c r="B208" s="14"/>
      <c r="C208" s="14"/>
      <c r="D208" s="15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ht="15.75" customHeight="1">
      <c r="A209" s="14"/>
      <c r="B209" s="14"/>
      <c r="C209" s="14"/>
      <c r="D209" s="15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ht="15.75" customHeight="1">
      <c r="A210" s="14"/>
      <c r="B210" s="14"/>
      <c r="C210" s="14"/>
      <c r="D210" s="15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ht="15.75" customHeight="1">
      <c r="A211" s="14"/>
      <c r="B211" s="14"/>
      <c r="C211" s="14"/>
      <c r="D211" s="15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ht="15.75" customHeight="1">
      <c r="A212" s="14"/>
      <c r="B212" s="14"/>
      <c r="C212" s="14"/>
      <c r="D212" s="15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ht="15.75" customHeight="1">
      <c r="A213" s="14"/>
      <c r="B213" s="14"/>
      <c r="C213" s="14"/>
      <c r="D213" s="15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ht="15.75" customHeight="1">
      <c r="A214" s="14"/>
      <c r="B214" s="14"/>
      <c r="C214" s="14"/>
      <c r="D214" s="15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ht="15.75" customHeight="1">
      <c r="A215" s="14"/>
      <c r="B215" s="14"/>
      <c r="C215" s="14"/>
      <c r="D215" s="15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ht="15.75" customHeight="1">
      <c r="A216" s="14"/>
      <c r="B216" s="14"/>
      <c r="C216" s="14"/>
      <c r="D216" s="15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ht="15.75" customHeight="1">
      <c r="A217" s="14"/>
      <c r="B217" s="14"/>
      <c r="C217" s="14"/>
      <c r="D217" s="15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ht="15.75" customHeight="1">
      <c r="A218" s="14"/>
      <c r="B218" s="14"/>
      <c r="C218" s="14"/>
      <c r="D218" s="15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ht="15.75" customHeight="1">
      <c r="A219" s="14"/>
      <c r="B219" s="14"/>
      <c r="C219" s="14"/>
      <c r="D219" s="15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ht="15.75" customHeight="1">
      <c r="A220" s="14"/>
      <c r="B220" s="14"/>
      <c r="C220" s="14"/>
      <c r="D220" s="15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ht="15.75" customHeight="1">
      <c r="Q221" s="60"/>
      <c r="R221" s="60"/>
    </row>
    <row r="222" ht="15.75" customHeight="1">
      <c r="Q222" s="60"/>
      <c r="R222" s="60"/>
    </row>
    <row r="223" ht="15.75" customHeight="1">
      <c r="Q223" s="60"/>
      <c r="R223" s="60"/>
    </row>
    <row r="224" ht="15.75" customHeight="1">
      <c r="Q224" s="60"/>
      <c r="R224" s="60"/>
    </row>
    <row r="225" ht="15.75" customHeight="1">
      <c r="Q225" s="60"/>
      <c r="R225" s="60"/>
    </row>
    <row r="226" ht="15.75" customHeight="1">
      <c r="Q226" s="60"/>
      <c r="R226" s="60"/>
    </row>
    <row r="227" ht="15.75" customHeight="1">
      <c r="Q227" s="60"/>
      <c r="R227" s="60"/>
    </row>
    <row r="228" ht="15.75" customHeight="1">
      <c r="Q228" s="60"/>
      <c r="R228" s="60"/>
    </row>
    <row r="229" ht="15.75" customHeight="1">
      <c r="Q229" s="60"/>
      <c r="R229" s="60"/>
    </row>
    <row r="230" ht="15.75" customHeight="1">
      <c r="Q230" s="60"/>
      <c r="R230" s="60"/>
    </row>
    <row r="231" ht="15.75" customHeight="1">
      <c r="Q231" s="60"/>
      <c r="R231" s="60"/>
    </row>
    <row r="232" ht="15.75" customHeight="1">
      <c r="Q232" s="60"/>
      <c r="R232" s="60"/>
    </row>
    <row r="233" ht="15.75" customHeight="1">
      <c r="Q233" s="60"/>
      <c r="R233" s="60"/>
    </row>
    <row r="234" ht="15.75" customHeight="1">
      <c r="Q234" s="60"/>
      <c r="R234" s="60"/>
    </row>
    <row r="235" ht="15.75" customHeight="1">
      <c r="Q235" s="60"/>
      <c r="R235" s="60"/>
    </row>
    <row r="236" ht="15.75" customHeight="1">
      <c r="Q236" s="60"/>
      <c r="R236" s="60"/>
    </row>
    <row r="237" ht="15.75" customHeight="1">
      <c r="Q237" s="60"/>
      <c r="R237" s="60"/>
    </row>
    <row r="238" ht="15.75" customHeight="1">
      <c r="Q238" s="60"/>
      <c r="R238" s="60"/>
    </row>
    <row r="239" ht="15.75" customHeight="1">
      <c r="Q239" s="60"/>
      <c r="R239" s="60"/>
    </row>
    <row r="240" ht="15.75" customHeight="1">
      <c r="Q240" s="60"/>
      <c r="R240" s="60"/>
    </row>
    <row r="241" ht="15.75" customHeight="1">
      <c r="Q241" s="60"/>
      <c r="R241" s="60"/>
    </row>
    <row r="242" ht="15.75" customHeight="1">
      <c r="Q242" s="60"/>
      <c r="R242" s="60"/>
    </row>
    <row r="243" ht="15.75" customHeight="1">
      <c r="Q243" s="60"/>
      <c r="R243" s="60"/>
    </row>
    <row r="244" ht="15.75" customHeight="1">
      <c r="Q244" s="60"/>
      <c r="R244" s="60"/>
    </row>
    <row r="245" ht="15.75" customHeight="1">
      <c r="Q245" s="60"/>
      <c r="R245" s="60"/>
    </row>
    <row r="246" ht="15.75" customHeight="1">
      <c r="Q246" s="60"/>
      <c r="R246" s="60"/>
    </row>
    <row r="247" ht="15.75" customHeight="1">
      <c r="Q247" s="60"/>
      <c r="R247" s="60"/>
    </row>
    <row r="248" ht="15.75" customHeight="1">
      <c r="Q248" s="60"/>
      <c r="R248" s="60"/>
    </row>
    <row r="249" ht="15.75" customHeight="1">
      <c r="Q249" s="60"/>
      <c r="R249" s="60"/>
    </row>
    <row r="250" ht="15.75" customHeight="1">
      <c r="Q250" s="60"/>
      <c r="R250" s="60"/>
    </row>
    <row r="251" ht="15.75" customHeight="1">
      <c r="Q251" s="60"/>
      <c r="R251" s="60"/>
    </row>
    <row r="252" ht="15.75" customHeight="1">
      <c r="Q252" s="60"/>
      <c r="R252" s="60"/>
    </row>
    <row r="253" ht="15.75" customHeight="1">
      <c r="Q253" s="60"/>
      <c r="R253" s="60"/>
    </row>
    <row r="254" ht="15.75" customHeight="1">
      <c r="Q254" s="60"/>
      <c r="R254" s="60"/>
    </row>
    <row r="255" ht="15.75" customHeight="1">
      <c r="Q255" s="60"/>
      <c r="R255" s="60"/>
    </row>
    <row r="256" ht="15.75" customHeight="1">
      <c r="Q256" s="60"/>
      <c r="R256" s="60"/>
    </row>
    <row r="257" ht="15.75" customHeight="1">
      <c r="Q257" s="60"/>
      <c r="R257" s="60"/>
    </row>
    <row r="258" ht="15.75" customHeight="1">
      <c r="Q258" s="60"/>
      <c r="R258" s="60"/>
    </row>
    <row r="259" ht="15.75" customHeight="1">
      <c r="Q259" s="60"/>
      <c r="R259" s="60"/>
    </row>
    <row r="260" ht="15.75" customHeight="1">
      <c r="Q260" s="60"/>
      <c r="R260" s="60"/>
    </row>
    <row r="261" ht="15.75" customHeight="1">
      <c r="Q261" s="60"/>
      <c r="R261" s="60"/>
    </row>
    <row r="262" ht="15.75" customHeight="1">
      <c r="Q262" s="60"/>
      <c r="R262" s="60"/>
    </row>
    <row r="263" ht="15.75" customHeight="1">
      <c r="Q263" s="60"/>
      <c r="R263" s="60"/>
    </row>
    <row r="264" ht="15.75" customHeight="1">
      <c r="Q264" s="60"/>
      <c r="R264" s="60"/>
    </row>
    <row r="265" ht="15.75" customHeight="1">
      <c r="Q265" s="60"/>
      <c r="R265" s="60"/>
    </row>
    <row r="266" ht="15.75" customHeight="1">
      <c r="Q266" s="60"/>
      <c r="R266" s="60"/>
    </row>
    <row r="267" ht="15.75" customHeight="1">
      <c r="Q267" s="60"/>
      <c r="R267" s="60"/>
    </row>
    <row r="268" ht="15.75" customHeight="1">
      <c r="Q268" s="60"/>
      <c r="R268" s="60"/>
    </row>
    <row r="269" ht="15.75" customHeight="1">
      <c r="Q269" s="60"/>
      <c r="R269" s="60"/>
    </row>
    <row r="270" ht="15.75" customHeight="1">
      <c r="Q270" s="60"/>
      <c r="R270" s="60"/>
    </row>
    <row r="271" ht="15.75" customHeight="1">
      <c r="Q271" s="60"/>
      <c r="R271" s="60"/>
    </row>
    <row r="272" ht="15.75" customHeight="1">
      <c r="Q272" s="60"/>
      <c r="R272" s="60"/>
    </row>
    <row r="273" ht="15.75" customHeight="1">
      <c r="Q273" s="60"/>
      <c r="R273" s="60"/>
    </row>
    <row r="274" ht="15.75" customHeight="1">
      <c r="Q274" s="60"/>
      <c r="R274" s="60"/>
    </row>
    <row r="275" ht="15.75" customHeight="1">
      <c r="Q275" s="60"/>
      <c r="R275" s="60"/>
    </row>
    <row r="276" ht="15.75" customHeight="1">
      <c r="Q276" s="60"/>
      <c r="R276" s="60"/>
    </row>
    <row r="277" ht="15.75" customHeight="1">
      <c r="Q277" s="60"/>
      <c r="R277" s="60"/>
    </row>
    <row r="278" ht="15.75" customHeight="1">
      <c r="Q278" s="60"/>
      <c r="R278" s="60"/>
    </row>
    <row r="279" ht="15.75" customHeight="1">
      <c r="Q279" s="60"/>
      <c r="R279" s="60"/>
    </row>
    <row r="280" ht="15.75" customHeight="1">
      <c r="Q280" s="60"/>
      <c r="R280" s="60"/>
    </row>
    <row r="281" ht="15.75" customHeight="1">
      <c r="Q281" s="60"/>
      <c r="R281" s="60"/>
    </row>
    <row r="282" ht="15.75" customHeight="1">
      <c r="Q282" s="60"/>
      <c r="R282" s="60"/>
    </row>
    <row r="283" ht="15.75" customHeight="1">
      <c r="Q283" s="60"/>
      <c r="R283" s="60"/>
    </row>
    <row r="284" ht="15.75" customHeight="1">
      <c r="Q284" s="60"/>
      <c r="R284" s="60"/>
    </row>
    <row r="285" ht="15.75" customHeight="1">
      <c r="Q285" s="60"/>
      <c r="R285" s="60"/>
    </row>
    <row r="286" ht="15.75" customHeight="1">
      <c r="Q286" s="60"/>
      <c r="R286" s="60"/>
    </row>
    <row r="287" ht="15.75" customHeight="1">
      <c r="Q287" s="60"/>
      <c r="R287" s="60"/>
    </row>
    <row r="288" ht="15.75" customHeight="1">
      <c r="Q288" s="60"/>
      <c r="R288" s="60"/>
    </row>
    <row r="289" ht="15.75" customHeight="1">
      <c r="Q289" s="60"/>
      <c r="R289" s="60"/>
    </row>
    <row r="290" ht="15.75" customHeight="1">
      <c r="Q290" s="60"/>
      <c r="R290" s="60"/>
    </row>
    <row r="291" ht="15.75" customHeight="1">
      <c r="Q291" s="60"/>
      <c r="R291" s="60"/>
    </row>
    <row r="292" ht="15.75" customHeight="1">
      <c r="Q292" s="60"/>
      <c r="R292" s="60"/>
    </row>
    <row r="293" ht="15.75" customHeight="1">
      <c r="Q293" s="60"/>
      <c r="R293" s="60"/>
    </row>
    <row r="294" ht="15.75" customHeight="1">
      <c r="Q294" s="60"/>
      <c r="R294" s="60"/>
    </row>
    <row r="295" ht="15.75" customHeight="1">
      <c r="Q295" s="60"/>
      <c r="R295" s="60"/>
    </row>
    <row r="296" ht="15.75" customHeight="1">
      <c r="Q296" s="60"/>
      <c r="R296" s="60"/>
    </row>
    <row r="297" ht="15.75" customHeight="1">
      <c r="Q297" s="60"/>
      <c r="R297" s="60"/>
    </row>
    <row r="298" ht="15.75" customHeight="1">
      <c r="Q298" s="60"/>
      <c r="R298" s="60"/>
    </row>
    <row r="299" ht="15.75" customHeight="1">
      <c r="Q299" s="60"/>
      <c r="R299" s="60"/>
    </row>
    <row r="300" ht="15.75" customHeight="1">
      <c r="Q300" s="60"/>
      <c r="R300" s="60"/>
    </row>
    <row r="301" ht="15.75" customHeight="1">
      <c r="Q301" s="60"/>
      <c r="R301" s="60"/>
    </row>
    <row r="302" ht="15.75" customHeight="1">
      <c r="Q302" s="60"/>
      <c r="R302" s="60"/>
    </row>
    <row r="303" ht="15.75" customHeight="1">
      <c r="Q303" s="60"/>
      <c r="R303" s="60"/>
    </row>
    <row r="304" ht="15.75" customHeight="1">
      <c r="Q304" s="60"/>
      <c r="R304" s="60"/>
    </row>
    <row r="305" ht="15.75" customHeight="1">
      <c r="Q305" s="60"/>
      <c r="R305" s="60"/>
    </row>
    <row r="306" ht="15.75" customHeight="1">
      <c r="Q306" s="60"/>
      <c r="R306" s="60"/>
    </row>
    <row r="307" ht="15.75" customHeight="1">
      <c r="Q307" s="60"/>
      <c r="R307" s="60"/>
    </row>
    <row r="308" ht="15.75" customHeight="1">
      <c r="Q308" s="60"/>
      <c r="R308" s="60"/>
    </row>
    <row r="309" ht="15.75" customHeight="1">
      <c r="Q309" s="60"/>
      <c r="R309" s="60"/>
    </row>
    <row r="310" ht="15.75" customHeight="1">
      <c r="Q310" s="60"/>
      <c r="R310" s="60"/>
    </row>
    <row r="311" ht="15.75" customHeight="1">
      <c r="Q311" s="60"/>
      <c r="R311" s="60"/>
    </row>
    <row r="312" ht="15.75" customHeight="1">
      <c r="Q312" s="60"/>
      <c r="R312" s="60"/>
    </row>
    <row r="313" ht="15.75" customHeight="1">
      <c r="Q313" s="60"/>
      <c r="R313" s="60"/>
    </row>
    <row r="314" ht="15.75" customHeight="1">
      <c r="Q314" s="60"/>
      <c r="R314" s="60"/>
    </row>
    <row r="315" ht="15.75" customHeight="1">
      <c r="Q315" s="60"/>
      <c r="R315" s="60"/>
    </row>
    <row r="316" ht="15.75" customHeight="1">
      <c r="Q316" s="60"/>
      <c r="R316" s="60"/>
    </row>
    <row r="317" ht="15.75" customHeight="1">
      <c r="Q317" s="60"/>
      <c r="R317" s="60"/>
    </row>
    <row r="318" ht="15.75" customHeight="1">
      <c r="Q318" s="60"/>
      <c r="R318" s="60"/>
    </row>
    <row r="319" ht="15.75" customHeight="1">
      <c r="Q319" s="60"/>
      <c r="R319" s="60"/>
    </row>
    <row r="320" ht="15.75" customHeight="1">
      <c r="Q320" s="60"/>
      <c r="R320" s="60"/>
    </row>
    <row r="321" ht="15.75" customHeight="1">
      <c r="Q321" s="60"/>
      <c r="R321" s="60"/>
    </row>
    <row r="322" ht="15.75" customHeight="1">
      <c r="Q322" s="60"/>
      <c r="R322" s="60"/>
    </row>
    <row r="323" ht="15.75" customHeight="1">
      <c r="Q323" s="60"/>
      <c r="R323" s="60"/>
    </row>
    <row r="324" ht="15.75" customHeight="1">
      <c r="Q324" s="60"/>
      <c r="R324" s="60"/>
    </row>
    <row r="325" ht="15.75" customHeight="1">
      <c r="Q325" s="60"/>
      <c r="R325" s="60"/>
    </row>
    <row r="326" ht="15.75" customHeight="1">
      <c r="Q326" s="60"/>
      <c r="R326" s="60"/>
    </row>
    <row r="327" ht="15.75" customHeight="1">
      <c r="Q327" s="60"/>
      <c r="R327" s="60"/>
    </row>
    <row r="328" ht="15.75" customHeight="1">
      <c r="Q328" s="60"/>
      <c r="R328" s="60"/>
    </row>
    <row r="329" ht="15.75" customHeight="1">
      <c r="Q329" s="60"/>
      <c r="R329" s="60"/>
    </row>
    <row r="330" ht="15.75" customHeight="1">
      <c r="Q330" s="60"/>
      <c r="R330" s="60"/>
    </row>
    <row r="331" ht="15.75" customHeight="1">
      <c r="Q331" s="60"/>
      <c r="R331" s="60"/>
    </row>
    <row r="332" ht="15.75" customHeight="1">
      <c r="Q332" s="60"/>
      <c r="R332" s="60"/>
    </row>
    <row r="333" ht="15.75" customHeight="1">
      <c r="Q333" s="60"/>
      <c r="R333" s="60"/>
    </row>
    <row r="334" ht="15.75" customHeight="1">
      <c r="Q334" s="60"/>
      <c r="R334" s="60"/>
    </row>
    <row r="335" ht="15.75" customHeight="1">
      <c r="Q335" s="60"/>
      <c r="R335" s="60"/>
    </row>
    <row r="336" ht="15.75" customHeight="1">
      <c r="Q336" s="60"/>
      <c r="R336" s="60"/>
    </row>
    <row r="337" ht="15.75" customHeight="1">
      <c r="Q337" s="60"/>
      <c r="R337" s="60"/>
    </row>
    <row r="338" ht="15.75" customHeight="1">
      <c r="Q338" s="60"/>
      <c r="R338" s="60"/>
    </row>
    <row r="339" ht="15.75" customHeight="1">
      <c r="Q339" s="60"/>
      <c r="R339" s="60"/>
    </row>
    <row r="340" ht="15.75" customHeight="1">
      <c r="Q340" s="60"/>
      <c r="R340" s="60"/>
    </row>
    <row r="341" ht="15.75" customHeight="1">
      <c r="Q341" s="60"/>
      <c r="R341" s="60"/>
    </row>
    <row r="342" ht="15.75" customHeight="1">
      <c r="Q342" s="60"/>
      <c r="R342" s="60"/>
    </row>
    <row r="343" ht="15.75" customHeight="1">
      <c r="Q343" s="60"/>
      <c r="R343" s="60"/>
    </row>
    <row r="344" ht="15.75" customHeight="1">
      <c r="Q344" s="60"/>
      <c r="R344" s="60"/>
    </row>
    <row r="345" ht="15.75" customHeight="1">
      <c r="Q345" s="60"/>
      <c r="R345" s="60"/>
    </row>
    <row r="346" ht="15.75" customHeight="1">
      <c r="Q346" s="60"/>
      <c r="R346" s="60"/>
    </row>
    <row r="347" ht="15.75" customHeight="1">
      <c r="Q347" s="60"/>
      <c r="R347" s="60"/>
    </row>
    <row r="348" ht="15.75" customHeight="1">
      <c r="Q348" s="60"/>
      <c r="R348" s="60"/>
    </row>
    <row r="349" ht="15.75" customHeight="1">
      <c r="Q349" s="60"/>
      <c r="R349" s="60"/>
    </row>
    <row r="350" ht="15.75" customHeight="1">
      <c r="Q350" s="60"/>
      <c r="R350" s="60"/>
    </row>
    <row r="351" ht="15.75" customHeight="1">
      <c r="Q351" s="60"/>
      <c r="R351" s="60"/>
    </row>
    <row r="352" ht="15.75" customHeight="1">
      <c r="Q352" s="60"/>
      <c r="R352" s="60"/>
    </row>
    <row r="353" ht="15.75" customHeight="1">
      <c r="Q353" s="60"/>
      <c r="R353" s="60"/>
    </row>
    <row r="354" ht="15.75" customHeight="1">
      <c r="Q354" s="60"/>
      <c r="R354" s="60"/>
    </row>
    <row r="355" ht="15.75" customHeight="1">
      <c r="Q355" s="60"/>
      <c r="R355" s="60"/>
    </row>
    <row r="356" ht="15.75" customHeight="1">
      <c r="Q356" s="60"/>
      <c r="R356" s="60"/>
    </row>
    <row r="357" ht="15.75" customHeight="1">
      <c r="Q357" s="60"/>
      <c r="R357" s="60"/>
    </row>
    <row r="358" ht="15.75" customHeight="1">
      <c r="Q358" s="60"/>
      <c r="R358" s="60"/>
    </row>
    <row r="359" ht="15.75" customHeight="1">
      <c r="Q359" s="60"/>
      <c r="R359" s="60"/>
    </row>
    <row r="360" ht="15.75" customHeight="1">
      <c r="Q360" s="60"/>
      <c r="R360" s="60"/>
    </row>
    <row r="361" ht="15.75" customHeight="1">
      <c r="Q361" s="60"/>
      <c r="R361" s="60"/>
    </row>
    <row r="362" ht="15.75" customHeight="1">
      <c r="Q362" s="60"/>
      <c r="R362" s="60"/>
    </row>
    <row r="363" ht="15.75" customHeight="1">
      <c r="Q363" s="60"/>
      <c r="R363" s="60"/>
    </row>
    <row r="364" ht="15.75" customHeight="1">
      <c r="Q364" s="60"/>
      <c r="R364" s="60"/>
    </row>
    <row r="365" ht="15.75" customHeight="1">
      <c r="Q365" s="60"/>
      <c r="R365" s="60"/>
    </row>
    <row r="366" ht="15.75" customHeight="1">
      <c r="Q366" s="60"/>
      <c r="R366" s="60"/>
    </row>
    <row r="367" ht="15.75" customHeight="1">
      <c r="Q367" s="60"/>
      <c r="R367" s="60"/>
    </row>
    <row r="368" ht="15.75" customHeight="1">
      <c r="Q368" s="60"/>
      <c r="R368" s="60"/>
    </row>
    <row r="369" ht="15.75" customHeight="1">
      <c r="Q369" s="60"/>
      <c r="R369" s="60"/>
    </row>
    <row r="370" ht="15.75" customHeight="1">
      <c r="Q370" s="60"/>
      <c r="R370" s="60"/>
    </row>
    <row r="371" ht="15.75" customHeight="1">
      <c r="Q371" s="60"/>
      <c r="R371" s="60"/>
    </row>
    <row r="372" ht="15.75" customHeight="1">
      <c r="Q372" s="60"/>
      <c r="R372" s="60"/>
    </row>
    <row r="373" ht="15.75" customHeight="1">
      <c r="Q373" s="60"/>
      <c r="R373" s="60"/>
    </row>
    <row r="374" ht="15.75" customHeight="1">
      <c r="Q374" s="60"/>
      <c r="R374" s="60"/>
    </row>
    <row r="375" ht="15.75" customHeight="1">
      <c r="Q375" s="60"/>
      <c r="R375" s="60"/>
    </row>
    <row r="376" ht="15.75" customHeight="1">
      <c r="Q376" s="60"/>
      <c r="R376" s="60"/>
    </row>
    <row r="377" ht="15.75" customHeight="1">
      <c r="Q377" s="60"/>
      <c r="R377" s="60"/>
    </row>
    <row r="378" ht="15.75" customHeight="1">
      <c r="Q378" s="60"/>
      <c r="R378" s="60"/>
    </row>
    <row r="379" ht="15.75" customHeight="1">
      <c r="Q379" s="60"/>
      <c r="R379" s="60"/>
    </row>
    <row r="380" ht="15.75" customHeight="1">
      <c r="Q380" s="60"/>
      <c r="R380" s="60"/>
    </row>
    <row r="381" ht="15.75" customHeight="1">
      <c r="Q381" s="60"/>
      <c r="R381" s="60"/>
    </row>
    <row r="382" ht="15.75" customHeight="1">
      <c r="Q382" s="60"/>
      <c r="R382" s="60"/>
    </row>
    <row r="383" ht="15.75" customHeight="1">
      <c r="Q383" s="60"/>
      <c r="R383" s="60"/>
    </row>
    <row r="384" ht="15.75" customHeight="1">
      <c r="Q384" s="60"/>
      <c r="R384" s="60"/>
    </row>
    <row r="385" ht="15.75" customHeight="1">
      <c r="Q385" s="60"/>
      <c r="R385" s="60"/>
    </row>
    <row r="386" ht="15.75" customHeight="1">
      <c r="Q386" s="60"/>
      <c r="R386" s="60"/>
    </row>
    <row r="387" ht="15.75" customHeight="1">
      <c r="Q387" s="60"/>
      <c r="R387" s="60"/>
    </row>
    <row r="388" ht="15.75" customHeight="1">
      <c r="Q388" s="60"/>
      <c r="R388" s="60"/>
    </row>
    <row r="389" ht="15.75" customHeight="1">
      <c r="Q389" s="60"/>
      <c r="R389" s="60"/>
    </row>
    <row r="390" ht="15.75" customHeight="1">
      <c r="Q390" s="60"/>
      <c r="R390" s="60"/>
    </row>
    <row r="391" ht="15.75" customHeight="1">
      <c r="Q391" s="60"/>
      <c r="R391" s="60"/>
    </row>
    <row r="392" ht="15.75" customHeight="1">
      <c r="Q392" s="60"/>
      <c r="R392" s="60"/>
    </row>
    <row r="393" ht="15.75" customHeight="1">
      <c r="Q393" s="60"/>
      <c r="R393" s="60"/>
    </row>
    <row r="394" ht="15.75" customHeight="1">
      <c r="Q394" s="60"/>
      <c r="R394" s="60"/>
    </row>
    <row r="395" ht="15.75" customHeight="1">
      <c r="Q395" s="60"/>
      <c r="R395" s="60"/>
    </row>
    <row r="396" ht="15.75" customHeight="1">
      <c r="Q396" s="60"/>
      <c r="R396" s="60"/>
    </row>
    <row r="397" ht="15.75" customHeight="1">
      <c r="Q397" s="60"/>
      <c r="R397" s="60"/>
    </row>
    <row r="398" ht="15.75" customHeight="1">
      <c r="Q398" s="60"/>
      <c r="R398" s="60"/>
    </row>
    <row r="399" ht="15.75" customHeight="1">
      <c r="Q399" s="60"/>
      <c r="R399" s="60"/>
    </row>
    <row r="400" ht="15.75" customHeight="1">
      <c r="Q400" s="60"/>
      <c r="R400" s="60"/>
    </row>
    <row r="401" ht="15.75" customHeight="1">
      <c r="Q401" s="60"/>
      <c r="R401" s="60"/>
    </row>
    <row r="402" ht="15.75" customHeight="1">
      <c r="Q402" s="60"/>
      <c r="R402" s="60"/>
    </row>
    <row r="403" ht="15.75" customHeight="1">
      <c r="Q403" s="60"/>
      <c r="R403" s="60"/>
    </row>
    <row r="404" ht="15.75" customHeight="1">
      <c r="Q404" s="60"/>
      <c r="R404" s="60"/>
    </row>
    <row r="405" ht="15.75" customHeight="1">
      <c r="Q405" s="60"/>
      <c r="R405" s="60"/>
    </row>
    <row r="406" ht="15.75" customHeight="1">
      <c r="Q406" s="60"/>
      <c r="R406" s="60"/>
    </row>
    <row r="407" ht="15.75" customHeight="1">
      <c r="Q407" s="60"/>
      <c r="R407" s="60"/>
    </row>
    <row r="408" ht="15.75" customHeight="1">
      <c r="Q408" s="60"/>
      <c r="R408" s="60"/>
    </row>
    <row r="409" ht="15.75" customHeight="1">
      <c r="Q409" s="60"/>
      <c r="R409" s="60"/>
    </row>
    <row r="410" ht="15.75" customHeight="1">
      <c r="Q410" s="60"/>
      <c r="R410" s="60"/>
    </row>
    <row r="411" ht="15.75" customHeight="1">
      <c r="Q411" s="60"/>
      <c r="R411" s="60"/>
    </row>
    <row r="412" ht="15.75" customHeight="1">
      <c r="Q412" s="60"/>
      <c r="R412" s="60"/>
    </row>
    <row r="413" ht="15.75" customHeight="1">
      <c r="Q413" s="60"/>
      <c r="R413" s="60"/>
    </row>
    <row r="414" ht="15.75" customHeight="1">
      <c r="Q414" s="60"/>
      <c r="R414" s="60"/>
    </row>
    <row r="415" ht="15.75" customHeight="1">
      <c r="Q415" s="60"/>
      <c r="R415" s="60"/>
    </row>
    <row r="416" ht="15.75" customHeight="1">
      <c r="Q416" s="60"/>
      <c r="R416" s="60"/>
    </row>
    <row r="417" ht="15.75" customHeight="1">
      <c r="Q417" s="60"/>
      <c r="R417" s="60"/>
    </row>
    <row r="418" ht="15.75" customHeight="1">
      <c r="Q418" s="60"/>
      <c r="R418" s="60"/>
    </row>
    <row r="419" ht="15.75" customHeight="1">
      <c r="Q419" s="60"/>
      <c r="R419" s="60"/>
    </row>
    <row r="420" ht="15.75" customHeight="1">
      <c r="Q420" s="60"/>
      <c r="R420" s="60"/>
    </row>
    <row r="421" ht="15.75" customHeight="1">
      <c r="Q421" s="60"/>
      <c r="R421" s="60"/>
    </row>
    <row r="422" ht="15.75" customHeight="1">
      <c r="Q422" s="60"/>
      <c r="R422" s="60"/>
    </row>
    <row r="423" ht="15.75" customHeight="1">
      <c r="Q423" s="60"/>
      <c r="R423" s="60"/>
    </row>
    <row r="424" ht="15.75" customHeight="1">
      <c r="Q424" s="60"/>
      <c r="R424" s="60"/>
    </row>
    <row r="425" ht="15.75" customHeight="1">
      <c r="Q425" s="60"/>
      <c r="R425" s="60"/>
    </row>
    <row r="426" ht="15.75" customHeight="1">
      <c r="Q426" s="60"/>
      <c r="R426" s="60"/>
    </row>
    <row r="427" ht="15.75" customHeight="1">
      <c r="Q427" s="60"/>
      <c r="R427" s="60"/>
    </row>
    <row r="428" ht="15.75" customHeight="1">
      <c r="Q428" s="60"/>
      <c r="R428" s="60"/>
    </row>
    <row r="429" ht="15.75" customHeight="1">
      <c r="Q429" s="60"/>
      <c r="R429" s="60"/>
    </row>
    <row r="430" ht="15.75" customHeight="1">
      <c r="Q430" s="60"/>
      <c r="R430" s="60"/>
    </row>
    <row r="431" ht="15.75" customHeight="1">
      <c r="Q431" s="60"/>
      <c r="R431" s="60"/>
    </row>
    <row r="432" ht="15.75" customHeight="1">
      <c r="Q432" s="60"/>
      <c r="R432" s="60"/>
    </row>
    <row r="433" ht="15.75" customHeight="1">
      <c r="Q433" s="60"/>
      <c r="R433" s="60"/>
    </row>
    <row r="434" ht="15.75" customHeight="1">
      <c r="Q434" s="60"/>
      <c r="R434" s="60"/>
    </row>
    <row r="435" ht="15.75" customHeight="1">
      <c r="Q435" s="60"/>
      <c r="R435" s="60"/>
    </row>
    <row r="436" ht="15.75" customHeight="1">
      <c r="Q436" s="60"/>
      <c r="R436" s="60"/>
    </row>
    <row r="437" ht="15.75" customHeight="1">
      <c r="Q437" s="60"/>
      <c r="R437" s="60"/>
    </row>
    <row r="438" ht="15.75" customHeight="1">
      <c r="Q438" s="60"/>
      <c r="R438" s="60"/>
    </row>
    <row r="439" ht="15.75" customHeight="1">
      <c r="Q439" s="60"/>
      <c r="R439" s="60"/>
    </row>
    <row r="440" ht="15.75" customHeight="1">
      <c r="Q440" s="60"/>
      <c r="R440" s="60"/>
    </row>
    <row r="441" ht="15.75" customHeight="1">
      <c r="Q441" s="60"/>
      <c r="R441" s="60"/>
    </row>
    <row r="442" ht="15.75" customHeight="1">
      <c r="Q442" s="60"/>
      <c r="R442" s="60"/>
    </row>
    <row r="443" ht="15.75" customHeight="1">
      <c r="Q443" s="60"/>
      <c r="R443" s="60"/>
    </row>
    <row r="444" ht="15.75" customHeight="1">
      <c r="Q444" s="60"/>
      <c r="R444" s="60"/>
    </row>
    <row r="445" ht="15.75" customHeight="1">
      <c r="Q445" s="60"/>
      <c r="R445" s="60"/>
    </row>
    <row r="446" ht="15.75" customHeight="1">
      <c r="Q446" s="60"/>
      <c r="R446" s="60"/>
    </row>
    <row r="447" ht="15.75" customHeight="1">
      <c r="Q447" s="60"/>
      <c r="R447" s="60"/>
    </row>
    <row r="448" ht="15.75" customHeight="1">
      <c r="Q448" s="60"/>
      <c r="R448" s="60"/>
    </row>
    <row r="449" ht="15.75" customHeight="1">
      <c r="Q449" s="60"/>
      <c r="R449" s="60"/>
    </row>
    <row r="450" ht="15.75" customHeight="1">
      <c r="Q450" s="60"/>
      <c r="R450" s="60"/>
    </row>
    <row r="451" ht="15.75" customHeight="1">
      <c r="Q451" s="60"/>
      <c r="R451" s="60"/>
    </row>
    <row r="452" ht="15.75" customHeight="1">
      <c r="Q452" s="60"/>
      <c r="R452" s="60"/>
    </row>
    <row r="453" ht="15.75" customHeight="1">
      <c r="Q453" s="60"/>
      <c r="R453" s="60"/>
    </row>
    <row r="454" ht="15.75" customHeight="1">
      <c r="Q454" s="60"/>
      <c r="R454" s="60"/>
    </row>
    <row r="455" ht="15.75" customHeight="1">
      <c r="Q455" s="60"/>
      <c r="R455" s="60"/>
    </row>
    <row r="456" ht="15.75" customHeight="1">
      <c r="Q456" s="60"/>
      <c r="R456" s="60"/>
    </row>
    <row r="457" ht="15.75" customHeight="1">
      <c r="Q457" s="60"/>
      <c r="R457" s="60"/>
    </row>
    <row r="458" ht="15.75" customHeight="1">
      <c r="Q458" s="60"/>
      <c r="R458" s="60"/>
    </row>
    <row r="459" ht="15.75" customHeight="1">
      <c r="Q459" s="60"/>
      <c r="R459" s="60"/>
    </row>
    <row r="460" ht="15.75" customHeight="1">
      <c r="Q460" s="60"/>
      <c r="R460" s="60"/>
    </row>
    <row r="461" ht="15.75" customHeight="1">
      <c r="Q461" s="60"/>
      <c r="R461" s="60"/>
    </row>
    <row r="462" ht="15.75" customHeight="1">
      <c r="Q462" s="60"/>
      <c r="R462" s="60"/>
    </row>
    <row r="463" ht="15.75" customHeight="1">
      <c r="Q463" s="60"/>
      <c r="R463" s="60"/>
    </row>
    <row r="464" ht="15.75" customHeight="1">
      <c r="Q464" s="60"/>
      <c r="R464" s="60"/>
    </row>
    <row r="465" ht="15.75" customHeight="1">
      <c r="Q465" s="60"/>
      <c r="R465" s="60"/>
    </row>
    <row r="466" ht="15.75" customHeight="1">
      <c r="Q466" s="60"/>
      <c r="R466" s="60"/>
    </row>
    <row r="467" ht="15.75" customHeight="1">
      <c r="Q467" s="60"/>
      <c r="R467" s="60"/>
    </row>
    <row r="468" ht="15.75" customHeight="1">
      <c r="Q468" s="60"/>
      <c r="R468" s="60"/>
    </row>
    <row r="469" ht="15.75" customHeight="1">
      <c r="Q469" s="60"/>
      <c r="R469" s="60"/>
    </row>
    <row r="470" ht="15.75" customHeight="1">
      <c r="Q470" s="60"/>
      <c r="R470" s="60"/>
    </row>
    <row r="471" ht="15.75" customHeight="1">
      <c r="Q471" s="60"/>
      <c r="R471" s="60"/>
    </row>
    <row r="472" ht="15.75" customHeight="1">
      <c r="Q472" s="60"/>
      <c r="R472" s="60"/>
    </row>
    <row r="473" ht="15.75" customHeight="1">
      <c r="Q473" s="60"/>
      <c r="R473" s="60"/>
    </row>
    <row r="474" ht="15.75" customHeight="1">
      <c r="Q474" s="60"/>
      <c r="R474" s="60"/>
    </row>
    <row r="475" ht="15.75" customHeight="1">
      <c r="Q475" s="60"/>
      <c r="R475" s="60"/>
    </row>
    <row r="476" ht="15.75" customHeight="1">
      <c r="Q476" s="60"/>
      <c r="R476" s="60"/>
    </row>
    <row r="477" ht="15.75" customHeight="1">
      <c r="Q477" s="60"/>
      <c r="R477" s="60"/>
    </row>
    <row r="478" ht="15.75" customHeight="1">
      <c r="Q478" s="60"/>
      <c r="R478" s="60"/>
    </row>
    <row r="479" ht="15.75" customHeight="1">
      <c r="Q479" s="60"/>
      <c r="R479" s="60"/>
    </row>
    <row r="480" ht="15.75" customHeight="1">
      <c r="Q480" s="60"/>
      <c r="R480" s="60"/>
    </row>
    <row r="481" ht="15.75" customHeight="1">
      <c r="Q481" s="60"/>
      <c r="R481" s="60"/>
    </row>
    <row r="482" ht="15.75" customHeight="1">
      <c r="Q482" s="60"/>
      <c r="R482" s="60"/>
    </row>
    <row r="483" ht="15.75" customHeight="1">
      <c r="Q483" s="60"/>
      <c r="R483" s="60"/>
    </row>
    <row r="484" ht="15.75" customHeight="1">
      <c r="Q484" s="60"/>
      <c r="R484" s="60"/>
    </row>
    <row r="485" ht="15.75" customHeight="1">
      <c r="Q485" s="60"/>
      <c r="R485" s="60"/>
    </row>
    <row r="486" ht="15.75" customHeight="1">
      <c r="Q486" s="60"/>
      <c r="R486" s="60"/>
    </row>
    <row r="487" ht="15.75" customHeight="1">
      <c r="Q487" s="60"/>
      <c r="R487" s="60"/>
    </row>
    <row r="488" ht="15.75" customHeight="1">
      <c r="Q488" s="60"/>
      <c r="R488" s="60"/>
    </row>
    <row r="489" ht="15.75" customHeight="1">
      <c r="Q489" s="60"/>
      <c r="R489" s="60"/>
    </row>
    <row r="490" ht="15.75" customHeight="1">
      <c r="Q490" s="60"/>
      <c r="R490" s="60"/>
    </row>
    <row r="491" ht="15.75" customHeight="1">
      <c r="Q491" s="60"/>
      <c r="R491" s="60"/>
    </row>
    <row r="492" ht="15.75" customHeight="1">
      <c r="Q492" s="60"/>
      <c r="R492" s="60"/>
    </row>
    <row r="493" ht="15.75" customHeight="1">
      <c r="Q493" s="60"/>
      <c r="R493" s="60"/>
    </row>
    <row r="494" ht="15.75" customHeight="1">
      <c r="Q494" s="60"/>
      <c r="R494" s="60"/>
    </row>
    <row r="495" ht="15.75" customHeight="1">
      <c r="Q495" s="60"/>
      <c r="R495" s="60"/>
    </row>
    <row r="496" ht="15.75" customHeight="1">
      <c r="Q496" s="60"/>
      <c r="R496" s="60"/>
    </row>
    <row r="497" ht="15.75" customHeight="1">
      <c r="Q497" s="60"/>
      <c r="R497" s="60"/>
    </row>
    <row r="498" ht="15.75" customHeight="1">
      <c r="Q498" s="60"/>
      <c r="R498" s="60"/>
    </row>
    <row r="499" ht="15.75" customHeight="1">
      <c r="Q499" s="60"/>
      <c r="R499" s="60"/>
    </row>
    <row r="500" ht="15.75" customHeight="1">
      <c r="Q500" s="60"/>
      <c r="R500" s="6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Q4:Q500">
      <formula1>"1,2,3,4,5"</formula1>
    </dataValidation>
    <dataValidation type="list" allowBlank="1" sqref="R4:R500">
      <formula1>"Yes,No,Maybe"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4" width="22.0"/>
    <col customWidth="1" min="5" max="11" width="14.0"/>
    <col customWidth="1" min="12" max="16" width="23.0"/>
    <col customWidth="1" min="17" max="26" width="8.63"/>
  </cols>
  <sheetData>
    <row r="1" ht="33.75" customHeight="1">
      <c r="A1" s="39" t="s">
        <v>1004</v>
      </c>
    </row>
    <row r="3">
      <c r="A3" s="59" t="s">
        <v>786</v>
      </c>
      <c r="B3" s="59" t="s">
        <v>1005</v>
      </c>
      <c r="C3" s="59" t="s">
        <v>1006</v>
      </c>
      <c r="D3" s="59" t="s">
        <v>1007</v>
      </c>
      <c r="E3" s="59" t="s">
        <v>1008</v>
      </c>
      <c r="F3" s="59" t="s">
        <v>1009</v>
      </c>
      <c r="G3" s="59" t="s">
        <v>1010</v>
      </c>
      <c r="H3" s="59" t="s">
        <v>1011</v>
      </c>
      <c r="I3" s="59" t="s">
        <v>1012</v>
      </c>
      <c r="J3" s="59" t="s">
        <v>1013</v>
      </c>
      <c r="K3" s="59" t="s">
        <v>1014</v>
      </c>
      <c r="L3" s="59" t="s">
        <v>1015</v>
      </c>
      <c r="M3" s="59" t="s">
        <v>1016</v>
      </c>
      <c r="N3" s="59" t="s">
        <v>1017</v>
      </c>
      <c r="O3" s="59" t="s">
        <v>1018</v>
      </c>
      <c r="P3" s="59" t="s">
        <v>16</v>
      </c>
    </row>
    <row r="4">
      <c r="A4" s="14"/>
      <c r="B4" s="14"/>
      <c r="C4" s="14"/>
      <c r="D4" s="14"/>
      <c r="E4" s="14"/>
      <c r="F4" s="15"/>
      <c r="G4" s="65"/>
      <c r="H4" s="14"/>
      <c r="I4" s="15"/>
      <c r="J4" s="15"/>
      <c r="K4" s="14"/>
      <c r="L4" s="14"/>
      <c r="M4" s="14"/>
      <c r="N4" s="14"/>
      <c r="O4" s="14"/>
      <c r="P4" s="14"/>
    </row>
    <row r="5">
      <c r="A5" s="14"/>
      <c r="B5" s="14"/>
      <c r="C5" s="14"/>
      <c r="D5" s="14"/>
      <c r="E5" s="14"/>
      <c r="F5" s="15"/>
      <c r="G5" s="65"/>
      <c r="H5" s="14"/>
      <c r="I5" s="15"/>
      <c r="J5" s="15"/>
      <c r="K5" s="14"/>
      <c r="L5" s="14"/>
      <c r="M5" s="14"/>
      <c r="N5" s="14"/>
      <c r="O5" s="14"/>
      <c r="P5" s="14"/>
    </row>
    <row r="6">
      <c r="A6" s="14"/>
      <c r="B6" s="14"/>
      <c r="C6" s="14"/>
      <c r="D6" s="14"/>
      <c r="E6" s="14"/>
      <c r="F6" s="15"/>
      <c r="G6" s="65"/>
      <c r="H6" s="14"/>
      <c r="I6" s="15"/>
      <c r="J6" s="15"/>
      <c r="K6" s="14"/>
      <c r="L6" s="14"/>
      <c r="M6" s="14"/>
      <c r="N6" s="14"/>
      <c r="O6" s="14"/>
      <c r="P6" s="14"/>
    </row>
    <row r="7">
      <c r="A7" s="14"/>
      <c r="B7" s="14"/>
      <c r="C7" s="14"/>
      <c r="D7" s="14"/>
      <c r="E7" s="14"/>
      <c r="F7" s="15"/>
      <c r="G7" s="65"/>
      <c r="H7" s="14"/>
      <c r="I7" s="15"/>
      <c r="J7" s="15"/>
      <c r="K7" s="14"/>
      <c r="L7" s="14"/>
      <c r="M7" s="14"/>
      <c r="N7" s="14"/>
      <c r="O7" s="14"/>
      <c r="P7" s="14"/>
    </row>
    <row r="8">
      <c r="A8" s="14"/>
      <c r="B8" s="14"/>
      <c r="C8" s="14"/>
      <c r="D8" s="14"/>
      <c r="E8" s="14"/>
      <c r="F8" s="15"/>
      <c r="G8" s="65"/>
      <c r="H8" s="14"/>
      <c r="I8" s="15"/>
      <c r="J8" s="15"/>
      <c r="K8" s="14"/>
      <c r="L8" s="14"/>
      <c r="M8" s="14"/>
      <c r="N8" s="14"/>
      <c r="O8" s="14"/>
      <c r="P8" s="14"/>
    </row>
    <row r="9">
      <c r="A9" s="14"/>
      <c r="B9" s="14"/>
      <c r="C9" s="14"/>
      <c r="D9" s="14"/>
      <c r="E9" s="14"/>
      <c r="F9" s="15"/>
      <c r="G9" s="65"/>
      <c r="H9" s="14"/>
      <c r="I9" s="15"/>
      <c r="J9" s="15"/>
      <c r="K9" s="14"/>
      <c r="L9" s="14"/>
      <c r="M9" s="14"/>
      <c r="N9" s="14"/>
      <c r="O9" s="14"/>
      <c r="P9" s="14"/>
    </row>
    <row r="10">
      <c r="A10" s="14"/>
      <c r="B10" s="14"/>
      <c r="C10" s="14"/>
      <c r="D10" s="14"/>
      <c r="E10" s="14"/>
      <c r="F10" s="15"/>
      <c r="G10" s="65"/>
      <c r="H10" s="14"/>
      <c r="I10" s="15"/>
      <c r="J10" s="15"/>
      <c r="K10" s="14"/>
      <c r="L10" s="14"/>
      <c r="M10" s="14"/>
      <c r="N10" s="14"/>
      <c r="O10" s="14"/>
      <c r="P10" s="14"/>
    </row>
    <row r="11">
      <c r="A11" s="14"/>
      <c r="B11" s="14"/>
      <c r="C11" s="14"/>
      <c r="D11" s="14"/>
      <c r="E11" s="14"/>
      <c r="F11" s="15"/>
      <c r="G11" s="65"/>
      <c r="H11" s="14"/>
      <c r="I11" s="15"/>
      <c r="J11" s="15"/>
      <c r="K11" s="14"/>
      <c r="L11" s="14"/>
      <c r="M11" s="14"/>
      <c r="N11" s="14"/>
      <c r="O11" s="14"/>
      <c r="P11" s="14"/>
    </row>
    <row r="12">
      <c r="A12" s="14"/>
      <c r="B12" s="14"/>
      <c r="C12" s="14"/>
      <c r="D12" s="14"/>
      <c r="E12" s="14"/>
      <c r="F12" s="15"/>
      <c r="G12" s="65"/>
      <c r="H12" s="14"/>
      <c r="I12" s="15"/>
      <c r="J12" s="15"/>
      <c r="K12" s="14"/>
      <c r="L12" s="14"/>
      <c r="M12" s="14"/>
      <c r="N12" s="14"/>
      <c r="O12" s="14"/>
      <c r="P12" s="14"/>
    </row>
    <row r="13">
      <c r="A13" s="14"/>
      <c r="B13" s="14"/>
      <c r="C13" s="14"/>
      <c r="D13" s="14"/>
      <c r="E13" s="14"/>
      <c r="F13" s="15"/>
      <c r="G13" s="65"/>
      <c r="H13" s="14"/>
      <c r="I13" s="15"/>
      <c r="J13" s="15"/>
      <c r="K13" s="14"/>
      <c r="L13" s="14"/>
      <c r="M13" s="14"/>
      <c r="N13" s="14"/>
      <c r="O13" s="14"/>
      <c r="P13" s="14"/>
    </row>
    <row r="14">
      <c r="A14" s="14"/>
      <c r="B14" s="14"/>
      <c r="C14" s="14"/>
      <c r="D14" s="14"/>
      <c r="E14" s="14"/>
      <c r="F14" s="15"/>
      <c r="G14" s="65"/>
      <c r="H14" s="14"/>
      <c r="I14" s="15"/>
      <c r="J14" s="15"/>
      <c r="K14" s="14"/>
      <c r="L14" s="14"/>
      <c r="M14" s="14"/>
      <c r="N14" s="14"/>
      <c r="O14" s="14"/>
      <c r="P14" s="14"/>
    </row>
    <row r="15">
      <c r="A15" s="14"/>
      <c r="B15" s="14"/>
      <c r="C15" s="14"/>
      <c r="D15" s="14"/>
      <c r="E15" s="14"/>
      <c r="F15" s="15"/>
      <c r="G15" s="65"/>
      <c r="H15" s="14"/>
      <c r="I15" s="15"/>
      <c r="J15" s="15"/>
      <c r="K15" s="14"/>
      <c r="L15" s="14"/>
      <c r="M15" s="14"/>
      <c r="N15" s="14"/>
      <c r="O15" s="14"/>
      <c r="P15" s="14"/>
    </row>
    <row r="16">
      <c r="A16" s="14"/>
      <c r="B16" s="14"/>
      <c r="C16" s="14"/>
      <c r="D16" s="14"/>
      <c r="E16" s="14"/>
      <c r="F16" s="15"/>
      <c r="G16" s="65"/>
      <c r="H16" s="14"/>
      <c r="I16" s="15"/>
      <c r="J16" s="15"/>
      <c r="K16" s="14"/>
      <c r="L16" s="14"/>
      <c r="M16" s="14"/>
      <c r="N16" s="14"/>
      <c r="O16" s="14"/>
      <c r="P16" s="14"/>
    </row>
    <row r="17">
      <c r="A17" s="14"/>
      <c r="B17" s="14"/>
      <c r="C17" s="14"/>
      <c r="D17" s="14"/>
      <c r="E17" s="14"/>
      <c r="F17" s="15"/>
      <c r="G17" s="65"/>
      <c r="H17" s="14"/>
      <c r="I17" s="15"/>
      <c r="J17" s="15"/>
      <c r="K17" s="14"/>
      <c r="L17" s="14"/>
      <c r="M17" s="14"/>
      <c r="N17" s="14"/>
      <c r="O17" s="14"/>
      <c r="P17" s="14"/>
    </row>
    <row r="18">
      <c r="A18" s="14"/>
      <c r="B18" s="14"/>
      <c r="C18" s="14"/>
      <c r="D18" s="14"/>
      <c r="E18" s="14"/>
      <c r="F18" s="15"/>
      <c r="G18" s="65"/>
      <c r="H18" s="14"/>
      <c r="I18" s="15"/>
      <c r="J18" s="15"/>
      <c r="K18" s="14"/>
      <c r="L18" s="14"/>
      <c r="M18" s="14"/>
      <c r="N18" s="14"/>
      <c r="O18" s="14"/>
      <c r="P18" s="14"/>
    </row>
    <row r="19">
      <c r="A19" s="14"/>
      <c r="B19" s="14"/>
      <c r="C19" s="14"/>
      <c r="D19" s="14"/>
      <c r="E19" s="14"/>
      <c r="F19" s="15"/>
      <c r="G19" s="65"/>
      <c r="H19" s="14"/>
      <c r="I19" s="15"/>
      <c r="J19" s="15"/>
      <c r="K19" s="14"/>
      <c r="L19" s="14"/>
      <c r="M19" s="14"/>
      <c r="N19" s="14"/>
      <c r="O19" s="14"/>
      <c r="P19" s="14"/>
    </row>
    <row r="20">
      <c r="A20" s="14"/>
      <c r="B20" s="14"/>
      <c r="C20" s="14"/>
      <c r="D20" s="14"/>
      <c r="E20" s="14"/>
      <c r="F20" s="15"/>
      <c r="G20" s="65"/>
      <c r="H20" s="14"/>
      <c r="I20" s="15"/>
      <c r="J20" s="15"/>
      <c r="K20" s="14"/>
      <c r="L20" s="14"/>
      <c r="M20" s="14"/>
      <c r="N20" s="14"/>
      <c r="O20" s="14"/>
      <c r="P20" s="14"/>
    </row>
    <row r="21" ht="15.75" customHeight="1">
      <c r="A21" s="14"/>
      <c r="B21" s="14"/>
      <c r="C21" s="14"/>
      <c r="D21" s="14"/>
      <c r="E21" s="14"/>
      <c r="F21" s="15"/>
      <c r="G21" s="65"/>
      <c r="H21" s="14"/>
      <c r="I21" s="15"/>
      <c r="J21" s="15"/>
      <c r="K21" s="14"/>
      <c r="L21" s="14"/>
      <c r="M21" s="14"/>
      <c r="N21" s="14"/>
      <c r="O21" s="14"/>
      <c r="P21" s="14"/>
    </row>
    <row r="22" ht="15.75" customHeight="1">
      <c r="A22" s="14"/>
      <c r="B22" s="14"/>
      <c r="C22" s="14"/>
      <c r="D22" s="14"/>
      <c r="E22" s="14"/>
      <c r="F22" s="15"/>
      <c r="G22" s="65"/>
      <c r="H22" s="14"/>
      <c r="I22" s="15"/>
      <c r="J22" s="15"/>
      <c r="K22" s="14"/>
      <c r="L22" s="14"/>
      <c r="M22" s="14"/>
      <c r="N22" s="14"/>
      <c r="O22" s="14"/>
      <c r="P22" s="14"/>
    </row>
    <row r="23" ht="15.75" customHeight="1">
      <c r="A23" s="14"/>
      <c r="B23" s="14"/>
      <c r="C23" s="14"/>
      <c r="D23" s="14"/>
      <c r="E23" s="14"/>
      <c r="F23" s="15"/>
      <c r="G23" s="65"/>
      <c r="H23" s="14"/>
      <c r="I23" s="15"/>
      <c r="J23" s="15"/>
      <c r="K23" s="14"/>
      <c r="L23" s="14"/>
      <c r="M23" s="14"/>
      <c r="N23" s="14"/>
      <c r="O23" s="14"/>
      <c r="P23" s="14"/>
    </row>
    <row r="24" ht="15.75" customHeight="1">
      <c r="A24" s="14"/>
      <c r="B24" s="14"/>
      <c r="C24" s="14"/>
      <c r="D24" s="14"/>
      <c r="E24" s="14"/>
      <c r="F24" s="15"/>
      <c r="G24" s="65"/>
      <c r="H24" s="14"/>
      <c r="I24" s="15"/>
      <c r="J24" s="15"/>
      <c r="K24" s="14"/>
      <c r="L24" s="14"/>
      <c r="M24" s="14"/>
      <c r="N24" s="14"/>
      <c r="O24" s="14"/>
      <c r="P24" s="14"/>
    </row>
    <row r="25" ht="15.75" customHeight="1">
      <c r="A25" s="14"/>
      <c r="B25" s="14"/>
      <c r="C25" s="14"/>
      <c r="D25" s="14"/>
      <c r="E25" s="14"/>
      <c r="F25" s="15"/>
      <c r="G25" s="65"/>
      <c r="H25" s="14"/>
      <c r="I25" s="15"/>
      <c r="J25" s="15"/>
      <c r="K25" s="14"/>
      <c r="L25" s="14"/>
      <c r="M25" s="14"/>
      <c r="N25" s="14"/>
      <c r="O25" s="14"/>
      <c r="P25" s="14"/>
    </row>
    <row r="26" ht="15.75" customHeight="1">
      <c r="A26" s="14"/>
      <c r="B26" s="14"/>
      <c r="C26" s="14"/>
      <c r="D26" s="14"/>
      <c r="E26" s="14"/>
      <c r="F26" s="15"/>
      <c r="G26" s="65"/>
      <c r="H26" s="14"/>
      <c r="I26" s="15"/>
      <c r="J26" s="15"/>
      <c r="K26" s="14"/>
      <c r="L26" s="14"/>
      <c r="M26" s="14"/>
      <c r="N26" s="14"/>
      <c r="O26" s="14"/>
      <c r="P26" s="14"/>
    </row>
    <row r="27" ht="15.75" customHeight="1">
      <c r="A27" s="14"/>
      <c r="B27" s="14"/>
      <c r="C27" s="14"/>
      <c r="D27" s="14"/>
      <c r="E27" s="14"/>
      <c r="F27" s="15"/>
      <c r="G27" s="65"/>
      <c r="H27" s="14"/>
      <c r="I27" s="15"/>
      <c r="J27" s="15"/>
      <c r="K27" s="14"/>
      <c r="L27" s="14"/>
      <c r="M27" s="14"/>
      <c r="N27" s="14"/>
      <c r="O27" s="14"/>
      <c r="P27" s="14"/>
    </row>
    <row r="28" ht="15.75" customHeight="1">
      <c r="A28" s="14"/>
      <c r="B28" s="14"/>
      <c r="C28" s="14"/>
      <c r="D28" s="14"/>
      <c r="E28" s="14"/>
      <c r="F28" s="15"/>
      <c r="G28" s="65"/>
      <c r="H28" s="14"/>
      <c r="I28" s="15"/>
      <c r="J28" s="15"/>
      <c r="K28" s="14"/>
      <c r="L28" s="14"/>
      <c r="M28" s="14"/>
      <c r="N28" s="14"/>
      <c r="O28" s="14"/>
      <c r="P28" s="14"/>
    </row>
    <row r="29" ht="15.75" customHeight="1">
      <c r="A29" s="14"/>
      <c r="B29" s="14"/>
      <c r="C29" s="14"/>
      <c r="D29" s="14"/>
      <c r="E29" s="14"/>
      <c r="F29" s="15"/>
      <c r="G29" s="65"/>
      <c r="H29" s="14"/>
      <c r="I29" s="15"/>
      <c r="J29" s="15"/>
      <c r="K29" s="14"/>
      <c r="L29" s="14"/>
      <c r="M29" s="14"/>
      <c r="N29" s="14"/>
      <c r="O29" s="14"/>
      <c r="P29" s="14"/>
    </row>
    <row r="30" ht="15.75" customHeight="1">
      <c r="A30" s="14"/>
      <c r="B30" s="14"/>
      <c r="C30" s="14"/>
      <c r="D30" s="14"/>
      <c r="E30" s="14"/>
      <c r="F30" s="15"/>
      <c r="G30" s="65"/>
      <c r="H30" s="14"/>
      <c r="I30" s="15"/>
      <c r="J30" s="15"/>
      <c r="K30" s="14"/>
      <c r="L30" s="14"/>
      <c r="M30" s="14"/>
      <c r="N30" s="14"/>
      <c r="O30" s="14"/>
      <c r="P30" s="14"/>
    </row>
    <row r="31" ht="15.75" customHeight="1">
      <c r="A31" s="14"/>
      <c r="B31" s="14"/>
      <c r="C31" s="14"/>
      <c r="D31" s="14"/>
      <c r="E31" s="14"/>
      <c r="F31" s="15"/>
      <c r="G31" s="65"/>
      <c r="H31" s="14"/>
      <c r="I31" s="15"/>
      <c r="J31" s="15"/>
      <c r="K31" s="14"/>
      <c r="L31" s="14"/>
      <c r="M31" s="14"/>
      <c r="N31" s="14"/>
      <c r="O31" s="14"/>
      <c r="P31" s="14"/>
    </row>
    <row r="32" ht="15.75" customHeight="1">
      <c r="A32" s="14"/>
      <c r="B32" s="14"/>
      <c r="C32" s="14"/>
      <c r="D32" s="14"/>
      <c r="E32" s="14"/>
      <c r="F32" s="15"/>
      <c r="G32" s="65"/>
      <c r="H32" s="14"/>
      <c r="I32" s="15"/>
      <c r="J32" s="15"/>
      <c r="K32" s="14"/>
      <c r="L32" s="14"/>
      <c r="M32" s="14"/>
      <c r="N32" s="14"/>
      <c r="O32" s="14"/>
      <c r="P32" s="14"/>
    </row>
    <row r="33" ht="15.75" customHeight="1">
      <c r="A33" s="14"/>
      <c r="B33" s="14"/>
      <c r="C33" s="14"/>
      <c r="D33" s="14"/>
      <c r="E33" s="14"/>
      <c r="F33" s="15"/>
      <c r="G33" s="65"/>
      <c r="H33" s="14"/>
      <c r="I33" s="15"/>
      <c r="J33" s="15"/>
      <c r="K33" s="14"/>
      <c r="L33" s="14"/>
      <c r="M33" s="14"/>
      <c r="N33" s="14"/>
      <c r="O33" s="14"/>
      <c r="P33" s="14"/>
    </row>
    <row r="34" ht="15.75" customHeight="1">
      <c r="A34" s="14"/>
      <c r="B34" s="14"/>
      <c r="C34" s="14"/>
      <c r="D34" s="14"/>
      <c r="E34" s="14"/>
      <c r="F34" s="15"/>
      <c r="G34" s="65"/>
      <c r="H34" s="14"/>
      <c r="I34" s="15"/>
      <c r="J34" s="15"/>
      <c r="K34" s="14"/>
      <c r="L34" s="14"/>
      <c r="M34" s="14"/>
      <c r="N34" s="14"/>
      <c r="O34" s="14"/>
      <c r="P34" s="14"/>
    </row>
    <row r="35" ht="15.75" customHeight="1">
      <c r="A35" s="14"/>
      <c r="B35" s="14"/>
      <c r="C35" s="14"/>
      <c r="D35" s="14"/>
      <c r="E35" s="14"/>
      <c r="F35" s="15"/>
      <c r="G35" s="65"/>
      <c r="H35" s="14"/>
      <c r="I35" s="15"/>
      <c r="J35" s="15"/>
      <c r="K35" s="14"/>
      <c r="L35" s="14"/>
      <c r="M35" s="14"/>
      <c r="N35" s="14"/>
      <c r="O35" s="14"/>
      <c r="P35" s="14"/>
    </row>
    <row r="36" ht="15.75" customHeight="1">
      <c r="A36" s="14"/>
      <c r="B36" s="14"/>
      <c r="C36" s="14"/>
      <c r="D36" s="14"/>
      <c r="E36" s="14"/>
      <c r="F36" s="15"/>
      <c r="G36" s="65"/>
      <c r="H36" s="14"/>
      <c r="I36" s="15"/>
      <c r="J36" s="15"/>
      <c r="K36" s="14"/>
      <c r="L36" s="14"/>
      <c r="M36" s="14"/>
      <c r="N36" s="14"/>
      <c r="O36" s="14"/>
      <c r="P36" s="14"/>
    </row>
    <row r="37" ht="15.75" customHeight="1">
      <c r="A37" s="14"/>
      <c r="B37" s="14"/>
      <c r="C37" s="14"/>
      <c r="D37" s="14"/>
      <c r="E37" s="14"/>
      <c r="F37" s="15"/>
      <c r="G37" s="65"/>
      <c r="H37" s="14"/>
      <c r="I37" s="15"/>
      <c r="J37" s="15"/>
      <c r="K37" s="14"/>
      <c r="L37" s="14"/>
      <c r="M37" s="14"/>
      <c r="N37" s="14"/>
      <c r="O37" s="14"/>
      <c r="P37" s="14"/>
    </row>
    <row r="38" ht="15.75" customHeight="1">
      <c r="A38" s="14"/>
      <c r="B38" s="14"/>
      <c r="C38" s="14"/>
      <c r="D38" s="14"/>
      <c r="E38" s="14"/>
      <c r="F38" s="15"/>
      <c r="G38" s="65"/>
      <c r="H38" s="14"/>
      <c r="I38" s="15"/>
      <c r="J38" s="15"/>
      <c r="K38" s="14"/>
      <c r="L38" s="14"/>
      <c r="M38" s="14"/>
      <c r="N38" s="14"/>
      <c r="O38" s="14"/>
      <c r="P38" s="14"/>
    </row>
    <row r="39" ht="15.75" customHeight="1">
      <c r="A39" s="14"/>
      <c r="B39" s="14"/>
      <c r="C39" s="14"/>
      <c r="D39" s="14"/>
      <c r="E39" s="14"/>
      <c r="F39" s="15"/>
      <c r="G39" s="65"/>
      <c r="H39" s="14"/>
      <c r="I39" s="15"/>
      <c r="J39" s="15"/>
      <c r="K39" s="14"/>
      <c r="L39" s="14"/>
      <c r="M39" s="14"/>
      <c r="N39" s="14"/>
      <c r="O39" s="14"/>
      <c r="P39" s="14"/>
    </row>
    <row r="40" ht="15.75" customHeight="1">
      <c r="A40" s="14"/>
      <c r="B40" s="14"/>
      <c r="C40" s="14"/>
      <c r="D40" s="14"/>
      <c r="E40" s="14"/>
      <c r="F40" s="15"/>
      <c r="G40" s="65"/>
      <c r="H40" s="14"/>
      <c r="I40" s="15"/>
      <c r="J40" s="15"/>
      <c r="K40" s="14"/>
      <c r="L40" s="14"/>
      <c r="M40" s="14"/>
      <c r="N40" s="14"/>
      <c r="O40" s="14"/>
      <c r="P40" s="14"/>
    </row>
    <row r="41" ht="15.75" customHeight="1">
      <c r="A41" s="14"/>
      <c r="B41" s="14"/>
      <c r="C41" s="14"/>
      <c r="D41" s="14"/>
      <c r="E41" s="14"/>
      <c r="F41" s="15"/>
      <c r="G41" s="65"/>
      <c r="H41" s="14"/>
      <c r="I41" s="15"/>
      <c r="J41" s="15"/>
      <c r="K41" s="14"/>
      <c r="L41" s="14"/>
      <c r="M41" s="14"/>
      <c r="N41" s="14"/>
      <c r="O41" s="14"/>
      <c r="P41" s="14"/>
    </row>
    <row r="42" ht="15.75" customHeight="1">
      <c r="A42" s="14"/>
      <c r="B42" s="14"/>
      <c r="C42" s="14"/>
      <c r="D42" s="14"/>
      <c r="E42" s="14"/>
      <c r="F42" s="15"/>
      <c r="G42" s="65"/>
      <c r="H42" s="14"/>
      <c r="I42" s="15"/>
      <c r="J42" s="15"/>
      <c r="K42" s="14"/>
      <c r="L42" s="14"/>
      <c r="M42" s="14"/>
      <c r="N42" s="14"/>
      <c r="O42" s="14"/>
      <c r="P42" s="14"/>
    </row>
    <row r="43" ht="15.75" customHeight="1">
      <c r="A43" s="14"/>
      <c r="B43" s="14"/>
      <c r="C43" s="14"/>
      <c r="D43" s="14"/>
      <c r="E43" s="14"/>
      <c r="F43" s="15"/>
      <c r="G43" s="65"/>
      <c r="H43" s="14"/>
      <c r="I43" s="15"/>
      <c r="J43" s="15"/>
      <c r="K43" s="14"/>
      <c r="L43" s="14"/>
      <c r="M43" s="14"/>
      <c r="N43" s="14"/>
      <c r="O43" s="14"/>
      <c r="P43" s="14"/>
    </row>
    <row r="44" ht="15.75" customHeight="1">
      <c r="A44" s="14"/>
      <c r="B44" s="14"/>
      <c r="C44" s="14"/>
      <c r="D44" s="14"/>
      <c r="E44" s="14"/>
      <c r="F44" s="15"/>
      <c r="G44" s="65"/>
      <c r="H44" s="14"/>
      <c r="I44" s="15"/>
      <c r="J44" s="15"/>
      <c r="K44" s="14"/>
      <c r="L44" s="14"/>
      <c r="M44" s="14"/>
      <c r="N44" s="14"/>
      <c r="O44" s="14"/>
      <c r="P44" s="14"/>
    </row>
    <row r="45" ht="15.75" customHeight="1">
      <c r="A45" s="14"/>
      <c r="B45" s="14"/>
      <c r="C45" s="14"/>
      <c r="D45" s="14"/>
      <c r="E45" s="14"/>
      <c r="F45" s="15"/>
      <c r="G45" s="65"/>
      <c r="H45" s="14"/>
      <c r="I45" s="15"/>
      <c r="J45" s="15"/>
      <c r="K45" s="14"/>
      <c r="L45" s="14"/>
      <c r="M45" s="14"/>
      <c r="N45" s="14"/>
      <c r="O45" s="14"/>
      <c r="P45" s="14"/>
    </row>
    <row r="46" ht="15.75" customHeight="1">
      <c r="A46" s="14"/>
      <c r="B46" s="14"/>
      <c r="C46" s="14"/>
      <c r="D46" s="14"/>
      <c r="E46" s="14"/>
      <c r="F46" s="15"/>
      <c r="G46" s="65"/>
      <c r="H46" s="14"/>
      <c r="I46" s="15"/>
      <c r="J46" s="15"/>
      <c r="K46" s="14"/>
      <c r="L46" s="14"/>
      <c r="M46" s="14"/>
      <c r="N46" s="14"/>
      <c r="O46" s="14"/>
      <c r="P46" s="14"/>
    </row>
    <row r="47" ht="15.75" customHeight="1">
      <c r="A47" s="14"/>
      <c r="B47" s="14"/>
      <c r="C47" s="14"/>
      <c r="D47" s="14"/>
      <c r="E47" s="14"/>
      <c r="F47" s="15"/>
      <c r="G47" s="65"/>
      <c r="H47" s="14"/>
      <c r="I47" s="15"/>
      <c r="J47" s="15"/>
      <c r="K47" s="14"/>
      <c r="L47" s="14"/>
      <c r="M47" s="14"/>
      <c r="N47" s="14"/>
      <c r="O47" s="14"/>
      <c r="P47" s="14"/>
    </row>
    <row r="48" ht="15.75" customHeight="1">
      <c r="A48" s="14"/>
      <c r="B48" s="14"/>
      <c r="C48" s="14"/>
      <c r="D48" s="14"/>
      <c r="E48" s="14"/>
      <c r="F48" s="15"/>
      <c r="G48" s="65"/>
      <c r="H48" s="14"/>
      <c r="I48" s="15"/>
      <c r="J48" s="15"/>
      <c r="K48" s="14"/>
      <c r="L48" s="14"/>
      <c r="M48" s="14"/>
      <c r="N48" s="14"/>
      <c r="O48" s="14"/>
      <c r="P48" s="14"/>
    </row>
    <row r="49" ht="15.75" customHeight="1">
      <c r="A49" s="14"/>
      <c r="B49" s="14"/>
      <c r="C49" s="14"/>
      <c r="D49" s="14"/>
      <c r="E49" s="14"/>
      <c r="F49" s="15"/>
      <c r="G49" s="65"/>
      <c r="H49" s="14"/>
      <c r="I49" s="15"/>
      <c r="J49" s="15"/>
      <c r="K49" s="14"/>
      <c r="L49" s="14"/>
      <c r="M49" s="14"/>
      <c r="N49" s="14"/>
      <c r="O49" s="14"/>
      <c r="P49" s="14"/>
    </row>
    <row r="50" ht="15.75" customHeight="1">
      <c r="A50" s="14"/>
      <c r="B50" s="14"/>
      <c r="C50" s="14"/>
      <c r="D50" s="14"/>
      <c r="E50" s="14"/>
      <c r="F50" s="15"/>
      <c r="G50" s="65"/>
      <c r="H50" s="14"/>
      <c r="I50" s="15"/>
      <c r="J50" s="15"/>
      <c r="K50" s="14"/>
      <c r="L50" s="14"/>
      <c r="M50" s="14"/>
      <c r="N50" s="14"/>
      <c r="O50" s="14"/>
      <c r="P50" s="14"/>
    </row>
    <row r="51" ht="15.75" customHeight="1">
      <c r="A51" s="14"/>
      <c r="B51" s="14"/>
      <c r="C51" s="14"/>
      <c r="D51" s="14"/>
      <c r="E51" s="14"/>
      <c r="F51" s="15"/>
      <c r="G51" s="65"/>
      <c r="H51" s="14"/>
      <c r="I51" s="15"/>
      <c r="J51" s="15"/>
      <c r="K51" s="14"/>
      <c r="L51" s="14"/>
      <c r="M51" s="14"/>
      <c r="N51" s="14"/>
      <c r="O51" s="14"/>
      <c r="P51" s="14"/>
    </row>
    <row r="52" ht="15.75" customHeight="1">
      <c r="A52" s="14"/>
      <c r="B52" s="14"/>
      <c r="C52" s="14"/>
      <c r="D52" s="14"/>
      <c r="E52" s="14"/>
      <c r="F52" s="15"/>
      <c r="G52" s="65"/>
      <c r="H52" s="14"/>
      <c r="I52" s="15"/>
      <c r="J52" s="15"/>
      <c r="K52" s="14"/>
      <c r="L52" s="14"/>
      <c r="M52" s="14"/>
      <c r="N52" s="14"/>
      <c r="O52" s="14"/>
      <c r="P52" s="14"/>
    </row>
    <row r="53" ht="15.75" customHeight="1">
      <c r="A53" s="14"/>
      <c r="B53" s="14"/>
      <c r="C53" s="14"/>
      <c r="D53" s="14"/>
      <c r="E53" s="14"/>
      <c r="F53" s="15"/>
      <c r="G53" s="65"/>
      <c r="H53" s="14"/>
      <c r="I53" s="15"/>
      <c r="J53" s="15"/>
      <c r="K53" s="14"/>
      <c r="L53" s="14"/>
      <c r="M53" s="14"/>
      <c r="N53" s="14"/>
      <c r="O53" s="14"/>
      <c r="P53" s="14"/>
    </row>
    <row r="54" ht="15.75" customHeight="1">
      <c r="A54" s="14"/>
      <c r="B54" s="14"/>
      <c r="C54" s="14"/>
      <c r="D54" s="14"/>
      <c r="E54" s="14"/>
      <c r="F54" s="15"/>
      <c r="G54" s="65"/>
      <c r="H54" s="14"/>
      <c r="I54" s="15"/>
      <c r="J54" s="15"/>
      <c r="K54" s="14"/>
      <c r="L54" s="14"/>
      <c r="M54" s="14"/>
      <c r="N54" s="14"/>
      <c r="O54" s="14"/>
      <c r="P54" s="14"/>
    </row>
    <row r="55" ht="15.75" customHeight="1">
      <c r="A55" s="14"/>
      <c r="B55" s="14"/>
      <c r="C55" s="14"/>
      <c r="D55" s="14"/>
      <c r="E55" s="14"/>
      <c r="F55" s="15"/>
      <c r="G55" s="65"/>
      <c r="H55" s="14"/>
      <c r="I55" s="15"/>
      <c r="J55" s="15"/>
      <c r="K55" s="14"/>
      <c r="L55" s="14"/>
      <c r="M55" s="14"/>
      <c r="N55" s="14"/>
      <c r="O55" s="14"/>
      <c r="P55" s="14"/>
    </row>
    <row r="56" ht="15.75" customHeight="1">
      <c r="A56" s="14"/>
      <c r="B56" s="14"/>
      <c r="C56" s="14"/>
      <c r="D56" s="14"/>
      <c r="E56" s="14"/>
      <c r="F56" s="15"/>
      <c r="G56" s="65"/>
      <c r="H56" s="14"/>
      <c r="I56" s="15"/>
      <c r="J56" s="15"/>
      <c r="K56" s="14"/>
      <c r="L56" s="14"/>
      <c r="M56" s="14"/>
      <c r="N56" s="14"/>
      <c r="O56" s="14"/>
      <c r="P56" s="14"/>
    </row>
    <row r="57" ht="15.75" customHeight="1">
      <c r="A57" s="14"/>
      <c r="B57" s="14"/>
      <c r="C57" s="14"/>
      <c r="D57" s="14"/>
      <c r="E57" s="14"/>
      <c r="F57" s="15"/>
      <c r="G57" s="65"/>
      <c r="H57" s="14"/>
      <c r="I57" s="15"/>
      <c r="J57" s="15"/>
      <c r="K57" s="14"/>
      <c r="L57" s="14"/>
      <c r="M57" s="14"/>
      <c r="N57" s="14"/>
      <c r="O57" s="14"/>
      <c r="P57" s="14"/>
    </row>
    <row r="58" ht="15.75" customHeight="1">
      <c r="A58" s="14"/>
      <c r="B58" s="14"/>
      <c r="C58" s="14"/>
      <c r="D58" s="14"/>
      <c r="E58" s="14"/>
      <c r="F58" s="15"/>
      <c r="G58" s="65"/>
      <c r="H58" s="14"/>
      <c r="I58" s="15"/>
      <c r="J58" s="15"/>
      <c r="K58" s="14"/>
      <c r="L58" s="14"/>
      <c r="M58" s="14"/>
      <c r="N58" s="14"/>
      <c r="O58" s="14"/>
      <c r="P58" s="14"/>
    </row>
    <row r="59" ht="15.75" customHeight="1">
      <c r="A59" s="14"/>
      <c r="B59" s="14"/>
      <c r="C59" s="14"/>
      <c r="D59" s="14"/>
      <c r="E59" s="14"/>
      <c r="F59" s="15"/>
      <c r="G59" s="65"/>
      <c r="H59" s="14"/>
      <c r="I59" s="15"/>
      <c r="J59" s="15"/>
      <c r="K59" s="14"/>
      <c r="L59" s="14"/>
      <c r="M59" s="14"/>
      <c r="N59" s="14"/>
      <c r="O59" s="14"/>
      <c r="P59" s="14"/>
    </row>
    <row r="60" ht="15.75" customHeight="1">
      <c r="A60" s="14"/>
      <c r="B60" s="14"/>
      <c r="C60" s="14"/>
      <c r="D60" s="14"/>
      <c r="E60" s="14"/>
      <c r="F60" s="15"/>
      <c r="G60" s="65"/>
      <c r="H60" s="14"/>
      <c r="I60" s="15"/>
      <c r="J60" s="15"/>
      <c r="K60" s="14"/>
      <c r="L60" s="14"/>
      <c r="M60" s="14"/>
      <c r="N60" s="14"/>
      <c r="O60" s="14"/>
      <c r="P60" s="14"/>
    </row>
    <row r="61" ht="15.75" customHeight="1">
      <c r="A61" s="14"/>
      <c r="B61" s="14"/>
      <c r="C61" s="14"/>
      <c r="D61" s="14"/>
      <c r="E61" s="14"/>
      <c r="F61" s="15"/>
      <c r="G61" s="65"/>
      <c r="H61" s="14"/>
      <c r="I61" s="15"/>
      <c r="J61" s="15"/>
      <c r="K61" s="14"/>
      <c r="L61" s="14"/>
      <c r="M61" s="14"/>
      <c r="N61" s="14"/>
      <c r="O61" s="14"/>
      <c r="P61" s="14"/>
    </row>
    <row r="62" ht="15.75" customHeight="1">
      <c r="A62" s="14"/>
      <c r="B62" s="14"/>
      <c r="C62" s="14"/>
      <c r="D62" s="14"/>
      <c r="E62" s="14"/>
      <c r="F62" s="15"/>
      <c r="G62" s="65"/>
      <c r="H62" s="14"/>
      <c r="I62" s="15"/>
      <c r="J62" s="15"/>
      <c r="K62" s="14"/>
      <c r="L62" s="14"/>
      <c r="M62" s="14"/>
      <c r="N62" s="14"/>
      <c r="O62" s="14"/>
      <c r="P62" s="14"/>
    </row>
    <row r="63" ht="15.75" customHeight="1">
      <c r="A63" s="14"/>
      <c r="B63" s="14"/>
      <c r="C63" s="14"/>
      <c r="D63" s="14"/>
      <c r="E63" s="14"/>
      <c r="F63" s="15"/>
      <c r="G63" s="65"/>
      <c r="H63" s="14"/>
      <c r="I63" s="15"/>
      <c r="J63" s="15"/>
      <c r="K63" s="14"/>
      <c r="L63" s="14"/>
      <c r="M63" s="14"/>
      <c r="N63" s="14"/>
      <c r="O63" s="14"/>
      <c r="P63" s="14"/>
    </row>
    <row r="64" ht="15.75" customHeight="1">
      <c r="A64" s="14"/>
      <c r="B64" s="14"/>
      <c r="C64" s="14"/>
      <c r="D64" s="14"/>
      <c r="E64" s="14"/>
      <c r="F64" s="15"/>
      <c r="G64" s="65"/>
      <c r="H64" s="14"/>
      <c r="I64" s="15"/>
      <c r="J64" s="15"/>
      <c r="K64" s="14"/>
      <c r="L64" s="14"/>
      <c r="M64" s="14"/>
      <c r="N64" s="14"/>
      <c r="O64" s="14"/>
      <c r="P64" s="14"/>
    </row>
    <row r="65" ht="15.75" customHeight="1">
      <c r="A65" s="14"/>
      <c r="B65" s="14"/>
      <c r="C65" s="14"/>
      <c r="D65" s="14"/>
      <c r="E65" s="14"/>
      <c r="F65" s="15"/>
      <c r="G65" s="65"/>
      <c r="H65" s="14"/>
      <c r="I65" s="15"/>
      <c r="J65" s="15"/>
      <c r="K65" s="14"/>
      <c r="L65" s="14"/>
      <c r="M65" s="14"/>
      <c r="N65" s="14"/>
      <c r="O65" s="14"/>
      <c r="P65" s="14"/>
    </row>
    <row r="66" ht="15.75" customHeight="1">
      <c r="A66" s="14"/>
      <c r="B66" s="14"/>
      <c r="C66" s="14"/>
      <c r="D66" s="14"/>
      <c r="E66" s="14"/>
      <c r="F66" s="15"/>
      <c r="G66" s="65"/>
      <c r="H66" s="14"/>
      <c r="I66" s="15"/>
      <c r="J66" s="15"/>
      <c r="K66" s="14"/>
      <c r="L66" s="14"/>
      <c r="M66" s="14"/>
      <c r="N66" s="14"/>
      <c r="O66" s="14"/>
      <c r="P66" s="14"/>
    </row>
    <row r="67" ht="15.75" customHeight="1">
      <c r="A67" s="14"/>
      <c r="B67" s="14"/>
      <c r="C67" s="14"/>
      <c r="D67" s="14"/>
      <c r="E67" s="14"/>
      <c r="F67" s="15"/>
      <c r="G67" s="65"/>
      <c r="H67" s="14"/>
      <c r="I67" s="15"/>
      <c r="J67" s="15"/>
      <c r="K67" s="14"/>
      <c r="L67" s="14"/>
      <c r="M67" s="14"/>
      <c r="N67" s="14"/>
      <c r="O67" s="14"/>
      <c r="P67" s="14"/>
    </row>
    <row r="68" ht="15.75" customHeight="1">
      <c r="A68" s="14"/>
      <c r="B68" s="14"/>
      <c r="C68" s="14"/>
      <c r="D68" s="14"/>
      <c r="E68" s="14"/>
      <c r="F68" s="15"/>
      <c r="G68" s="65"/>
      <c r="H68" s="14"/>
      <c r="I68" s="15"/>
      <c r="J68" s="15"/>
      <c r="K68" s="14"/>
      <c r="L68" s="14"/>
      <c r="M68" s="14"/>
      <c r="N68" s="14"/>
      <c r="O68" s="14"/>
      <c r="P68" s="14"/>
    </row>
    <row r="69" ht="15.75" customHeight="1">
      <c r="A69" s="14"/>
      <c r="B69" s="14"/>
      <c r="C69" s="14"/>
      <c r="D69" s="14"/>
      <c r="E69" s="14"/>
      <c r="F69" s="15"/>
      <c r="G69" s="65"/>
      <c r="H69" s="14"/>
      <c r="I69" s="15"/>
      <c r="J69" s="15"/>
      <c r="K69" s="14"/>
      <c r="L69" s="14"/>
      <c r="M69" s="14"/>
      <c r="N69" s="14"/>
      <c r="O69" s="14"/>
      <c r="P69" s="14"/>
    </row>
    <row r="70" ht="15.75" customHeight="1">
      <c r="A70" s="14"/>
      <c r="B70" s="14"/>
      <c r="C70" s="14"/>
      <c r="D70" s="14"/>
      <c r="E70" s="14"/>
      <c r="F70" s="15"/>
      <c r="G70" s="65"/>
      <c r="H70" s="14"/>
      <c r="I70" s="15"/>
      <c r="J70" s="15"/>
      <c r="K70" s="14"/>
      <c r="L70" s="14"/>
      <c r="M70" s="14"/>
      <c r="N70" s="14"/>
      <c r="O70" s="14"/>
      <c r="P70" s="14"/>
    </row>
    <row r="71" ht="15.75" customHeight="1">
      <c r="A71" s="14"/>
      <c r="B71" s="14"/>
      <c r="C71" s="14"/>
      <c r="D71" s="14"/>
      <c r="E71" s="14"/>
      <c r="F71" s="15"/>
      <c r="G71" s="65"/>
      <c r="H71" s="14"/>
      <c r="I71" s="15"/>
      <c r="J71" s="15"/>
      <c r="K71" s="14"/>
      <c r="L71" s="14"/>
      <c r="M71" s="14"/>
      <c r="N71" s="14"/>
      <c r="O71" s="14"/>
      <c r="P71" s="14"/>
    </row>
    <row r="72" ht="15.75" customHeight="1">
      <c r="A72" s="14"/>
      <c r="B72" s="14"/>
      <c r="C72" s="14"/>
      <c r="D72" s="14"/>
      <c r="E72" s="14"/>
      <c r="F72" s="15"/>
      <c r="G72" s="65"/>
      <c r="H72" s="14"/>
      <c r="I72" s="15"/>
      <c r="J72" s="15"/>
      <c r="K72" s="14"/>
      <c r="L72" s="14"/>
      <c r="M72" s="14"/>
      <c r="N72" s="14"/>
      <c r="O72" s="14"/>
      <c r="P72" s="14"/>
    </row>
    <row r="73" ht="15.75" customHeight="1">
      <c r="A73" s="14"/>
      <c r="B73" s="14"/>
      <c r="C73" s="14"/>
      <c r="D73" s="14"/>
      <c r="E73" s="14"/>
      <c r="F73" s="15"/>
      <c r="G73" s="65"/>
      <c r="H73" s="14"/>
      <c r="I73" s="15"/>
      <c r="J73" s="15"/>
      <c r="K73" s="14"/>
      <c r="L73" s="14"/>
      <c r="M73" s="14"/>
      <c r="N73" s="14"/>
      <c r="O73" s="14"/>
      <c r="P73" s="14"/>
    </row>
    <row r="74" ht="15.75" customHeight="1">
      <c r="A74" s="14"/>
      <c r="B74" s="14"/>
      <c r="C74" s="14"/>
      <c r="D74" s="14"/>
      <c r="E74" s="14"/>
      <c r="F74" s="15"/>
      <c r="G74" s="65"/>
      <c r="H74" s="14"/>
      <c r="I74" s="15"/>
      <c r="J74" s="15"/>
      <c r="K74" s="14"/>
      <c r="L74" s="14"/>
      <c r="M74" s="14"/>
      <c r="N74" s="14"/>
      <c r="O74" s="14"/>
      <c r="P74" s="14"/>
    </row>
    <row r="75" ht="15.75" customHeight="1">
      <c r="A75" s="14"/>
      <c r="B75" s="14"/>
      <c r="C75" s="14"/>
      <c r="D75" s="14"/>
      <c r="E75" s="14"/>
      <c r="F75" s="15"/>
      <c r="G75" s="65"/>
      <c r="H75" s="14"/>
      <c r="I75" s="15"/>
      <c r="J75" s="15"/>
      <c r="K75" s="14"/>
      <c r="L75" s="14"/>
      <c r="M75" s="14"/>
      <c r="N75" s="14"/>
      <c r="O75" s="14"/>
      <c r="P75" s="14"/>
    </row>
    <row r="76" ht="15.75" customHeight="1">
      <c r="A76" s="14"/>
      <c r="B76" s="14"/>
      <c r="C76" s="14"/>
      <c r="D76" s="14"/>
      <c r="E76" s="14"/>
      <c r="F76" s="15"/>
      <c r="G76" s="65"/>
      <c r="H76" s="14"/>
      <c r="I76" s="15"/>
      <c r="J76" s="15"/>
      <c r="K76" s="14"/>
      <c r="L76" s="14"/>
      <c r="M76" s="14"/>
      <c r="N76" s="14"/>
      <c r="O76" s="14"/>
      <c r="P76" s="14"/>
    </row>
    <row r="77" ht="15.75" customHeight="1">
      <c r="A77" s="14"/>
      <c r="B77" s="14"/>
      <c r="C77" s="14"/>
      <c r="D77" s="14"/>
      <c r="E77" s="14"/>
      <c r="F77" s="15"/>
      <c r="G77" s="65"/>
      <c r="H77" s="14"/>
      <c r="I77" s="15"/>
      <c r="J77" s="15"/>
      <c r="K77" s="14"/>
      <c r="L77" s="14"/>
      <c r="M77" s="14"/>
      <c r="N77" s="14"/>
      <c r="O77" s="14"/>
      <c r="P77" s="14"/>
    </row>
    <row r="78" ht="15.75" customHeight="1">
      <c r="A78" s="14"/>
      <c r="B78" s="14"/>
      <c r="C78" s="14"/>
      <c r="D78" s="14"/>
      <c r="E78" s="14"/>
      <c r="F78" s="15"/>
      <c r="G78" s="65"/>
      <c r="H78" s="14"/>
      <c r="I78" s="15"/>
      <c r="J78" s="15"/>
      <c r="K78" s="14"/>
      <c r="L78" s="14"/>
      <c r="M78" s="14"/>
      <c r="N78" s="14"/>
      <c r="O78" s="14"/>
      <c r="P78" s="14"/>
    </row>
    <row r="79" ht="15.75" customHeight="1">
      <c r="A79" s="14"/>
      <c r="B79" s="14"/>
      <c r="C79" s="14"/>
      <c r="D79" s="14"/>
      <c r="E79" s="14"/>
      <c r="F79" s="15"/>
      <c r="G79" s="65"/>
      <c r="H79" s="14"/>
      <c r="I79" s="15"/>
      <c r="J79" s="15"/>
      <c r="K79" s="14"/>
      <c r="L79" s="14"/>
      <c r="M79" s="14"/>
      <c r="N79" s="14"/>
      <c r="O79" s="14"/>
      <c r="P79" s="14"/>
    </row>
    <row r="80" ht="15.75" customHeight="1">
      <c r="A80" s="14"/>
      <c r="B80" s="14"/>
      <c r="C80" s="14"/>
      <c r="D80" s="14"/>
      <c r="E80" s="14"/>
      <c r="F80" s="15"/>
      <c r="G80" s="65"/>
      <c r="H80" s="14"/>
      <c r="I80" s="15"/>
      <c r="J80" s="15"/>
      <c r="K80" s="14"/>
      <c r="L80" s="14"/>
      <c r="M80" s="14"/>
      <c r="N80" s="14"/>
      <c r="O80" s="14"/>
      <c r="P80" s="14"/>
    </row>
    <row r="81" ht="15.75" customHeight="1">
      <c r="A81" s="14"/>
      <c r="B81" s="14"/>
      <c r="C81" s="14"/>
      <c r="D81" s="14"/>
      <c r="E81" s="14"/>
      <c r="F81" s="15"/>
      <c r="G81" s="65"/>
      <c r="H81" s="14"/>
      <c r="I81" s="15"/>
      <c r="J81" s="15"/>
      <c r="K81" s="14"/>
      <c r="L81" s="14"/>
      <c r="M81" s="14"/>
      <c r="N81" s="14"/>
      <c r="O81" s="14"/>
      <c r="P81" s="14"/>
    </row>
    <row r="82" ht="15.75" customHeight="1">
      <c r="A82" s="14"/>
      <c r="B82" s="14"/>
      <c r="C82" s="14"/>
      <c r="D82" s="14"/>
      <c r="E82" s="14"/>
      <c r="F82" s="15"/>
      <c r="G82" s="65"/>
      <c r="H82" s="14"/>
      <c r="I82" s="15"/>
      <c r="J82" s="15"/>
      <c r="K82" s="14"/>
      <c r="L82" s="14"/>
      <c r="M82" s="14"/>
      <c r="N82" s="14"/>
      <c r="O82" s="14"/>
      <c r="P82" s="14"/>
    </row>
    <row r="83" ht="15.75" customHeight="1">
      <c r="A83" s="14"/>
      <c r="B83" s="14"/>
      <c r="C83" s="14"/>
      <c r="D83" s="14"/>
      <c r="E83" s="14"/>
      <c r="F83" s="15"/>
      <c r="G83" s="65"/>
      <c r="H83" s="14"/>
      <c r="I83" s="15"/>
      <c r="J83" s="15"/>
      <c r="K83" s="14"/>
      <c r="L83" s="14"/>
      <c r="M83" s="14"/>
      <c r="N83" s="14"/>
      <c r="O83" s="14"/>
      <c r="P83" s="14"/>
    </row>
    <row r="84" ht="15.75" customHeight="1">
      <c r="A84" s="14"/>
      <c r="B84" s="14"/>
      <c r="C84" s="14"/>
      <c r="D84" s="14"/>
      <c r="E84" s="14"/>
      <c r="F84" s="15"/>
      <c r="G84" s="65"/>
      <c r="H84" s="14"/>
      <c r="I84" s="15"/>
      <c r="J84" s="15"/>
      <c r="K84" s="14"/>
      <c r="L84" s="14"/>
      <c r="M84" s="14"/>
      <c r="N84" s="14"/>
      <c r="O84" s="14"/>
      <c r="P84" s="14"/>
    </row>
    <row r="85" ht="15.75" customHeight="1">
      <c r="A85" s="14"/>
      <c r="B85" s="14"/>
      <c r="C85" s="14"/>
      <c r="D85" s="14"/>
      <c r="E85" s="14"/>
      <c r="F85" s="15"/>
      <c r="G85" s="65"/>
      <c r="H85" s="14"/>
      <c r="I85" s="15"/>
      <c r="J85" s="15"/>
      <c r="K85" s="14"/>
      <c r="L85" s="14"/>
      <c r="M85" s="14"/>
      <c r="N85" s="14"/>
      <c r="O85" s="14"/>
      <c r="P85" s="14"/>
    </row>
    <row r="86" ht="15.75" customHeight="1">
      <c r="A86" s="14"/>
      <c r="B86" s="14"/>
      <c r="C86" s="14"/>
      <c r="D86" s="14"/>
      <c r="E86" s="14"/>
      <c r="F86" s="15"/>
      <c r="G86" s="65"/>
      <c r="H86" s="14"/>
      <c r="I86" s="15"/>
      <c r="J86" s="15"/>
      <c r="K86" s="14"/>
      <c r="L86" s="14"/>
      <c r="M86" s="14"/>
      <c r="N86" s="14"/>
      <c r="O86" s="14"/>
      <c r="P86" s="14"/>
    </row>
    <row r="87" ht="15.75" customHeight="1">
      <c r="A87" s="14"/>
      <c r="B87" s="14"/>
      <c r="C87" s="14"/>
      <c r="D87" s="14"/>
      <c r="E87" s="14"/>
      <c r="F87" s="15"/>
      <c r="G87" s="65"/>
      <c r="H87" s="14"/>
      <c r="I87" s="15"/>
      <c r="J87" s="15"/>
      <c r="K87" s="14"/>
      <c r="L87" s="14"/>
      <c r="M87" s="14"/>
      <c r="N87" s="14"/>
      <c r="O87" s="14"/>
      <c r="P87" s="14"/>
    </row>
    <row r="88" ht="15.75" customHeight="1">
      <c r="A88" s="14"/>
      <c r="B88" s="14"/>
      <c r="C88" s="14"/>
      <c r="D88" s="14"/>
      <c r="E88" s="14"/>
      <c r="F88" s="15"/>
      <c r="G88" s="65"/>
      <c r="H88" s="14"/>
      <c r="I88" s="15"/>
      <c r="J88" s="15"/>
      <c r="K88" s="14"/>
      <c r="L88" s="14"/>
      <c r="M88" s="14"/>
      <c r="N88" s="14"/>
      <c r="O88" s="14"/>
      <c r="P88" s="14"/>
    </row>
    <row r="89" ht="15.75" customHeight="1">
      <c r="A89" s="14"/>
      <c r="B89" s="14"/>
      <c r="C89" s="14"/>
      <c r="D89" s="14"/>
      <c r="E89" s="14"/>
      <c r="F89" s="15"/>
      <c r="G89" s="65"/>
      <c r="H89" s="14"/>
      <c r="I89" s="15"/>
      <c r="J89" s="15"/>
      <c r="K89" s="14"/>
      <c r="L89" s="14"/>
      <c r="M89" s="14"/>
      <c r="N89" s="14"/>
      <c r="O89" s="14"/>
      <c r="P89" s="14"/>
    </row>
    <row r="90" ht="15.75" customHeight="1">
      <c r="A90" s="14"/>
      <c r="B90" s="14"/>
      <c r="C90" s="14"/>
      <c r="D90" s="14"/>
      <c r="E90" s="14"/>
      <c r="F90" s="15"/>
      <c r="G90" s="65"/>
      <c r="H90" s="14"/>
      <c r="I90" s="15"/>
      <c r="J90" s="15"/>
      <c r="K90" s="14"/>
      <c r="L90" s="14"/>
      <c r="M90" s="14"/>
      <c r="N90" s="14"/>
      <c r="O90" s="14"/>
      <c r="P90" s="14"/>
    </row>
    <row r="91" ht="15.75" customHeight="1">
      <c r="A91" s="14"/>
      <c r="B91" s="14"/>
      <c r="C91" s="14"/>
      <c r="D91" s="14"/>
      <c r="E91" s="14"/>
      <c r="F91" s="15"/>
      <c r="G91" s="65"/>
      <c r="H91" s="14"/>
      <c r="I91" s="15"/>
      <c r="J91" s="15"/>
      <c r="K91" s="14"/>
      <c r="L91" s="14"/>
      <c r="M91" s="14"/>
      <c r="N91" s="14"/>
      <c r="O91" s="14"/>
      <c r="P91" s="14"/>
    </row>
    <row r="92" ht="15.75" customHeight="1">
      <c r="A92" s="14"/>
      <c r="B92" s="14"/>
      <c r="C92" s="14"/>
      <c r="D92" s="14"/>
      <c r="E92" s="14"/>
      <c r="F92" s="15"/>
      <c r="G92" s="65"/>
      <c r="H92" s="14"/>
      <c r="I92" s="15"/>
      <c r="J92" s="15"/>
      <c r="K92" s="14"/>
      <c r="L92" s="14"/>
      <c r="M92" s="14"/>
      <c r="N92" s="14"/>
      <c r="O92" s="14"/>
      <c r="P92" s="14"/>
    </row>
    <row r="93" ht="15.75" customHeight="1">
      <c r="A93" s="14"/>
      <c r="B93" s="14"/>
      <c r="C93" s="14"/>
      <c r="D93" s="14"/>
      <c r="E93" s="14"/>
      <c r="F93" s="15"/>
      <c r="G93" s="65"/>
      <c r="H93" s="14"/>
      <c r="I93" s="15"/>
      <c r="J93" s="15"/>
      <c r="K93" s="14"/>
      <c r="L93" s="14"/>
      <c r="M93" s="14"/>
      <c r="N93" s="14"/>
      <c r="O93" s="14"/>
      <c r="P93" s="14"/>
    </row>
    <row r="94" ht="15.75" customHeight="1">
      <c r="A94" s="14"/>
      <c r="B94" s="14"/>
      <c r="C94" s="14"/>
      <c r="D94" s="14"/>
      <c r="E94" s="14"/>
      <c r="F94" s="15"/>
      <c r="G94" s="65"/>
      <c r="H94" s="14"/>
      <c r="I94" s="15"/>
      <c r="J94" s="15"/>
      <c r="K94" s="14"/>
      <c r="L94" s="14"/>
      <c r="M94" s="14"/>
      <c r="N94" s="14"/>
      <c r="O94" s="14"/>
      <c r="P94" s="14"/>
    </row>
    <row r="95" ht="15.75" customHeight="1">
      <c r="A95" s="14"/>
      <c r="B95" s="14"/>
      <c r="C95" s="14"/>
      <c r="D95" s="14"/>
      <c r="E95" s="14"/>
      <c r="F95" s="15"/>
      <c r="G95" s="65"/>
      <c r="H95" s="14"/>
      <c r="I95" s="15"/>
      <c r="J95" s="15"/>
      <c r="K95" s="14"/>
      <c r="L95" s="14"/>
      <c r="M95" s="14"/>
      <c r="N95" s="14"/>
      <c r="O95" s="14"/>
      <c r="P95" s="14"/>
    </row>
    <row r="96" ht="15.75" customHeight="1">
      <c r="A96" s="14"/>
      <c r="B96" s="14"/>
      <c r="C96" s="14"/>
      <c r="D96" s="14"/>
      <c r="E96" s="14"/>
      <c r="F96" s="15"/>
      <c r="G96" s="65"/>
      <c r="H96" s="14"/>
      <c r="I96" s="15"/>
      <c r="J96" s="15"/>
      <c r="K96" s="14"/>
      <c r="L96" s="14"/>
      <c r="M96" s="14"/>
      <c r="N96" s="14"/>
      <c r="O96" s="14"/>
      <c r="P96" s="14"/>
    </row>
    <row r="97" ht="15.75" customHeight="1">
      <c r="A97" s="14"/>
      <c r="B97" s="14"/>
      <c r="C97" s="14"/>
      <c r="D97" s="14"/>
      <c r="E97" s="14"/>
      <c r="F97" s="15"/>
      <c r="G97" s="65"/>
      <c r="H97" s="14"/>
      <c r="I97" s="15"/>
      <c r="J97" s="15"/>
      <c r="K97" s="14"/>
      <c r="L97" s="14"/>
      <c r="M97" s="14"/>
      <c r="N97" s="14"/>
      <c r="O97" s="14"/>
      <c r="P97" s="14"/>
    </row>
    <row r="98" ht="15.75" customHeight="1">
      <c r="A98" s="14"/>
      <c r="B98" s="14"/>
      <c r="C98" s="14"/>
      <c r="D98" s="14"/>
      <c r="E98" s="14"/>
      <c r="F98" s="15"/>
      <c r="G98" s="65"/>
      <c r="H98" s="14"/>
      <c r="I98" s="15"/>
      <c r="J98" s="15"/>
      <c r="K98" s="14"/>
      <c r="L98" s="14"/>
      <c r="M98" s="14"/>
      <c r="N98" s="14"/>
      <c r="O98" s="14"/>
      <c r="P98" s="14"/>
    </row>
    <row r="99" ht="15.75" customHeight="1">
      <c r="A99" s="14"/>
      <c r="B99" s="14"/>
      <c r="C99" s="14"/>
      <c r="D99" s="14"/>
      <c r="E99" s="14"/>
      <c r="F99" s="15"/>
      <c r="G99" s="65"/>
      <c r="H99" s="14"/>
      <c r="I99" s="15"/>
      <c r="J99" s="15"/>
      <c r="K99" s="14"/>
      <c r="L99" s="14"/>
      <c r="M99" s="14"/>
      <c r="N99" s="14"/>
      <c r="O99" s="14"/>
      <c r="P99" s="14"/>
    </row>
    <row r="100" ht="15.75" customHeight="1">
      <c r="A100" s="14"/>
      <c r="B100" s="14"/>
      <c r="C100" s="14"/>
      <c r="D100" s="14"/>
      <c r="E100" s="14"/>
      <c r="F100" s="15"/>
      <c r="G100" s="65"/>
      <c r="H100" s="14"/>
      <c r="I100" s="15"/>
      <c r="J100" s="15"/>
      <c r="K100" s="14"/>
      <c r="L100" s="14"/>
      <c r="M100" s="14"/>
      <c r="N100" s="14"/>
      <c r="O100" s="14"/>
      <c r="P100" s="14"/>
    </row>
    <row r="101" ht="15.75" customHeight="1">
      <c r="A101" s="14"/>
      <c r="B101" s="14"/>
      <c r="C101" s="14"/>
      <c r="D101" s="14"/>
      <c r="E101" s="14"/>
      <c r="F101" s="15"/>
      <c r="G101" s="65"/>
      <c r="H101" s="14"/>
      <c r="I101" s="15"/>
      <c r="J101" s="15"/>
      <c r="K101" s="14"/>
      <c r="L101" s="14"/>
      <c r="M101" s="14"/>
      <c r="N101" s="14"/>
      <c r="O101" s="14"/>
      <c r="P101" s="14"/>
    </row>
    <row r="102" ht="15.75" customHeight="1">
      <c r="A102" s="14"/>
      <c r="B102" s="14"/>
      <c r="C102" s="14"/>
      <c r="D102" s="14"/>
      <c r="E102" s="14"/>
      <c r="F102" s="15"/>
      <c r="G102" s="65"/>
      <c r="H102" s="14"/>
      <c r="I102" s="15"/>
      <c r="J102" s="15"/>
      <c r="K102" s="14"/>
      <c r="L102" s="14"/>
      <c r="M102" s="14"/>
      <c r="N102" s="14"/>
      <c r="O102" s="14"/>
      <c r="P102" s="14"/>
    </row>
    <row r="103" ht="15.75" customHeight="1">
      <c r="A103" s="14"/>
      <c r="B103" s="14"/>
      <c r="C103" s="14"/>
      <c r="D103" s="14"/>
      <c r="E103" s="14"/>
      <c r="F103" s="15"/>
      <c r="G103" s="65"/>
      <c r="H103" s="14"/>
      <c r="I103" s="15"/>
      <c r="J103" s="15"/>
      <c r="K103" s="14"/>
      <c r="L103" s="14"/>
      <c r="M103" s="14"/>
      <c r="N103" s="14"/>
      <c r="O103" s="14"/>
      <c r="P103" s="14"/>
    </row>
    <row r="104" ht="15.75" customHeight="1">
      <c r="A104" s="14"/>
      <c r="B104" s="14"/>
      <c r="C104" s="14"/>
      <c r="D104" s="14"/>
      <c r="E104" s="14"/>
      <c r="F104" s="15"/>
      <c r="G104" s="65"/>
      <c r="H104" s="14"/>
      <c r="I104" s="15"/>
      <c r="J104" s="15"/>
      <c r="K104" s="14"/>
      <c r="L104" s="14"/>
      <c r="M104" s="14"/>
      <c r="N104" s="14"/>
      <c r="O104" s="14"/>
      <c r="P104" s="14"/>
    </row>
    <row r="105" ht="15.75" customHeight="1">
      <c r="A105" s="14"/>
      <c r="B105" s="14"/>
      <c r="C105" s="14"/>
      <c r="D105" s="14"/>
      <c r="E105" s="14"/>
      <c r="F105" s="15"/>
      <c r="G105" s="65"/>
      <c r="H105" s="14"/>
      <c r="I105" s="15"/>
      <c r="J105" s="15"/>
      <c r="K105" s="14"/>
      <c r="L105" s="14"/>
      <c r="M105" s="14"/>
      <c r="N105" s="14"/>
      <c r="O105" s="14"/>
      <c r="P105" s="14"/>
    </row>
    <row r="106" ht="15.75" customHeight="1">
      <c r="A106" s="14"/>
      <c r="B106" s="14"/>
      <c r="C106" s="14"/>
      <c r="D106" s="14"/>
      <c r="E106" s="14"/>
      <c r="F106" s="15"/>
      <c r="G106" s="65"/>
      <c r="H106" s="14"/>
      <c r="I106" s="15"/>
      <c r="J106" s="15"/>
      <c r="K106" s="14"/>
      <c r="L106" s="14"/>
      <c r="M106" s="14"/>
      <c r="N106" s="14"/>
      <c r="O106" s="14"/>
      <c r="P106" s="14"/>
    </row>
    <row r="107" ht="15.75" customHeight="1">
      <c r="A107" s="14"/>
      <c r="B107" s="14"/>
      <c r="C107" s="14"/>
      <c r="D107" s="14"/>
      <c r="E107" s="14"/>
      <c r="F107" s="15"/>
      <c r="G107" s="65"/>
      <c r="H107" s="14"/>
      <c r="I107" s="15"/>
      <c r="J107" s="15"/>
      <c r="K107" s="14"/>
      <c r="L107" s="14"/>
      <c r="M107" s="14"/>
      <c r="N107" s="14"/>
      <c r="O107" s="14"/>
      <c r="P107" s="14"/>
    </row>
    <row r="108" ht="15.75" customHeight="1">
      <c r="A108" s="14"/>
      <c r="B108" s="14"/>
      <c r="C108" s="14"/>
      <c r="D108" s="14"/>
      <c r="E108" s="14"/>
      <c r="F108" s="15"/>
      <c r="G108" s="65"/>
      <c r="H108" s="14"/>
      <c r="I108" s="15"/>
      <c r="J108" s="15"/>
      <c r="K108" s="14"/>
      <c r="L108" s="14"/>
      <c r="M108" s="14"/>
      <c r="N108" s="14"/>
      <c r="O108" s="14"/>
      <c r="P108" s="14"/>
    </row>
    <row r="109" ht="15.75" customHeight="1">
      <c r="A109" s="14"/>
      <c r="B109" s="14"/>
      <c r="C109" s="14"/>
      <c r="D109" s="14"/>
      <c r="E109" s="14"/>
      <c r="F109" s="15"/>
      <c r="G109" s="65"/>
      <c r="H109" s="14"/>
      <c r="I109" s="15"/>
      <c r="J109" s="15"/>
      <c r="K109" s="14"/>
      <c r="L109" s="14"/>
      <c r="M109" s="14"/>
      <c r="N109" s="14"/>
      <c r="O109" s="14"/>
      <c r="P109" s="14"/>
    </row>
    <row r="110" ht="15.75" customHeight="1">
      <c r="A110" s="14"/>
      <c r="B110" s="14"/>
      <c r="C110" s="14"/>
      <c r="D110" s="14"/>
      <c r="E110" s="14"/>
      <c r="F110" s="15"/>
      <c r="G110" s="65"/>
      <c r="H110" s="14"/>
      <c r="I110" s="15"/>
      <c r="J110" s="15"/>
      <c r="K110" s="14"/>
      <c r="L110" s="14"/>
      <c r="M110" s="14"/>
      <c r="N110" s="14"/>
      <c r="O110" s="14"/>
      <c r="P110" s="14"/>
    </row>
    <row r="111" ht="15.75" customHeight="1">
      <c r="A111" s="14"/>
      <c r="B111" s="14"/>
      <c r="C111" s="14"/>
      <c r="D111" s="14"/>
      <c r="E111" s="14"/>
      <c r="F111" s="15"/>
      <c r="G111" s="65"/>
      <c r="H111" s="14"/>
      <c r="I111" s="15"/>
      <c r="J111" s="15"/>
      <c r="K111" s="14"/>
      <c r="L111" s="14"/>
      <c r="M111" s="14"/>
      <c r="N111" s="14"/>
      <c r="O111" s="14"/>
      <c r="P111" s="14"/>
    </row>
    <row r="112" ht="15.75" customHeight="1">
      <c r="A112" s="14"/>
      <c r="B112" s="14"/>
      <c r="C112" s="14"/>
      <c r="D112" s="14"/>
      <c r="E112" s="14"/>
      <c r="F112" s="15"/>
      <c r="G112" s="65"/>
      <c r="H112" s="14"/>
      <c r="I112" s="15"/>
      <c r="J112" s="15"/>
      <c r="K112" s="14"/>
      <c r="L112" s="14"/>
      <c r="M112" s="14"/>
      <c r="N112" s="14"/>
      <c r="O112" s="14"/>
      <c r="P112" s="14"/>
    </row>
    <row r="113" ht="15.75" customHeight="1">
      <c r="A113" s="14"/>
      <c r="B113" s="14"/>
      <c r="C113" s="14"/>
      <c r="D113" s="14"/>
      <c r="E113" s="14"/>
      <c r="F113" s="15"/>
      <c r="G113" s="65"/>
      <c r="H113" s="14"/>
      <c r="I113" s="15"/>
      <c r="J113" s="15"/>
      <c r="K113" s="14"/>
      <c r="L113" s="14"/>
      <c r="M113" s="14"/>
      <c r="N113" s="14"/>
      <c r="O113" s="14"/>
      <c r="P113" s="14"/>
    </row>
    <row r="114" ht="15.75" customHeight="1">
      <c r="A114" s="14"/>
      <c r="B114" s="14"/>
      <c r="C114" s="14"/>
      <c r="D114" s="14"/>
      <c r="E114" s="14"/>
      <c r="F114" s="15"/>
      <c r="G114" s="65"/>
      <c r="H114" s="14"/>
      <c r="I114" s="15"/>
      <c r="J114" s="15"/>
      <c r="K114" s="14"/>
      <c r="L114" s="14"/>
      <c r="M114" s="14"/>
      <c r="N114" s="14"/>
      <c r="O114" s="14"/>
      <c r="P114" s="14"/>
    </row>
    <row r="115" ht="15.75" customHeight="1">
      <c r="A115" s="14"/>
      <c r="B115" s="14"/>
      <c r="C115" s="14"/>
      <c r="D115" s="14"/>
      <c r="E115" s="14"/>
      <c r="F115" s="15"/>
      <c r="G115" s="65"/>
      <c r="H115" s="14"/>
      <c r="I115" s="15"/>
      <c r="J115" s="15"/>
      <c r="K115" s="14"/>
      <c r="L115" s="14"/>
      <c r="M115" s="14"/>
      <c r="N115" s="14"/>
      <c r="O115" s="14"/>
      <c r="P115" s="14"/>
    </row>
    <row r="116" ht="15.75" customHeight="1">
      <c r="A116" s="14"/>
      <c r="B116" s="14"/>
      <c r="C116" s="14"/>
      <c r="D116" s="14"/>
      <c r="E116" s="14"/>
      <c r="F116" s="15"/>
      <c r="G116" s="65"/>
      <c r="H116" s="14"/>
      <c r="I116" s="15"/>
      <c r="J116" s="15"/>
      <c r="K116" s="14"/>
      <c r="L116" s="14"/>
      <c r="M116" s="14"/>
      <c r="N116" s="14"/>
      <c r="O116" s="14"/>
      <c r="P116" s="14"/>
    </row>
    <row r="117" ht="15.75" customHeight="1">
      <c r="A117" s="14"/>
      <c r="B117" s="14"/>
      <c r="C117" s="14"/>
      <c r="D117" s="14"/>
      <c r="E117" s="14"/>
      <c r="F117" s="15"/>
      <c r="G117" s="65"/>
      <c r="H117" s="14"/>
      <c r="I117" s="15"/>
      <c r="J117" s="15"/>
      <c r="K117" s="14"/>
      <c r="L117" s="14"/>
      <c r="M117" s="14"/>
      <c r="N117" s="14"/>
      <c r="O117" s="14"/>
      <c r="P117" s="14"/>
    </row>
    <row r="118" ht="15.75" customHeight="1">
      <c r="A118" s="14"/>
      <c r="B118" s="14"/>
      <c r="C118" s="14"/>
      <c r="D118" s="14"/>
      <c r="E118" s="14"/>
      <c r="F118" s="15"/>
      <c r="G118" s="65"/>
      <c r="H118" s="14"/>
      <c r="I118" s="15"/>
      <c r="J118" s="15"/>
      <c r="K118" s="14"/>
      <c r="L118" s="14"/>
      <c r="M118" s="14"/>
      <c r="N118" s="14"/>
      <c r="O118" s="14"/>
      <c r="P118" s="14"/>
    </row>
    <row r="119" ht="15.75" customHeight="1">
      <c r="A119" s="14"/>
      <c r="B119" s="14"/>
      <c r="C119" s="14"/>
      <c r="D119" s="14"/>
      <c r="E119" s="14"/>
      <c r="F119" s="15"/>
      <c r="G119" s="65"/>
      <c r="H119" s="14"/>
      <c r="I119" s="15"/>
      <c r="J119" s="15"/>
      <c r="K119" s="14"/>
      <c r="L119" s="14"/>
      <c r="M119" s="14"/>
      <c r="N119" s="14"/>
      <c r="O119" s="14"/>
      <c r="P119" s="14"/>
    </row>
    <row r="120" ht="15.75" customHeight="1">
      <c r="A120" s="14"/>
      <c r="B120" s="14"/>
      <c r="C120" s="14"/>
      <c r="D120" s="14"/>
      <c r="E120" s="14"/>
      <c r="F120" s="15"/>
      <c r="G120" s="65"/>
      <c r="H120" s="14"/>
      <c r="I120" s="15"/>
      <c r="J120" s="15"/>
      <c r="K120" s="14"/>
      <c r="L120" s="14"/>
      <c r="M120" s="14"/>
      <c r="N120" s="14"/>
      <c r="O120" s="14"/>
      <c r="P120" s="14"/>
    </row>
    <row r="121" ht="15.75" customHeight="1">
      <c r="A121" s="14"/>
      <c r="B121" s="14"/>
      <c r="C121" s="14"/>
      <c r="D121" s="14"/>
      <c r="E121" s="14"/>
      <c r="F121" s="15"/>
      <c r="G121" s="65"/>
      <c r="H121" s="14"/>
      <c r="I121" s="15"/>
      <c r="J121" s="15"/>
      <c r="K121" s="14"/>
      <c r="L121" s="14"/>
      <c r="M121" s="14"/>
      <c r="N121" s="14"/>
      <c r="O121" s="14"/>
      <c r="P121" s="14"/>
    </row>
    <row r="122" ht="15.75" customHeight="1">
      <c r="A122" s="14"/>
      <c r="B122" s="14"/>
      <c r="C122" s="14"/>
      <c r="D122" s="14"/>
      <c r="E122" s="14"/>
      <c r="F122" s="15"/>
      <c r="G122" s="65"/>
      <c r="H122" s="14"/>
      <c r="I122" s="15"/>
      <c r="J122" s="15"/>
      <c r="K122" s="14"/>
      <c r="L122" s="14"/>
      <c r="M122" s="14"/>
      <c r="N122" s="14"/>
      <c r="O122" s="14"/>
      <c r="P122" s="14"/>
    </row>
    <row r="123" ht="15.75" customHeight="1">
      <c r="A123" s="14"/>
      <c r="B123" s="14"/>
      <c r="C123" s="14"/>
      <c r="D123" s="14"/>
      <c r="E123" s="14"/>
      <c r="F123" s="15"/>
      <c r="G123" s="65"/>
      <c r="H123" s="14"/>
      <c r="I123" s="15"/>
      <c r="J123" s="15"/>
      <c r="K123" s="14"/>
      <c r="L123" s="14"/>
      <c r="M123" s="14"/>
      <c r="N123" s="14"/>
      <c r="O123" s="14"/>
      <c r="P123" s="14"/>
    </row>
    <row r="124" ht="15.75" customHeight="1">
      <c r="A124" s="14"/>
      <c r="B124" s="14"/>
      <c r="C124" s="14"/>
      <c r="D124" s="14"/>
      <c r="E124" s="14"/>
      <c r="F124" s="15"/>
      <c r="G124" s="65"/>
      <c r="H124" s="14"/>
      <c r="I124" s="15"/>
      <c r="J124" s="15"/>
      <c r="K124" s="14"/>
      <c r="L124" s="14"/>
      <c r="M124" s="14"/>
      <c r="N124" s="14"/>
      <c r="O124" s="14"/>
      <c r="P124" s="14"/>
    </row>
    <row r="125" ht="15.75" customHeight="1">
      <c r="A125" s="14"/>
      <c r="B125" s="14"/>
      <c r="C125" s="14"/>
      <c r="D125" s="14"/>
      <c r="E125" s="14"/>
      <c r="F125" s="15"/>
      <c r="G125" s="65"/>
      <c r="H125" s="14"/>
      <c r="I125" s="15"/>
      <c r="J125" s="15"/>
      <c r="K125" s="14"/>
      <c r="L125" s="14"/>
      <c r="M125" s="14"/>
      <c r="N125" s="14"/>
      <c r="O125" s="14"/>
      <c r="P125" s="14"/>
    </row>
    <row r="126" ht="15.75" customHeight="1">
      <c r="A126" s="14"/>
      <c r="B126" s="14"/>
      <c r="C126" s="14"/>
      <c r="D126" s="14"/>
      <c r="E126" s="14"/>
      <c r="F126" s="15"/>
      <c r="G126" s="65"/>
      <c r="H126" s="14"/>
      <c r="I126" s="15"/>
      <c r="J126" s="15"/>
      <c r="K126" s="14"/>
      <c r="L126" s="14"/>
      <c r="M126" s="14"/>
      <c r="N126" s="14"/>
      <c r="O126" s="14"/>
      <c r="P126" s="14"/>
    </row>
    <row r="127" ht="15.75" customHeight="1">
      <c r="A127" s="14"/>
      <c r="B127" s="14"/>
      <c r="C127" s="14"/>
      <c r="D127" s="14"/>
      <c r="E127" s="14"/>
      <c r="F127" s="15"/>
      <c r="G127" s="65"/>
      <c r="H127" s="14"/>
      <c r="I127" s="15"/>
      <c r="J127" s="15"/>
      <c r="K127" s="14"/>
      <c r="L127" s="14"/>
      <c r="M127" s="14"/>
      <c r="N127" s="14"/>
      <c r="O127" s="14"/>
      <c r="P127" s="14"/>
    </row>
    <row r="128" ht="15.75" customHeight="1">
      <c r="A128" s="14"/>
      <c r="B128" s="14"/>
      <c r="C128" s="14"/>
      <c r="D128" s="14"/>
      <c r="E128" s="14"/>
      <c r="F128" s="15"/>
      <c r="G128" s="65"/>
      <c r="H128" s="14"/>
      <c r="I128" s="15"/>
      <c r="J128" s="15"/>
      <c r="K128" s="14"/>
      <c r="L128" s="14"/>
      <c r="M128" s="14"/>
      <c r="N128" s="14"/>
      <c r="O128" s="14"/>
      <c r="P128" s="14"/>
    </row>
    <row r="129" ht="15.75" customHeight="1">
      <c r="A129" s="14"/>
      <c r="B129" s="14"/>
      <c r="C129" s="14"/>
      <c r="D129" s="14"/>
      <c r="E129" s="14"/>
      <c r="F129" s="15"/>
      <c r="G129" s="65"/>
      <c r="H129" s="14"/>
      <c r="I129" s="15"/>
      <c r="J129" s="15"/>
      <c r="K129" s="14"/>
      <c r="L129" s="14"/>
      <c r="M129" s="14"/>
      <c r="N129" s="14"/>
      <c r="O129" s="14"/>
      <c r="P129" s="14"/>
    </row>
    <row r="130" ht="15.75" customHeight="1">
      <c r="A130" s="14"/>
      <c r="B130" s="14"/>
      <c r="C130" s="14"/>
      <c r="D130" s="14"/>
      <c r="E130" s="14"/>
      <c r="F130" s="15"/>
      <c r="G130" s="65"/>
      <c r="H130" s="14"/>
      <c r="I130" s="15"/>
      <c r="J130" s="15"/>
      <c r="K130" s="14"/>
      <c r="L130" s="14"/>
      <c r="M130" s="14"/>
      <c r="N130" s="14"/>
      <c r="O130" s="14"/>
      <c r="P130" s="14"/>
    </row>
    <row r="131" ht="15.75" customHeight="1">
      <c r="A131" s="14"/>
      <c r="B131" s="14"/>
      <c r="C131" s="14"/>
      <c r="D131" s="14"/>
      <c r="E131" s="14"/>
      <c r="F131" s="15"/>
      <c r="G131" s="65"/>
      <c r="H131" s="14"/>
      <c r="I131" s="15"/>
      <c r="J131" s="15"/>
      <c r="K131" s="14"/>
      <c r="L131" s="14"/>
      <c r="M131" s="14"/>
      <c r="N131" s="14"/>
      <c r="O131" s="14"/>
      <c r="P131" s="14"/>
    </row>
    <row r="132" ht="15.75" customHeight="1">
      <c r="A132" s="14"/>
      <c r="B132" s="14"/>
      <c r="C132" s="14"/>
      <c r="D132" s="14"/>
      <c r="E132" s="14"/>
      <c r="F132" s="15"/>
      <c r="G132" s="65"/>
      <c r="H132" s="14"/>
      <c r="I132" s="15"/>
      <c r="J132" s="15"/>
      <c r="K132" s="14"/>
      <c r="L132" s="14"/>
      <c r="M132" s="14"/>
      <c r="N132" s="14"/>
      <c r="O132" s="14"/>
      <c r="P132" s="14"/>
    </row>
    <row r="133" ht="15.75" customHeight="1">
      <c r="A133" s="14"/>
      <c r="B133" s="14"/>
      <c r="C133" s="14"/>
      <c r="D133" s="14"/>
      <c r="E133" s="14"/>
      <c r="F133" s="15"/>
      <c r="G133" s="65"/>
      <c r="H133" s="14"/>
      <c r="I133" s="15"/>
      <c r="J133" s="15"/>
      <c r="K133" s="14"/>
      <c r="L133" s="14"/>
      <c r="M133" s="14"/>
      <c r="N133" s="14"/>
      <c r="O133" s="14"/>
      <c r="P133" s="14"/>
    </row>
    <row r="134" ht="15.75" customHeight="1">
      <c r="A134" s="14"/>
      <c r="B134" s="14"/>
      <c r="C134" s="14"/>
      <c r="D134" s="14"/>
      <c r="E134" s="14"/>
      <c r="F134" s="15"/>
      <c r="G134" s="65"/>
      <c r="H134" s="14"/>
      <c r="I134" s="15"/>
      <c r="J134" s="15"/>
      <c r="K134" s="14"/>
      <c r="L134" s="14"/>
      <c r="M134" s="14"/>
      <c r="N134" s="14"/>
      <c r="O134" s="14"/>
      <c r="P134" s="14"/>
    </row>
    <row r="135" ht="15.75" customHeight="1">
      <c r="A135" s="14"/>
      <c r="B135" s="14"/>
      <c r="C135" s="14"/>
      <c r="D135" s="14"/>
      <c r="E135" s="14"/>
      <c r="F135" s="15"/>
      <c r="G135" s="65"/>
      <c r="H135" s="14"/>
      <c r="I135" s="15"/>
      <c r="J135" s="15"/>
      <c r="K135" s="14"/>
      <c r="L135" s="14"/>
      <c r="M135" s="14"/>
      <c r="N135" s="14"/>
      <c r="O135" s="14"/>
      <c r="P135" s="14"/>
    </row>
    <row r="136" ht="15.75" customHeight="1">
      <c r="A136" s="14"/>
      <c r="B136" s="14"/>
      <c r="C136" s="14"/>
      <c r="D136" s="14"/>
      <c r="E136" s="14"/>
      <c r="F136" s="15"/>
      <c r="G136" s="65"/>
      <c r="H136" s="14"/>
      <c r="I136" s="15"/>
      <c r="J136" s="15"/>
      <c r="K136" s="14"/>
      <c r="L136" s="14"/>
      <c r="M136" s="14"/>
      <c r="N136" s="14"/>
      <c r="O136" s="14"/>
      <c r="P136" s="14"/>
    </row>
    <row r="137" ht="15.75" customHeight="1">
      <c r="A137" s="14"/>
      <c r="B137" s="14"/>
      <c r="C137" s="14"/>
      <c r="D137" s="14"/>
      <c r="E137" s="14"/>
      <c r="F137" s="15"/>
      <c r="G137" s="65"/>
      <c r="H137" s="14"/>
      <c r="I137" s="15"/>
      <c r="J137" s="15"/>
      <c r="K137" s="14"/>
      <c r="L137" s="14"/>
      <c r="M137" s="14"/>
      <c r="N137" s="14"/>
      <c r="O137" s="14"/>
      <c r="P137" s="14"/>
    </row>
    <row r="138" ht="15.75" customHeight="1">
      <c r="A138" s="14"/>
      <c r="B138" s="14"/>
      <c r="C138" s="14"/>
      <c r="D138" s="14"/>
      <c r="E138" s="14"/>
      <c r="F138" s="15"/>
      <c r="G138" s="65"/>
      <c r="H138" s="14"/>
      <c r="I138" s="15"/>
      <c r="J138" s="15"/>
      <c r="K138" s="14"/>
      <c r="L138" s="14"/>
      <c r="M138" s="14"/>
      <c r="N138" s="14"/>
      <c r="O138" s="14"/>
      <c r="P138" s="14"/>
    </row>
    <row r="139" ht="15.75" customHeight="1">
      <c r="A139" s="14"/>
      <c r="B139" s="14"/>
      <c r="C139" s="14"/>
      <c r="D139" s="14"/>
      <c r="E139" s="14"/>
      <c r="F139" s="15"/>
      <c r="G139" s="65"/>
      <c r="H139" s="14"/>
      <c r="I139" s="15"/>
      <c r="J139" s="15"/>
      <c r="K139" s="14"/>
      <c r="L139" s="14"/>
      <c r="M139" s="14"/>
      <c r="N139" s="14"/>
      <c r="O139" s="14"/>
      <c r="P139" s="14"/>
    </row>
    <row r="140" ht="15.75" customHeight="1">
      <c r="A140" s="14"/>
      <c r="B140" s="14"/>
      <c r="C140" s="14"/>
      <c r="D140" s="14"/>
      <c r="E140" s="14"/>
      <c r="F140" s="15"/>
      <c r="G140" s="65"/>
      <c r="H140" s="14"/>
      <c r="I140" s="15"/>
      <c r="J140" s="15"/>
      <c r="K140" s="14"/>
      <c r="L140" s="14"/>
      <c r="M140" s="14"/>
      <c r="N140" s="14"/>
      <c r="O140" s="14"/>
      <c r="P140" s="14"/>
    </row>
    <row r="141" ht="15.75" customHeight="1">
      <c r="A141" s="14"/>
      <c r="B141" s="14"/>
      <c r="C141" s="14"/>
      <c r="D141" s="14"/>
      <c r="E141" s="14"/>
      <c r="F141" s="15"/>
      <c r="G141" s="65"/>
      <c r="H141" s="14"/>
      <c r="I141" s="15"/>
      <c r="J141" s="15"/>
      <c r="K141" s="14"/>
      <c r="L141" s="14"/>
      <c r="M141" s="14"/>
      <c r="N141" s="14"/>
      <c r="O141" s="14"/>
      <c r="P141" s="14"/>
    </row>
    <row r="142" ht="15.75" customHeight="1">
      <c r="A142" s="14"/>
      <c r="B142" s="14"/>
      <c r="C142" s="14"/>
      <c r="D142" s="14"/>
      <c r="E142" s="14"/>
      <c r="F142" s="15"/>
      <c r="G142" s="65"/>
      <c r="H142" s="14"/>
      <c r="I142" s="15"/>
      <c r="J142" s="15"/>
      <c r="K142" s="14"/>
      <c r="L142" s="14"/>
      <c r="M142" s="14"/>
      <c r="N142" s="14"/>
      <c r="O142" s="14"/>
      <c r="P142" s="14"/>
    </row>
    <row r="143" ht="15.75" customHeight="1">
      <c r="A143" s="14"/>
      <c r="B143" s="14"/>
      <c r="C143" s="14"/>
      <c r="D143" s="14"/>
      <c r="E143" s="14"/>
      <c r="F143" s="15"/>
      <c r="G143" s="65"/>
      <c r="H143" s="14"/>
      <c r="I143" s="15"/>
      <c r="J143" s="15"/>
      <c r="K143" s="14"/>
      <c r="L143" s="14"/>
      <c r="M143" s="14"/>
      <c r="N143" s="14"/>
      <c r="O143" s="14"/>
      <c r="P143" s="14"/>
    </row>
    <row r="144" ht="15.75" customHeight="1">
      <c r="A144" s="14"/>
      <c r="B144" s="14"/>
      <c r="C144" s="14"/>
      <c r="D144" s="14"/>
      <c r="E144" s="14"/>
      <c r="F144" s="15"/>
      <c r="G144" s="65"/>
      <c r="H144" s="14"/>
      <c r="I144" s="15"/>
      <c r="J144" s="15"/>
      <c r="K144" s="14"/>
      <c r="L144" s="14"/>
      <c r="M144" s="14"/>
      <c r="N144" s="14"/>
      <c r="O144" s="14"/>
      <c r="P144" s="14"/>
    </row>
    <row r="145" ht="15.75" customHeight="1">
      <c r="A145" s="14"/>
      <c r="B145" s="14"/>
      <c r="C145" s="14"/>
      <c r="D145" s="14"/>
      <c r="E145" s="14"/>
      <c r="F145" s="15"/>
      <c r="G145" s="65"/>
      <c r="H145" s="14"/>
      <c r="I145" s="15"/>
      <c r="J145" s="15"/>
      <c r="K145" s="14"/>
      <c r="L145" s="14"/>
      <c r="M145" s="14"/>
      <c r="N145" s="14"/>
      <c r="O145" s="14"/>
      <c r="P145" s="14"/>
    </row>
    <row r="146" ht="15.75" customHeight="1">
      <c r="A146" s="14"/>
      <c r="B146" s="14"/>
      <c r="C146" s="14"/>
      <c r="D146" s="14"/>
      <c r="E146" s="14"/>
      <c r="F146" s="15"/>
      <c r="G146" s="65"/>
      <c r="H146" s="14"/>
      <c r="I146" s="15"/>
      <c r="J146" s="15"/>
      <c r="K146" s="14"/>
      <c r="L146" s="14"/>
      <c r="M146" s="14"/>
      <c r="N146" s="14"/>
      <c r="O146" s="14"/>
      <c r="P146" s="14"/>
    </row>
    <row r="147" ht="15.75" customHeight="1">
      <c r="A147" s="14"/>
      <c r="B147" s="14"/>
      <c r="C147" s="14"/>
      <c r="D147" s="14"/>
      <c r="E147" s="14"/>
      <c r="F147" s="15"/>
      <c r="G147" s="65"/>
      <c r="H147" s="14"/>
      <c r="I147" s="15"/>
      <c r="J147" s="15"/>
      <c r="K147" s="14"/>
      <c r="L147" s="14"/>
      <c r="M147" s="14"/>
      <c r="N147" s="14"/>
      <c r="O147" s="14"/>
      <c r="P147" s="14"/>
    </row>
    <row r="148" ht="15.75" customHeight="1">
      <c r="A148" s="14"/>
      <c r="B148" s="14"/>
      <c r="C148" s="14"/>
      <c r="D148" s="14"/>
      <c r="E148" s="14"/>
      <c r="F148" s="15"/>
      <c r="G148" s="65"/>
      <c r="H148" s="14"/>
      <c r="I148" s="15"/>
      <c r="J148" s="15"/>
      <c r="K148" s="14"/>
      <c r="L148" s="14"/>
      <c r="M148" s="14"/>
      <c r="N148" s="14"/>
      <c r="O148" s="14"/>
      <c r="P148" s="14"/>
    </row>
    <row r="149" ht="15.75" customHeight="1">
      <c r="A149" s="14"/>
      <c r="B149" s="14"/>
      <c r="C149" s="14"/>
      <c r="D149" s="14"/>
      <c r="E149" s="14"/>
      <c r="F149" s="15"/>
      <c r="G149" s="65"/>
      <c r="H149" s="14"/>
      <c r="I149" s="15"/>
      <c r="J149" s="15"/>
      <c r="K149" s="14"/>
      <c r="L149" s="14"/>
      <c r="M149" s="14"/>
      <c r="N149" s="14"/>
      <c r="O149" s="14"/>
      <c r="P149" s="14"/>
    </row>
    <row r="150" ht="15.75" customHeight="1">
      <c r="A150" s="14"/>
      <c r="B150" s="14"/>
      <c r="C150" s="14"/>
      <c r="D150" s="14"/>
      <c r="E150" s="14"/>
      <c r="F150" s="15"/>
      <c r="G150" s="65"/>
      <c r="H150" s="14"/>
      <c r="I150" s="15"/>
      <c r="J150" s="15"/>
      <c r="K150" s="14"/>
      <c r="L150" s="14"/>
      <c r="M150" s="14"/>
      <c r="N150" s="14"/>
      <c r="O150" s="14"/>
      <c r="P150" s="14"/>
    </row>
    <row r="151" ht="15.75" customHeight="1">
      <c r="A151" s="14"/>
      <c r="B151" s="14"/>
      <c r="C151" s="14"/>
      <c r="D151" s="14"/>
      <c r="E151" s="14"/>
      <c r="F151" s="15"/>
      <c r="G151" s="65"/>
      <c r="H151" s="14"/>
      <c r="I151" s="15"/>
      <c r="J151" s="15"/>
      <c r="K151" s="14"/>
      <c r="L151" s="14"/>
      <c r="M151" s="14"/>
      <c r="N151" s="14"/>
      <c r="O151" s="14"/>
      <c r="P151" s="14"/>
    </row>
    <row r="152" ht="15.75" customHeight="1">
      <c r="A152" s="14"/>
      <c r="B152" s="14"/>
      <c r="C152" s="14"/>
      <c r="D152" s="14"/>
      <c r="E152" s="14"/>
      <c r="F152" s="15"/>
      <c r="G152" s="65"/>
      <c r="H152" s="14"/>
      <c r="I152" s="15"/>
      <c r="J152" s="15"/>
      <c r="K152" s="14"/>
      <c r="L152" s="14"/>
      <c r="M152" s="14"/>
      <c r="N152" s="14"/>
      <c r="O152" s="14"/>
      <c r="P152" s="14"/>
    </row>
    <row r="153" ht="15.75" customHeight="1">
      <c r="A153" s="14"/>
      <c r="B153" s="14"/>
      <c r="C153" s="14"/>
      <c r="D153" s="14"/>
      <c r="E153" s="14"/>
      <c r="F153" s="15"/>
      <c r="G153" s="65"/>
      <c r="H153" s="14"/>
      <c r="I153" s="15"/>
      <c r="J153" s="15"/>
      <c r="K153" s="14"/>
      <c r="L153" s="14"/>
      <c r="M153" s="14"/>
      <c r="N153" s="14"/>
      <c r="O153" s="14"/>
      <c r="P153" s="14"/>
    </row>
    <row r="154" ht="15.75" customHeight="1">
      <c r="A154" s="14"/>
      <c r="B154" s="14"/>
      <c r="C154" s="14"/>
      <c r="D154" s="14"/>
      <c r="E154" s="14"/>
      <c r="F154" s="15"/>
      <c r="G154" s="65"/>
      <c r="H154" s="14"/>
      <c r="I154" s="15"/>
      <c r="J154" s="15"/>
      <c r="K154" s="14"/>
      <c r="L154" s="14"/>
      <c r="M154" s="14"/>
      <c r="N154" s="14"/>
      <c r="O154" s="14"/>
      <c r="P154" s="14"/>
    </row>
    <row r="155" ht="15.75" customHeight="1">
      <c r="A155" s="14"/>
      <c r="B155" s="14"/>
      <c r="C155" s="14"/>
      <c r="D155" s="14"/>
      <c r="E155" s="14"/>
      <c r="F155" s="15"/>
      <c r="G155" s="65"/>
      <c r="H155" s="14"/>
      <c r="I155" s="15"/>
      <c r="J155" s="15"/>
      <c r="K155" s="14"/>
      <c r="L155" s="14"/>
      <c r="M155" s="14"/>
      <c r="N155" s="14"/>
      <c r="O155" s="14"/>
      <c r="P155" s="14"/>
    </row>
    <row r="156" ht="15.75" customHeight="1">
      <c r="A156" s="14"/>
      <c r="B156" s="14"/>
      <c r="C156" s="14"/>
      <c r="D156" s="14"/>
      <c r="E156" s="14"/>
      <c r="F156" s="15"/>
      <c r="G156" s="65"/>
      <c r="H156" s="14"/>
      <c r="I156" s="15"/>
      <c r="J156" s="15"/>
      <c r="K156" s="14"/>
      <c r="L156" s="14"/>
      <c r="M156" s="14"/>
      <c r="N156" s="14"/>
      <c r="O156" s="14"/>
      <c r="P156" s="14"/>
    </row>
    <row r="157" ht="15.75" customHeight="1">
      <c r="A157" s="14"/>
      <c r="B157" s="14"/>
      <c r="C157" s="14"/>
      <c r="D157" s="14"/>
      <c r="E157" s="14"/>
      <c r="F157" s="15"/>
      <c r="G157" s="65"/>
      <c r="H157" s="14"/>
      <c r="I157" s="15"/>
      <c r="J157" s="15"/>
      <c r="K157" s="14"/>
      <c r="L157" s="14"/>
      <c r="M157" s="14"/>
      <c r="N157" s="14"/>
      <c r="O157" s="14"/>
      <c r="P157" s="14"/>
    </row>
    <row r="158" ht="15.75" customHeight="1">
      <c r="A158" s="14"/>
      <c r="B158" s="14"/>
      <c r="C158" s="14"/>
      <c r="D158" s="14"/>
      <c r="E158" s="14"/>
      <c r="F158" s="15"/>
      <c r="G158" s="65"/>
      <c r="H158" s="14"/>
      <c r="I158" s="15"/>
      <c r="J158" s="15"/>
      <c r="K158" s="14"/>
      <c r="L158" s="14"/>
      <c r="M158" s="14"/>
      <c r="N158" s="14"/>
      <c r="O158" s="14"/>
      <c r="P158" s="14"/>
    </row>
    <row r="159" ht="15.75" customHeight="1">
      <c r="A159" s="14"/>
      <c r="B159" s="14"/>
      <c r="C159" s="14"/>
      <c r="D159" s="14"/>
      <c r="E159" s="14"/>
      <c r="F159" s="15"/>
      <c r="G159" s="65"/>
      <c r="H159" s="14"/>
      <c r="I159" s="15"/>
      <c r="J159" s="15"/>
      <c r="K159" s="14"/>
      <c r="L159" s="14"/>
      <c r="M159" s="14"/>
      <c r="N159" s="14"/>
      <c r="O159" s="14"/>
      <c r="P159" s="14"/>
    </row>
    <row r="160" ht="15.75" customHeight="1">
      <c r="A160" s="14"/>
      <c r="B160" s="14"/>
      <c r="C160" s="14"/>
      <c r="D160" s="14"/>
      <c r="E160" s="14"/>
      <c r="F160" s="15"/>
      <c r="G160" s="65"/>
      <c r="H160" s="14"/>
      <c r="I160" s="15"/>
      <c r="J160" s="15"/>
      <c r="K160" s="14"/>
      <c r="L160" s="14"/>
      <c r="M160" s="14"/>
      <c r="N160" s="14"/>
      <c r="O160" s="14"/>
      <c r="P160" s="14"/>
    </row>
    <row r="161" ht="15.75" customHeight="1">
      <c r="A161" s="14"/>
      <c r="B161" s="14"/>
      <c r="C161" s="14"/>
      <c r="D161" s="14"/>
      <c r="E161" s="14"/>
      <c r="F161" s="15"/>
      <c r="G161" s="65"/>
      <c r="H161" s="14"/>
      <c r="I161" s="15"/>
      <c r="J161" s="15"/>
      <c r="K161" s="14"/>
      <c r="L161" s="14"/>
      <c r="M161" s="14"/>
      <c r="N161" s="14"/>
      <c r="O161" s="14"/>
      <c r="P161" s="14"/>
    </row>
    <row r="162" ht="15.75" customHeight="1">
      <c r="A162" s="14"/>
      <c r="B162" s="14"/>
      <c r="C162" s="14"/>
      <c r="D162" s="14"/>
      <c r="E162" s="14"/>
      <c r="F162" s="15"/>
      <c r="G162" s="65"/>
      <c r="H162" s="14"/>
      <c r="I162" s="15"/>
      <c r="J162" s="15"/>
      <c r="K162" s="14"/>
      <c r="L162" s="14"/>
      <c r="M162" s="14"/>
      <c r="N162" s="14"/>
      <c r="O162" s="14"/>
      <c r="P162" s="14"/>
    </row>
    <row r="163" ht="15.75" customHeight="1">
      <c r="A163" s="14"/>
      <c r="B163" s="14"/>
      <c r="C163" s="14"/>
      <c r="D163" s="14"/>
      <c r="E163" s="14"/>
      <c r="F163" s="15"/>
      <c r="G163" s="65"/>
      <c r="H163" s="14"/>
      <c r="I163" s="15"/>
      <c r="J163" s="15"/>
      <c r="K163" s="14"/>
      <c r="L163" s="14"/>
      <c r="M163" s="14"/>
      <c r="N163" s="14"/>
      <c r="O163" s="14"/>
      <c r="P163" s="14"/>
    </row>
    <row r="164" ht="15.75" customHeight="1">
      <c r="A164" s="14"/>
      <c r="B164" s="14"/>
      <c r="C164" s="14"/>
      <c r="D164" s="14"/>
      <c r="E164" s="14"/>
      <c r="F164" s="15"/>
      <c r="G164" s="65"/>
      <c r="H164" s="14"/>
      <c r="I164" s="15"/>
      <c r="J164" s="15"/>
      <c r="K164" s="14"/>
      <c r="L164" s="14"/>
      <c r="M164" s="14"/>
      <c r="N164" s="14"/>
      <c r="O164" s="14"/>
      <c r="P164" s="14"/>
    </row>
    <row r="165" ht="15.75" customHeight="1">
      <c r="A165" s="14"/>
      <c r="B165" s="14"/>
      <c r="C165" s="14"/>
      <c r="D165" s="14"/>
      <c r="E165" s="14"/>
      <c r="F165" s="15"/>
      <c r="G165" s="65"/>
      <c r="H165" s="14"/>
      <c r="I165" s="15"/>
      <c r="J165" s="15"/>
      <c r="K165" s="14"/>
      <c r="L165" s="14"/>
      <c r="M165" s="14"/>
      <c r="N165" s="14"/>
      <c r="O165" s="14"/>
      <c r="P165" s="14"/>
    </row>
    <row r="166" ht="15.75" customHeight="1">
      <c r="A166" s="14"/>
      <c r="B166" s="14"/>
      <c r="C166" s="14"/>
      <c r="D166" s="14"/>
      <c r="E166" s="14"/>
      <c r="F166" s="15"/>
      <c r="G166" s="65"/>
      <c r="H166" s="14"/>
      <c r="I166" s="15"/>
      <c r="J166" s="15"/>
      <c r="K166" s="14"/>
      <c r="L166" s="14"/>
      <c r="M166" s="14"/>
      <c r="N166" s="14"/>
      <c r="O166" s="14"/>
      <c r="P166" s="14"/>
    </row>
    <row r="167" ht="15.75" customHeight="1">
      <c r="A167" s="14"/>
      <c r="B167" s="14"/>
      <c r="C167" s="14"/>
      <c r="D167" s="14"/>
      <c r="E167" s="14"/>
      <c r="F167" s="15"/>
      <c r="G167" s="65"/>
      <c r="H167" s="14"/>
      <c r="I167" s="15"/>
      <c r="J167" s="15"/>
      <c r="K167" s="14"/>
      <c r="L167" s="14"/>
      <c r="M167" s="14"/>
      <c r="N167" s="14"/>
      <c r="O167" s="14"/>
      <c r="P167" s="14"/>
    </row>
    <row r="168" ht="15.75" customHeight="1">
      <c r="A168" s="14"/>
      <c r="B168" s="14"/>
      <c r="C168" s="14"/>
      <c r="D168" s="14"/>
      <c r="E168" s="14"/>
      <c r="F168" s="15"/>
      <c r="G168" s="65"/>
      <c r="H168" s="14"/>
      <c r="I168" s="15"/>
      <c r="J168" s="15"/>
      <c r="K168" s="14"/>
      <c r="L168" s="14"/>
      <c r="M168" s="14"/>
      <c r="N168" s="14"/>
      <c r="O168" s="14"/>
      <c r="P168" s="14"/>
    </row>
    <row r="169" ht="15.75" customHeight="1">
      <c r="A169" s="14"/>
      <c r="B169" s="14"/>
      <c r="C169" s="14"/>
      <c r="D169" s="14"/>
      <c r="E169" s="14"/>
      <c r="F169" s="15"/>
      <c r="G169" s="65"/>
      <c r="H169" s="14"/>
      <c r="I169" s="15"/>
      <c r="J169" s="15"/>
      <c r="K169" s="14"/>
      <c r="L169" s="14"/>
      <c r="M169" s="14"/>
      <c r="N169" s="14"/>
      <c r="O169" s="14"/>
      <c r="P169" s="14"/>
    </row>
    <row r="170" ht="15.75" customHeight="1">
      <c r="A170" s="14"/>
      <c r="B170" s="14"/>
      <c r="C170" s="14"/>
      <c r="D170" s="14"/>
      <c r="E170" s="14"/>
      <c r="F170" s="15"/>
      <c r="G170" s="65"/>
      <c r="H170" s="14"/>
      <c r="I170" s="15"/>
      <c r="J170" s="15"/>
      <c r="K170" s="14"/>
      <c r="L170" s="14"/>
      <c r="M170" s="14"/>
      <c r="N170" s="14"/>
      <c r="O170" s="14"/>
      <c r="P170" s="14"/>
    </row>
    <row r="171" ht="15.75" customHeight="1">
      <c r="A171" s="14"/>
      <c r="B171" s="14"/>
      <c r="C171" s="14"/>
      <c r="D171" s="14"/>
      <c r="E171" s="14"/>
      <c r="F171" s="15"/>
      <c r="G171" s="65"/>
      <c r="H171" s="14"/>
      <c r="I171" s="15"/>
      <c r="J171" s="15"/>
      <c r="K171" s="14"/>
      <c r="L171" s="14"/>
      <c r="M171" s="14"/>
      <c r="N171" s="14"/>
      <c r="O171" s="14"/>
      <c r="P171" s="14"/>
    </row>
    <row r="172" ht="15.75" customHeight="1">
      <c r="A172" s="14"/>
      <c r="B172" s="14"/>
      <c r="C172" s="14"/>
      <c r="D172" s="14"/>
      <c r="E172" s="14"/>
      <c r="F172" s="15"/>
      <c r="G172" s="65"/>
      <c r="H172" s="14"/>
      <c r="I172" s="15"/>
      <c r="J172" s="15"/>
      <c r="K172" s="14"/>
      <c r="L172" s="14"/>
      <c r="M172" s="14"/>
      <c r="N172" s="14"/>
      <c r="O172" s="14"/>
      <c r="P172" s="14"/>
    </row>
    <row r="173" ht="15.75" customHeight="1">
      <c r="A173" s="14"/>
      <c r="B173" s="14"/>
      <c r="C173" s="14"/>
      <c r="D173" s="14"/>
      <c r="E173" s="14"/>
      <c r="F173" s="15"/>
      <c r="G173" s="65"/>
      <c r="H173" s="14"/>
      <c r="I173" s="15"/>
      <c r="J173" s="15"/>
      <c r="K173" s="14"/>
      <c r="L173" s="14"/>
      <c r="M173" s="14"/>
      <c r="N173" s="14"/>
      <c r="O173" s="14"/>
      <c r="P173" s="14"/>
    </row>
    <row r="174" ht="15.75" customHeight="1">
      <c r="A174" s="14"/>
      <c r="B174" s="14"/>
      <c r="C174" s="14"/>
      <c r="D174" s="14"/>
      <c r="E174" s="14"/>
      <c r="F174" s="15"/>
      <c r="G174" s="65"/>
      <c r="H174" s="14"/>
      <c r="I174" s="15"/>
      <c r="J174" s="15"/>
      <c r="K174" s="14"/>
      <c r="L174" s="14"/>
      <c r="M174" s="14"/>
      <c r="N174" s="14"/>
      <c r="O174" s="14"/>
      <c r="P174" s="14"/>
    </row>
    <row r="175" ht="15.75" customHeight="1">
      <c r="A175" s="14"/>
      <c r="B175" s="14"/>
      <c r="C175" s="14"/>
      <c r="D175" s="14"/>
      <c r="E175" s="14"/>
      <c r="F175" s="15"/>
      <c r="G175" s="65"/>
      <c r="H175" s="14"/>
      <c r="I175" s="15"/>
      <c r="J175" s="15"/>
      <c r="K175" s="14"/>
      <c r="L175" s="14"/>
      <c r="M175" s="14"/>
      <c r="N175" s="14"/>
      <c r="O175" s="14"/>
      <c r="P175" s="14"/>
    </row>
    <row r="176" ht="15.75" customHeight="1">
      <c r="A176" s="14"/>
      <c r="B176" s="14"/>
      <c r="C176" s="14"/>
      <c r="D176" s="14"/>
      <c r="E176" s="14"/>
      <c r="F176" s="15"/>
      <c r="G176" s="65"/>
      <c r="H176" s="14"/>
      <c r="I176" s="15"/>
      <c r="J176" s="15"/>
      <c r="K176" s="14"/>
      <c r="L176" s="14"/>
      <c r="M176" s="14"/>
      <c r="N176" s="14"/>
      <c r="O176" s="14"/>
      <c r="P176" s="14"/>
    </row>
    <row r="177" ht="15.75" customHeight="1">
      <c r="A177" s="14"/>
      <c r="B177" s="14"/>
      <c r="C177" s="14"/>
      <c r="D177" s="14"/>
      <c r="E177" s="14"/>
      <c r="F177" s="15"/>
      <c r="G177" s="65"/>
      <c r="H177" s="14"/>
      <c r="I177" s="15"/>
      <c r="J177" s="15"/>
      <c r="K177" s="14"/>
      <c r="L177" s="14"/>
      <c r="M177" s="14"/>
      <c r="N177" s="14"/>
      <c r="O177" s="14"/>
      <c r="P177" s="14"/>
    </row>
    <row r="178" ht="15.75" customHeight="1">
      <c r="A178" s="14"/>
      <c r="B178" s="14"/>
      <c r="C178" s="14"/>
      <c r="D178" s="14"/>
      <c r="E178" s="14"/>
      <c r="F178" s="15"/>
      <c r="G178" s="65"/>
      <c r="H178" s="14"/>
      <c r="I178" s="15"/>
      <c r="J178" s="15"/>
      <c r="K178" s="14"/>
      <c r="L178" s="14"/>
      <c r="M178" s="14"/>
      <c r="N178" s="14"/>
      <c r="O178" s="14"/>
      <c r="P178" s="14"/>
    </row>
    <row r="179" ht="15.75" customHeight="1">
      <c r="A179" s="14"/>
      <c r="B179" s="14"/>
      <c r="C179" s="14"/>
      <c r="D179" s="14"/>
      <c r="E179" s="14"/>
      <c r="F179" s="15"/>
      <c r="G179" s="65"/>
      <c r="H179" s="14"/>
      <c r="I179" s="15"/>
      <c r="J179" s="15"/>
      <c r="K179" s="14"/>
      <c r="L179" s="14"/>
      <c r="M179" s="14"/>
      <c r="N179" s="14"/>
      <c r="O179" s="14"/>
      <c r="P179" s="14"/>
    </row>
    <row r="180" ht="15.75" customHeight="1">
      <c r="A180" s="14"/>
      <c r="B180" s="14"/>
      <c r="C180" s="14"/>
      <c r="D180" s="14"/>
      <c r="E180" s="14"/>
      <c r="F180" s="15"/>
      <c r="G180" s="65"/>
      <c r="H180" s="14"/>
      <c r="I180" s="15"/>
      <c r="J180" s="15"/>
      <c r="K180" s="14"/>
      <c r="L180" s="14"/>
      <c r="M180" s="14"/>
      <c r="N180" s="14"/>
      <c r="O180" s="14"/>
      <c r="P180" s="14"/>
    </row>
    <row r="181" ht="15.75" customHeight="1">
      <c r="A181" s="14"/>
      <c r="B181" s="14"/>
      <c r="C181" s="14"/>
      <c r="D181" s="14"/>
      <c r="E181" s="14"/>
      <c r="F181" s="15"/>
      <c r="G181" s="65"/>
      <c r="H181" s="14"/>
      <c r="I181" s="15"/>
      <c r="J181" s="15"/>
      <c r="K181" s="14"/>
      <c r="L181" s="14"/>
      <c r="M181" s="14"/>
      <c r="N181" s="14"/>
      <c r="O181" s="14"/>
      <c r="P181" s="14"/>
    </row>
    <row r="182" ht="15.75" customHeight="1">
      <c r="A182" s="14"/>
      <c r="B182" s="14"/>
      <c r="C182" s="14"/>
      <c r="D182" s="14"/>
      <c r="E182" s="14"/>
      <c r="F182" s="15"/>
      <c r="G182" s="65"/>
      <c r="H182" s="14"/>
      <c r="I182" s="15"/>
      <c r="J182" s="15"/>
      <c r="K182" s="14"/>
      <c r="L182" s="14"/>
      <c r="M182" s="14"/>
      <c r="N182" s="14"/>
      <c r="O182" s="14"/>
      <c r="P182" s="14"/>
    </row>
    <row r="183" ht="15.75" customHeight="1">
      <c r="A183" s="14"/>
      <c r="B183" s="14"/>
      <c r="C183" s="14"/>
      <c r="D183" s="14"/>
      <c r="E183" s="14"/>
      <c r="F183" s="15"/>
      <c r="G183" s="65"/>
      <c r="H183" s="14"/>
      <c r="I183" s="15"/>
      <c r="J183" s="15"/>
      <c r="K183" s="14"/>
      <c r="L183" s="14"/>
      <c r="M183" s="14"/>
      <c r="N183" s="14"/>
      <c r="O183" s="14"/>
      <c r="P183" s="14"/>
    </row>
    <row r="184" ht="15.75" customHeight="1">
      <c r="A184" s="14"/>
      <c r="B184" s="14"/>
      <c r="C184" s="14"/>
      <c r="D184" s="14"/>
      <c r="E184" s="14"/>
      <c r="F184" s="15"/>
      <c r="G184" s="65"/>
      <c r="H184" s="14"/>
      <c r="I184" s="15"/>
      <c r="J184" s="15"/>
      <c r="K184" s="14"/>
      <c r="L184" s="14"/>
      <c r="M184" s="14"/>
      <c r="N184" s="14"/>
      <c r="O184" s="14"/>
      <c r="P184" s="14"/>
    </row>
    <row r="185" ht="15.75" customHeight="1">
      <c r="A185" s="14"/>
      <c r="B185" s="14"/>
      <c r="C185" s="14"/>
      <c r="D185" s="14"/>
      <c r="E185" s="14"/>
      <c r="F185" s="15"/>
      <c r="G185" s="65"/>
      <c r="H185" s="14"/>
      <c r="I185" s="15"/>
      <c r="J185" s="15"/>
      <c r="K185" s="14"/>
      <c r="L185" s="14"/>
      <c r="M185" s="14"/>
      <c r="N185" s="14"/>
      <c r="O185" s="14"/>
      <c r="P185" s="14"/>
    </row>
    <row r="186" ht="15.75" customHeight="1">
      <c r="A186" s="14"/>
      <c r="B186" s="14"/>
      <c r="C186" s="14"/>
      <c r="D186" s="14"/>
      <c r="E186" s="14"/>
      <c r="F186" s="15"/>
      <c r="G186" s="65"/>
      <c r="H186" s="14"/>
      <c r="I186" s="15"/>
      <c r="J186" s="15"/>
      <c r="K186" s="14"/>
      <c r="L186" s="14"/>
      <c r="M186" s="14"/>
      <c r="N186" s="14"/>
      <c r="O186" s="14"/>
      <c r="P186" s="14"/>
    </row>
    <row r="187" ht="15.75" customHeight="1">
      <c r="A187" s="14"/>
      <c r="B187" s="14"/>
      <c r="C187" s="14"/>
      <c r="D187" s="14"/>
      <c r="E187" s="14"/>
      <c r="F187" s="15"/>
      <c r="G187" s="65"/>
      <c r="H187" s="14"/>
      <c r="I187" s="15"/>
      <c r="J187" s="15"/>
      <c r="K187" s="14"/>
      <c r="L187" s="14"/>
      <c r="M187" s="14"/>
      <c r="N187" s="14"/>
      <c r="O187" s="14"/>
      <c r="P187" s="14"/>
    </row>
    <row r="188" ht="15.75" customHeight="1">
      <c r="A188" s="14"/>
      <c r="B188" s="14"/>
      <c r="C188" s="14"/>
      <c r="D188" s="14"/>
      <c r="E188" s="14"/>
      <c r="F188" s="15"/>
      <c r="G188" s="65"/>
      <c r="H188" s="14"/>
      <c r="I188" s="15"/>
      <c r="J188" s="15"/>
      <c r="K188" s="14"/>
      <c r="L188" s="14"/>
      <c r="M188" s="14"/>
      <c r="N188" s="14"/>
      <c r="O188" s="14"/>
      <c r="P188" s="14"/>
    </row>
    <row r="189" ht="15.75" customHeight="1">
      <c r="A189" s="14"/>
      <c r="B189" s="14"/>
      <c r="C189" s="14"/>
      <c r="D189" s="14"/>
      <c r="E189" s="14"/>
      <c r="F189" s="15"/>
      <c r="G189" s="65"/>
      <c r="H189" s="14"/>
      <c r="I189" s="15"/>
      <c r="J189" s="15"/>
      <c r="K189" s="14"/>
      <c r="L189" s="14"/>
      <c r="M189" s="14"/>
      <c r="N189" s="14"/>
      <c r="O189" s="14"/>
      <c r="P189" s="14"/>
    </row>
    <row r="190" ht="15.75" customHeight="1">
      <c r="A190" s="14"/>
      <c r="B190" s="14"/>
      <c r="C190" s="14"/>
      <c r="D190" s="14"/>
      <c r="E190" s="14"/>
      <c r="F190" s="15"/>
      <c r="G190" s="65"/>
      <c r="H190" s="14"/>
      <c r="I190" s="15"/>
      <c r="J190" s="15"/>
      <c r="K190" s="14"/>
      <c r="L190" s="14"/>
      <c r="M190" s="14"/>
      <c r="N190" s="14"/>
      <c r="O190" s="14"/>
      <c r="P190" s="14"/>
    </row>
    <row r="191" ht="15.75" customHeight="1">
      <c r="A191" s="14"/>
      <c r="B191" s="14"/>
      <c r="C191" s="14"/>
      <c r="D191" s="14"/>
      <c r="E191" s="14"/>
      <c r="F191" s="15"/>
      <c r="G191" s="65"/>
      <c r="H191" s="14"/>
      <c r="I191" s="15"/>
      <c r="J191" s="15"/>
      <c r="K191" s="14"/>
      <c r="L191" s="14"/>
      <c r="M191" s="14"/>
      <c r="N191" s="14"/>
      <c r="O191" s="14"/>
      <c r="P191" s="14"/>
    </row>
    <row r="192" ht="15.75" customHeight="1">
      <c r="A192" s="14"/>
      <c r="B192" s="14"/>
      <c r="C192" s="14"/>
      <c r="D192" s="14"/>
      <c r="E192" s="14"/>
      <c r="F192" s="15"/>
      <c r="G192" s="65"/>
      <c r="H192" s="14"/>
      <c r="I192" s="15"/>
      <c r="J192" s="15"/>
      <c r="K192" s="14"/>
      <c r="L192" s="14"/>
      <c r="M192" s="14"/>
      <c r="N192" s="14"/>
      <c r="O192" s="14"/>
      <c r="P192" s="14"/>
    </row>
    <row r="193" ht="15.75" customHeight="1">
      <c r="A193" s="14"/>
      <c r="B193" s="14"/>
      <c r="C193" s="14"/>
      <c r="D193" s="14"/>
      <c r="E193" s="14"/>
      <c r="F193" s="15"/>
      <c r="G193" s="65"/>
      <c r="H193" s="14"/>
      <c r="I193" s="15"/>
      <c r="J193" s="15"/>
      <c r="K193" s="14"/>
      <c r="L193" s="14"/>
      <c r="M193" s="14"/>
      <c r="N193" s="14"/>
      <c r="O193" s="14"/>
      <c r="P193" s="14"/>
    </row>
    <row r="194" ht="15.75" customHeight="1">
      <c r="A194" s="14"/>
      <c r="B194" s="14"/>
      <c r="C194" s="14"/>
      <c r="D194" s="14"/>
      <c r="E194" s="14"/>
      <c r="F194" s="15"/>
      <c r="G194" s="65"/>
      <c r="H194" s="14"/>
      <c r="I194" s="15"/>
      <c r="J194" s="15"/>
      <c r="K194" s="14"/>
      <c r="L194" s="14"/>
      <c r="M194" s="14"/>
      <c r="N194" s="14"/>
      <c r="O194" s="14"/>
      <c r="P194" s="14"/>
    </row>
    <row r="195" ht="15.75" customHeight="1">
      <c r="A195" s="14"/>
      <c r="B195" s="14"/>
      <c r="C195" s="14"/>
      <c r="D195" s="14"/>
      <c r="E195" s="14"/>
      <c r="F195" s="15"/>
      <c r="G195" s="65"/>
      <c r="H195" s="14"/>
      <c r="I195" s="15"/>
      <c r="J195" s="15"/>
      <c r="K195" s="14"/>
      <c r="L195" s="14"/>
      <c r="M195" s="14"/>
      <c r="N195" s="14"/>
      <c r="O195" s="14"/>
      <c r="P195" s="14"/>
    </row>
    <row r="196" ht="15.75" customHeight="1">
      <c r="A196" s="14"/>
      <c r="B196" s="14"/>
      <c r="C196" s="14"/>
      <c r="D196" s="14"/>
      <c r="E196" s="14"/>
      <c r="F196" s="15"/>
      <c r="G196" s="65"/>
      <c r="H196" s="14"/>
      <c r="I196" s="15"/>
      <c r="J196" s="15"/>
      <c r="K196" s="14"/>
      <c r="L196" s="14"/>
      <c r="M196" s="14"/>
      <c r="N196" s="14"/>
      <c r="O196" s="14"/>
      <c r="P196" s="14"/>
    </row>
    <row r="197" ht="15.75" customHeight="1">
      <c r="A197" s="14"/>
      <c r="B197" s="14"/>
      <c r="C197" s="14"/>
      <c r="D197" s="14"/>
      <c r="E197" s="14"/>
      <c r="F197" s="15"/>
      <c r="G197" s="65"/>
      <c r="H197" s="14"/>
      <c r="I197" s="15"/>
      <c r="J197" s="15"/>
      <c r="K197" s="14"/>
      <c r="L197" s="14"/>
      <c r="M197" s="14"/>
      <c r="N197" s="14"/>
      <c r="O197" s="14"/>
      <c r="P197" s="14"/>
    </row>
    <row r="198" ht="15.75" customHeight="1">
      <c r="A198" s="14"/>
      <c r="B198" s="14"/>
      <c r="C198" s="14"/>
      <c r="D198" s="14"/>
      <c r="E198" s="14"/>
      <c r="F198" s="15"/>
      <c r="G198" s="65"/>
      <c r="H198" s="14"/>
      <c r="I198" s="15"/>
      <c r="J198" s="15"/>
      <c r="K198" s="14"/>
      <c r="L198" s="14"/>
      <c r="M198" s="14"/>
      <c r="N198" s="14"/>
      <c r="O198" s="14"/>
      <c r="P198" s="14"/>
    </row>
    <row r="199" ht="15.75" customHeight="1">
      <c r="A199" s="14"/>
      <c r="B199" s="14"/>
      <c r="C199" s="14"/>
      <c r="D199" s="14"/>
      <c r="E199" s="14"/>
      <c r="F199" s="15"/>
      <c r="G199" s="65"/>
      <c r="H199" s="14"/>
      <c r="I199" s="15"/>
      <c r="J199" s="15"/>
      <c r="K199" s="14"/>
      <c r="L199" s="14"/>
      <c r="M199" s="14"/>
      <c r="N199" s="14"/>
      <c r="O199" s="14"/>
      <c r="P199" s="14"/>
    </row>
    <row r="200" ht="15.75" customHeight="1">
      <c r="A200" s="14"/>
      <c r="B200" s="14"/>
      <c r="C200" s="14"/>
      <c r="D200" s="14"/>
      <c r="E200" s="14"/>
      <c r="F200" s="15"/>
      <c r="G200" s="65"/>
      <c r="H200" s="14"/>
      <c r="I200" s="15"/>
      <c r="J200" s="15"/>
      <c r="K200" s="14"/>
      <c r="L200" s="14"/>
      <c r="M200" s="14"/>
      <c r="N200" s="14"/>
      <c r="O200" s="14"/>
      <c r="P200" s="14"/>
    </row>
    <row r="201" ht="15.75" customHeight="1">
      <c r="A201" s="14"/>
      <c r="B201" s="14"/>
      <c r="C201" s="14"/>
      <c r="D201" s="14"/>
      <c r="E201" s="14"/>
      <c r="F201" s="15"/>
      <c r="G201" s="65"/>
      <c r="H201" s="14"/>
      <c r="I201" s="15"/>
      <c r="J201" s="15"/>
      <c r="K201" s="14"/>
      <c r="L201" s="14"/>
      <c r="M201" s="14"/>
      <c r="N201" s="14"/>
      <c r="O201" s="14"/>
      <c r="P201" s="14"/>
    </row>
    <row r="202" ht="15.75" customHeight="1">
      <c r="A202" s="14"/>
      <c r="B202" s="14"/>
      <c r="C202" s="14"/>
      <c r="D202" s="14"/>
      <c r="E202" s="14"/>
      <c r="F202" s="15"/>
      <c r="G202" s="65"/>
      <c r="H202" s="14"/>
      <c r="I202" s="15"/>
      <c r="J202" s="15"/>
      <c r="K202" s="14"/>
      <c r="L202" s="14"/>
      <c r="M202" s="14"/>
      <c r="N202" s="14"/>
      <c r="O202" s="14"/>
      <c r="P202" s="14"/>
    </row>
    <row r="203" ht="15.75" customHeight="1">
      <c r="A203" s="14"/>
      <c r="B203" s="14"/>
      <c r="C203" s="14"/>
      <c r="D203" s="14"/>
      <c r="E203" s="14"/>
      <c r="F203" s="15"/>
      <c r="G203" s="65"/>
      <c r="H203" s="14"/>
      <c r="I203" s="15"/>
      <c r="J203" s="15"/>
      <c r="K203" s="14"/>
      <c r="L203" s="14"/>
      <c r="M203" s="14"/>
      <c r="N203" s="14"/>
      <c r="O203" s="14"/>
      <c r="P203" s="14"/>
    </row>
    <row r="204" ht="15.75" customHeight="1">
      <c r="A204" s="14"/>
      <c r="B204" s="14"/>
      <c r="C204" s="14"/>
      <c r="D204" s="14"/>
      <c r="E204" s="14"/>
      <c r="F204" s="15"/>
      <c r="G204" s="65"/>
      <c r="H204" s="14"/>
      <c r="I204" s="15"/>
      <c r="J204" s="15"/>
      <c r="K204" s="14"/>
      <c r="L204" s="14"/>
      <c r="M204" s="14"/>
      <c r="N204" s="14"/>
      <c r="O204" s="14"/>
      <c r="P204" s="14"/>
    </row>
    <row r="205" ht="15.75" customHeight="1">
      <c r="A205" s="14"/>
      <c r="B205" s="14"/>
      <c r="C205" s="14"/>
      <c r="D205" s="14"/>
      <c r="E205" s="14"/>
      <c r="F205" s="15"/>
      <c r="G205" s="65"/>
      <c r="H205" s="14"/>
      <c r="I205" s="15"/>
      <c r="J205" s="15"/>
      <c r="K205" s="14"/>
      <c r="L205" s="14"/>
      <c r="M205" s="14"/>
      <c r="N205" s="14"/>
      <c r="O205" s="14"/>
      <c r="P205" s="14"/>
    </row>
    <row r="206" ht="15.75" customHeight="1">
      <c r="A206" s="14"/>
      <c r="B206" s="14"/>
      <c r="C206" s="14"/>
      <c r="D206" s="14"/>
      <c r="E206" s="14"/>
      <c r="F206" s="15"/>
      <c r="G206" s="65"/>
      <c r="H206" s="14"/>
      <c r="I206" s="15"/>
      <c r="J206" s="15"/>
      <c r="K206" s="14"/>
      <c r="L206" s="14"/>
      <c r="M206" s="14"/>
      <c r="N206" s="14"/>
      <c r="O206" s="14"/>
      <c r="P206" s="14"/>
    </row>
    <row r="207" ht="15.75" customHeight="1">
      <c r="A207" s="14"/>
      <c r="B207" s="14"/>
      <c r="C207" s="14"/>
      <c r="D207" s="14"/>
      <c r="E207" s="14"/>
      <c r="F207" s="15"/>
      <c r="G207" s="65"/>
      <c r="H207" s="14"/>
      <c r="I207" s="15"/>
      <c r="J207" s="15"/>
      <c r="K207" s="14"/>
      <c r="L207" s="14"/>
      <c r="M207" s="14"/>
      <c r="N207" s="14"/>
      <c r="O207" s="14"/>
      <c r="P207" s="14"/>
    </row>
    <row r="208" ht="15.75" customHeight="1">
      <c r="A208" s="14"/>
      <c r="B208" s="14"/>
      <c r="C208" s="14"/>
      <c r="D208" s="14"/>
      <c r="E208" s="14"/>
      <c r="F208" s="15"/>
      <c r="G208" s="65"/>
      <c r="H208" s="14"/>
      <c r="I208" s="15"/>
      <c r="J208" s="15"/>
      <c r="K208" s="14"/>
      <c r="L208" s="14"/>
      <c r="M208" s="14"/>
      <c r="N208" s="14"/>
      <c r="O208" s="14"/>
      <c r="P208" s="14"/>
    </row>
    <row r="209" ht="15.75" customHeight="1">
      <c r="A209" s="14"/>
      <c r="B209" s="14"/>
      <c r="C209" s="14"/>
      <c r="D209" s="14"/>
      <c r="E209" s="14"/>
      <c r="F209" s="15"/>
      <c r="G209" s="65"/>
      <c r="H209" s="14"/>
      <c r="I209" s="15"/>
      <c r="J209" s="15"/>
      <c r="K209" s="14"/>
      <c r="L209" s="14"/>
      <c r="M209" s="14"/>
      <c r="N209" s="14"/>
      <c r="O209" s="14"/>
      <c r="P209" s="14"/>
    </row>
    <row r="210" ht="15.75" customHeight="1">
      <c r="A210" s="14"/>
      <c r="B210" s="14"/>
      <c r="C210" s="14"/>
      <c r="D210" s="14"/>
      <c r="E210" s="14"/>
      <c r="F210" s="15"/>
      <c r="G210" s="65"/>
      <c r="H210" s="14"/>
      <c r="I210" s="15"/>
      <c r="J210" s="15"/>
      <c r="K210" s="14"/>
      <c r="L210" s="14"/>
      <c r="M210" s="14"/>
      <c r="N210" s="14"/>
      <c r="O210" s="14"/>
      <c r="P210" s="14"/>
    </row>
    <row r="211" ht="15.75" customHeight="1">
      <c r="A211" s="14"/>
      <c r="B211" s="14"/>
      <c r="C211" s="14"/>
      <c r="D211" s="14"/>
      <c r="E211" s="14"/>
      <c r="F211" s="15"/>
      <c r="G211" s="65"/>
      <c r="H211" s="14"/>
      <c r="I211" s="15"/>
      <c r="J211" s="15"/>
      <c r="K211" s="14"/>
      <c r="L211" s="14"/>
      <c r="M211" s="14"/>
      <c r="N211" s="14"/>
      <c r="O211" s="14"/>
      <c r="P211" s="14"/>
    </row>
    <row r="212" ht="15.75" customHeight="1">
      <c r="A212" s="14"/>
      <c r="B212" s="14"/>
      <c r="C212" s="14"/>
      <c r="D212" s="14"/>
      <c r="E212" s="14"/>
      <c r="F212" s="15"/>
      <c r="G212" s="65"/>
      <c r="H212" s="14"/>
      <c r="I212" s="15"/>
      <c r="J212" s="15"/>
      <c r="K212" s="14"/>
      <c r="L212" s="14"/>
      <c r="M212" s="14"/>
      <c r="N212" s="14"/>
      <c r="O212" s="14"/>
      <c r="P212" s="14"/>
    </row>
    <row r="213" ht="15.75" customHeight="1">
      <c r="A213" s="14"/>
      <c r="B213" s="14"/>
      <c r="C213" s="14"/>
      <c r="D213" s="14"/>
      <c r="E213" s="14"/>
      <c r="F213" s="15"/>
      <c r="G213" s="65"/>
      <c r="H213" s="14"/>
      <c r="I213" s="15"/>
      <c r="J213" s="15"/>
      <c r="K213" s="14"/>
      <c r="L213" s="14"/>
      <c r="M213" s="14"/>
      <c r="N213" s="14"/>
      <c r="O213" s="14"/>
      <c r="P213" s="14"/>
    </row>
    <row r="214" ht="15.75" customHeight="1">
      <c r="A214" s="14"/>
      <c r="B214" s="14"/>
      <c r="C214" s="14"/>
      <c r="D214" s="14"/>
      <c r="E214" s="14"/>
      <c r="F214" s="15"/>
      <c r="G214" s="65"/>
      <c r="H214" s="14"/>
      <c r="I214" s="15"/>
      <c r="J214" s="15"/>
      <c r="K214" s="14"/>
      <c r="L214" s="14"/>
      <c r="M214" s="14"/>
      <c r="N214" s="14"/>
      <c r="O214" s="14"/>
      <c r="P214" s="14"/>
    </row>
    <row r="215" ht="15.75" customHeight="1">
      <c r="A215" s="14"/>
      <c r="B215" s="14"/>
      <c r="C215" s="14"/>
      <c r="D215" s="14"/>
      <c r="E215" s="14"/>
      <c r="F215" s="15"/>
      <c r="G215" s="65"/>
      <c r="H215" s="14"/>
      <c r="I215" s="15"/>
      <c r="J215" s="15"/>
      <c r="K215" s="14"/>
      <c r="L215" s="14"/>
      <c r="M215" s="14"/>
      <c r="N215" s="14"/>
      <c r="O215" s="14"/>
      <c r="P215" s="14"/>
    </row>
    <row r="216" ht="15.75" customHeight="1">
      <c r="A216" s="14"/>
      <c r="B216" s="14"/>
      <c r="C216" s="14"/>
      <c r="D216" s="14"/>
      <c r="E216" s="14"/>
      <c r="F216" s="15"/>
      <c r="G216" s="65"/>
      <c r="H216" s="14"/>
      <c r="I216" s="15"/>
      <c r="J216" s="15"/>
      <c r="K216" s="14"/>
      <c r="L216" s="14"/>
      <c r="M216" s="14"/>
      <c r="N216" s="14"/>
      <c r="O216" s="14"/>
      <c r="P216" s="14"/>
    </row>
    <row r="217" ht="15.75" customHeight="1">
      <c r="A217" s="14"/>
      <c r="B217" s="14"/>
      <c r="C217" s="14"/>
      <c r="D217" s="14"/>
      <c r="E217" s="14"/>
      <c r="F217" s="15"/>
      <c r="G217" s="65"/>
      <c r="H217" s="14"/>
      <c r="I217" s="15"/>
      <c r="J217" s="15"/>
      <c r="K217" s="14"/>
      <c r="L217" s="14"/>
      <c r="M217" s="14"/>
      <c r="N217" s="14"/>
      <c r="O217" s="14"/>
      <c r="P217" s="14"/>
    </row>
    <row r="218" ht="15.75" customHeight="1">
      <c r="A218" s="14"/>
      <c r="B218" s="14"/>
      <c r="C218" s="14"/>
      <c r="D218" s="14"/>
      <c r="E218" s="14"/>
      <c r="F218" s="15"/>
      <c r="G218" s="65"/>
      <c r="H218" s="14"/>
      <c r="I218" s="15"/>
      <c r="J218" s="15"/>
      <c r="K218" s="14"/>
      <c r="L218" s="14"/>
      <c r="M218" s="14"/>
      <c r="N218" s="14"/>
      <c r="O218" s="14"/>
      <c r="P218" s="14"/>
    </row>
    <row r="219" ht="15.75" customHeight="1">
      <c r="A219" s="14"/>
      <c r="B219" s="14"/>
      <c r="C219" s="14"/>
      <c r="D219" s="14"/>
      <c r="E219" s="14"/>
      <c r="F219" s="15"/>
      <c r="G219" s="65"/>
      <c r="H219" s="14"/>
      <c r="I219" s="15"/>
      <c r="J219" s="15"/>
      <c r="K219" s="14"/>
      <c r="L219" s="14"/>
      <c r="M219" s="14"/>
      <c r="N219" s="14"/>
      <c r="O219" s="14"/>
      <c r="P219" s="14"/>
    </row>
    <row r="220" ht="15.75" customHeight="1">
      <c r="A220" s="14"/>
      <c r="B220" s="14"/>
      <c r="C220" s="14"/>
      <c r="D220" s="14"/>
      <c r="E220" s="14"/>
      <c r="F220" s="15"/>
      <c r="G220" s="65"/>
      <c r="H220" s="14"/>
      <c r="I220" s="15"/>
      <c r="J220" s="15"/>
      <c r="K220" s="14"/>
      <c r="L220" s="14"/>
      <c r="M220" s="14"/>
      <c r="N220" s="14"/>
      <c r="O220" s="14"/>
      <c r="P220" s="14"/>
    </row>
    <row r="221" ht="15.75" customHeight="1">
      <c r="H221" s="60"/>
      <c r="O221" s="60"/>
    </row>
    <row r="222" ht="15.75" customHeight="1">
      <c r="H222" s="60"/>
      <c r="O222" s="60"/>
    </row>
    <row r="223" ht="15.75" customHeight="1">
      <c r="H223" s="60"/>
      <c r="O223" s="60"/>
    </row>
    <row r="224" ht="15.75" customHeight="1">
      <c r="H224" s="60"/>
      <c r="O224" s="60"/>
    </row>
    <row r="225" ht="15.75" customHeight="1">
      <c r="H225" s="60"/>
      <c r="O225" s="60"/>
    </row>
    <row r="226" ht="15.75" customHeight="1">
      <c r="H226" s="60"/>
      <c r="O226" s="60"/>
    </row>
    <row r="227" ht="15.75" customHeight="1">
      <c r="H227" s="60"/>
      <c r="O227" s="60"/>
    </row>
    <row r="228" ht="15.75" customHeight="1">
      <c r="H228" s="60"/>
      <c r="O228" s="60"/>
    </row>
    <row r="229" ht="15.75" customHeight="1">
      <c r="H229" s="60"/>
      <c r="O229" s="60"/>
    </row>
    <row r="230" ht="15.75" customHeight="1">
      <c r="H230" s="60"/>
      <c r="O230" s="60"/>
    </row>
    <row r="231" ht="15.75" customHeight="1">
      <c r="H231" s="60"/>
      <c r="O231" s="60"/>
    </row>
    <row r="232" ht="15.75" customHeight="1">
      <c r="H232" s="60"/>
      <c r="O232" s="60"/>
    </row>
    <row r="233" ht="15.75" customHeight="1">
      <c r="H233" s="60"/>
      <c r="O233" s="60"/>
    </row>
    <row r="234" ht="15.75" customHeight="1">
      <c r="H234" s="60"/>
      <c r="O234" s="60"/>
    </row>
    <row r="235" ht="15.75" customHeight="1">
      <c r="H235" s="60"/>
      <c r="O235" s="60"/>
    </row>
    <row r="236" ht="15.75" customHeight="1">
      <c r="H236" s="60"/>
      <c r="O236" s="60"/>
    </row>
    <row r="237" ht="15.75" customHeight="1">
      <c r="H237" s="60"/>
      <c r="O237" s="60"/>
    </row>
    <row r="238" ht="15.75" customHeight="1">
      <c r="H238" s="60"/>
      <c r="O238" s="60"/>
    </row>
    <row r="239" ht="15.75" customHeight="1">
      <c r="H239" s="60"/>
      <c r="O239" s="60"/>
    </row>
    <row r="240" ht="15.75" customHeight="1">
      <c r="H240" s="60"/>
      <c r="O240" s="60"/>
    </row>
    <row r="241" ht="15.75" customHeight="1">
      <c r="H241" s="60"/>
      <c r="O241" s="60"/>
    </row>
    <row r="242" ht="15.75" customHeight="1">
      <c r="H242" s="60"/>
      <c r="O242" s="60"/>
    </row>
    <row r="243" ht="15.75" customHeight="1">
      <c r="H243" s="60"/>
      <c r="O243" s="60"/>
    </row>
    <row r="244" ht="15.75" customHeight="1">
      <c r="H244" s="60"/>
      <c r="O244" s="60"/>
    </row>
    <row r="245" ht="15.75" customHeight="1">
      <c r="H245" s="60"/>
      <c r="O245" s="60"/>
    </row>
    <row r="246" ht="15.75" customHeight="1">
      <c r="H246" s="60"/>
      <c r="O246" s="60"/>
    </row>
    <row r="247" ht="15.75" customHeight="1">
      <c r="H247" s="60"/>
      <c r="O247" s="60"/>
    </row>
    <row r="248" ht="15.75" customHeight="1">
      <c r="H248" s="60"/>
      <c r="O248" s="60"/>
    </row>
    <row r="249" ht="15.75" customHeight="1">
      <c r="H249" s="60"/>
      <c r="O249" s="60"/>
    </row>
    <row r="250" ht="15.75" customHeight="1">
      <c r="H250" s="60"/>
      <c r="O250" s="60"/>
    </row>
    <row r="251" ht="15.75" customHeight="1">
      <c r="H251" s="60"/>
      <c r="O251" s="60"/>
    </row>
    <row r="252" ht="15.75" customHeight="1">
      <c r="H252" s="60"/>
      <c r="O252" s="60"/>
    </row>
    <row r="253" ht="15.75" customHeight="1">
      <c r="H253" s="60"/>
      <c r="O253" s="60"/>
    </row>
    <row r="254" ht="15.75" customHeight="1">
      <c r="H254" s="60"/>
      <c r="O254" s="60"/>
    </row>
    <row r="255" ht="15.75" customHeight="1">
      <c r="H255" s="60"/>
      <c r="O255" s="60"/>
    </row>
    <row r="256" ht="15.75" customHeight="1">
      <c r="H256" s="60"/>
      <c r="O256" s="60"/>
    </row>
    <row r="257" ht="15.75" customHeight="1">
      <c r="H257" s="60"/>
      <c r="O257" s="60"/>
    </row>
    <row r="258" ht="15.75" customHeight="1">
      <c r="H258" s="60"/>
      <c r="O258" s="60"/>
    </row>
    <row r="259" ht="15.75" customHeight="1">
      <c r="H259" s="60"/>
      <c r="O259" s="60"/>
    </row>
    <row r="260" ht="15.75" customHeight="1">
      <c r="H260" s="60"/>
      <c r="O260" s="60"/>
    </row>
    <row r="261" ht="15.75" customHeight="1">
      <c r="H261" s="60"/>
      <c r="O261" s="60"/>
    </row>
    <row r="262" ht="15.75" customHeight="1">
      <c r="H262" s="60"/>
      <c r="O262" s="60"/>
    </row>
    <row r="263" ht="15.75" customHeight="1">
      <c r="H263" s="60"/>
      <c r="O263" s="60"/>
    </row>
    <row r="264" ht="15.75" customHeight="1">
      <c r="H264" s="60"/>
      <c r="O264" s="60"/>
    </row>
    <row r="265" ht="15.75" customHeight="1">
      <c r="H265" s="60"/>
      <c r="O265" s="60"/>
    </row>
    <row r="266" ht="15.75" customHeight="1">
      <c r="H266" s="60"/>
      <c r="O266" s="60"/>
    </row>
    <row r="267" ht="15.75" customHeight="1">
      <c r="H267" s="60"/>
      <c r="O267" s="60"/>
    </row>
    <row r="268" ht="15.75" customHeight="1">
      <c r="H268" s="60"/>
      <c r="O268" s="60"/>
    </row>
    <row r="269" ht="15.75" customHeight="1">
      <c r="H269" s="60"/>
      <c r="O269" s="60"/>
    </row>
    <row r="270" ht="15.75" customHeight="1">
      <c r="H270" s="60"/>
      <c r="O270" s="60"/>
    </row>
    <row r="271" ht="15.75" customHeight="1">
      <c r="H271" s="60"/>
      <c r="O271" s="60"/>
    </row>
    <row r="272" ht="15.75" customHeight="1">
      <c r="H272" s="60"/>
      <c r="O272" s="60"/>
    </row>
    <row r="273" ht="15.75" customHeight="1">
      <c r="H273" s="60"/>
      <c r="O273" s="60"/>
    </row>
    <row r="274" ht="15.75" customHeight="1">
      <c r="H274" s="60"/>
      <c r="O274" s="60"/>
    </row>
    <row r="275" ht="15.75" customHeight="1">
      <c r="H275" s="60"/>
      <c r="O275" s="60"/>
    </row>
    <row r="276" ht="15.75" customHeight="1">
      <c r="H276" s="60"/>
      <c r="O276" s="60"/>
    </row>
    <row r="277" ht="15.75" customHeight="1">
      <c r="H277" s="60"/>
      <c r="O277" s="60"/>
    </row>
    <row r="278" ht="15.75" customHeight="1">
      <c r="H278" s="60"/>
      <c r="O278" s="60"/>
    </row>
    <row r="279" ht="15.75" customHeight="1">
      <c r="H279" s="60"/>
      <c r="O279" s="60"/>
    </row>
    <row r="280" ht="15.75" customHeight="1">
      <c r="H280" s="60"/>
      <c r="O280" s="60"/>
    </row>
    <row r="281" ht="15.75" customHeight="1">
      <c r="H281" s="60"/>
      <c r="O281" s="60"/>
    </row>
    <row r="282" ht="15.75" customHeight="1">
      <c r="H282" s="60"/>
      <c r="O282" s="60"/>
    </row>
    <row r="283" ht="15.75" customHeight="1">
      <c r="H283" s="60"/>
      <c r="O283" s="60"/>
    </row>
    <row r="284" ht="15.75" customHeight="1">
      <c r="H284" s="60"/>
      <c r="O284" s="60"/>
    </row>
    <row r="285" ht="15.75" customHeight="1">
      <c r="H285" s="60"/>
      <c r="O285" s="60"/>
    </row>
    <row r="286" ht="15.75" customHeight="1">
      <c r="H286" s="60"/>
      <c r="O286" s="60"/>
    </row>
    <row r="287" ht="15.75" customHeight="1">
      <c r="H287" s="60"/>
      <c r="O287" s="60"/>
    </row>
    <row r="288" ht="15.75" customHeight="1">
      <c r="H288" s="60"/>
      <c r="O288" s="60"/>
    </row>
    <row r="289" ht="15.75" customHeight="1">
      <c r="H289" s="60"/>
      <c r="O289" s="60"/>
    </row>
    <row r="290" ht="15.75" customHeight="1">
      <c r="H290" s="60"/>
      <c r="O290" s="60"/>
    </row>
    <row r="291" ht="15.75" customHeight="1">
      <c r="H291" s="60"/>
      <c r="O291" s="60"/>
    </row>
    <row r="292" ht="15.75" customHeight="1">
      <c r="H292" s="60"/>
      <c r="O292" s="60"/>
    </row>
    <row r="293" ht="15.75" customHeight="1">
      <c r="H293" s="60"/>
      <c r="O293" s="60"/>
    </row>
    <row r="294" ht="15.75" customHeight="1">
      <c r="H294" s="60"/>
      <c r="O294" s="60"/>
    </row>
    <row r="295" ht="15.75" customHeight="1">
      <c r="H295" s="60"/>
      <c r="O295" s="60"/>
    </row>
    <row r="296" ht="15.75" customHeight="1">
      <c r="H296" s="60"/>
      <c r="O296" s="60"/>
    </row>
    <row r="297" ht="15.75" customHeight="1">
      <c r="H297" s="60"/>
      <c r="O297" s="60"/>
    </row>
    <row r="298" ht="15.75" customHeight="1">
      <c r="H298" s="60"/>
      <c r="O298" s="60"/>
    </row>
    <row r="299" ht="15.75" customHeight="1">
      <c r="H299" s="60"/>
      <c r="O299" s="60"/>
    </row>
    <row r="300" ht="15.75" customHeight="1">
      <c r="H300" s="60"/>
      <c r="O300" s="60"/>
    </row>
    <row r="301" ht="15.75" customHeight="1">
      <c r="H301" s="60"/>
      <c r="O301" s="60"/>
    </row>
    <row r="302" ht="15.75" customHeight="1">
      <c r="H302" s="60"/>
      <c r="O302" s="60"/>
    </row>
    <row r="303" ht="15.75" customHeight="1">
      <c r="H303" s="60"/>
      <c r="O303" s="60"/>
    </row>
    <row r="304" ht="15.75" customHeight="1">
      <c r="H304" s="60"/>
      <c r="O304" s="60"/>
    </row>
    <row r="305" ht="15.75" customHeight="1">
      <c r="H305" s="60"/>
      <c r="O305" s="60"/>
    </row>
    <row r="306" ht="15.75" customHeight="1">
      <c r="H306" s="60"/>
      <c r="O306" s="60"/>
    </row>
    <row r="307" ht="15.75" customHeight="1">
      <c r="H307" s="60"/>
      <c r="O307" s="60"/>
    </row>
    <row r="308" ht="15.75" customHeight="1">
      <c r="H308" s="60"/>
      <c r="O308" s="60"/>
    </row>
    <row r="309" ht="15.75" customHeight="1">
      <c r="H309" s="60"/>
      <c r="O309" s="60"/>
    </row>
    <row r="310" ht="15.75" customHeight="1">
      <c r="H310" s="60"/>
      <c r="O310" s="60"/>
    </row>
    <row r="311" ht="15.75" customHeight="1">
      <c r="H311" s="60"/>
      <c r="O311" s="60"/>
    </row>
    <row r="312" ht="15.75" customHeight="1">
      <c r="H312" s="60"/>
      <c r="O312" s="60"/>
    </row>
    <row r="313" ht="15.75" customHeight="1">
      <c r="H313" s="60"/>
      <c r="O313" s="60"/>
    </row>
    <row r="314" ht="15.75" customHeight="1">
      <c r="H314" s="60"/>
      <c r="O314" s="60"/>
    </row>
    <row r="315" ht="15.75" customHeight="1">
      <c r="H315" s="60"/>
      <c r="O315" s="60"/>
    </row>
    <row r="316" ht="15.75" customHeight="1">
      <c r="H316" s="60"/>
      <c r="O316" s="60"/>
    </row>
    <row r="317" ht="15.75" customHeight="1">
      <c r="H317" s="60"/>
      <c r="O317" s="60"/>
    </row>
    <row r="318" ht="15.75" customHeight="1">
      <c r="H318" s="60"/>
      <c r="O318" s="60"/>
    </row>
    <row r="319" ht="15.75" customHeight="1">
      <c r="H319" s="60"/>
      <c r="O319" s="60"/>
    </row>
    <row r="320" ht="15.75" customHeight="1">
      <c r="H320" s="60"/>
      <c r="O320" s="60"/>
    </row>
    <row r="321" ht="15.75" customHeight="1">
      <c r="H321" s="60"/>
      <c r="O321" s="60"/>
    </row>
    <row r="322" ht="15.75" customHeight="1">
      <c r="H322" s="60"/>
      <c r="O322" s="60"/>
    </row>
    <row r="323" ht="15.75" customHeight="1">
      <c r="H323" s="60"/>
      <c r="O323" s="60"/>
    </row>
    <row r="324" ht="15.75" customHeight="1">
      <c r="H324" s="60"/>
      <c r="O324" s="60"/>
    </row>
    <row r="325" ht="15.75" customHeight="1">
      <c r="H325" s="60"/>
      <c r="O325" s="60"/>
    </row>
    <row r="326" ht="15.75" customHeight="1">
      <c r="H326" s="60"/>
      <c r="O326" s="60"/>
    </row>
    <row r="327" ht="15.75" customHeight="1">
      <c r="H327" s="60"/>
      <c r="O327" s="60"/>
    </row>
    <row r="328" ht="15.75" customHeight="1">
      <c r="H328" s="60"/>
      <c r="O328" s="60"/>
    </row>
    <row r="329" ht="15.75" customHeight="1">
      <c r="H329" s="60"/>
      <c r="O329" s="60"/>
    </row>
    <row r="330" ht="15.75" customHeight="1">
      <c r="H330" s="60"/>
      <c r="O330" s="60"/>
    </row>
    <row r="331" ht="15.75" customHeight="1">
      <c r="H331" s="60"/>
      <c r="O331" s="60"/>
    </row>
    <row r="332" ht="15.75" customHeight="1">
      <c r="H332" s="60"/>
      <c r="O332" s="60"/>
    </row>
    <row r="333" ht="15.75" customHeight="1">
      <c r="H333" s="60"/>
      <c r="O333" s="60"/>
    </row>
    <row r="334" ht="15.75" customHeight="1">
      <c r="H334" s="60"/>
      <c r="O334" s="60"/>
    </row>
    <row r="335" ht="15.75" customHeight="1">
      <c r="H335" s="60"/>
      <c r="O335" s="60"/>
    </row>
    <row r="336" ht="15.75" customHeight="1">
      <c r="H336" s="60"/>
      <c r="O336" s="60"/>
    </row>
    <row r="337" ht="15.75" customHeight="1">
      <c r="H337" s="60"/>
      <c r="O337" s="60"/>
    </row>
    <row r="338" ht="15.75" customHeight="1">
      <c r="H338" s="60"/>
      <c r="O338" s="60"/>
    </row>
    <row r="339" ht="15.75" customHeight="1">
      <c r="H339" s="60"/>
      <c r="O339" s="60"/>
    </row>
    <row r="340" ht="15.75" customHeight="1">
      <c r="H340" s="60"/>
      <c r="O340" s="60"/>
    </row>
    <row r="341" ht="15.75" customHeight="1">
      <c r="H341" s="60"/>
      <c r="O341" s="60"/>
    </row>
    <row r="342" ht="15.75" customHeight="1">
      <c r="H342" s="60"/>
      <c r="O342" s="60"/>
    </row>
    <row r="343" ht="15.75" customHeight="1">
      <c r="H343" s="60"/>
      <c r="O343" s="60"/>
    </row>
    <row r="344" ht="15.75" customHeight="1">
      <c r="H344" s="60"/>
      <c r="O344" s="60"/>
    </row>
    <row r="345" ht="15.75" customHeight="1">
      <c r="H345" s="60"/>
      <c r="O345" s="60"/>
    </row>
    <row r="346" ht="15.75" customHeight="1">
      <c r="H346" s="60"/>
      <c r="O346" s="60"/>
    </row>
    <row r="347" ht="15.75" customHeight="1">
      <c r="H347" s="60"/>
      <c r="O347" s="60"/>
    </row>
    <row r="348" ht="15.75" customHeight="1">
      <c r="H348" s="60"/>
      <c r="O348" s="60"/>
    </row>
    <row r="349" ht="15.75" customHeight="1">
      <c r="H349" s="60"/>
      <c r="O349" s="60"/>
    </row>
    <row r="350" ht="15.75" customHeight="1">
      <c r="H350" s="60"/>
      <c r="O350" s="60"/>
    </row>
    <row r="351" ht="15.75" customHeight="1">
      <c r="H351" s="60"/>
      <c r="O351" s="60"/>
    </row>
    <row r="352" ht="15.75" customHeight="1">
      <c r="H352" s="60"/>
      <c r="O352" s="60"/>
    </row>
    <row r="353" ht="15.75" customHeight="1">
      <c r="H353" s="60"/>
      <c r="O353" s="60"/>
    </row>
    <row r="354" ht="15.75" customHeight="1">
      <c r="H354" s="60"/>
      <c r="O354" s="60"/>
    </row>
    <row r="355" ht="15.75" customHeight="1">
      <c r="H355" s="60"/>
      <c r="O355" s="60"/>
    </row>
    <row r="356" ht="15.75" customHeight="1">
      <c r="H356" s="60"/>
      <c r="O356" s="60"/>
    </row>
    <row r="357" ht="15.75" customHeight="1">
      <c r="H357" s="60"/>
      <c r="O357" s="60"/>
    </row>
    <row r="358" ht="15.75" customHeight="1">
      <c r="H358" s="60"/>
      <c r="O358" s="60"/>
    </row>
    <row r="359" ht="15.75" customHeight="1">
      <c r="H359" s="60"/>
      <c r="O359" s="60"/>
    </row>
    <row r="360" ht="15.75" customHeight="1">
      <c r="H360" s="60"/>
      <c r="O360" s="60"/>
    </row>
    <row r="361" ht="15.75" customHeight="1">
      <c r="H361" s="60"/>
      <c r="O361" s="60"/>
    </row>
    <row r="362" ht="15.75" customHeight="1">
      <c r="H362" s="60"/>
      <c r="O362" s="60"/>
    </row>
    <row r="363" ht="15.75" customHeight="1">
      <c r="H363" s="60"/>
      <c r="O363" s="60"/>
    </row>
    <row r="364" ht="15.75" customHeight="1">
      <c r="H364" s="60"/>
      <c r="O364" s="60"/>
    </row>
    <row r="365" ht="15.75" customHeight="1">
      <c r="H365" s="60"/>
      <c r="O365" s="60"/>
    </row>
    <row r="366" ht="15.75" customHeight="1">
      <c r="H366" s="60"/>
      <c r="O366" s="60"/>
    </row>
    <row r="367" ht="15.75" customHeight="1">
      <c r="H367" s="60"/>
      <c r="O367" s="60"/>
    </row>
    <row r="368" ht="15.75" customHeight="1">
      <c r="H368" s="60"/>
      <c r="O368" s="60"/>
    </row>
    <row r="369" ht="15.75" customHeight="1">
      <c r="H369" s="60"/>
      <c r="O369" s="60"/>
    </row>
    <row r="370" ht="15.75" customHeight="1">
      <c r="H370" s="60"/>
      <c r="O370" s="60"/>
    </row>
    <row r="371" ht="15.75" customHeight="1">
      <c r="H371" s="60"/>
      <c r="O371" s="60"/>
    </row>
    <row r="372" ht="15.75" customHeight="1">
      <c r="H372" s="60"/>
      <c r="O372" s="60"/>
    </row>
    <row r="373" ht="15.75" customHeight="1">
      <c r="H373" s="60"/>
      <c r="O373" s="60"/>
    </row>
    <row r="374" ht="15.75" customHeight="1">
      <c r="H374" s="60"/>
      <c r="O374" s="60"/>
    </row>
    <row r="375" ht="15.75" customHeight="1">
      <c r="H375" s="60"/>
      <c r="O375" s="60"/>
    </row>
    <row r="376" ht="15.75" customHeight="1">
      <c r="H376" s="60"/>
      <c r="O376" s="60"/>
    </row>
    <row r="377" ht="15.75" customHeight="1">
      <c r="H377" s="60"/>
      <c r="O377" s="60"/>
    </row>
    <row r="378" ht="15.75" customHeight="1">
      <c r="H378" s="60"/>
      <c r="O378" s="60"/>
    </row>
    <row r="379" ht="15.75" customHeight="1">
      <c r="H379" s="60"/>
      <c r="O379" s="60"/>
    </row>
    <row r="380" ht="15.75" customHeight="1">
      <c r="H380" s="60"/>
      <c r="O380" s="60"/>
    </row>
    <row r="381" ht="15.75" customHeight="1">
      <c r="H381" s="60"/>
      <c r="O381" s="60"/>
    </row>
    <row r="382" ht="15.75" customHeight="1">
      <c r="H382" s="60"/>
      <c r="O382" s="60"/>
    </row>
    <row r="383" ht="15.75" customHeight="1">
      <c r="H383" s="60"/>
      <c r="O383" s="60"/>
    </row>
    <row r="384" ht="15.75" customHeight="1">
      <c r="H384" s="60"/>
      <c r="O384" s="60"/>
    </row>
    <row r="385" ht="15.75" customHeight="1">
      <c r="H385" s="60"/>
      <c r="O385" s="60"/>
    </row>
    <row r="386" ht="15.75" customHeight="1">
      <c r="H386" s="60"/>
      <c r="O386" s="60"/>
    </row>
    <row r="387" ht="15.75" customHeight="1">
      <c r="H387" s="60"/>
      <c r="O387" s="60"/>
    </row>
    <row r="388" ht="15.75" customHeight="1">
      <c r="H388" s="60"/>
      <c r="O388" s="60"/>
    </row>
    <row r="389" ht="15.75" customHeight="1">
      <c r="H389" s="60"/>
      <c r="O389" s="60"/>
    </row>
    <row r="390" ht="15.75" customHeight="1">
      <c r="H390" s="60"/>
      <c r="O390" s="60"/>
    </row>
    <row r="391" ht="15.75" customHeight="1">
      <c r="H391" s="60"/>
      <c r="O391" s="60"/>
    </row>
    <row r="392" ht="15.75" customHeight="1">
      <c r="H392" s="60"/>
      <c r="O392" s="60"/>
    </row>
    <row r="393" ht="15.75" customHeight="1">
      <c r="H393" s="60"/>
      <c r="O393" s="60"/>
    </row>
    <row r="394" ht="15.75" customHeight="1">
      <c r="H394" s="60"/>
      <c r="O394" s="60"/>
    </row>
    <row r="395" ht="15.75" customHeight="1">
      <c r="H395" s="60"/>
      <c r="O395" s="60"/>
    </row>
    <row r="396" ht="15.75" customHeight="1">
      <c r="H396" s="60"/>
      <c r="O396" s="60"/>
    </row>
    <row r="397" ht="15.75" customHeight="1">
      <c r="H397" s="60"/>
      <c r="O397" s="60"/>
    </row>
    <row r="398" ht="15.75" customHeight="1">
      <c r="H398" s="60"/>
      <c r="O398" s="60"/>
    </row>
    <row r="399" ht="15.75" customHeight="1">
      <c r="H399" s="60"/>
      <c r="O399" s="60"/>
    </row>
    <row r="400" ht="15.75" customHeight="1">
      <c r="H400" s="60"/>
      <c r="O400" s="60"/>
    </row>
    <row r="401" ht="15.75" customHeight="1">
      <c r="H401" s="60"/>
      <c r="O401" s="60"/>
    </row>
    <row r="402" ht="15.75" customHeight="1">
      <c r="H402" s="60"/>
      <c r="O402" s="60"/>
    </row>
    <row r="403" ht="15.75" customHeight="1">
      <c r="H403" s="60"/>
      <c r="O403" s="60"/>
    </row>
    <row r="404" ht="15.75" customHeight="1">
      <c r="H404" s="60"/>
      <c r="O404" s="60"/>
    </row>
    <row r="405" ht="15.75" customHeight="1">
      <c r="H405" s="60"/>
      <c r="O405" s="60"/>
    </row>
    <row r="406" ht="15.75" customHeight="1">
      <c r="H406" s="60"/>
      <c r="O406" s="60"/>
    </row>
    <row r="407" ht="15.75" customHeight="1">
      <c r="H407" s="60"/>
      <c r="O407" s="60"/>
    </row>
    <row r="408" ht="15.75" customHeight="1">
      <c r="H408" s="60"/>
      <c r="O408" s="60"/>
    </row>
    <row r="409" ht="15.75" customHeight="1">
      <c r="H409" s="60"/>
      <c r="O409" s="60"/>
    </row>
    <row r="410" ht="15.75" customHeight="1">
      <c r="H410" s="60"/>
      <c r="O410" s="60"/>
    </row>
    <row r="411" ht="15.75" customHeight="1">
      <c r="H411" s="60"/>
      <c r="O411" s="60"/>
    </row>
    <row r="412" ht="15.75" customHeight="1">
      <c r="H412" s="60"/>
      <c r="O412" s="60"/>
    </row>
    <row r="413" ht="15.75" customHeight="1">
      <c r="H413" s="60"/>
      <c r="O413" s="60"/>
    </row>
    <row r="414" ht="15.75" customHeight="1">
      <c r="H414" s="60"/>
      <c r="O414" s="60"/>
    </row>
    <row r="415" ht="15.75" customHeight="1">
      <c r="H415" s="60"/>
      <c r="O415" s="60"/>
    </row>
    <row r="416" ht="15.75" customHeight="1">
      <c r="H416" s="60"/>
      <c r="O416" s="60"/>
    </row>
    <row r="417" ht="15.75" customHeight="1">
      <c r="H417" s="60"/>
      <c r="O417" s="60"/>
    </row>
    <row r="418" ht="15.75" customHeight="1">
      <c r="H418" s="60"/>
      <c r="O418" s="60"/>
    </row>
    <row r="419" ht="15.75" customHeight="1">
      <c r="H419" s="60"/>
      <c r="O419" s="60"/>
    </row>
    <row r="420" ht="15.75" customHeight="1">
      <c r="H420" s="60"/>
      <c r="O420" s="60"/>
    </row>
    <row r="421" ht="15.75" customHeight="1">
      <c r="H421" s="60"/>
      <c r="O421" s="60"/>
    </row>
    <row r="422" ht="15.75" customHeight="1">
      <c r="H422" s="60"/>
      <c r="O422" s="60"/>
    </row>
    <row r="423" ht="15.75" customHeight="1">
      <c r="H423" s="60"/>
      <c r="O423" s="60"/>
    </row>
    <row r="424" ht="15.75" customHeight="1">
      <c r="H424" s="60"/>
      <c r="O424" s="60"/>
    </row>
    <row r="425" ht="15.75" customHeight="1">
      <c r="H425" s="60"/>
      <c r="O425" s="60"/>
    </row>
    <row r="426" ht="15.75" customHeight="1">
      <c r="H426" s="60"/>
      <c r="O426" s="60"/>
    </row>
    <row r="427" ht="15.75" customHeight="1">
      <c r="H427" s="60"/>
      <c r="O427" s="60"/>
    </row>
    <row r="428" ht="15.75" customHeight="1">
      <c r="H428" s="60"/>
      <c r="O428" s="60"/>
    </row>
    <row r="429" ht="15.75" customHeight="1">
      <c r="H429" s="60"/>
      <c r="O429" s="60"/>
    </row>
    <row r="430" ht="15.75" customHeight="1">
      <c r="H430" s="60"/>
      <c r="O430" s="60"/>
    </row>
    <row r="431" ht="15.75" customHeight="1">
      <c r="H431" s="60"/>
      <c r="O431" s="60"/>
    </row>
    <row r="432" ht="15.75" customHeight="1">
      <c r="H432" s="60"/>
      <c r="O432" s="60"/>
    </row>
    <row r="433" ht="15.75" customHeight="1">
      <c r="H433" s="60"/>
      <c r="O433" s="60"/>
    </row>
    <row r="434" ht="15.75" customHeight="1">
      <c r="H434" s="60"/>
      <c r="O434" s="60"/>
    </row>
    <row r="435" ht="15.75" customHeight="1">
      <c r="H435" s="60"/>
      <c r="O435" s="60"/>
    </row>
    <row r="436" ht="15.75" customHeight="1">
      <c r="H436" s="60"/>
      <c r="O436" s="60"/>
    </row>
    <row r="437" ht="15.75" customHeight="1">
      <c r="H437" s="60"/>
      <c r="O437" s="60"/>
    </row>
    <row r="438" ht="15.75" customHeight="1">
      <c r="H438" s="60"/>
      <c r="O438" s="60"/>
    </row>
    <row r="439" ht="15.75" customHeight="1">
      <c r="H439" s="60"/>
      <c r="O439" s="60"/>
    </row>
    <row r="440" ht="15.75" customHeight="1">
      <c r="H440" s="60"/>
      <c r="O440" s="60"/>
    </row>
    <row r="441" ht="15.75" customHeight="1">
      <c r="H441" s="60"/>
      <c r="O441" s="60"/>
    </row>
    <row r="442" ht="15.75" customHeight="1">
      <c r="H442" s="60"/>
      <c r="O442" s="60"/>
    </row>
    <row r="443" ht="15.75" customHeight="1">
      <c r="H443" s="60"/>
      <c r="O443" s="60"/>
    </row>
    <row r="444" ht="15.75" customHeight="1">
      <c r="H444" s="60"/>
      <c r="O444" s="60"/>
    </row>
    <row r="445" ht="15.75" customHeight="1">
      <c r="H445" s="60"/>
      <c r="O445" s="60"/>
    </row>
    <row r="446" ht="15.75" customHeight="1">
      <c r="H446" s="60"/>
      <c r="O446" s="60"/>
    </row>
    <row r="447" ht="15.75" customHeight="1">
      <c r="H447" s="60"/>
      <c r="O447" s="60"/>
    </row>
    <row r="448" ht="15.75" customHeight="1">
      <c r="H448" s="60"/>
      <c r="O448" s="60"/>
    </row>
    <row r="449" ht="15.75" customHeight="1">
      <c r="H449" s="60"/>
      <c r="O449" s="60"/>
    </row>
    <row r="450" ht="15.75" customHeight="1">
      <c r="H450" s="60"/>
      <c r="O450" s="60"/>
    </row>
    <row r="451" ht="15.75" customHeight="1">
      <c r="H451" s="60"/>
      <c r="O451" s="60"/>
    </row>
    <row r="452" ht="15.75" customHeight="1">
      <c r="H452" s="60"/>
      <c r="O452" s="60"/>
    </row>
    <row r="453" ht="15.75" customHeight="1">
      <c r="H453" s="60"/>
      <c r="O453" s="60"/>
    </row>
    <row r="454" ht="15.75" customHeight="1">
      <c r="H454" s="60"/>
      <c r="O454" s="60"/>
    </row>
    <row r="455" ht="15.75" customHeight="1">
      <c r="H455" s="60"/>
      <c r="O455" s="60"/>
    </row>
    <row r="456" ht="15.75" customHeight="1">
      <c r="H456" s="60"/>
      <c r="O456" s="60"/>
    </row>
    <row r="457" ht="15.75" customHeight="1">
      <c r="H457" s="60"/>
      <c r="O457" s="60"/>
    </row>
    <row r="458" ht="15.75" customHeight="1">
      <c r="H458" s="60"/>
      <c r="O458" s="60"/>
    </row>
    <row r="459" ht="15.75" customHeight="1">
      <c r="H459" s="60"/>
      <c r="O459" s="60"/>
    </row>
    <row r="460" ht="15.75" customHeight="1">
      <c r="H460" s="60"/>
      <c r="O460" s="60"/>
    </row>
    <row r="461" ht="15.75" customHeight="1">
      <c r="H461" s="60"/>
      <c r="O461" s="60"/>
    </row>
    <row r="462" ht="15.75" customHeight="1">
      <c r="H462" s="60"/>
      <c r="O462" s="60"/>
    </row>
    <row r="463" ht="15.75" customHeight="1">
      <c r="H463" s="60"/>
      <c r="O463" s="60"/>
    </row>
    <row r="464" ht="15.75" customHeight="1">
      <c r="H464" s="60"/>
      <c r="O464" s="60"/>
    </row>
    <row r="465" ht="15.75" customHeight="1">
      <c r="H465" s="60"/>
      <c r="O465" s="60"/>
    </row>
    <row r="466" ht="15.75" customHeight="1">
      <c r="H466" s="60"/>
      <c r="O466" s="60"/>
    </row>
    <row r="467" ht="15.75" customHeight="1">
      <c r="H467" s="60"/>
      <c r="O467" s="60"/>
    </row>
    <row r="468" ht="15.75" customHeight="1">
      <c r="H468" s="60"/>
      <c r="O468" s="60"/>
    </row>
    <row r="469" ht="15.75" customHeight="1">
      <c r="H469" s="60"/>
      <c r="O469" s="60"/>
    </row>
    <row r="470" ht="15.75" customHeight="1">
      <c r="H470" s="60"/>
      <c r="O470" s="60"/>
    </row>
    <row r="471" ht="15.75" customHeight="1">
      <c r="H471" s="60"/>
      <c r="O471" s="60"/>
    </row>
    <row r="472" ht="15.75" customHeight="1">
      <c r="H472" s="60"/>
      <c r="O472" s="60"/>
    </row>
    <row r="473" ht="15.75" customHeight="1">
      <c r="H473" s="60"/>
      <c r="O473" s="60"/>
    </row>
    <row r="474" ht="15.75" customHeight="1">
      <c r="H474" s="60"/>
      <c r="O474" s="60"/>
    </row>
    <row r="475" ht="15.75" customHeight="1">
      <c r="H475" s="60"/>
      <c r="O475" s="60"/>
    </row>
    <row r="476" ht="15.75" customHeight="1">
      <c r="H476" s="60"/>
      <c r="O476" s="60"/>
    </row>
    <row r="477" ht="15.75" customHeight="1">
      <c r="H477" s="60"/>
      <c r="O477" s="60"/>
    </row>
    <row r="478" ht="15.75" customHeight="1">
      <c r="H478" s="60"/>
      <c r="O478" s="60"/>
    </row>
    <row r="479" ht="15.75" customHeight="1">
      <c r="H479" s="60"/>
      <c r="O479" s="60"/>
    </row>
    <row r="480" ht="15.75" customHeight="1">
      <c r="H480" s="60"/>
      <c r="O480" s="60"/>
    </row>
    <row r="481" ht="15.75" customHeight="1">
      <c r="H481" s="60"/>
      <c r="O481" s="60"/>
    </row>
    <row r="482" ht="15.75" customHeight="1">
      <c r="H482" s="60"/>
      <c r="O482" s="60"/>
    </row>
    <row r="483" ht="15.75" customHeight="1">
      <c r="H483" s="60"/>
      <c r="O483" s="60"/>
    </row>
    <row r="484" ht="15.75" customHeight="1">
      <c r="H484" s="60"/>
      <c r="O484" s="60"/>
    </row>
    <row r="485" ht="15.75" customHeight="1">
      <c r="H485" s="60"/>
      <c r="O485" s="60"/>
    </row>
    <row r="486" ht="15.75" customHeight="1">
      <c r="H486" s="60"/>
      <c r="O486" s="60"/>
    </row>
    <row r="487" ht="15.75" customHeight="1">
      <c r="H487" s="60"/>
      <c r="O487" s="60"/>
    </row>
    <row r="488" ht="15.75" customHeight="1">
      <c r="H488" s="60"/>
      <c r="O488" s="60"/>
    </row>
    <row r="489" ht="15.75" customHeight="1">
      <c r="H489" s="60"/>
      <c r="O489" s="60"/>
    </row>
    <row r="490" ht="15.75" customHeight="1">
      <c r="H490" s="60"/>
      <c r="O490" s="60"/>
    </row>
    <row r="491" ht="15.75" customHeight="1">
      <c r="H491" s="60"/>
      <c r="O491" s="60"/>
    </row>
    <row r="492" ht="15.75" customHeight="1">
      <c r="H492" s="60"/>
      <c r="O492" s="60"/>
    </row>
    <row r="493" ht="15.75" customHeight="1">
      <c r="H493" s="60"/>
      <c r="O493" s="60"/>
    </row>
    <row r="494" ht="15.75" customHeight="1">
      <c r="H494" s="60"/>
      <c r="O494" s="60"/>
    </row>
    <row r="495" ht="15.75" customHeight="1">
      <c r="H495" s="60"/>
      <c r="O495" s="60"/>
    </row>
    <row r="496" ht="15.75" customHeight="1">
      <c r="H496" s="60"/>
      <c r="O496" s="60"/>
    </row>
    <row r="497" ht="15.75" customHeight="1">
      <c r="H497" s="60"/>
      <c r="O497" s="60"/>
    </row>
    <row r="498" ht="15.75" customHeight="1">
      <c r="H498" s="60"/>
      <c r="O498" s="60"/>
    </row>
    <row r="499" ht="15.75" customHeight="1">
      <c r="H499" s="60"/>
      <c r="O499" s="60"/>
    </row>
    <row r="500" ht="15.75" customHeight="1">
      <c r="H500" s="60"/>
      <c r="O500" s="6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dataValidations>
    <dataValidation type="list" allowBlank="1" sqref="H4:H500">
      <formula1>"Excellent,Good,Fair,Repair,Replace"</formula1>
    </dataValidation>
    <dataValidation type="list" allowBlank="1" sqref="O4:O50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7" width="28.0"/>
    <col customWidth="1" min="8" max="8" width="17.0"/>
    <col customWidth="1" min="9" max="26" width="8.63"/>
  </cols>
  <sheetData>
    <row r="1" ht="33.75" customHeight="1">
      <c r="A1" s="39" t="s">
        <v>1019</v>
      </c>
    </row>
    <row r="3" ht="21.75" customHeight="1">
      <c r="A3" s="41" t="s">
        <v>1020</v>
      </c>
    </row>
    <row r="4">
      <c r="A4" s="67" t="s">
        <v>1021</v>
      </c>
    </row>
    <row r="10" ht="21.75" customHeight="1">
      <c r="A10" s="41" t="s">
        <v>1022</v>
      </c>
    </row>
    <row r="11">
      <c r="A11" s="42" t="s">
        <v>763</v>
      </c>
      <c r="B11" s="68" t="s">
        <v>1023</v>
      </c>
    </row>
    <row r="12">
      <c r="A12" s="42" t="s">
        <v>766</v>
      </c>
      <c r="B12" s="68" t="s">
        <v>1024</v>
      </c>
    </row>
    <row r="13">
      <c r="A13" s="42" t="s">
        <v>769</v>
      </c>
      <c r="B13" s="68" t="s">
        <v>1025</v>
      </c>
    </row>
    <row r="14">
      <c r="A14" s="42" t="s">
        <v>772</v>
      </c>
      <c r="B14" s="68" t="s">
        <v>1026</v>
      </c>
    </row>
    <row r="15">
      <c r="A15" s="42" t="s">
        <v>775</v>
      </c>
      <c r="B15" s="68" t="s">
        <v>1027</v>
      </c>
    </row>
    <row r="16">
      <c r="A16" s="42" t="s">
        <v>778</v>
      </c>
      <c r="B16" s="68" t="s">
        <v>1028</v>
      </c>
    </row>
    <row r="17">
      <c r="A17" s="42" t="s">
        <v>1029</v>
      </c>
      <c r="B17" s="68" t="s">
        <v>1030</v>
      </c>
    </row>
    <row r="19" ht="21.75" customHeight="1">
      <c r="A19" s="41" t="s">
        <v>1031</v>
      </c>
    </row>
    <row r="20">
      <c r="A20" s="59" t="s">
        <v>569</v>
      </c>
      <c r="B20" s="59" t="s">
        <v>1032</v>
      </c>
      <c r="C20" s="59" t="s">
        <v>1033</v>
      </c>
      <c r="D20" s="59" t="s">
        <v>1034</v>
      </c>
      <c r="E20" s="59" t="s">
        <v>1035</v>
      </c>
      <c r="F20" s="59" t="s">
        <v>1036</v>
      </c>
      <c r="G20" s="59" t="s">
        <v>1037</v>
      </c>
      <c r="H20" s="59" t="s">
        <v>1038</v>
      </c>
    </row>
    <row r="21" ht="15.75" customHeight="1">
      <c r="A21" s="14"/>
      <c r="B21" s="14"/>
      <c r="C21" s="14"/>
      <c r="D21" s="14"/>
      <c r="E21" s="14"/>
      <c r="F21" s="14"/>
      <c r="G21" s="14"/>
      <c r="H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4:H8"/>
    <mergeCell ref="A10:H10"/>
    <mergeCell ref="A19:H19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3.0"/>
    <col customWidth="1" min="3" max="3" width="25.0"/>
    <col customWidth="1" min="4" max="4" width="18.0"/>
    <col customWidth="1" min="5" max="5" width="55.0"/>
    <col customWidth="1" min="6" max="6" width="12.0"/>
    <col customWidth="1" min="7" max="26" width="8.63"/>
  </cols>
  <sheetData>
    <row r="1">
      <c r="A1" s="69" t="s">
        <v>1039</v>
      </c>
    </row>
    <row r="2">
      <c r="A2" s="14"/>
      <c r="B2" s="14"/>
      <c r="C2" s="14"/>
      <c r="D2" s="14"/>
      <c r="E2" s="14"/>
      <c r="F2" s="14"/>
    </row>
    <row r="3">
      <c r="A3" s="2" t="s">
        <v>1040</v>
      </c>
      <c r="B3" s="2" t="s">
        <v>1041</v>
      </c>
      <c r="C3" s="2" t="s">
        <v>1042</v>
      </c>
      <c r="D3" s="2" t="s">
        <v>1043</v>
      </c>
      <c r="E3" s="2" t="s">
        <v>1044</v>
      </c>
      <c r="F3" s="2" t="s">
        <v>749</v>
      </c>
    </row>
    <row r="4">
      <c r="A4" s="14" t="s">
        <v>1045</v>
      </c>
      <c r="B4" s="14" t="s">
        <v>1046</v>
      </c>
      <c r="C4" s="14" t="s">
        <v>1047</v>
      </c>
      <c r="D4" s="14">
        <v>-1.0</v>
      </c>
      <c r="E4" s="14" t="s">
        <v>1048</v>
      </c>
      <c r="F4" s="14" t="s">
        <v>1049</v>
      </c>
    </row>
    <row r="5">
      <c r="A5" s="14" t="s">
        <v>747</v>
      </c>
      <c r="B5" s="14" t="s">
        <v>1050</v>
      </c>
      <c r="C5" s="14" t="s">
        <v>44</v>
      </c>
      <c r="D5" s="14">
        <v>1.0</v>
      </c>
      <c r="E5" s="14" t="s">
        <v>1051</v>
      </c>
      <c r="F5" s="14" t="s">
        <v>1049</v>
      </c>
    </row>
    <row r="6">
      <c r="A6" s="14" t="s">
        <v>1052</v>
      </c>
      <c r="B6" s="14" t="s">
        <v>1053</v>
      </c>
      <c r="C6" s="14" t="s">
        <v>1054</v>
      </c>
      <c r="D6" s="14">
        <v>0.0</v>
      </c>
      <c r="E6" s="14" t="s">
        <v>1055</v>
      </c>
      <c r="F6" s="14" t="s">
        <v>1049</v>
      </c>
    </row>
    <row r="7">
      <c r="A7" s="14"/>
      <c r="B7" s="14"/>
      <c r="C7" s="14"/>
      <c r="D7" s="14"/>
      <c r="E7" s="14"/>
      <c r="F7" s="14"/>
    </row>
    <row r="8">
      <c r="A8" s="2" t="s">
        <v>1056</v>
      </c>
      <c r="B8" s="2" t="s">
        <v>1057</v>
      </c>
      <c r="C8" s="2" t="s">
        <v>1058</v>
      </c>
      <c r="D8" s="14"/>
      <c r="E8" s="14"/>
      <c r="F8" s="14"/>
    </row>
    <row r="9">
      <c r="A9" s="14" t="s">
        <v>57</v>
      </c>
      <c r="B9" s="14" t="s">
        <v>1059</v>
      </c>
      <c r="C9" s="14" t="s">
        <v>1060</v>
      </c>
      <c r="D9" s="14"/>
      <c r="E9" s="14"/>
      <c r="F9" s="14"/>
    </row>
    <row r="10">
      <c r="A10" s="14" t="s">
        <v>58</v>
      </c>
      <c r="B10" s="14" t="s">
        <v>1061</v>
      </c>
      <c r="C10" s="14" t="s">
        <v>1062</v>
      </c>
      <c r="D10" s="14"/>
      <c r="E10" s="14"/>
      <c r="F10" s="14"/>
    </row>
    <row r="11">
      <c r="A11" s="14" t="s">
        <v>60</v>
      </c>
      <c r="B11" s="14" t="s">
        <v>1063</v>
      </c>
      <c r="C11" s="14" t="s">
        <v>1064</v>
      </c>
      <c r="D11" s="14"/>
      <c r="E11" s="14"/>
      <c r="F11" s="14"/>
    </row>
    <row r="12">
      <c r="A12" s="14" t="s">
        <v>62</v>
      </c>
      <c r="B12" s="14" t="s">
        <v>1065</v>
      </c>
      <c r="C12" s="14" t="s">
        <v>1066</v>
      </c>
      <c r="D12" s="14"/>
      <c r="E12" s="14"/>
      <c r="F12" s="14"/>
    </row>
    <row r="13">
      <c r="A13" s="14" t="s">
        <v>63</v>
      </c>
      <c r="B13" s="14" t="s">
        <v>1067</v>
      </c>
      <c r="C13" s="14" t="s">
        <v>1068</v>
      </c>
      <c r="D13" s="14"/>
      <c r="E13" s="14"/>
      <c r="F13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